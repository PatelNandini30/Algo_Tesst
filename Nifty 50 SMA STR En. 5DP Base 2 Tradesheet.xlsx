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#Pre Final Folder\#Optimization on Index\Supertrend\With Modified Base 1,2 Filter_Starting With 5DP\SMA\Tradesheet\Base 2\Base 2 Tradesheets\"/>
    </mc:Choice>
  </mc:AlternateContent>
  <bookViews>
    <workbookView xWindow="0" yWindow="0" windowWidth="24000" windowHeight="9210" activeTab="2"/>
  </bookViews>
  <sheets>
    <sheet name="2008-2011 Summary" sheetId="7" r:id="rId1"/>
    <sheet name="Summary" sheetId="6" r:id="rId2"/>
    <sheet name="5,1_5,1" sheetId="1" r:id="rId3"/>
    <sheet name="5,2_5,2" sheetId="3" r:id="rId4"/>
    <sheet name="5,2_5,4 " sheetId="4" r:id="rId5"/>
    <sheet name="5,1_5,2" sheetId="5" r:id="rId6"/>
    <sheet name="5,1_5,4" sheetId="2" r:id="rId7"/>
  </sheets>
  <calcPr calcId="162913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7" l="1"/>
  <c r="C7" i="7"/>
  <c r="E5" i="7"/>
  <c r="G4" i="7"/>
  <c r="E4" i="7"/>
  <c r="I4" i="7"/>
  <c r="L4" i="7"/>
  <c r="F4" i="7"/>
  <c r="K5" i="7"/>
  <c r="G5" i="7"/>
  <c r="F5" i="7"/>
  <c r="C10" i="7"/>
  <c r="C8" i="7"/>
  <c r="C12" i="7"/>
  <c r="H4" i="7"/>
  <c r="I5" i="7"/>
  <c r="J4" i="7"/>
  <c r="J5" i="7"/>
  <c r="L5" i="7"/>
  <c r="H5" i="7"/>
  <c r="K4" i="7"/>
  <c r="C11" i="7" l="1"/>
  <c r="H11" i="7" s="1"/>
  <c r="C9" i="7"/>
  <c r="L9" i="7" s="1"/>
  <c r="C13" i="7"/>
  <c r="H13" i="7" s="1"/>
  <c r="E8" i="7"/>
  <c r="I8" i="7"/>
  <c r="F8" i="7"/>
  <c r="J8" i="7"/>
  <c r="L8" i="7"/>
  <c r="G8" i="7"/>
  <c r="K8" i="7"/>
  <c r="H8" i="7"/>
  <c r="F10" i="7"/>
  <c r="J10" i="7"/>
  <c r="K10" i="7"/>
  <c r="G10" i="7"/>
  <c r="H10" i="7"/>
  <c r="L10" i="7"/>
  <c r="E10" i="7"/>
  <c r="I10" i="7"/>
  <c r="H12" i="7"/>
  <c r="L12" i="7"/>
  <c r="E12" i="7"/>
  <c r="I12" i="7"/>
  <c r="G12" i="7"/>
  <c r="F12" i="7"/>
  <c r="J12" i="7"/>
  <c r="K12" i="7"/>
  <c r="G7" i="7"/>
  <c r="H7" i="7"/>
  <c r="G6" i="7"/>
  <c r="F6" i="7"/>
  <c r="F7" i="7"/>
  <c r="H6" i="7"/>
  <c r="I7" i="7"/>
  <c r="J7" i="7"/>
  <c r="E6" i="7"/>
  <c r="L6" i="7"/>
  <c r="K6" i="7"/>
  <c r="C20" i="7"/>
  <c r="L7" i="7"/>
  <c r="J6" i="7"/>
  <c r="K7" i="7"/>
  <c r="C16" i="7"/>
  <c r="C14" i="7"/>
  <c r="I6" i="7"/>
  <c r="C26" i="7"/>
  <c r="C24" i="7"/>
  <c r="E7" i="7"/>
  <c r="C18" i="7"/>
  <c r="H9" i="7" l="1"/>
  <c r="F11" i="7"/>
  <c r="I11" i="7"/>
  <c r="K11" i="7"/>
  <c r="F13" i="7"/>
  <c r="G11" i="7"/>
  <c r="L11" i="7"/>
  <c r="G9" i="7"/>
  <c r="E11" i="7"/>
  <c r="K13" i="7"/>
  <c r="J11" i="7"/>
  <c r="K9" i="7"/>
  <c r="E13" i="7"/>
  <c r="J13" i="7"/>
  <c r="I13" i="7"/>
  <c r="L13" i="7"/>
  <c r="G13" i="7"/>
  <c r="E9" i="7"/>
  <c r="F9" i="7"/>
  <c r="J9" i="7"/>
  <c r="I9" i="7"/>
  <c r="Q14" i="7"/>
  <c r="M14" i="7"/>
  <c r="I14" i="7"/>
  <c r="E14" i="7"/>
  <c r="S14" i="7"/>
  <c r="N14" i="7"/>
  <c r="H14" i="7"/>
  <c r="P14" i="7"/>
  <c r="F14" i="7"/>
  <c r="R14" i="7"/>
  <c r="L14" i="7"/>
  <c r="G14" i="7"/>
  <c r="C15" i="7"/>
  <c r="K14" i="7"/>
  <c r="T14" i="7"/>
  <c r="O14" i="7"/>
  <c r="J14" i="7"/>
  <c r="S20" i="7"/>
  <c r="O20" i="7"/>
  <c r="K20" i="7"/>
  <c r="G20" i="7"/>
  <c r="C21" i="7"/>
  <c r="R20" i="7"/>
  <c r="N20" i="7"/>
  <c r="J20" i="7"/>
  <c r="F20" i="7"/>
  <c r="Q20" i="7"/>
  <c r="M20" i="7"/>
  <c r="I20" i="7"/>
  <c r="E20" i="7"/>
  <c r="P20" i="7"/>
  <c r="H20" i="7"/>
  <c r="L20" i="7"/>
  <c r="T20" i="7"/>
  <c r="S24" i="7"/>
  <c r="O24" i="7"/>
  <c r="K24" i="7"/>
  <c r="G24" i="7"/>
  <c r="C25" i="7"/>
  <c r="R24" i="7"/>
  <c r="N24" i="7"/>
  <c r="J24" i="7"/>
  <c r="F24" i="7"/>
  <c r="Q24" i="7"/>
  <c r="M24" i="7"/>
  <c r="I24" i="7"/>
  <c r="E24" i="7"/>
  <c r="H24" i="7"/>
  <c r="P24" i="7"/>
  <c r="T24" i="7"/>
  <c r="L24" i="7"/>
  <c r="S16" i="7"/>
  <c r="O16" i="7"/>
  <c r="K16" i="7"/>
  <c r="C17" i="7"/>
  <c r="R16" i="7"/>
  <c r="N16" i="7"/>
  <c r="Q16" i="7"/>
  <c r="M16" i="7"/>
  <c r="I16" i="7"/>
  <c r="E16" i="7"/>
  <c r="J16" i="7"/>
  <c r="P16" i="7"/>
  <c r="T16" i="7"/>
  <c r="H16" i="7"/>
  <c r="G16" i="7"/>
  <c r="L16" i="7"/>
  <c r="F16" i="7"/>
  <c r="S18" i="7"/>
  <c r="O18" i="7"/>
  <c r="K18" i="7"/>
  <c r="G18" i="7"/>
  <c r="C19" i="7"/>
  <c r="R18" i="7"/>
  <c r="N18" i="7"/>
  <c r="J18" i="7"/>
  <c r="F18" i="7"/>
  <c r="Q18" i="7"/>
  <c r="M18" i="7"/>
  <c r="I18" i="7"/>
  <c r="E18" i="7"/>
  <c r="T18" i="7"/>
  <c r="L18" i="7"/>
  <c r="P18" i="7"/>
  <c r="H18" i="7"/>
  <c r="S26" i="7"/>
  <c r="O26" i="7"/>
  <c r="K26" i="7"/>
  <c r="G26" i="7"/>
  <c r="C27" i="7"/>
  <c r="R26" i="7"/>
  <c r="N26" i="7"/>
  <c r="J26" i="7"/>
  <c r="F26" i="7"/>
  <c r="Q26" i="7"/>
  <c r="M26" i="7"/>
  <c r="I26" i="7"/>
  <c r="E26" i="7"/>
  <c r="T26" i="7"/>
  <c r="P26" i="7"/>
  <c r="L26" i="7"/>
  <c r="H26" i="7"/>
  <c r="R12" i="7"/>
  <c r="S12" i="7"/>
  <c r="O8" i="7"/>
  <c r="R8" i="7"/>
  <c r="P10" i="7"/>
  <c r="O10" i="7"/>
  <c r="T12" i="7"/>
  <c r="N12" i="7"/>
  <c r="T8" i="7"/>
  <c r="N8" i="7"/>
  <c r="S10" i="7"/>
  <c r="R10" i="7"/>
  <c r="Q12" i="7"/>
  <c r="P12" i="7"/>
  <c r="Q8" i="7"/>
  <c r="P8" i="7"/>
  <c r="Q10" i="7"/>
  <c r="N10" i="7"/>
  <c r="M12" i="7"/>
  <c r="O12" i="7"/>
  <c r="M8" i="7"/>
  <c r="S8" i="7"/>
  <c r="M10" i="7"/>
  <c r="T10" i="7"/>
  <c r="Q6" i="7"/>
  <c r="N6" i="7"/>
  <c r="O6" i="7"/>
  <c r="T6" i="7"/>
  <c r="R6" i="7"/>
  <c r="S4" i="7"/>
  <c r="P4" i="7"/>
  <c r="Q4" i="7"/>
  <c r="P6" i="7"/>
  <c r="M6" i="7"/>
  <c r="T4" i="7"/>
  <c r="N4" i="7"/>
  <c r="O4" i="7"/>
  <c r="R4" i="7"/>
  <c r="M4" i="7"/>
  <c r="S6" i="7"/>
  <c r="U17" i="7" l="1"/>
  <c r="Q17" i="7"/>
  <c r="M17" i="7"/>
  <c r="I17" i="7"/>
  <c r="E17" i="7"/>
  <c r="T17" i="7"/>
  <c r="P17" i="7"/>
  <c r="L17" i="7"/>
  <c r="H17" i="7"/>
  <c r="S17" i="7"/>
  <c r="O17" i="7"/>
  <c r="K17" i="7"/>
  <c r="G17" i="7"/>
  <c r="U16" i="7"/>
  <c r="F17" i="7"/>
  <c r="R17" i="7"/>
  <c r="N17" i="7"/>
  <c r="J17" i="7"/>
  <c r="U25" i="7"/>
  <c r="Q25" i="7"/>
  <c r="M25" i="7"/>
  <c r="I25" i="7"/>
  <c r="E25" i="7"/>
  <c r="T25" i="7"/>
  <c r="P25" i="7"/>
  <c r="L25" i="7"/>
  <c r="H25" i="7"/>
  <c r="S25" i="7"/>
  <c r="O25" i="7"/>
  <c r="K25" i="7"/>
  <c r="G25" i="7"/>
  <c r="U24" i="7"/>
  <c r="F25" i="7"/>
  <c r="N25" i="7"/>
  <c r="R25" i="7"/>
  <c r="J25" i="7"/>
  <c r="U27" i="7"/>
  <c r="Q27" i="7"/>
  <c r="M27" i="7"/>
  <c r="I27" i="7"/>
  <c r="E27" i="7"/>
  <c r="T27" i="7"/>
  <c r="P27" i="7"/>
  <c r="L27" i="7"/>
  <c r="H27" i="7"/>
  <c r="S27" i="7"/>
  <c r="O27" i="7"/>
  <c r="K27" i="7"/>
  <c r="G27" i="7"/>
  <c r="U26" i="7"/>
  <c r="R27" i="7"/>
  <c r="J27" i="7"/>
  <c r="N27" i="7"/>
  <c r="F27" i="7"/>
  <c r="U19" i="7"/>
  <c r="Q19" i="7"/>
  <c r="M19" i="7"/>
  <c r="I19" i="7"/>
  <c r="E19" i="7"/>
  <c r="T19" i="7"/>
  <c r="P19" i="7"/>
  <c r="L19" i="7"/>
  <c r="H19" i="7"/>
  <c r="S19" i="7"/>
  <c r="O19" i="7"/>
  <c r="K19" i="7"/>
  <c r="G19" i="7"/>
  <c r="U18" i="7"/>
  <c r="R19" i="7"/>
  <c r="N19" i="7"/>
  <c r="J19" i="7"/>
  <c r="F19" i="7"/>
  <c r="U21" i="7"/>
  <c r="Q21" i="7"/>
  <c r="M21" i="7"/>
  <c r="I21" i="7"/>
  <c r="E21" i="7"/>
  <c r="T21" i="7"/>
  <c r="P21" i="7"/>
  <c r="L21" i="7"/>
  <c r="H21" i="7"/>
  <c r="S21" i="7"/>
  <c r="O21" i="7"/>
  <c r="K21" i="7"/>
  <c r="G21" i="7"/>
  <c r="U20" i="7"/>
  <c r="N21" i="7"/>
  <c r="C22" i="7"/>
  <c r="J21" i="7"/>
  <c r="F21" i="7"/>
  <c r="R21" i="7"/>
  <c r="S15" i="7"/>
  <c r="O15" i="7"/>
  <c r="K15" i="7"/>
  <c r="G15" i="7"/>
  <c r="U14" i="7"/>
  <c r="Q15" i="7"/>
  <c r="L15" i="7"/>
  <c r="F15" i="7"/>
  <c r="T15" i="7"/>
  <c r="I15" i="7"/>
  <c r="U15" i="7"/>
  <c r="P15" i="7"/>
  <c r="J15" i="7"/>
  <c r="E15" i="7"/>
  <c r="N15" i="7"/>
  <c r="H15" i="7"/>
  <c r="R15" i="7"/>
  <c r="M15" i="7"/>
  <c r="S13" i="7"/>
  <c r="P13" i="7"/>
  <c r="R13" i="7"/>
  <c r="S11" i="7"/>
  <c r="N11" i="7"/>
  <c r="P11" i="7"/>
  <c r="M9" i="7"/>
  <c r="Q9" i="7"/>
  <c r="O13" i="7"/>
  <c r="M13" i="7"/>
  <c r="Q13" i="7"/>
  <c r="O11" i="7"/>
  <c r="Q11" i="7"/>
  <c r="U11" i="7"/>
  <c r="S9" i="7"/>
  <c r="U8" i="7"/>
  <c r="N9" i="7"/>
  <c r="U12" i="7"/>
  <c r="T13" i="7"/>
  <c r="U10" i="7"/>
  <c r="R11" i="7"/>
  <c r="O9" i="7"/>
  <c r="U9" i="7"/>
  <c r="T9" i="7"/>
  <c r="U13" i="7"/>
  <c r="N13" i="7"/>
  <c r="T11" i="7"/>
  <c r="M11" i="7"/>
  <c r="R9" i="7"/>
  <c r="P9" i="7"/>
  <c r="T7" i="7"/>
  <c r="N7" i="7"/>
  <c r="P5" i="7"/>
  <c r="R7" i="7"/>
  <c r="P7" i="7"/>
  <c r="T5" i="7"/>
  <c r="U7" i="7"/>
  <c r="N5" i="7"/>
  <c r="U6" i="7"/>
  <c r="O5" i="7"/>
  <c r="U5" i="7"/>
  <c r="U4" i="7"/>
  <c r="M7" i="7"/>
  <c r="Q5" i="7"/>
  <c r="S5" i="7"/>
  <c r="S7" i="7"/>
  <c r="R5" i="7"/>
  <c r="M5" i="7"/>
  <c r="Q7" i="7"/>
  <c r="O7" i="7"/>
  <c r="S22" i="7" l="1"/>
  <c r="O22" i="7"/>
  <c r="K22" i="7"/>
  <c r="G22" i="7"/>
  <c r="C23" i="7"/>
  <c r="R22" i="7"/>
  <c r="N22" i="7"/>
  <c r="J22" i="7"/>
  <c r="F22" i="7"/>
  <c r="Q22" i="7"/>
  <c r="M22" i="7"/>
  <c r="I22" i="7"/>
  <c r="E22" i="7"/>
  <c r="L22" i="7"/>
  <c r="H22" i="7"/>
  <c r="T22" i="7"/>
  <c r="P22" i="7"/>
  <c r="U23" i="7" l="1"/>
  <c r="Q23" i="7"/>
  <c r="M23" i="7"/>
  <c r="I23" i="7"/>
  <c r="E23" i="7"/>
  <c r="T23" i="7"/>
  <c r="P23" i="7"/>
  <c r="L23" i="7"/>
  <c r="H23" i="7"/>
  <c r="S23" i="7"/>
  <c r="O23" i="7"/>
  <c r="K23" i="7"/>
  <c r="G23" i="7"/>
  <c r="U22" i="7"/>
  <c r="J23" i="7"/>
  <c r="R23" i="7"/>
  <c r="F23" i="7"/>
  <c r="N23" i="7"/>
  <c r="H153" i="5" l="1"/>
  <c r="J153" i="5" s="1"/>
  <c r="K153" i="5" s="1"/>
  <c r="Q153" i="5" s="1"/>
  <c r="I153" i="5"/>
  <c r="L153" i="5"/>
  <c r="M153" i="5"/>
  <c r="N153" i="5" s="1"/>
  <c r="O153" i="5" s="1"/>
  <c r="U153" i="5"/>
  <c r="V153" i="5"/>
  <c r="H154" i="5"/>
  <c r="I154" i="5"/>
  <c r="K154" i="5" s="1"/>
  <c r="J154" i="5"/>
  <c r="L154" i="5"/>
  <c r="M154" i="5"/>
  <c r="N154" i="5" s="1"/>
  <c r="O154" i="5" s="1"/>
  <c r="U154" i="5"/>
  <c r="V154" i="5"/>
  <c r="R153" i="5" l="1"/>
  <c r="S153" i="5" s="1"/>
  <c r="T153" i="5" s="1"/>
  <c r="Q154" i="5"/>
  <c r="R154" i="5" s="1"/>
  <c r="S154" i="5" s="1"/>
  <c r="T154" i="5" s="1"/>
  <c r="H115" i="3"/>
  <c r="J115" i="3" s="1"/>
  <c r="K115" i="3" s="1"/>
  <c r="Q115" i="3" s="1"/>
  <c r="I115" i="3"/>
  <c r="L115" i="3"/>
  <c r="M115" i="3"/>
  <c r="N115" i="3" s="1"/>
  <c r="O115" i="3" s="1"/>
  <c r="U115" i="3"/>
  <c r="V115" i="3"/>
  <c r="H116" i="3"/>
  <c r="I116" i="3"/>
  <c r="K116" i="3" s="1"/>
  <c r="J116" i="3"/>
  <c r="L116" i="3"/>
  <c r="M116" i="3"/>
  <c r="N116" i="3" s="1"/>
  <c r="O116" i="3" s="1"/>
  <c r="U116" i="3"/>
  <c r="V116" i="3"/>
  <c r="H117" i="3"/>
  <c r="J117" i="3" s="1"/>
  <c r="K117" i="3" s="1"/>
  <c r="I117" i="3"/>
  <c r="L117" i="3"/>
  <c r="M117" i="3" s="1"/>
  <c r="N117" i="3" s="1"/>
  <c r="O117" i="3" s="1"/>
  <c r="U117" i="3"/>
  <c r="V117" i="3"/>
  <c r="H224" i="1"/>
  <c r="I224" i="1"/>
  <c r="J224" i="1"/>
  <c r="K224" i="1"/>
  <c r="Q224" i="1" s="1"/>
  <c r="L224" i="1"/>
  <c r="M224" i="1"/>
  <c r="N224" i="1" s="1"/>
  <c r="O224" i="1" s="1"/>
  <c r="U224" i="1"/>
  <c r="V224" i="1"/>
  <c r="H225" i="1"/>
  <c r="I225" i="1"/>
  <c r="K225" i="1" s="1"/>
  <c r="J225" i="1"/>
  <c r="L225" i="1"/>
  <c r="M225" i="1"/>
  <c r="N225" i="1" s="1"/>
  <c r="O225" i="1" s="1"/>
  <c r="U225" i="1"/>
  <c r="V225" i="1"/>
  <c r="H226" i="1"/>
  <c r="J226" i="1" s="1"/>
  <c r="K226" i="1" s="1"/>
  <c r="I226" i="1"/>
  <c r="L226" i="1"/>
  <c r="M226" i="1" s="1"/>
  <c r="N226" i="1" s="1"/>
  <c r="O226" i="1" s="1"/>
  <c r="U226" i="1"/>
  <c r="V226" i="1"/>
  <c r="H227" i="1"/>
  <c r="I227" i="1"/>
  <c r="K227" i="1" s="1"/>
  <c r="J227" i="1"/>
  <c r="U227" i="1"/>
  <c r="V227" i="1"/>
  <c r="H228" i="1"/>
  <c r="J228" i="1" s="1"/>
  <c r="K228" i="1" s="1"/>
  <c r="I228" i="1"/>
  <c r="U228" i="1"/>
  <c r="V228" i="1"/>
  <c r="H229" i="1"/>
  <c r="I229" i="1"/>
  <c r="K229" i="1" s="1"/>
  <c r="J229" i="1"/>
  <c r="U229" i="1"/>
  <c r="V229" i="1"/>
  <c r="R115" i="3" l="1"/>
  <c r="S115" i="3" s="1"/>
  <c r="T115" i="3" s="1"/>
  <c r="Q116" i="3"/>
  <c r="R224" i="1"/>
  <c r="S224" i="1" s="1"/>
  <c r="T224" i="1" s="1"/>
  <c r="Q225" i="1"/>
  <c r="L227" i="1"/>
  <c r="H119" i="2"/>
  <c r="J119" i="2" s="1"/>
  <c r="K119" i="2" s="1"/>
  <c r="I119" i="2"/>
  <c r="U119" i="2"/>
  <c r="V119" i="2"/>
  <c r="H120" i="2"/>
  <c r="I120" i="2"/>
  <c r="K120" i="2" s="1"/>
  <c r="J120" i="2"/>
  <c r="U120" i="2"/>
  <c r="V120" i="2"/>
  <c r="H121" i="2"/>
  <c r="J121" i="2" s="1"/>
  <c r="K121" i="2" s="1"/>
  <c r="I121" i="2"/>
  <c r="U121" i="2"/>
  <c r="V121" i="2"/>
  <c r="H83" i="4"/>
  <c r="J83" i="4" s="1"/>
  <c r="K83" i="4" s="1"/>
  <c r="Q83" i="4" s="1"/>
  <c r="I83" i="4"/>
  <c r="L83" i="4"/>
  <c r="M83" i="4"/>
  <c r="N83" i="4" s="1"/>
  <c r="O83" i="4" s="1"/>
  <c r="U83" i="4"/>
  <c r="V83" i="4"/>
  <c r="H84" i="4"/>
  <c r="I84" i="4"/>
  <c r="K84" i="4" s="1"/>
  <c r="J84" i="4"/>
  <c r="L84" i="4"/>
  <c r="M84" i="4"/>
  <c r="N84" i="4" s="1"/>
  <c r="O84" i="4" s="1"/>
  <c r="U84" i="4"/>
  <c r="V84" i="4"/>
  <c r="H85" i="4"/>
  <c r="J85" i="4" s="1"/>
  <c r="K85" i="4" s="1"/>
  <c r="I85" i="4"/>
  <c r="L85" i="4"/>
  <c r="U85" i="4"/>
  <c r="V85" i="4"/>
  <c r="H113" i="3"/>
  <c r="J113" i="3" s="1"/>
  <c r="K113" i="3" s="1"/>
  <c r="Q113" i="3" s="1"/>
  <c r="I113" i="3"/>
  <c r="L113" i="3"/>
  <c r="M113" i="3"/>
  <c r="N113" i="3" s="1"/>
  <c r="O113" i="3" s="1"/>
  <c r="U113" i="3"/>
  <c r="V113" i="3"/>
  <c r="H114" i="3"/>
  <c r="I114" i="3"/>
  <c r="K114" i="3" s="1"/>
  <c r="J114" i="3"/>
  <c r="L114" i="3"/>
  <c r="M114" i="3"/>
  <c r="N114" i="3" s="1"/>
  <c r="O114" i="3" s="1"/>
  <c r="U114" i="3"/>
  <c r="V114" i="3"/>
  <c r="H222" i="1"/>
  <c r="J222" i="1" s="1"/>
  <c r="K222" i="1" s="1"/>
  <c r="Q222" i="1" s="1"/>
  <c r="I222" i="1"/>
  <c r="L222" i="1"/>
  <c r="M222" i="1"/>
  <c r="N222" i="1"/>
  <c r="O222" i="1"/>
  <c r="U222" i="1"/>
  <c r="V222" i="1"/>
  <c r="H223" i="1"/>
  <c r="J223" i="1" s="1"/>
  <c r="I223" i="1"/>
  <c r="L223" i="1"/>
  <c r="M223" i="1"/>
  <c r="N223" i="1" s="1"/>
  <c r="O223" i="1" s="1"/>
  <c r="U223" i="1"/>
  <c r="V223" i="1"/>
  <c r="Q117" i="3" l="1"/>
  <c r="R117" i="3" s="1"/>
  <c r="S117" i="3" s="1"/>
  <c r="T117" i="3" s="1"/>
  <c r="R116" i="3"/>
  <c r="S116" i="3" s="1"/>
  <c r="T116" i="3" s="1"/>
  <c r="L228" i="1"/>
  <c r="M227" i="1"/>
  <c r="N227" i="1" s="1"/>
  <c r="O227" i="1" s="1"/>
  <c r="Q226" i="1"/>
  <c r="R225" i="1"/>
  <c r="S225" i="1" s="1"/>
  <c r="T225" i="1" s="1"/>
  <c r="R83" i="4"/>
  <c r="S83" i="4" s="1"/>
  <c r="T83" i="4" s="1"/>
  <c r="Q84" i="4"/>
  <c r="M85" i="4"/>
  <c r="N85" i="4" s="1"/>
  <c r="O85" i="4" s="1"/>
  <c r="R113" i="3"/>
  <c r="S113" i="3" s="1"/>
  <c r="T113" i="3" s="1"/>
  <c r="Q114" i="3"/>
  <c r="K223" i="1"/>
  <c r="Q223" i="1" s="1"/>
  <c r="R222" i="1"/>
  <c r="S222" i="1" s="1"/>
  <c r="T222" i="1" s="1"/>
  <c r="H150" i="5"/>
  <c r="I150" i="5"/>
  <c r="U150" i="5"/>
  <c r="V150" i="5"/>
  <c r="H151" i="5"/>
  <c r="I151" i="5"/>
  <c r="U151" i="5"/>
  <c r="V151" i="5"/>
  <c r="H152" i="5"/>
  <c r="I152" i="5"/>
  <c r="U152" i="5"/>
  <c r="V152" i="5"/>
  <c r="R226" i="1" l="1"/>
  <c r="S226" i="1" s="1"/>
  <c r="T226" i="1" s="1"/>
  <c r="Q227" i="1"/>
  <c r="M228" i="1"/>
  <c r="N228" i="1" s="1"/>
  <c r="O228" i="1" s="1"/>
  <c r="L229" i="1"/>
  <c r="M229" i="1" s="1"/>
  <c r="N229" i="1" s="1"/>
  <c r="O229" i="1" s="1"/>
  <c r="Q85" i="4"/>
  <c r="R85" i="4" s="1"/>
  <c r="S85" i="4" s="1"/>
  <c r="T85" i="4" s="1"/>
  <c r="R84" i="4"/>
  <c r="S84" i="4" s="1"/>
  <c r="T84" i="4" s="1"/>
  <c r="R114" i="3"/>
  <c r="S114" i="3" s="1"/>
  <c r="T114" i="3" s="1"/>
  <c r="R223" i="1"/>
  <c r="S223" i="1" s="1"/>
  <c r="T223" i="1" s="1"/>
  <c r="N28" i="6"/>
  <c r="M28" i="6"/>
  <c r="Q228" i="1" l="1"/>
  <c r="R227" i="1"/>
  <c r="S227" i="1" s="1"/>
  <c r="T227" i="1" s="1"/>
  <c r="AM38" i="2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21" i="1"/>
  <c r="R228" i="1" l="1"/>
  <c r="S228" i="1" s="1"/>
  <c r="T228" i="1" s="1"/>
  <c r="Q229" i="1"/>
  <c r="R229" i="1" s="1"/>
  <c r="S229" i="1" s="1"/>
  <c r="T229" i="1" s="1"/>
  <c r="H24" i="1"/>
  <c r="I24" i="1"/>
  <c r="U24" i="1"/>
  <c r="V24" i="1"/>
  <c r="H25" i="1"/>
  <c r="I25" i="1"/>
  <c r="U25" i="1"/>
  <c r="V25" i="1"/>
  <c r="H26" i="1"/>
  <c r="I26" i="1"/>
  <c r="U26" i="1"/>
  <c r="V26" i="1"/>
  <c r="H27" i="1"/>
  <c r="I27" i="1"/>
  <c r="U27" i="1"/>
  <c r="V27" i="1"/>
  <c r="H28" i="1"/>
  <c r="I28" i="1"/>
  <c r="U28" i="1"/>
  <c r="V28" i="1"/>
  <c r="H29" i="1"/>
  <c r="I29" i="1"/>
  <c r="U29" i="1"/>
  <c r="V29" i="1"/>
  <c r="H30" i="1"/>
  <c r="I30" i="1"/>
  <c r="U30" i="1"/>
  <c r="V30" i="1"/>
  <c r="H31" i="1"/>
  <c r="I31" i="1"/>
  <c r="U31" i="1"/>
  <c r="V31" i="1"/>
  <c r="H32" i="1"/>
  <c r="I32" i="1"/>
  <c r="U32" i="1"/>
  <c r="V32" i="1"/>
  <c r="H33" i="1"/>
  <c r="I33" i="1"/>
  <c r="U33" i="1"/>
  <c r="V33" i="1"/>
  <c r="H34" i="1"/>
  <c r="I34" i="1"/>
  <c r="U34" i="1"/>
  <c r="V34" i="1"/>
  <c r="H35" i="1"/>
  <c r="I35" i="1"/>
  <c r="U35" i="1"/>
  <c r="V35" i="1"/>
  <c r="H36" i="1"/>
  <c r="I36" i="1"/>
  <c r="U36" i="1"/>
  <c r="V36" i="1"/>
  <c r="H37" i="1"/>
  <c r="I37" i="1"/>
  <c r="U37" i="1"/>
  <c r="V37" i="1"/>
  <c r="H38" i="1"/>
  <c r="I38" i="1"/>
  <c r="U38" i="1"/>
  <c r="V38" i="1"/>
  <c r="H39" i="1"/>
  <c r="I39" i="1"/>
  <c r="U39" i="1"/>
  <c r="V39" i="1"/>
  <c r="H40" i="1"/>
  <c r="I40" i="1"/>
  <c r="U40" i="1"/>
  <c r="V40" i="1"/>
  <c r="H41" i="1"/>
  <c r="I41" i="1"/>
  <c r="U41" i="1"/>
  <c r="V41" i="1"/>
  <c r="H42" i="1"/>
  <c r="I42" i="1"/>
  <c r="U42" i="1"/>
  <c r="V42" i="1"/>
  <c r="H43" i="1"/>
  <c r="I43" i="1"/>
  <c r="U43" i="1"/>
  <c r="V43" i="1"/>
  <c r="H44" i="1"/>
  <c r="I44" i="1"/>
  <c r="U44" i="1"/>
  <c r="V44" i="1"/>
  <c r="H45" i="1"/>
  <c r="I45" i="1"/>
  <c r="U45" i="1"/>
  <c r="V45" i="1"/>
  <c r="H46" i="1"/>
  <c r="I46" i="1"/>
  <c r="U46" i="1"/>
  <c r="V46" i="1"/>
  <c r="H47" i="1"/>
  <c r="I47" i="1"/>
  <c r="U47" i="1"/>
  <c r="V47" i="1"/>
  <c r="H48" i="1"/>
  <c r="I48" i="1"/>
  <c r="U48" i="1"/>
  <c r="V48" i="1"/>
  <c r="H49" i="1"/>
  <c r="I49" i="1"/>
  <c r="U49" i="1"/>
  <c r="V49" i="1"/>
  <c r="H50" i="1"/>
  <c r="I50" i="1"/>
  <c r="U50" i="1"/>
  <c r="V50" i="1"/>
  <c r="H51" i="1"/>
  <c r="I51" i="1"/>
  <c r="U51" i="1"/>
  <c r="V51" i="1"/>
  <c r="H52" i="1"/>
  <c r="I52" i="1"/>
  <c r="U52" i="1"/>
  <c r="V52" i="1"/>
  <c r="H53" i="1"/>
  <c r="I53" i="1"/>
  <c r="U53" i="1"/>
  <c r="V53" i="1"/>
  <c r="H54" i="1"/>
  <c r="I54" i="1"/>
  <c r="U54" i="1"/>
  <c r="V54" i="1"/>
  <c r="H55" i="1"/>
  <c r="I55" i="1"/>
  <c r="U55" i="1"/>
  <c r="V55" i="1"/>
  <c r="H56" i="1"/>
  <c r="I56" i="1"/>
  <c r="U56" i="1"/>
  <c r="V56" i="1"/>
  <c r="H57" i="1"/>
  <c r="I57" i="1"/>
  <c r="U57" i="1"/>
  <c r="V57" i="1"/>
  <c r="H58" i="1"/>
  <c r="I58" i="1"/>
  <c r="U58" i="1"/>
  <c r="V58" i="1"/>
  <c r="H59" i="1"/>
  <c r="I59" i="1"/>
  <c r="U59" i="1"/>
  <c r="V59" i="1"/>
  <c r="H60" i="1"/>
  <c r="I60" i="1"/>
  <c r="U60" i="1"/>
  <c r="V60" i="1"/>
  <c r="H61" i="1"/>
  <c r="I61" i="1"/>
  <c r="U61" i="1"/>
  <c r="V61" i="1"/>
  <c r="H62" i="1"/>
  <c r="I62" i="1"/>
  <c r="U62" i="1"/>
  <c r="V62" i="1"/>
  <c r="H63" i="1"/>
  <c r="I63" i="1"/>
  <c r="U63" i="1"/>
  <c r="V63" i="1"/>
  <c r="H64" i="1"/>
  <c r="I64" i="1"/>
  <c r="U64" i="1"/>
  <c r="V64" i="1"/>
  <c r="H65" i="1"/>
  <c r="I65" i="1"/>
  <c r="U65" i="1"/>
  <c r="V65" i="1"/>
  <c r="H66" i="1"/>
  <c r="I66" i="1"/>
  <c r="U66" i="1"/>
  <c r="V66" i="1"/>
  <c r="H67" i="1"/>
  <c r="I67" i="1"/>
  <c r="U67" i="1"/>
  <c r="V67" i="1"/>
  <c r="H68" i="1"/>
  <c r="I68" i="1"/>
  <c r="U68" i="1"/>
  <c r="V68" i="1"/>
  <c r="H69" i="1"/>
  <c r="I69" i="1"/>
  <c r="U69" i="1"/>
  <c r="V69" i="1"/>
  <c r="H70" i="1"/>
  <c r="I70" i="1"/>
  <c r="U70" i="1"/>
  <c r="V70" i="1"/>
  <c r="H71" i="1"/>
  <c r="I71" i="1"/>
  <c r="U71" i="1"/>
  <c r="V71" i="1"/>
  <c r="H72" i="1"/>
  <c r="I72" i="1"/>
  <c r="U72" i="1"/>
  <c r="V72" i="1"/>
  <c r="H73" i="1"/>
  <c r="I73" i="1"/>
  <c r="U73" i="1"/>
  <c r="V73" i="1"/>
  <c r="H74" i="1"/>
  <c r="I74" i="1"/>
  <c r="U74" i="1"/>
  <c r="V74" i="1"/>
  <c r="H75" i="1"/>
  <c r="I75" i="1"/>
  <c r="U75" i="1"/>
  <c r="V75" i="1"/>
  <c r="H76" i="1"/>
  <c r="I76" i="1"/>
  <c r="U76" i="1"/>
  <c r="V76" i="1"/>
  <c r="H77" i="1"/>
  <c r="I77" i="1"/>
  <c r="U77" i="1"/>
  <c r="V77" i="1"/>
  <c r="H78" i="1"/>
  <c r="I78" i="1"/>
  <c r="U78" i="1"/>
  <c r="V78" i="1"/>
  <c r="H79" i="1"/>
  <c r="I79" i="1"/>
  <c r="U79" i="1"/>
  <c r="V79" i="1"/>
  <c r="H80" i="1"/>
  <c r="I80" i="1"/>
  <c r="U80" i="1"/>
  <c r="V80" i="1"/>
  <c r="H81" i="1"/>
  <c r="I81" i="1"/>
  <c r="U81" i="1"/>
  <c r="V81" i="1"/>
  <c r="H82" i="1"/>
  <c r="I82" i="1"/>
  <c r="U82" i="1"/>
  <c r="V82" i="1"/>
  <c r="H83" i="1"/>
  <c r="I83" i="1"/>
  <c r="U83" i="1"/>
  <c r="V83" i="1"/>
  <c r="H84" i="1"/>
  <c r="I84" i="1"/>
  <c r="U84" i="1"/>
  <c r="V84" i="1"/>
  <c r="H85" i="1"/>
  <c r="I85" i="1"/>
  <c r="U85" i="1"/>
  <c r="V85" i="1"/>
  <c r="H86" i="1"/>
  <c r="I86" i="1"/>
  <c r="U86" i="1"/>
  <c r="V86" i="1"/>
  <c r="H87" i="1"/>
  <c r="I87" i="1"/>
  <c r="U87" i="1"/>
  <c r="V87" i="1"/>
  <c r="H88" i="1"/>
  <c r="I88" i="1"/>
  <c r="U88" i="1"/>
  <c r="V88" i="1"/>
  <c r="H89" i="1"/>
  <c r="I89" i="1"/>
  <c r="U89" i="1"/>
  <c r="V89" i="1"/>
  <c r="H90" i="1"/>
  <c r="I90" i="1"/>
  <c r="U90" i="1"/>
  <c r="V90" i="1"/>
  <c r="H91" i="1"/>
  <c r="I91" i="1"/>
  <c r="U91" i="1"/>
  <c r="V91" i="1"/>
  <c r="H92" i="1"/>
  <c r="I92" i="1"/>
  <c r="U92" i="1"/>
  <c r="V92" i="1"/>
  <c r="H93" i="1"/>
  <c r="I93" i="1"/>
  <c r="U93" i="1"/>
  <c r="V93" i="1"/>
  <c r="H94" i="1"/>
  <c r="I94" i="1"/>
  <c r="U94" i="1"/>
  <c r="V94" i="1"/>
  <c r="H95" i="1"/>
  <c r="I95" i="1"/>
  <c r="U95" i="1"/>
  <c r="V95" i="1"/>
  <c r="H96" i="1"/>
  <c r="I96" i="1"/>
  <c r="U96" i="1"/>
  <c r="V96" i="1"/>
  <c r="H97" i="1"/>
  <c r="I97" i="1"/>
  <c r="U97" i="1"/>
  <c r="V97" i="1"/>
  <c r="H98" i="1"/>
  <c r="I98" i="1"/>
  <c r="U98" i="1"/>
  <c r="V98" i="1"/>
  <c r="H99" i="1"/>
  <c r="I99" i="1"/>
  <c r="U99" i="1"/>
  <c r="V99" i="1"/>
  <c r="H100" i="1"/>
  <c r="I100" i="1"/>
  <c r="U100" i="1"/>
  <c r="V100" i="1"/>
  <c r="H101" i="1"/>
  <c r="I101" i="1"/>
  <c r="U101" i="1"/>
  <c r="V101" i="1"/>
  <c r="H102" i="1"/>
  <c r="I102" i="1"/>
  <c r="U102" i="1"/>
  <c r="V102" i="1"/>
  <c r="H103" i="1"/>
  <c r="I103" i="1"/>
  <c r="U103" i="1"/>
  <c r="V103" i="1"/>
  <c r="H104" i="1"/>
  <c r="I104" i="1"/>
  <c r="U104" i="1"/>
  <c r="V104" i="1"/>
  <c r="H105" i="1"/>
  <c r="I105" i="1"/>
  <c r="U105" i="1"/>
  <c r="V105" i="1"/>
  <c r="H106" i="1"/>
  <c r="I106" i="1"/>
  <c r="U106" i="1"/>
  <c r="V106" i="1"/>
  <c r="H107" i="1"/>
  <c r="I107" i="1"/>
  <c r="U107" i="1"/>
  <c r="V107" i="1"/>
  <c r="H108" i="1"/>
  <c r="I108" i="1"/>
  <c r="U108" i="1"/>
  <c r="V108" i="1"/>
  <c r="H109" i="1"/>
  <c r="I109" i="1"/>
  <c r="U109" i="1"/>
  <c r="V109" i="1"/>
  <c r="H110" i="1"/>
  <c r="I110" i="1"/>
  <c r="U110" i="1"/>
  <c r="V110" i="1"/>
  <c r="H111" i="1"/>
  <c r="I111" i="1"/>
  <c r="U111" i="1"/>
  <c r="V111" i="1"/>
  <c r="H112" i="1"/>
  <c r="I112" i="1"/>
  <c r="U112" i="1"/>
  <c r="V112" i="1"/>
  <c r="H113" i="1"/>
  <c r="I113" i="1"/>
  <c r="U113" i="1"/>
  <c r="V113" i="1"/>
  <c r="H114" i="1"/>
  <c r="I114" i="1"/>
  <c r="U114" i="1"/>
  <c r="V114" i="1"/>
  <c r="H115" i="1"/>
  <c r="I115" i="1"/>
  <c r="U115" i="1"/>
  <c r="V115" i="1"/>
  <c r="H116" i="1"/>
  <c r="I116" i="1"/>
  <c r="U116" i="1"/>
  <c r="V116" i="1"/>
  <c r="H117" i="1"/>
  <c r="I117" i="1"/>
  <c r="U117" i="1"/>
  <c r="V117" i="1"/>
  <c r="H118" i="1"/>
  <c r="I118" i="1"/>
  <c r="U118" i="1"/>
  <c r="V118" i="1"/>
  <c r="H119" i="1"/>
  <c r="I119" i="1"/>
  <c r="U119" i="1"/>
  <c r="V119" i="1"/>
  <c r="H120" i="1"/>
  <c r="I120" i="1"/>
  <c r="U120" i="1"/>
  <c r="V120" i="1"/>
  <c r="H121" i="1"/>
  <c r="I121" i="1"/>
  <c r="U121" i="1"/>
  <c r="V121" i="1"/>
  <c r="H122" i="1"/>
  <c r="I122" i="1"/>
  <c r="U122" i="1"/>
  <c r="V122" i="1"/>
  <c r="H123" i="1"/>
  <c r="I123" i="1"/>
  <c r="U123" i="1"/>
  <c r="V123" i="1"/>
  <c r="H124" i="1"/>
  <c r="I124" i="1"/>
  <c r="U124" i="1"/>
  <c r="V124" i="1"/>
  <c r="H125" i="1"/>
  <c r="I125" i="1"/>
  <c r="U125" i="1"/>
  <c r="V125" i="1"/>
  <c r="H126" i="1"/>
  <c r="I126" i="1"/>
  <c r="U126" i="1"/>
  <c r="V126" i="1"/>
  <c r="H127" i="1"/>
  <c r="I127" i="1"/>
  <c r="U127" i="1"/>
  <c r="V127" i="1"/>
  <c r="H128" i="1"/>
  <c r="I128" i="1"/>
  <c r="U128" i="1"/>
  <c r="V128" i="1"/>
  <c r="H129" i="1"/>
  <c r="I129" i="1"/>
  <c r="U129" i="1"/>
  <c r="V129" i="1"/>
  <c r="H130" i="1"/>
  <c r="I130" i="1"/>
  <c r="U130" i="1"/>
  <c r="V130" i="1"/>
  <c r="H131" i="1"/>
  <c r="I131" i="1"/>
  <c r="U131" i="1"/>
  <c r="V131" i="1"/>
  <c r="H132" i="1"/>
  <c r="I132" i="1"/>
  <c r="U132" i="1"/>
  <c r="V132" i="1"/>
  <c r="H133" i="1"/>
  <c r="I133" i="1"/>
  <c r="U133" i="1"/>
  <c r="V133" i="1"/>
  <c r="H134" i="1"/>
  <c r="I134" i="1"/>
  <c r="U134" i="1"/>
  <c r="V134" i="1"/>
  <c r="H135" i="1"/>
  <c r="I135" i="1"/>
  <c r="U135" i="1"/>
  <c r="V135" i="1"/>
  <c r="H136" i="1"/>
  <c r="I136" i="1"/>
  <c r="U136" i="1"/>
  <c r="V136" i="1"/>
  <c r="H137" i="1"/>
  <c r="I137" i="1"/>
  <c r="U137" i="1"/>
  <c r="V137" i="1"/>
  <c r="H138" i="1"/>
  <c r="I138" i="1"/>
  <c r="U138" i="1"/>
  <c r="V138" i="1"/>
  <c r="H139" i="1"/>
  <c r="I139" i="1"/>
  <c r="U139" i="1"/>
  <c r="V139" i="1"/>
  <c r="H140" i="1"/>
  <c r="I140" i="1"/>
  <c r="U140" i="1"/>
  <c r="V140" i="1"/>
  <c r="H141" i="1"/>
  <c r="I141" i="1"/>
  <c r="U141" i="1"/>
  <c r="V141" i="1"/>
  <c r="H142" i="1"/>
  <c r="I142" i="1"/>
  <c r="U142" i="1"/>
  <c r="V142" i="1"/>
  <c r="H143" i="1"/>
  <c r="I143" i="1"/>
  <c r="U143" i="1"/>
  <c r="V143" i="1"/>
  <c r="H144" i="1"/>
  <c r="I144" i="1"/>
  <c r="U144" i="1"/>
  <c r="V144" i="1"/>
  <c r="H145" i="1"/>
  <c r="I145" i="1"/>
  <c r="U145" i="1"/>
  <c r="V145" i="1"/>
  <c r="H146" i="1"/>
  <c r="I146" i="1"/>
  <c r="U146" i="1"/>
  <c r="V146" i="1"/>
  <c r="H147" i="1"/>
  <c r="I147" i="1"/>
  <c r="U147" i="1"/>
  <c r="V147" i="1"/>
  <c r="H148" i="1"/>
  <c r="I148" i="1"/>
  <c r="U148" i="1"/>
  <c r="V148" i="1"/>
  <c r="H149" i="1"/>
  <c r="I149" i="1"/>
  <c r="U149" i="1"/>
  <c r="V149" i="1"/>
  <c r="H150" i="1"/>
  <c r="I150" i="1"/>
  <c r="U150" i="1"/>
  <c r="V150" i="1"/>
  <c r="H151" i="1"/>
  <c r="I151" i="1"/>
  <c r="U151" i="1"/>
  <c r="V151" i="1"/>
  <c r="H152" i="1"/>
  <c r="I152" i="1"/>
  <c r="U152" i="1"/>
  <c r="V152" i="1"/>
  <c r="H153" i="1"/>
  <c r="I153" i="1"/>
  <c r="U153" i="1"/>
  <c r="V153" i="1"/>
  <c r="H154" i="1"/>
  <c r="I154" i="1"/>
  <c r="U154" i="1"/>
  <c r="V154" i="1"/>
  <c r="H155" i="1"/>
  <c r="I155" i="1"/>
  <c r="U155" i="1"/>
  <c r="V155" i="1"/>
  <c r="H156" i="1"/>
  <c r="I156" i="1"/>
  <c r="U156" i="1"/>
  <c r="V156" i="1"/>
  <c r="H157" i="1"/>
  <c r="I157" i="1"/>
  <c r="U157" i="1"/>
  <c r="V157" i="1"/>
  <c r="H158" i="1"/>
  <c r="I158" i="1"/>
  <c r="U158" i="1"/>
  <c r="V158" i="1"/>
  <c r="H159" i="1"/>
  <c r="I159" i="1"/>
  <c r="U159" i="1"/>
  <c r="V159" i="1"/>
  <c r="H160" i="1"/>
  <c r="I160" i="1"/>
  <c r="U160" i="1"/>
  <c r="V160" i="1"/>
  <c r="H161" i="1"/>
  <c r="I161" i="1"/>
  <c r="U161" i="1"/>
  <c r="V161" i="1"/>
  <c r="H162" i="1"/>
  <c r="I162" i="1"/>
  <c r="U162" i="1"/>
  <c r="V162" i="1"/>
  <c r="H163" i="1"/>
  <c r="I163" i="1"/>
  <c r="U163" i="1"/>
  <c r="V163" i="1"/>
  <c r="H164" i="1"/>
  <c r="I164" i="1"/>
  <c r="U164" i="1"/>
  <c r="V164" i="1"/>
  <c r="H165" i="1"/>
  <c r="I165" i="1"/>
  <c r="U165" i="1"/>
  <c r="V165" i="1"/>
  <c r="H166" i="1"/>
  <c r="I166" i="1"/>
  <c r="U166" i="1"/>
  <c r="V166" i="1"/>
  <c r="H167" i="1"/>
  <c r="I167" i="1"/>
  <c r="U167" i="1"/>
  <c r="V167" i="1"/>
  <c r="H168" i="1"/>
  <c r="I168" i="1"/>
  <c r="U168" i="1"/>
  <c r="V168" i="1"/>
  <c r="H169" i="1"/>
  <c r="I169" i="1"/>
  <c r="U169" i="1"/>
  <c r="V169" i="1"/>
  <c r="H170" i="1"/>
  <c r="I170" i="1"/>
  <c r="U170" i="1"/>
  <c r="V170" i="1"/>
  <c r="H171" i="1"/>
  <c r="I171" i="1"/>
  <c r="U171" i="1"/>
  <c r="V171" i="1"/>
  <c r="H172" i="1"/>
  <c r="I172" i="1"/>
  <c r="U172" i="1"/>
  <c r="V172" i="1"/>
  <c r="H173" i="1"/>
  <c r="I173" i="1"/>
  <c r="U173" i="1"/>
  <c r="V173" i="1"/>
  <c r="H174" i="1"/>
  <c r="I174" i="1"/>
  <c r="U174" i="1"/>
  <c r="V174" i="1"/>
  <c r="H175" i="1"/>
  <c r="I175" i="1"/>
  <c r="U175" i="1"/>
  <c r="V175" i="1"/>
  <c r="H176" i="1"/>
  <c r="I176" i="1"/>
  <c r="U176" i="1"/>
  <c r="V176" i="1"/>
  <c r="H177" i="1"/>
  <c r="I177" i="1"/>
  <c r="U177" i="1"/>
  <c r="V177" i="1"/>
  <c r="H178" i="1"/>
  <c r="I178" i="1"/>
  <c r="U178" i="1"/>
  <c r="V178" i="1"/>
  <c r="H179" i="1"/>
  <c r="I179" i="1"/>
  <c r="U179" i="1"/>
  <c r="V179" i="1"/>
  <c r="H180" i="1"/>
  <c r="I180" i="1"/>
  <c r="U180" i="1"/>
  <c r="V180" i="1"/>
  <c r="H181" i="1"/>
  <c r="I181" i="1"/>
  <c r="U181" i="1"/>
  <c r="V181" i="1"/>
  <c r="H182" i="1"/>
  <c r="I182" i="1"/>
  <c r="U182" i="1"/>
  <c r="V182" i="1"/>
  <c r="H183" i="1"/>
  <c r="I183" i="1"/>
  <c r="U183" i="1"/>
  <c r="V183" i="1"/>
  <c r="H184" i="1"/>
  <c r="I184" i="1"/>
  <c r="U184" i="1"/>
  <c r="V184" i="1"/>
  <c r="H185" i="1"/>
  <c r="I185" i="1"/>
  <c r="U185" i="1"/>
  <c r="V185" i="1"/>
  <c r="H186" i="1"/>
  <c r="I186" i="1"/>
  <c r="U186" i="1"/>
  <c r="V186" i="1"/>
  <c r="H187" i="1"/>
  <c r="I187" i="1"/>
  <c r="U187" i="1"/>
  <c r="V187" i="1"/>
  <c r="H188" i="1"/>
  <c r="I188" i="1"/>
  <c r="U188" i="1"/>
  <c r="V188" i="1"/>
  <c r="H189" i="1"/>
  <c r="I189" i="1"/>
  <c r="U189" i="1"/>
  <c r="V189" i="1"/>
  <c r="H190" i="1"/>
  <c r="I190" i="1"/>
  <c r="U190" i="1"/>
  <c r="V190" i="1"/>
  <c r="H191" i="1"/>
  <c r="I191" i="1"/>
  <c r="U191" i="1"/>
  <c r="V191" i="1"/>
  <c r="H192" i="1"/>
  <c r="I192" i="1"/>
  <c r="U192" i="1"/>
  <c r="V192" i="1"/>
  <c r="H193" i="1"/>
  <c r="I193" i="1"/>
  <c r="U193" i="1"/>
  <c r="V193" i="1"/>
  <c r="H194" i="1"/>
  <c r="I194" i="1"/>
  <c r="U194" i="1"/>
  <c r="V194" i="1"/>
  <c r="H195" i="1"/>
  <c r="I195" i="1"/>
  <c r="U195" i="1"/>
  <c r="V195" i="1"/>
  <c r="H196" i="1"/>
  <c r="I196" i="1"/>
  <c r="U196" i="1"/>
  <c r="V196" i="1"/>
  <c r="H197" i="1"/>
  <c r="I197" i="1"/>
  <c r="U197" i="1"/>
  <c r="V197" i="1"/>
  <c r="H198" i="1"/>
  <c r="I198" i="1"/>
  <c r="U198" i="1"/>
  <c r="V198" i="1"/>
  <c r="H199" i="1"/>
  <c r="I199" i="1"/>
  <c r="U199" i="1"/>
  <c r="V199" i="1"/>
  <c r="H200" i="1"/>
  <c r="I200" i="1"/>
  <c r="U200" i="1"/>
  <c r="V200" i="1"/>
  <c r="H201" i="1"/>
  <c r="I201" i="1"/>
  <c r="U201" i="1"/>
  <c r="V201" i="1"/>
  <c r="H202" i="1"/>
  <c r="I202" i="1"/>
  <c r="U202" i="1"/>
  <c r="V202" i="1"/>
  <c r="H203" i="1"/>
  <c r="I203" i="1"/>
  <c r="U203" i="1"/>
  <c r="V203" i="1"/>
  <c r="H204" i="1"/>
  <c r="I204" i="1"/>
  <c r="U204" i="1"/>
  <c r="V204" i="1"/>
  <c r="H205" i="1"/>
  <c r="I205" i="1"/>
  <c r="U205" i="1"/>
  <c r="V205" i="1"/>
  <c r="H206" i="1"/>
  <c r="I206" i="1"/>
  <c r="U206" i="1"/>
  <c r="V206" i="1"/>
  <c r="H207" i="1"/>
  <c r="I207" i="1"/>
  <c r="U207" i="1"/>
  <c r="V207" i="1"/>
  <c r="H208" i="1"/>
  <c r="I208" i="1"/>
  <c r="U208" i="1"/>
  <c r="V208" i="1"/>
  <c r="H209" i="1"/>
  <c r="I209" i="1"/>
  <c r="U209" i="1"/>
  <c r="V209" i="1"/>
  <c r="H210" i="1"/>
  <c r="I210" i="1"/>
  <c r="U210" i="1"/>
  <c r="V210" i="1"/>
  <c r="H211" i="1"/>
  <c r="I211" i="1"/>
  <c r="U211" i="1"/>
  <c r="V211" i="1"/>
  <c r="H212" i="1"/>
  <c r="I212" i="1"/>
  <c r="U212" i="1"/>
  <c r="V212" i="1"/>
  <c r="H213" i="1"/>
  <c r="I213" i="1"/>
  <c r="U213" i="1"/>
  <c r="V213" i="1"/>
  <c r="H214" i="1"/>
  <c r="I214" i="1"/>
  <c r="U214" i="1"/>
  <c r="V214" i="1"/>
  <c r="H215" i="1"/>
  <c r="I215" i="1"/>
  <c r="U215" i="1"/>
  <c r="V215" i="1"/>
  <c r="H216" i="1"/>
  <c r="I216" i="1"/>
  <c r="U216" i="1"/>
  <c r="V216" i="1"/>
  <c r="H217" i="1"/>
  <c r="I217" i="1"/>
  <c r="U217" i="1"/>
  <c r="V217" i="1"/>
  <c r="H218" i="1"/>
  <c r="I218" i="1"/>
  <c r="U218" i="1"/>
  <c r="V218" i="1"/>
  <c r="H219" i="1"/>
  <c r="I219" i="1"/>
  <c r="U219" i="1"/>
  <c r="V219" i="1"/>
  <c r="H220" i="1"/>
  <c r="I220" i="1"/>
  <c r="U220" i="1"/>
  <c r="V220" i="1"/>
  <c r="H221" i="1"/>
  <c r="I221" i="1"/>
  <c r="U221" i="1"/>
  <c r="V221" i="1"/>
  <c r="H24" i="2"/>
  <c r="I24" i="2"/>
  <c r="U24" i="2"/>
  <c r="V24" i="2"/>
  <c r="H25" i="2"/>
  <c r="I25" i="2"/>
  <c r="U25" i="2"/>
  <c r="V25" i="2"/>
  <c r="H26" i="2"/>
  <c r="I26" i="2"/>
  <c r="U26" i="2"/>
  <c r="V26" i="2"/>
  <c r="H27" i="2"/>
  <c r="I27" i="2"/>
  <c r="U27" i="2"/>
  <c r="V27" i="2"/>
  <c r="H28" i="2"/>
  <c r="I28" i="2"/>
  <c r="U28" i="2"/>
  <c r="V28" i="2"/>
  <c r="H29" i="2"/>
  <c r="I29" i="2"/>
  <c r="U29" i="2"/>
  <c r="V29" i="2"/>
  <c r="H30" i="2"/>
  <c r="I30" i="2"/>
  <c r="U30" i="2"/>
  <c r="V30" i="2"/>
  <c r="H31" i="2"/>
  <c r="I31" i="2"/>
  <c r="U31" i="2"/>
  <c r="V31" i="2"/>
  <c r="H32" i="2"/>
  <c r="I32" i="2"/>
  <c r="U32" i="2"/>
  <c r="V32" i="2"/>
  <c r="H33" i="2"/>
  <c r="I33" i="2"/>
  <c r="U33" i="2"/>
  <c r="V33" i="2"/>
  <c r="H34" i="2"/>
  <c r="I34" i="2"/>
  <c r="U34" i="2"/>
  <c r="V34" i="2"/>
  <c r="H35" i="2"/>
  <c r="I35" i="2"/>
  <c r="U35" i="2"/>
  <c r="V35" i="2"/>
  <c r="H36" i="2"/>
  <c r="I36" i="2"/>
  <c r="U36" i="2"/>
  <c r="V36" i="2"/>
  <c r="H37" i="2"/>
  <c r="I37" i="2"/>
  <c r="U37" i="2"/>
  <c r="V37" i="2"/>
  <c r="H38" i="2"/>
  <c r="I38" i="2"/>
  <c r="U38" i="2"/>
  <c r="V38" i="2"/>
  <c r="H39" i="2"/>
  <c r="I39" i="2"/>
  <c r="U39" i="2"/>
  <c r="V39" i="2"/>
  <c r="H40" i="2"/>
  <c r="I40" i="2"/>
  <c r="U40" i="2"/>
  <c r="V40" i="2"/>
  <c r="H41" i="2"/>
  <c r="I41" i="2"/>
  <c r="U41" i="2"/>
  <c r="V41" i="2"/>
  <c r="H42" i="2"/>
  <c r="I42" i="2"/>
  <c r="U42" i="2"/>
  <c r="V42" i="2"/>
  <c r="H43" i="2"/>
  <c r="I43" i="2"/>
  <c r="U43" i="2"/>
  <c r="V43" i="2"/>
  <c r="H44" i="2"/>
  <c r="I44" i="2"/>
  <c r="U44" i="2"/>
  <c r="V44" i="2"/>
  <c r="H45" i="2"/>
  <c r="I45" i="2"/>
  <c r="U45" i="2"/>
  <c r="V45" i="2"/>
  <c r="H46" i="2"/>
  <c r="I46" i="2"/>
  <c r="U46" i="2"/>
  <c r="V46" i="2"/>
  <c r="H47" i="2"/>
  <c r="I47" i="2"/>
  <c r="U47" i="2"/>
  <c r="V47" i="2"/>
  <c r="H48" i="2"/>
  <c r="I48" i="2"/>
  <c r="U48" i="2"/>
  <c r="V48" i="2"/>
  <c r="H49" i="2"/>
  <c r="I49" i="2"/>
  <c r="U49" i="2"/>
  <c r="V49" i="2"/>
  <c r="H50" i="2"/>
  <c r="I50" i="2"/>
  <c r="U50" i="2"/>
  <c r="V50" i="2"/>
  <c r="H51" i="2"/>
  <c r="I51" i="2"/>
  <c r="U51" i="2"/>
  <c r="V51" i="2"/>
  <c r="H52" i="2"/>
  <c r="I52" i="2"/>
  <c r="U52" i="2"/>
  <c r="V52" i="2"/>
  <c r="H53" i="2"/>
  <c r="I53" i="2"/>
  <c r="U53" i="2"/>
  <c r="V53" i="2"/>
  <c r="H54" i="2"/>
  <c r="I54" i="2"/>
  <c r="U54" i="2"/>
  <c r="V54" i="2"/>
  <c r="H55" i="2"/>
  <c r="I55" i="2"/>
  <c r="U55" i="2"/>
  <c r="V55" i="2"/>
  <c r="H56" i="2"/>
  <c r="I56" i="2"/>
  <c r="U56" i="2"/>
  <c r="V56" i="2"/>
  <c r="H57" i="2"/>
  <c r="I57" i="2"/>
  <c r="U57" i="2"/>
  <c r="V57" i="2"/>
  <c r="H58" i="2"/>
  <c r="I58" i="2"/>
  <c r="U58" i="2"/>
  <c r="V58" i="2"/>
  <c r="H59" i="2"/>
  <c r="I59" i="2"/>
  <c r="U59" i="2"/>
  <c r="V59" i="2"/>
  <c r="H60" i="2"/>
  <c r="I60" i="2"/>
  <c r="U60" i="2"/>
  <c r="V60" i="2"/>
  <c r="H61" i="2"/>
  <c r="I61" i="2"/>
  <c r="U61" i="2"/>
  <c r="V61" i="2"/>
  <c r="H62" i="2"/>
  <c r="I62" i="2"/>
  <c r="U62" i="2"/>
  <c r="V62" i="2"/>
  <c r="H63" i="2"/>
  <c r="I63" i="2"/>
  <c r="U63" i="2"/>
  <c r="V63" i="2"/>
  <c r="H64" i="2"/>
  <c r="I64" i="2"/>
  <c r="U64" i="2"/>
  <c r="V64" i="2"/>
  <c r="H65" i="2"/>
  <c r="I65" i="2"/>
  <c r="U65" i="2"/>
  <c r="V65" i="2"/>
  <c r="H66" i="2"/>
  <c r="I66" i="2"/>
  <c r="U66" i="2"/>
  <c r="V66" i="2"/>
  <c r="H67" i="2"/>
  <c r="I67" i="2"/>
  <c r="U67" i="2"/>
  <c r="V67" i="2"/>
  <c r="H68" i="2"/>
  <c r="I68" i="2"/>
  <c r="U68" i="2"/>
  <c r="V68" i="2"/>
  <c r="H69" i="2"/>
  <c r="I69" i="2"/>
  <c r="U69" i="2"/>
  <c r="V69" i="2"/>
  <c r="H70" i="2"/>
  <c r="I70" i="2"/>
  <c r="U70" i="2"/>
  <c r="V70" i="2"/>
  <c r="H71" i="2"/>
  <c r="I71" i="2"/>
  <c r="U71" i="2"/>
  <c r="V71" i="2"/>
  <c r="H72" i="2"/>
  <c r="I72" i="2"/>
  <c r="U72" i="2"/>
  <c r="V72" i="2"/>
  <c r="H73" i="2"/>
  <c r="I73" i="2"/>
  <c r="U73" i="2"/>
  <c r="V73" i="2"/>
  <c r="H74" i="2"/>
  <c r="I74" i="2"/>
  <c r="U74" i="2"/>
  <c r="V74" i="2"/>
  <c r="H75" i="2"/>
  <c r="I75" i="2"/>
  <c r="U75" i="2"/>
  <c r="V75" i="2"/>
  <c r="H76" i="2"/>
  <c r="I76" i="2"/>
  <c r="U76" i="2"/>
  <c r="V76" i="2"/>
  <c r="H77" i="2"/>
  <c r="I77" i="2"/>
  <c r="U77" i="2"/>
  <c r="V77" i="2"/>
  <c r="H78" i="2"/>
  <c r="I78" i="2"/>
  <c r="U78" i="2"/>
  <c r="V78" i="2"/>
  <c r="H79" i="2"/>
  <c r="I79" i="2"/>
  <c r="U79" i="2"/>
  <c r="V79" i="2"/>
  <c r="H80" i="2"/>
  <c r="I80" i="2"/>
  <c r="U80" i="2"/>
  <c r="V80" i="2"/>
  <c r="H81" i="2"/>
  <c r="I81" i="2"/>
  <c r="U81" i="2"/>
  <c r="V81" i="2"/>
  <c r="H82" i="2"/>
  <c r="I82" i="2"/>
  <c r="U82" i="2"/>
  <c r="V82" i="2"/>
  <c r="H83" i="2"/>
  <c r="I83" i="2"/>
  <c r="U83" i="2"/>
  <c r="V83" i="2"/>
  <c r="H84" i="2"/>
  <c r="I84" i="2"/>
  <c r="U84" i="2"/>
  <c r="V84" i="2"/>
  <c r="H85" i="2"/>
  <c r="I85" i="2"/>
  <c r="U85" i="2"/>
  <c r="V85" i="2"/>
  <c r="H86" i="2"/>
  <c r="I86" i="2"/>
  <c r="U86" i="2"/>
  <c r="V86" i="2"/>
  <c r="H87" i="2"/>
  <c r="I87" i="2"/>
  <c r="U87" i="2"/>
  <c r="V87" i="2"/>
  <c r="H88" i="2"/>
  <c r="I88" i="2"/>
  <c r="U88" i="2"/>
  <c r="V88" i="2"/>
  <c r="H89" i="2"/>
  <c r="I89" i="2"/>
  <c r="U89" i="2"/>
  <c r="V89" i="2"/>
  <c r="H90" i="2"/>
  <c r="I90" i="2"/>
  <c r="U90" i="2"/>
  <c r="V90" i="2"/>
  <c r="H91" i="2"/>
  <c r="I91" i="2"/>
  <c r="U91" i="2"/>
  <c r="V91" i="2"/>
  <c r="H92" i="2"/>
  <c r="I92" i="2"/>
  <c r="U92" i="2"/>
  <c r="V92" i="2"/>
  <c r="H93" i="2"/>
  <c r="I93" i="2"/>
  <c r="U93" i="2"/>
  <c r="V93" i="2"/>
  <c r="H94" i="2"/>
  <c r="I94" i="2"/>
  <c r="U94" i="2"/>
  <c r="V94" i="2"/>
  <c r="H95" i="2"/>
  <c r="I95" i="2"/>
  <c r="U95" i="2"/>
  <c r="V95" i="2"/>
  <c r="H96" i="2"/>
  <c r="I96" i="2"/>
  <c r="U96" i="2"/>
  <c r="V96" i="2"/>
  <c r="H97" i="2"/>
  <c r="I97" i="2"/>
  <c r="U97" i="2"/>
  <c r="V97" i="2"/>
  <c r="H98" i="2"/>
  <c r="I98" i="2"/>
  <c r="U98" i="2"/>
  <c r="V98" i="2"/>
  <c r="H99" i="2"/>
  <c r="I99" i="2"/>
  <c r="U99" i="2"/>
  <c r="V99" i="2"/>
  <c r="H100" i="2"/>
  <c r="I100" i="2"/>
  <c r="U100" i="2"/>
  <c r="V100" i="2"/>
  <c r="H101" i="2"/>
  <c r="I101" i="2"/>
  <c r="U101" i="2"/>
  <c r="V101" i="2"/>
  <c r="H102" i="2"/>
  <c r="I102" i="2"/>
  <c r="U102" i="2"/>
  <c r="V102" i="2"/>
  <c r="H103" i="2"/>
  <c r="I103" i="2"/>
  <c r="U103" i="2"/>
  <c r="V103" i="2"/>
  <c r="H104" i="2"/>
  <c r="I104" i="2"/>
  <c r="U104" i="2"/>
  <c r="V104" i="2"/>
  <c r="H105" i="2"/>
  <c r="I105" i="2"/>
  <c r="U105" i="2"/>
  <c r="V105" i="2"/>
  <c r="H106" i="2"/>
  <c r="I106" i="2"/>
  <c r="U106" i="2"/>
  <c r="V106" i="2"/>
  <c r="H107" i="2"/>
  <c r="I107" i="2"/>
  <c r="U107" i="2"/>
  <c r="V107" i="2"/>
  <c r="H108" i="2"/>
  <c r="I108" i="2"/>
  <c r="U108" i="2"/>
  <c r="V108" i="2"/>
  <c r="H109" i="2"/>
  <c r="I109" i="2"/>
  <c r="U109" i="2"/>
  <c r="V109" i="2"/>
  <c r="H110" i="2"/>
  <c r="I110" i="2"/>
  <c r="U110" i="2"/>
  <c r="V110" i="2"/>
  <c r="H111" i="2"/>
  <c r="I111" i="2"/>
  <c r="U111" i="2"/>
  <c r="V111" i="2"/>
  <c r="H112" i="2"/>
  <c r="I112" i="2"/>
  <c r="U112" i="2"/>
  <c r="V112" i="2"/>
  <c r="H113" i="2"/>
  <c r="I113" i="2"/>
  <c r="U113" i="2"/>
  <c r="V113" i="2"/>
  <c r="H114" i="2"/>
  <c r="I114" i="2"/>
  <c r="U114" i="2"/>
  <c r="V114" i="2"/>
  <c r="H115" i="2"/>
  <c r="I115" i="2"/>
  <c r="U115" i="2"/>
  <c r="V115" i="2"/>
  <c r="H116" i="2"/>
  <c r="I116" i="2"/>
  <c r="U116" i="2"/>
  <c r="V116" i="2"/>
  <c r="H117" i="2"/>
  <c r="I117" i="2"/>
  <c r="U117" i="2"/>
  <c r="V117" i="2"/>
  <c r="H118" i="2"/>
  <c r="I118" i="2"/>
  <c r="U118" i="2"/>
  <c r="V118" i="2"/>
  <c r="H24" i="5"/>
  <c r="I24" i="5"/>
  <c r="U24" i="5"/>
  <c r="V24" i="5"/>
  <c r="H25" i="5"/>
  <c r="I25" i="5"/>
  <c r="U25" i="5"/>
  <c r="V25" i="5"/>
  <c r="H26" i="5"/>
  <c r="I26" i="5"/>
  <c r="U26" i="5"/>
  <c r="V26" i="5"/>
  <c r="H27" i="5"/>
  <c r="I27" i="5"/>
  <c r="U27" i="5"/>
  <c r="V27" i="5"/>
  <c r="H28" i="5"/>
  <c r="I28" i="5"/>
  <c r="U28" i="5"/>
  <c r="V28" i="5"/>
  <c r="H29" i="5"/>
  <c r="I29" i="5"/>
  <c r="U29" i="5"/>
  <c r="V29" i="5"/>
  <c r="H30" i="5"/>
  <c r="I30" i="5"/>
  <c r="U30" i="5"/>
  <c r="V30" i="5"/>
  <c r="H31" i="5"/>
  <c r="I31" i="5"/>
  <c r="U31" i="5"/>
  <c r="V31" i="5"/>
  <c r="H32" i="5"/>
  <c r="I32" i="5"/>
  <c r="U32" i="5"/>
  <c r="V32" i="5"/>
  <c r="H33" i="5"/>
  <c r="I33" i="5"/>
  <c r="U33" i="5"/>
  <c r="V33" i="5"/>
  <c r="H34" i="5"/>
  <c r="I34" i="5"/>
  <c r="U34" i="5"/>
  <c r="V34" i="5"/>
  <c r="H35" i="5"/>
  <c r="I35" i="5"/>
  <c r="U35" i="5"/>
  <c r="V35" i="5"/>
  <c r="H36" i="5"/>
  <c r="I36" i="5"/>
  <c r="U36" i="5"/>
  <c r="V36" i="5"/>
  <c r="H37" i="5"/>
  <c r="I37" i="5"/>
  <c r="U37" i="5"/>
  <c r="V37" i="5"/>
  <c r="H38" i="5"/>
  <c r="I38" i="5"/>
  <c r="U38" i="5"/>
  <c r="V38" i="5"/>
  <c r="H39" i="5"/>
  <c r="I39" i="5"/>
  <c r="U39" i="5"/>
  <c r="V39" i="5"/>
  <c r="H40" i="5"/>
  <c r="I40" i="5"/>
  <c r="U40" i="5"/>
  <c r="V40" i="5"/>
  <c r="H41" i="5"/>
  <c r="I41" i="5"/>
  <c r="U41" i="5"/>
  <c r="V41" i="5"/>
  <c r="H42" i="5"/>
  <c r="I42" i="5"/>
  <c r="U42" i="5"/>
  <c r="V42" i="5"/>
  <c r="H43" i="5"/>
  <c r="I43" i="5"/>
  <c r="U43" i="5"/>
  <c r="V43" i="5"/>
  <c r="H44" i="5"/>
  <c r="I44" i="5"/>
  <c r="U44" i="5"/>
  <c r="V44" i="5"/>
  <c r="H45" i="5"/>
  <c r="I45" i="5"/>
  <c r="U45" i="5"/>
  <c r="V45" i="5"/>
  <c r="H46" i="5"/>
  <c r="I46" i="5"/>
  <c r="U46" i="5"/>
  <c r="V46" i="5"/>
  <c r="H47" i="5"/>
  <c r="I47" i="5"/>
  <c r="U47" i="5"/>
  <c r="V47" i="5"/>
  <c r="H48" i="5"/>
  <c r="I48" i="5"/>
  <c r="U48" i="5"/>
  <c r="V48" i="5"/>
  <c r="H49" i="5"/>
  <c r="I49" i="5"/>
  <c r="U49" i="5"/>
  <c r="V49" i="5"/>
  <c r="H50" i="5"/>
  <c r="I50" i="5"/>
  <c r="U50" i="5"/>
  <c r="V50" i="5"/>
  <c r="H51" i="5"/>
  <c r="I51" i="5"/>
  <c r="U51" i="5"/>
  <c r="V51" i="5"/>
  <c r="H52" i="5"/>
  <c r="I52" i="5"/>
  <c r="U52" i="5"/>
  <c r="V52" i="5"/>
  <c r="H53" i="5"/>
  <c r="I53" i="5"/>
  <c r="U53" i="5"/>
  <c r="V53" i="5"/>
  <c r="H54" i="5"/>
  <c r="I54" i="5"/>
  <c r="U54" i="5"/>
  <c r="V54" i="5"/>
  <c r="H55" i="5"/>
  <c r="I55" i="5"/>
  <c r="U55" i="5"/>
  <c r="V55" i="5"/>
  <c r="H56" i="5"/>
  <c r="I56" i="5"/>
  <c r="U56" i="5"/>
  <c r="V56" i="5"/>
  <c r="H57" i="5"/>
  <c r="I57" i="5"/>
  <c r="U57" i="5"/>
  <c r="V57" i="5"/>
  <c r="H58" i="5"/>
  <c r="I58" i="5"/>
  <c r="U58" i="5"/>
  <c r="V58" i="5"/>
  <c r="H59" i="5"/>
  <c r="I59" i="5"/>
  <c r="U59" i="5"/>
  <c r="V59" i="5"/>
  <c r="H60" i="5"/>
  <c r="I60" i="5"/>
  <c r="U60" i="5"/>
  <c r="V60" i="5"/>
  <c r="H61" i="5"/>
  <c r="I61" i="5"/>
  <c r="U61" i="5"/>
  <c r="V61" i="5"/>
  <c r="H62" i="5"/>
  <c r="I62" i="5"/>
  <c r="U62" i="5"/>
  <c r="V62" i="5"/>
  <c r="H63" i="5"/>
  <c r="I63" i="5"/>
  <c r="U63" i="5"/>
  <c r="V63" i="5"/>
  <c r="H64" i="5"/>
  <c r="I64" i="5"/>
  <c r="U64" i="5"/>
  <c r="V64" i="5"/>
  <c r="H65" i="5"/>
  <c r="I65" i="5"/>
  <c r="U65" i="5"/>
  <c r="V65" i="5"/>
  <c r="H66" i="5"/>
  <c r="I66" i="5"/>
  <c r="U66" i="5"/>
  <c r="V66" i="5"/>
  <c r="H67" i="5"/>
  <c r="I67" i="5"/>
  <c r="U67" i="5"/>
  <c r="V67" i="5"/>
  <c r="H68" i="5"/>
  <c r="I68" i="5"/>
  <c r="U68" i="5"/>
  <c r="V68" i="5"/>
  <c r="H69" i="5"/>
  <c r="I69" i="5"/>
  <c r="U69" i="5"/>
  <c r="V69" i="5"/>
  <c r="H70" i="5"/>
  <c r="I70" i="5"/>
  <c r="U70" i="5"/>
  <c r="V70" i="5"/>
  <c r="H71" i="5"/>
  <c r="I71" i="5"/>
  <c r="U71" i="5"/>
  <c r="V71" i="5"/>
  <c r="H72" i="5"/>
  <c r="I72" i="5"/>
  <c r="U72" i="5"/>
  <c r="V72" i="5"/>
  <c r="H73" i="5"/>
  <c r="I73" i="5"/>
  <c r="U73" i="5"/>
  <c r="V73" i="5"/>
  <c r="H74" i="5"/>
  <c r="I74" i="5"/>
  <c r="U74" i="5"/>
  <c r="V74" i="5"/>
  <c r="H75" i="5"/>
  <c r="I75" i="5"/>
  <c r="U75" i="5"/>
  <c r="V75" i="5"/>
  <c r="H76" i="5"/>
  <c r="I76" i="5"/>
  <c r="U76" i="5"/>
  <c r="V76" i="5"/>
  <c r="H77" i="5"/>
  <c r="I77" i="5"/>
  <c r="U77" i="5"/>
  <c r="V77" i="5"/>
  <c r="H78" i="5"/>
  <c r="I78" i="5"/>
  <c r="U78" i="5"/>
  <c r="V78" i="5"/>
  <c r="H79" i="5"/>
  <c r="I79" i="5"/>
  <c r="U79" i="5"/>
  <c r="V79" i="5"/>
  <c r="H80" i="5"/>
  <c r="I80" i="5"/>
  <c r="U80" i="5"/>
  <c r="V80" i="5"/>
  <c r="H81" i="5"/>
  <c r="I81" i="5"/>
  <c r="U81" i="5"/>
  <c r="V81" i="5"/>
  <c r="H82" i="5"/>
  <c r="I82" i="5"/>
  <c r="U82" i="5"/>
  <c r="V82" i="5"/>
  <c r="H83" i="5"/>
  <c r="I83" i="5"/>
  <c r="U83" i="5"/>
  <c r="V83" i="5"/>
  <c r="H84" i="5"/>
  <c r="I84" i="5"/>
  <c r="U84" i="5"/>
  <c r="V84" i="5"/>
  <c r="H85" i="5"/>
  <c r="I85" i="5"/>
  <c r="U85" i="5"/>
  <c r="V85" i="5"/>
  <c r="H86" i="5"/>
  <c r="I86" i="5"/>
  <c r="U86" i="5"/>
  <c r="V86" i="5"/>
  <c r="H87" i="5"/>
  <c r="I87" i="5"/>
  <c r="U87" i="5"/>
  <c r="V87" i="5"/>
  <c r="H88" i="5"/>
  <c r="I88" i="5"/>
  <c r="U88" i="5"/>
  <c r="V88" i="5"/>
  <c r="H89" i="5"/>
  <c r="I89" i="5"/>
  <c r="U89" i="5"/>
  <c r="V89" i="5"/>
  <c r="H90" i="5"/>
  <c r="I90" i="5"/>
  <c r="U90" i="5"/>
  <c r="V90" i="5"/>
  <c r="H91" i="5"/>
  <c r="I91" i="5"/>
  <c r="U91" i="5"/>
  <c r="V91" i="5"/>
  <c r="H92" i="5"/>
  <c r="I92" i="5"/>
  <c r="U92" i="5"/>
  <c r="V92" i="5"/>
  <c r="H93" i="5"/>
  <c r="I93" i="5"/>
  <c r="U93" i="5"/>
  <c r="V93" i="5"/>
  <c r="H94" i="5"/>
  <c r="I94" i="5"/>
  <c r="U94" i="5"/>
  <c r="V94" i="5"/>
  <c r="H95" i="5"/>
  <c r="I95" i="5"/>
  <c r="U95" i="5"/>
  <c r="V95" i="5"/>
  <c r="H96" i="5"/>
  <c r="I96" i="5"/>
  <c r="U96" i="5"/>
  <c r="V96" i="5"/>
  <c r="H97" i="5"/>
  <c r="I97" i="5"/>
  <c r="U97" i="5"/>
  <c r="V97" i="5"/>
  <c r="H98" i="5"/>
  <c r="I98" i="5"/>
  <c r="U98" i="5"/>
  <c r="V98" i="5"/>
  <c r="H99" i="5"/>
  <c r="I99" i="5"/>
  <c r="U99" i="5"/>
  <c r="V99" i="5"/>
  <c r="H100" i="5"/>
  <c r="I100" i="5"/>
  <c r="U100" i="5"/>
  <c r="V100" i="5"/>
  <c r="H101" i="5"/>
  <c r="I101" i="5"/>
  <c r="U101" i="5"/>
  <c r="V101" i="5"/>
  <c r="H102" i="5"/>
  <c r="I102" i="5"/>
  <c r="U102" i="5"/>
  <c r="V102" i="5"/>
  <c r="H103" i="5"/>
  <c r="I103" i="5"/>
  <c r="U103" i="5"/>
  <c r="V103" i="5"/>
  <c r="H104" i="5"/>
  <c r="I104" i="5"/>
  <c r="U104" i="5"/>
  <c r="V104" i="5"/>
  <c r="H105" i="5"/>
  <c r="I105" i="5"/>
  <c r="U105" i="5"/>
  <c r="V105" i="5"/>
  <c r="H106" i="5"/>
  <c r="I106" i="5"/>
  <c r="U106" i="5"/>
  <c r="V106" i="5"/>
  <c r="H107" i="5"/>
  <c r="I107" i="5"/>
  <c r="U107" i="5"/>
  <c r="V107" i="5"/>
  <c r="H108" i="5"/>
  <c r="I108" i="5"/>
  <c r="U108" i="5"/>
  <c r="V108" i="5"/>
  <c r="H109" i="5"/>
  <c r="I109" i="5"/>
  <c r="U109" i="5"/>
  <c r="V109" i="5"/>
  <c r="H110" i="5"/>
  <c r="I110" i="5"/>
  <c r="U110" i="5"/>
  <c r="V110" i="5"/>
  <c r="H111" i="5"/>
  <c r="I111" i="5"/>
  <c r="U111" i="5"/>
  <c r="V111" i="5"/>
  <c r="H112" i="5"/>
  <c r="I112" i="5"/>
  <c r="U112" i="5"/>
  <c r="V112" i="5"/>
  <c r="H113" i="5"/>
  <c r="I113" i="5"/>
  <c r="U113" i="5"/>
  <c r="V113" i="5"/>
  <c r="H114" i="5"/>
  <c r="I114" i="5"/>
  <c r="U114" i="5"/>
  <c r="V114" i="5"/>
  <c r="H115" i="5"/>
  <c r="I115" i="5"/>
  <c r="U115" i="5"/>
  <c r="V115" i="5"/>
  <c r="H116" i="5"/>
  <c r="I116" i="5"/>
  <c r="U116" i="5"/>
  <c r="V116" i="5"/>
  <c r="H117" i="5"/>
  <c r="I117" i="5"/>
  <c r="U117" i="5"/>
  <c r="V117" i="5"/>
  <c r="H118" i="5"/>
  <c r="I118" i="5"/>
  <c r="U118" i="5"/>
  <c r="V118" i="5"/>
  <c r="H119" i="5"/>
  <c r="I119" i="5"/>
  <c r="U119" i="5"/>
  <c r="V119" i="5"/>
  <c r="H120" i="5"/>
  <c r="I120" i="5"/>
  <c r="U120" i="5"/>
  <c r="V120" i="5"/>
  <c r="H121" i="5"/>
  <c r="I121" i="5"/>
  <c r="U121" i="5"/>
  <c r="V121" i="5"/>
  <c r="H122" i="5"/>
  <c r="I122" i="5"/>
  <c r="U122" i="5"/>
  <c r="V122" i="5"/>
  <c r="H123" i="5"/>
  <c r="I123" i="5"/>
  <c r="U123" i="5"/>
  <c r="V123" i="5"/>
  <c r="H124" i="5"/>
  <c r="I124" i="5"/>
  <c r="U124" i="5"/>
  <c r="V124" i="5"/>
  <c r="H125" i="5"/>
  <c r="I125" i="5"/>
  <c r="U125" i="5"/>
  <c r="V125" i="5"/>
  <c r="H126" i="5"/>
  <c r="I126" i="5"/>
  <c r="U126" i="5"/>
  <c r="V126" i="5"/>
  <c r="H127" i="5"/>
  <c r="I127" i="5"/>
  <c r="U127" i="5"/>
  <c r="V127" i="5"/>
  <c r="H128" i="5"/>
  <c r="I128" i="5"/>
  <c r="U128" i="5"/>
  <c r="V128" i="5"/>
  <c r="H129" i="5"/>
  <c r="I129" i="5"/>
  <c r="U129" i="5"/>
  <c r="V129" i="5"/>
  <c r="H130" i="5"/>
  <c r="I130" i="5"/>
  <c r="U130" i="5"/>
  <c r="V130" i="5"/>
  <c r="H131" i="5"/>
  <c r="I131" i="5"/>
  <c r="U131" i="5"/>
  <c r="V131" i="5"/>
  <c r="H132" i="5"/>
  <c r="I132" i="5"/>
  <c r="U132" i="5"/>
  <c r="V132" i="5"/>
  <c r="H133" i="5"/>
  <c r="I133" i="5"/>
  <c r="U133" i="5"/>
  <c r="V133" i="5"/>
  <c r="H134" i="5"/>
  <c r="I134" i="5"/>
  <c r="U134" i="5"/>
  <c r="V134" i="5"/>
  <c r="H135" i="5"/>
  <c r="I135" i="5"/>
  <c r="U135" i="5"/>
  <c r="V135" i="5"/>
  <c r="H136" i="5"/>
  <c r="I136" i="5"/>
  <c r="U136" i="5"/>
  <c r="V136" i="5"/>
  <c r="H137" i="5"/>
  <c r="I137" i="5"/>
  <c r="U137" i="5"/>
  <c r="V137" i="5"/>
  <c r="H138" i="5"/>
  <c r="I138" i="5"/>
  <c r="U138" i="5"/>
  <c r="V138" i="5"/>
  <c r="H139" i="5"/>
  <c r="I139" i="5"/>
  <c r="U139" i="5"/>
  <c r="V139" i="5"/>
  <c r="H140" i="5"/>
  <c r="I140" i="5"/>
  <c r="U140" i="5"/>
  <c r="V140" i="5"/>
  <c r="H141" i="5"/>
  <c r="I141" i="5"/>
  <c r="U141" i="5"/>
  <c r="V141" i="5"/>
  <c r="H142" i="5"/>
  <c r="I142" i="5"/>
  <c r="U142" i="5"/>
  <c r="V142" i="5"/>
  <c r="H143" i="5"/>
  <c r="I143" i="5"/>
  <c r="U143" i="5"/>
  <c r="V143" i="5"/>
  <c r="H144" i="5"/>
  <c r="I144" i="5"/>
  <c r="U144" i="5"/>
  <c r="V144" i="5"/>
  <c r="H145" i="5"/>
  <c r="I145" i="5"/>
  <c r="U145" i="5"/>
  <c r="V145" i="5"/>
  <c r="H146" i="5"/>
  <c r="I146" i="5"/>
  <c r="U146" i="5"/>
  <c r="V146" i="5"/>
  <c r="H147" i="5"/>
  <c r="I147" i="5"/>
  <c r="U147" i="5"/>
  <c r="V147" i="5"/>
  <c r="H148" i="5"/>
  <c r="I148" i="5"/>
  <c r="U148" i="5"/>
  <c r="V148" i="5"/>
  <c r="H149" i="5"/>
  <c r="I149" i="5"/>
  <c r="U149" i="5"/>
  <c r="V149" i="5"/>
  <c r="H24" i="3"/>
  <c r="I24" i="3"/>
  <c r="U24" i="3"/>
  <c r="V24" i="3"/>
  <c r="H25" i="3"/>
  <c r="I25" i="3"/>
  <c r="U25" i="3"/>
  <c r="V25" i="3"/>
  <c r="H26" i="3"/>
  <c r="I26" i="3"/>
  <c r="U26" i="3"/>
  <c r="V26" i="3"/>
  <c r="H27" i="3"/>
  <c r="I27" i="3"/>
  <c r="U27" i="3"/>
  <c r="V27" i="3"/>
  <c r="H28" i="3"/>
  <c r="I28" i="3"/>
  <c r="U28" i="3"/>
  <c r="V28" i="3"/>
  <c r="H29" i="3"/>
  <c r="I29" i="3"/>
  <c r="U29" i="3"/>
  <c r="V29" i="3"/>
  <c r="H30" i="3"/>
  <c r="I30" i="3"/>
  <c r="U30" i="3"/>
  <c r="V30" i="3"/>
  <c r="H31" i="3"/>
  <c r="I31" i="3"/>
  <c r="U31" i="3"/>
  <c r="V31" i="3"/>
  <c r="H32" i="3"/>
  <c r="I32" i="3"/>
  <c r="U32" i="3"/>
  <c r="V32" i="3"/>
  <c r="H33" i="3"/>
  <c r="I33" i="3"/>
  <c r="U33" i="3"/>
  <c r="V33" i="3"/>
  <c r="H34" i="3"/>
  <c r="I34" i="3"/>
  <c r="U34" i="3"/>
  <c r="V34" i="3"/>
  <c r="H35" i="3"/>
  <c r="I35" i="3"/>
  <c r="U35" i="3"/>
  <c r="V35" i="3"/>
  <c r="H36" i="3"/>
  <c r="I36" i="3"/>
  <c r="U36" i="3"/>
  <c r="V36" i="3"/>
  <c r="H37" i="3"/>
  <c r="I37" i="3"/>
  <c r="U37" i="3"/>
  <c r="V37" i="3"/>
  <c r="H38" i="3"/>
  <c r="I38" i="3"/>
  <c r="U38" i="3"/>
  <c r="V38" i="3"/>
  <c r="H39" i="3"/>
  <c r="I39" i="3"/>
  <c r="U39" i="3"/>
  <c r="V39" i="3"/>
  <c r="H40" i="3"/>
  <c r="I40" i="3"/>
  <c r="U40" i="3"/>
  <c r="V40" i="3"/>
  <c r="H41" i="3"/>
  <c r="I41" i="3"/>
  <c r="U41" i="3"/>
  <c r="V41" i="3"/>
  <c r="H42" i="3"/>
  <c r="I42" i="3"/>
  <c r="U42" i="3"/>
  <c r="V42" i="3"/>
  <c r="H43" i="3"/>
  <c r="I43" i="3"/>
  <c r="U43" i="3"/>
  <c r="V43" i="3"/>
  <c r="H44" i="3"/>
  <c r="I44" i="3"/>
  <c r="U44" i="3"/>
  <c r="V44" i="3"/>
  <c r="H45" i="3"/>
  <c r="I45" i="3"/>
  <c r="U45" i="3"/>
  <c r="V45" i="3"/>
  <c r="H46" i="3"/>
  <c r="I46" i="3"/>
  <c r="U46" i="3"/>
  <c r="V46" i="3"/>
  <c r="H47" i="3"/>
  <c r="I47" i="3"/>
  <c r="U47" i="3"/>
  <c r="V47" i="3"/>
  <c r="H48" i="3"/>
  <c r="I48" i="3"/>
  <c r="U48" i="3"/>
  <c r="V48" i="3"/>
  <c r="H49" i="3"/>
  <c r="I49" i="3"/>
  <c r="U49" i="3"/>
  <c r="V49" i="3"/>
  <c r="H50" i="3"/>
  <c r="I50" i="3"/>
  <c r="U50" i="3"/>
  <c r="V50" i="3"/>
  <c r="H51" i="3"/>
  <c r="I51" i="3"/>
  <c r="U51" i="3"/>
  <c r="V51" i="3"/>
  <c r="H52" i="3"/>
  <c r="I52" i="3"/>
  <c r="U52" i="3"/>
  <c r="V52" i="3"/>
  <c r="H53" i="3"/>
  <c r="I53" i="3"/>
  <c r="U53" i="3"/>
  <c r="V53" i="3"/>
  <c r="H54" i="3"/>
  <c r="I54" i="3"/>
  <c r="U54" i="3"/>
  <c r="V54" i="3"/>
  <c r="H55" i="3"/>
  <c r="I55" i="3"/>
  <c r="U55" i="3"/>
  <c r="V55" i="3"/>
  <c r="H56" i="3"/>
  <c r="I56" i="3"/>
  <c r="U56" i="3"/>
  <c r="V56" i="3"/>
  <c r="H57" i="3"/>
  <c r="I57" i="3"/>
  <c r="U57" i="3"/>
  <c r="V57" i="3"/>
  <c r="H58" i="3"/>
  <c r="I58" i="3"/>
  <c r="U58" i="3"/>
  <c r="V58" i="3"/>
  <c r="H59" i="3"/>
  <c r="I59" i="3"/>
  <c r="U59" i="3"/>
  <c r="V59" i="3"/>
  <c r="H60" i="3"/>
  <c r="I60" i="3"/>
  <c r="U60" i="3"/>
  <c r="V60" i="3"/>
  <c r="H61" i="3"/>
  <c r="I61" i="3"/>
  <c r="U61" i="3"/>
  <c r="V61" i="3"/>
  <c r="H62" i="3"/>
  <c r="I62" i="3"/>
  <c r="U62" i="3"/>
  <c r="V62" i="3"/>
  <c r="H63" i="3"/>
  <c r="I63" i="3"/>
  <c r="U63" i="3"/>
  <c r="V63" i="3"/>
  <c r="H64" i="3"/>
  <c r="I64" i="3"/>
  <c r="U64" i="3"/>
  <c r="V64" i="3"/>
  <c r="H65" i="3"/>
  <c r="I65" i="3"/>
  <c r="U65" i="3"/>
  <c r="V65" i="3"/>
  <c r="H66" i="3"/>
  <c r="I66" i="3"/>
  <c r="U66" i="3"/>
  <c r="V66" i="3"/>
  <c r="H67" i="3"/>
  <c r="I67" i="3"/>
  <c r="U67" i="3"/>
  <c r="V67" i="3"/>
  <c r="H68" i="3"/>
  <c r="I68" i="3"/>
  <c r="U68" i="3"/>
  <c r="V68" i="3"/>
  <c r="H69" i="3"/>
  <c r="I69" i="3"/>
  <c r="U69" i="3"/>
  <c r="V69" i="3"/>
  <c r="H70" i="3"/>
  <c r="I70" i="3"/>
  <c r="U70" i="3"/>
  <c r="V70" i="3"/>
  <c r="H71" i="3"/>
  <c r="I71" i="3"/>
  <c r="U71" i="3"/>
  <c r="V71" i="3"/>
  <c r="H72" i="3"/>
  <c r="I72" i="3"/>
  <c r="U72" i="3"/>
  <c r="V72" i="3"/>
  <c r="H73" i="3"/>
  <c r="I73" i="3"/>
  <c r="U73" i="3"/>
  <c r="V73" i="3"/>
  <c r="H74" i="3"/>
  <c r="I74" i="3"/>
  <c r="U74" i="3"/>
  <c r="V74" i="3"/>
  <c r="H75" i="3"/>
  <c r="I75" i="3"/>
  <c r="U75" i="3"/>
  <c r="V75" i="3"/>
  <c r="H76" i="3"/>
  <c r="I76" i="3"/>
  <c r="U76" i="3"/>
  <c r="V76" i="3"/>
  <c r="H77" i="3"/>
  <c r="I77" i="3"/>
  <c r="U77" i="3"/>
  <c r="V77" i="3"/>
  <c r="H78" i="3"/>
  <c r="I78" i="3"/>
  <c r="U78" i="3"/>
  <c r="V78" i="3"/>
  <c r="H79" i="3"/>
  <c r="I79" i="3"/>
  <c r="U79" i="3"/>
  <c r="V79" i="3"/>
  <c r="H80" i="3"/>
  <c r="I80" i="3"/>
  <c r="U80" i="3"/>
  <c r="V80" i="3"/>
  <c r="H81" i="3"/>
  <c r="I81" i="3"/>
  <c r="U81" i="3"/>
  <c r="V81" i="3"/>
  <c r="H82" i="3"/>
  <c r="I82" i="3"/>
  <c r="U82" i="3"/>
  <c r="V82" i="3"/>
  <c r="H83" i="3"/>
  <c r="I83" i="3"/>
  <c r="U83" i="3"/>
  <c r="V83" i="3"/>
  <c r="H84" i="3"/>
  <c r="I84" i="3"/>
  <c r="U84" i="3"/>
  <c r="V84" i="3"/>
  <c r="H85" i="3"/>
  <c r="I85" i="3"/>
  <c r="U85" i="3"/>
  <c r="V85" i="3"/>
  <c r="H86" i="3"/>
  <c r="I86" i="3"/>
  <c r="U86" i="3"/>
  <c r="V86" i="3"/>
  <c r="H87" i="3"/>
  <c r="I87" i="3"/>
  <c r="U87" i="3"/>
  <c r="V87" i="3"/>
  <c r="H88" i="3"/>
  <c r="I88" i="3"/>
  <c r="U88" i="3"/>
  <c r="V88" i="3"/>
  <c r="H89" i="3"/>
  <c r="I89" i="3"/>
  <c r="U89" i="3"/>
  <c r="V89" i="3"/>
  <c r="H90" i="3"/>
  <c r="I90" i="3"/>
  <c r="U90" i="3"/>
  <c r="V90" i="3"/>
  <c r="H91" i="3"/>
  <c r="I91" i="3"/>
  <c r="U91" i="3"/>
  <c r="V91" i="3"/>
  <c r="H92" i="3"/>
  <c r="I92" i="3"/>
  <c r="U92" i="3"/>
  <c r="V92" i="3"/>
  <c r="H93" i="3"/>
  <c r="I93" i="3"/>
  <c r="U93" i="3"/>
  <c r="V93" i="3"/>
  <c r="H94" i="3"/>
  <c r="I94" i="3"/>
  <c r="U94" i="3"/>
  <c r="V94" i="3"/>
  <c r="H95" i="3"/>
  <c r="I95" i="3"/>
  <c r="U95" i="3"/>
  <c r="V95" i="3"/>
  <c r="H96" i="3"/>
  <c r="I96" i="3"/>
  <c r="U96" i="3"/>
  <c r="V96" i="3"/>
  <c r="H97" i="3"/>
  <c r="I97" i="3"/>
  <c r="U97" i="3"/>
  <c r="V97" i="3"/>
  <c r="H98" i="3"/>
  <c r="I98" i="3"/>
  <c r="U98" i="3"/>
  <c r="V98" i="3"/>
  <c r="H99" i="3"/>
  <c r="I99" i="3"/>
  <c r="U99" i="3"/>
  <c r="V99" i="3"/>
  <c r="H100" i="3"/>
  <c r="I100" i="3"/>
  <c r="U100" i="3"/>
  <c r="V100" i="3"/>
  <c r="H101" i="3"/>
  <c r="I101" i="3"/>
  <c r="U101" i="3"/>
  <c r="V101" i="3"/>
  <c r="H102" i="3"/>
  <c r="I102" i="3"/>
  <c r="U102" i="3"/>
  <c r="V102" i="3"/>
  <c r="H103" i="3"/>
  <c r="I103" i="3"/>
  <c r="U103" i="3"/>
  <c r="V103" i="3"/>
  <c r="H104" i="3"/>
  <c r="I104" i="3"/>
  <c r="U104" i="3"/>
  <c r="V104" i="3"/>
  <c r="H105" i="3"/>
  <c r="I105" i="3"/>
  <c r="U105" i="3"/>
  <c r="V105" i="3"/>
  <c r="H106" i="3"/>
  <c r="I106" i="3"/>
  <c r="U106" i="3"/>
  <c r="V106" i="3"/>
  <c r="H107" i="3"/>
  <c r="I107" i="3"/>
  <c r="U107" i="3"/>
  <c r="V107" i="3"/>
  <c r="H108" i="3"/>
  <c r="I108" i="3"/>
  <c r="U108" i="3"/>
  <c r="V108" i="3"/>
  <c r="H109" i="3"/>
  <c r="I109" i="3"/>
  <c r="U109" i="3"/>
  <c r="V109" i="3"/>
  <c r="H110" i="3"/>
  <c r="I110" i="3"/>
  <c r="U110" i="3"/>
  <c r="V110" i="3"/>
  <c r="H111" i="3"/>
  <c r="I111" i="3"/>
  <c r="U111" i="3"/>
  <c r="V111" i="3"/>
  <c r="H112" i="3"/>
  <c r="I112" i="3"/>
  <c r="U112" i="3"/>
  <c r="V112" i="3"/>
  <c r="H24" i="4"/>
  <c r="I24" i="4"/>
  <c r="U24" i="4"/>
  <c r="V24" i="4"/>
  <c r="H25" i="4"/>
  <c r="I25" i="4"/>
  <c r="U25" i="4"/>
  <c r="V25" i="4"/>
  <c r="H26" i="4"/>
  <c r="I26" i="4"/>
  <c r="U26" i="4"/>
  <c r="V26" i="4"/>
  <c r="H27" i="4"/>
  <c r="I27" i="4"/>
  <c r="U27" i="4"/>
  <c r="V27" i="4"/>
  <c r="H28" i="4"/>
  <c r="I28" i="4"/>
  <c r="U28" i="4"/>
  <c r="V28" i="4"/>
  <c r="H29" i="4"/>
  <c r="I29" i="4"/>
  <c r="U29" i="4"/>
  <c r="V29" i="4"/>
  <c r="H30" i="4"/>
  <c r="I30" i="4"/>
  <c r="U30" i="4"/>
  <c r="V30" i="4"/>
  <c r="H31" i="4"/>
  <c r="I31" i="4"/>
  <c r="U31" i="4"/>
  <c r="V31" i="4"/>
  <c r="H32" i="4"/>
  <c r="I32" i="4"/>
  <c r="U32" i="4"/>
  <c r="V32" i="4"/>
  <c r="H33" i="4"/>
  <c r="I33" i="4"/>
  <c r="U33" i="4"/>
  <c r="V33" i="4"/>
  <c r="H34" i="4"/>
  <c r="I34" i="4"/>
  <c r="U34" i="4"/>
  <c r="V34" i="4"/>
  <c r="H35" i="4"/>
  <c r="I35" i="4"/>
  <c r="U35" i="4"/>
  <c r="V35" i="4"/>
  <c r="H36" i="4"/>
  <c r="I36" i="4"/>
  <c r="U36" i="4"/>
  <c r="V36" i="4"/>
  <c r="H37" i="4"/>
  <c r="I37" i="4"/>
  <c r="U37" i="4"/>
  <c r="V37" i="4"/>
  <c r="H38" i="4"/>
  <c r="I38" i="4"/>
  <c r="U38" i="4"/>
  <c r="V38" i="4"/>
  <c r="H39" i="4"/>
  <c r="I39" i="4"/>
  <c r="U39" i="4"/>
  <c r="V39" i="4"/>
  <c r="H40" i="4"/>
  <c r="I40" i="4"/>
  <c r="U40" i="4"/>
  <c r="V40" i="4"/>
  <c r="H41" i="4"/>
  <c r="I41" i="4"/>
  <c r="U41" i="4"/>
  <c r="V41" i="4"/>
  <c r="H42" i="4"/>
  <c r="I42" i="4"/>
  <c r="U42" i="4"/>
  <c r="V42" i="4"/>
  <c r="H43" i="4"/>
  <c r="I43" i="4"/>
  <c r="U43" i="4"/>
  <c r="V43" i="4"/>
  <c r="H44" i="4"/>
  <c r="I44" i="4"/>
  <c r="U44" i="4"/>
  <c r="V44" i="4"/>
  <c r="H45" i="4"/>
  <c r="I45" i="4"/>
  <c r="U45" i="4"/>
  <c r="V45" i="4"/>
  <c r="H46" i="4"/>
  <c r="I46" i="4"/>
  <c r="U46" i="4"/>
  <c r="V46" i="4"/>
  <c r="H47" i="4"/>
  <c r="I47" i="4"/>
  <c r="U47" i="4"/>
  <c r="V47" i="4"/>
  <c r="H48" i="4"/>
  <c r="I48" i="4"/>
  <c r="U48" i="4"/>
  <c r="V48" i="4"/>
  <c r="H49" i="4"/>
  <c r="I49" i="4"/>
  <c r="U49" i="4"/>
  <c r="V49" i="4"/>
  <c r="H50" i="4"/>
  <c r="I50" i="4"/>
  <c r="U50" i="4"/>
  <c r="V50" i="4"/>
  <c r="H51" i="4"/>
  <c r="I51" i="4"/>
  <c r="U51" i="4"/>
  <c r="V51" i="4"/>
  <c r="H52" i="4"/>
  <c r="I52" i="4"/>
  <c r="U52" i="4"/>
  <c r="V52" i="4"/>
  <c r="H53" i="4"/>
  <c r="I53" i="4"/>
  <c r="U53" i="4"/>
  <c r="V53" i="4"/>
  <c r="H54" i="4"/>
  <c r="I54" i="4"/>
  <c r="U54" i="4"/>
  <c r="V54" i="4"/>
  <c r="H55" i="4"/>
  <c r="I55" i="4"/>
  <c r="U55" i="4"/>
  <c r="V55" i="4"/>
  <c r="H56" i="4"/>
  <c r="I56" i="4"/>
  <c r="U56" i="4"/>
  <c r="V56" i="4"/>
  <c r="H57" i="4"/>
  <c r="I57" i="4"/>
  <c r="U57" i="4"/>
  <c r="V57" i="4"/>
  <c r="H58" i="4"/>
  <c r="I58" i="4"/>
  <c r="U58" i="4"/>
  <c r="V58" i="4"/>
  <c r="H59" i="4"/>
  <c r="I59" i="4"/>
  <c r="U59" i="4"/>
  <c r="V59" i="4"/>
  <c r="H60" i="4"/>
  <c r="I60" i="4"/>
  <c r="U60" i="4"/>
  <c r="V60" i="4"/>
  <c r="H61" i="4"/>
  <c r="I61" i="4"/>
  <c r="U61" i="4"/>
  <c r="V61" i="4"/>
  <c r="H62" i="4"/>
  <c r="I62" i="4"/>
  <c r="U62" i="4"/>
  <c r="V62" i="4"/>
  <c r="H63" i="4"/>
  <c r="I63" i="4"/>
  <c r="U63" i="4"/>
  <c r="V63" i="4"/>
  <c r="H64" i="4"/>
  <c r="I64" i="4"/>
  <c r="U64" i="4"/>
  <c r="V64" i="4"/>
  <c r="H65" i="4"/>
  <c r="I65" i="4"/>
  <c r="U65" i="4"/>
  <c r="V65" i="4"/>
  <c r="H66" i="4"/>
  <c r="I66" i="4"/>
  <c r="U66" i="4"/>
  <c r="V66" i="4"/>
  <c r="H67" i="4"/>
  <c r="I67" i="4"/>
  <c r="U67" i="4"/>
  <c r="V67" i="4"/>
  <c r="H68" i="4"/>
  <c r="I68" i="4"/>
  <c r="U68" i="4"/>
  <c r="V68" i="4"/>
  <c r="H69" i="4"/>
  <c r="I69" i="4"/>
  <c r="U69" i="4"/>
  <c r="V69" i="4"/>
  <c r="H70" i="4"/>
  <c r="I70" i="4"/>
  <c r="U70" i="4"/>
  <c r="V70" i="4"/>
  <c r="H71" i="4"/>
  <c r="I71" i="4"/>
  <c r="U71" i="4"/>
  <c r="V71" i="4"/>
  <c r="H72" i="4"/>
  <c r="I72" i="4"/>
  <c r="U72" i="4"/>
  <c r="V72" i="4"/>
  <c r="H73" i="4"/>
  <c r="I73" i="4"/>
  <c r="U73" i="4"/>
  <c r="V73" i="4"/>
  <c r="H74" i="4"/>
  <c r="I74" i="4"/>
  <c r="U74" i="4"/>
  <c r="V74" i="4"/>
  <c r="H75" i="4"/>
  <c r="I75" i="4"/>
  <c r="U75" i="4"/>
  <c r="V75" i="4"/>
  <c r="H76" i="4"/>
  <c r="I76" i="4"/>
  <c r="U76" i="4"/>
  <c r="V76" i="4"/>
  <c r="H77" i="4"/>
  <c r="I77" i="4"/>
  <c r="U77" i="4"/>
  <c r="V77" i="4"/>
  <c r="H78" i="4"/>
  <c r="I78" i="4"/>
  <c r="U78" i="4"/>
  <c r="V78" i="4"/>
  <c r="H79" i="4"/>
  <c r="I79" i="4"/>
  <c r="U79" i="4"/>
  <c r="V79" i="4"/>
  <c r="H80" i="4"/>
  <c r="I80" i="4"/>
  <c r="U80" i="4"/>
  <c r="V80" i="4"/>
  <c r="H81" i="4"/>
  <c r="I81" i="4"/>
  <c r="U81" i="4"/>
  <c r="V81" i="4"/>
  <c r="H82" i="4"/>
  <c r="I82" i="4"/>
  <c r="U82" i="4"/>
  <c r="V82" i="4"/>
  <c r="M20" i="4"/>
  <c r="N20" i="4" s="1"/>
  <c r="H21" i="4"/>
  <c r="I21" i="4"/>
  <c r="L21" i="4"/>
  <c r="L22" i="4" s="1"/>
  <c r="H22" i="4"/>
  <c r="I22" i="4"/>
  <c r="H23" i="4"/>
  <c r="I23" i="4"/>
  <c r="M21" i="4" l="1"/>
  <c r="N21" i="4" s="1"/>
  <c r="O21" i="4" s="1"/>
  <c r="L23" i="4"/>
  <c r="V23" i="5"/>
  <c r="U23" i="5"/>
  <c r="I23" i="5"/>
  <c r="H23" i="5"/>
  <c r="V22" i="5"/>
  <c r="U22" i="5"/>
  <c r="I22" i="5"/>
  <c r="H22" i="5"/>
  <c r="V21" i="5"/>
  <c r="U21" i="5"/>
  <c r="L21" i="5"/>
  <c r="I21" i="5"/>
  <c r="H21" i="5"/>
  <c r="R20" i="5"/>
  <c r="S20" i="5" s="1"/>
  <c r="M20" i="5"/>
  <c r="N20" i="5" s="1"/>
  <c r="V23" i="3"/>
  <c r="U23" i="3"/>
  <c r="I23" i="3"/>
  <c r="H23" i="3"/>
  <c r="V22" i="3"/>
  <c r="U22" i="3"/>
  <c r="I22" i="3"/>
  <c r="H22" i="3"/>
  <c r="V21" i="3"/>
  <c r="U21" i="3"/>
  <c r="L21" i="3"/>
  <c r="I21" i="3"/>
  <c r="H21" i="3"/>
  <c r="R20" i="3"/>
  <c r="S20" i="3" s="1"/>
  <c r="M20" i="3"/>
  <c r="N20" i="3" s="1"/>
  <c r="V23" i="4"/>
  <c r="U23" i="4"/>
  <c r="V22" i="4"/>
  <c r="U22" i="4"/>
  <c r="V21" i="4"/>
  <c r="U21" i="4"/>
  <c r="R20" i="4"/>
  <c r="S20" i="4" s="1"/>
  <c r="V23" i="2"/>
  <c r="U23" i="2"/>
  <c r="I23" i="2"/>
  <c r="H23" i="2"/>
  <c r="V22" i="2"/>
  <c r="U22" i="2"/>
  <c r="I22" i="2"/>
  <c r="H22" i="2"/>
  <c r="V21" i="2"/>
  <c r="U21" i="2"/>
  <c r="L21" i="2"/>
  <c r="I21" i="2"/>
  <c r="H21" i="2"/>
  <c r="R20" i="2"/>
  <c r="S20" i="2" s="1"/>
  <c r="M20" i="2"/>
  <c r="N20" i="2" s="1"/>
  <c r="V23" i="1"/>
  <c r="U23" i="1"/>
  <c r="I23" i="1"/>
  <c r="H23" i="1"/>
  <c r="V22" i="1"/>
  <c r="U22" i="1"/>
  <c r="I22" i="1"/>
  <c r="H22" i="1"/>
  <c r="V21" i="1"/>
  <c r="U21" i="1"/>
  <c r="L21" i="1"/>
  <c r="L22" i="1" s="1"/>
  <c r="I21" i="1"/>
  <c r="H21" i="1"/>
  <c r="R20" i="1"/>
  <c r="S20" i="1" s="1"/>
  <c r="M20" i="1"/>
  <c r="N20" i="1" s="1"/>
  <c r="M22" i="4" l="1"/>
  <c r="N22" i="4" s="1"/>
  <c r="O22" i="4" s="1"/>
  <c r="M21" i="2"/>
  <c r="N21" i="2" s="1"/>
  <c r="O21" i="2" s="1"/>
  <c r="L24" i="4"/>
  <c r="M21" i="5"/>
  <c r="N21" i="5" s="1"/>
  <c r="O21" i="5" s="1"/>
  <c r="M21" i="3"/>
  <c r="N21" i="3" s="1"/>
  <c r="O21" i="3" s="1"/>
  <c r="L22" i="3"/>
  <c r="L22" i="2"/>
  <c r="L22" i="5"/>
  <c r="L23" i="1"/>
  <c r="L24" i="1" s="1"/>
  <c r="M21" i="1"/>
  <c r="N21" i="1" s="1"/>
  <c r="O21" i="1" s="1"/>
  <c r="M23" i="4" l="1"/>
  <c r="N23" i="4" s="1"/>
  <c r="O23" i="4" s="1"/>
  <c r="M22" i="3"/>
  <c r="N22" i="3" s="1"/>
  <c r="O22" i="3" s="1"/>
  <c r="L25" i="1"/>
  <c r="M24" i="4"/>
  <c r="N24" i="4" s="1"/>
  <c r="O24" i="4" s="1"/>
  <c r="L25" i="4"/>
  <c r="L23" i="3"/>
  <c r="L23" i="5"/>
  <c r="L24" i="5" s="1"/>
  <c r="M22" i="5"/>
  <c r="N22" i="5" s="1"/>
  <c r="O22" i="5" s="1"/>
  <c r="L23" i="2"/>
  <c r="L24" i="2" s="1"/>
  <c r="M22" i="2"/>
  <c r="N22" i="2" s="1"/>
  <c r="O22" i="2" s="1"/>
  <c r="M22" i="1"/>
  <c r="N22" i="1" s="1"/>
  <c r="O22" i="1" s="1"/>
  <c r="L25" i="2" l="1"/>
  <c r="L25" i="5"/>
  <c r="M25" i="4"/>
  <c r="N25" i="4" s="1"/>
  <c r="O25" i="4" s="1"/>
  <c r="L26" i="4"/>
  <c r="L26" i="1"/>
  <c r="M23" i="3"/>
  <c r="N23" i="3" s="1"/>
  <c r="O23" i="3" s="1"/>
  <c r="L24" i="3"/>
  <c r="M23" i="2"/>
  <c r="N23" i="2" s="1"/>
  <c r="O23" i="2" s="1"/>
  <c r="M23" i="5"/>
  <c r="N23" i="5" s="1"/>
  <c r="O23" i="5" s="1"/>
  <c r="M23" i="1"/>
  <c r="M24" i="5" l="1"/>
  <c r="N24" i="5" s="1"/>
  <c r="O24" i="5" s="1"/>
  <c r="L27" i="4"/>
  <c r="M26" i="4"/>
  <c r="N26" i="4" s="1"/>
  <c r="O26" i="4" s="1"/>
  <c r="N23" i="1"/>
  <c r="O23" i="1" s="1"/>
  <c r="M24" i="1"/>
  <c r="L26" i="5"/>
  <c r="L27" i="1"/>
  <c r="L25" i="3"/>
  <c r="M24" i="3"/>
  <c r="N24" i="3" s="1"/>
  <c r="O24" i="3" s="1"/>
  <c r="M24" i="2"/>
  <c r="N24" i="2" s="1"/>
  <c r="O24" i="2" s="1"/>
  <c r="M25" i="2"/>
  <c r="N25" i="2" s="1"/>
  <c r="O25" i="2" s="1"/>
  <c r="L26" i="2"/>
  <c r="I10" i="5" a="1"/>
  <c r="I10" i="5" s="1"/>
  <c r="B10" i="5"/>
  <c r="I9" i="5" a="1"/>
  <c r="I9" i="5" s="1"/>
  <c r="B9" i="5"/>
  <c r="I8" i="5" a="1"/>
  <c r="I8" i="5" s="1"/>
  <c r="B8" i="5"/>
  <c r="Y7" i="5" a="1"/>
  <c r="Y7" i="5" s="1"/>
  <c r="Z7" i="5" s="1"/>
  <c r="T7" i="5" a="1"/>
  <c r="T7" i="5" s="1"/>
  <c r="S7" i="5" a="1"/>
  <c r="S7" i="5" s="1"/>
  <c r="R7" i="5" a="1"/>
  <c r="R7" i="5" s="1"/>
  <c r="I7" i="5" a="1"/>
  <c r="I7" i="5" s="1"/>
  <c r="B7" i="5"/>
  <c r="Y6" i="5" a="1"/>
  <c r="Y6" i="5" s="1"/>
  <c r="Z6" i="5" s="1"/>
  <c r="T6" i="5" a="1"/>
  <c r="T6" i="5" s="1"/>
  <c r="S6" i="5" a="1"/>
  <c r="S6" i="5" s="1"/>
  <c r="R6" i="5" a="1"/>
  <c r="R6" i="5" s="1"/>
  <c r="Y5" i="5" a="1"/>
  <c r="Y5" i="5" s="1"/>
  <c r="Z5" i="5" s="1"/>
  <c r="T5" i="5" a="1"/>
  <c r="T5" i="5" s="1"/>
  <c r="S5" i="5" a="1"/>
  <c r="S5" i="5" s="1"/>
  <c r="R5" i="5" a="1"/>
  <c r="R5" i="5" s="1"/>
  <c r="I5" i="5" a="1"/>
  <c r="I5" i="5" s="1"/>
  <c r="I6" i="5" s="1" a="1"/>
  <c r="I6" i="5" s="1"/>
  <c r="B5" i="5"/>
  <c r="B6" i="5" s="1"/>
  <c r="Y4" i="5" a="1"/>
  <c r="Y4" i="5" s="1"/>
  <c r="Z4" i="5" s="1"/>
  <c r="T4" i="5" a="1"/>
  <c r="T4" i="5" s="1"/>
  <c r="S4" i="5" a="1"/>
  <c r="S4" i="5" s="1"/>
  <c r="R4" i="5" a="1"/>
  <c r="R4" i="5" s="1"/>
  <c r="M4" i="5" a="1"/>
  <c r="M4" i="5" s="1"/>
  <c r="M5" i="5" s="1"/>
  <c r="I4" i="5" a="1"/>
  <c r="I4" i="5" s="1"/>
  <c r="F4" i="5"/>
  <c r="F5" i="5" s="1"/>
  <c r="B4" i="5"/>
  <c r="M3" i="5" a="1"/>
  <c r="M3" i="5" s="1"/>
  <c r="J3" i="5" a="1"/>
  <c r="J3" i="5" s="1"/>
  <c r="I3" i="5" a="1"/>
  <c r="I3" i="5" s="1"/>
  <c r="F3" i="5"/>
  <c r="C3" i="5"/>
  <c r="B3" i="5"/>
  <c r="L1" i="5"/>
  <c r="I1" i="5"/>
  <c r="J1" i="5" s="1"/>
  <c r="I10" i="4" a="1"/>
  <c r="I10" i="4" s="1"/>
  <c r="B10" i="4"/>
  <c r="I9" i="4" a="1"/>
  <c r="I9" i="4" s="1"/>
  <c r="B9" i="4"/>
  <c r="I8" i="4" a="1"/>
  <c r="I8" i="4" s="1"/>
  <c r="B8" i="4"/>
  <c r="Y7" i="4" a="1"/>
  <c r="Y7" i="4" s="1"/>
  <c r="Z7" i="4" s="1"/>
  <c r="T7" i="4" a="1"/>
  <c r="T7" i="4" s="1"/>
  <c r="S7" i="4" a="1"/>
  <c r="S7" i="4" s="1"/>
  <c r="R7" i="4" a="1"/>
  <c r="R7" i="4" s="1"/>
  <c r="I7" i="4" a="1"/>
  <c r="I7" i="4" s="1"/>
  <c r="I13" i="4" s="1"/>
  <c r="B7" i="4"/>
  <c r="Y6" i="4" a="1"/>
  <c r="Y6" i="4" s="1"/>
  <c r="Z6" i="4" s="1"/>
  <c r="T6" i="4" a="1"/>
  <c r="T6" i="4" s="1"/>
  <c r="S6" i="4" a="1"/>
  <c r="S6" i="4" s="1"/>
  <c r="R6" i="4" a="1"/>
  <c r="R6" i="4" s="1"/>
  <c r="Y5" i="4" a="1"/>
  <c r="Y5" i="4" s="1"/>
  <c r="Z5" i="4" s="1"/>
  <c r="T5" i="4" a="1"/>
  <c r="T5" i="4" s="1"/>
  <c r="S5" i="4" a="1"/>
  <c r="S5" i="4" s="1"/>
  <c r="R5" i="4" a="1"/>
  <c r="R5" i="4" s="1"/>
  <c r="I5" i="4" a="1"/>
  <c r="I5" i="4" s="1"/>
  <c r="I6" i="4" s="1" a="1"/>
  <c r="I6" i="4" s="1"/>
  <c r="B5" i="4"/>
  <c r="B6" i="4" s="1"/>
  <c r="Y4" i="4" a="1"/>
  <c r="Y4" i="4" s="1"/>
  <c r="Z4" i="4" s="1"/>
  <c r="T4" i="4" a="1"/>
  <c r="T4" i="4" s="1"/>
  <c r="S4" i="4" a="1"/>
  <c r="S4" i="4" s="1"/>
  <c r="R4" i="4" a="1"/>
  <c r="R4" i="4" s="1"/>
  <c r="M4" i="4" a="1"/>
  <c r="M4" i="4" s="1"/>
  <c r="I4" i="4" a="1"/>
  <c r="I4" i="4" s="1"/>
  <c r="F4" i="4"/>
  <c r="B4" i="4"/>
  <c r="M3" i="4" a="1"/>
  <c r="M3" i="4" s="1"/>
  <c r="J3" i="4" a="1"/>
  <c r="J3" i="4" s="1"/>
  <c r="I3" i="4" a="1"/>
  <c r="I3" i="4" s="1"/>
  <c r="F3" i="4"/>
  <c r="C3" i="4"/>
  <c r="B3" i="4"/>
  <c r="L1" i="4"/>
  <c r="I1" i="4"/>
  <c r="J1" i="4" s="1"/>
  <c r="I10" i="3" a="1"/>
  <c r="I10" i="3" s="1"/>
  <c r="B10" i="3"/>
  <c r="I9" i="3" a="1"/>
  <c r="I9" i="3" s="1"/>
  <c r="B9" i="3"/>
  <c r="I8" i="3" a="1"/>
  <c r="I8" i="3" s="1"/>
  <c r="B8" i="3"/>
  <c r="Y7" i="3" a="1"/>
  <c r="Y7" i="3" s="1"/>
  <c r="Z7" i="3" s="1"/>
  <c r="T7" i="3" a="1"/>
  <c r="T7" i="3" s="1"/>
  <c r="S7" i="3" a="1"/>
  <c r="S7" i="3" s="1"/>
  <c r="R7" i="3" a="1"/>
  <c r="R7" i="3" s="1"/>
  <c r="I7" i="3" a="1"/>
  <c r="I7" i="3" s="1"/>
  <c r="B7" i="3"/>
  <c r="B13" i="3" s="1"/>
  <c r="Y6" i="3" a="1"/>
  <c r="Y6" i="3" s="1"/>
  <c r="Z6" i="3" s="1"/>
  <c r="T6" i="3" a="1"/>
  <c r="T6" i="3" s="1"/>
  <c r="S6" i="3" a="1"/>
  <c r="S6" i="3" s="1"/>
  <c r="R6" i="3" a="1"/>
  <c r="R6" i="3" s="1"/>
  <c r="Y5" i="3" a="1"/>
  <c r="Y5" i="3" s="1"/>
  <c r="Z5" i="3" s="1"/>
  <c r="T5" i="3" a="1"/>
  <c r="T5" i="3" s="1"/>
  <c r="S5" i="3" a="1"/>
  <c r="S5" i="3" s="1"/>
  <c r="R5" i="3" a="1"/>
  <c r="R5" i="3" s="1"/>
  <c r="I5" i="3" a="1"/>
  <c r="I5" i="3" s="1"/>
  <c r="I6" i="3" s="1" a="1"/>
  <c r="I6" i="3" s="1"/>
  <c r="B5" i="3"/>
  <c r="B6" i="3" s="1"/>
  <c r="B11" i="3" s="1"/>
  <c r="Y4" i="3" a="1"/>
  <c r="Y4" i="3" s="1"/>
  <c r="Z4" i="3" s="1"/>
  <c r="T4" i="3" a="1"/>
  <c r="T4" i="3" s="1"/>
  <c r="S4" i="3" a="1"/>
  <c r="S4" i="3" s="1"/>
  <c r="R4" i="3" a="1"/>
  <c r="R4" i="3" s="1"/>
  <c r="M4" i="3" a="1"/>
  <c r="M4" i="3" s="1"/>
  <c r="M5" i="3" s="1"/>
  <c r="I4" i="3" a="1"/>
  <c r="I4" i="3" s="1"/>
  <c r="F4" i="3"/>
  <c r="B4" i="3"/>
  <c r="M3" i="3" a="1"/>
  <c r="M3" i="3" s="1"/>
  <c r="J3" i="3" a="1"/>
  <c r="J3" i="3" s="1"/>
  <c r="I3" i="3" a="1"/>
  <c r="I3" i="3" s="1"/>
  <c r="F3" i="3"/>
  <c r="C3" i="3"/>
  <c r="B3" i="3"/>
  <c r="L1" i="3"/>
  <c r="I1" i="3"/>
  <c r="J1" i="3" s="1"/>
  <c r="I10" i="2" a="1"/>
  <c r="I10" i="2" s="1"/>
  <c r="B10" i="2"/>
  <c r="I9" i="2" a="1"/>
  <c r="I9" i="2" s="1"/>
  <c r="B9" i="2"/>
  <c r="I8" i="2" a="1"/>
  <c r="I8" i="2" s="1"/>
  <c r="B8" i="2"/>
  <c r="Y7" i="2" a="1"/>
  <c r="Y7" i="2" s="1"/>
  <c r="Z7" i="2" s="1"/>
  <c r="T7" i="2" a="1"/>
  <c r="T7" i="2" s="1"/>
  <c r="S7" i="2" a="1"/>
  <c r="S7" i="2" s="1"/>
  <c r="R7" i="2" a="1"/>
  <c r="R7" i="2" s="1"/>
  <c r="I7" i="2" a="1"/>
  <c r="I7" i="2" s="1"/>
  <c r="B7" i="2"/>
  <c r="Y6" i="2" a="1"/>
  <c r="Y6" i="2" s="1"/>
  <c r="Z6" i="2" s="1"/>
  <c r="T6" i="2" a="1"/>
  <c r="T6" i="2" s="1"/>
  <c r="S6" i="2" a="1"/>
  <c r="S6" i="2" s="1"/>
  <c r="R6" i="2" a="1"/>
  <c r="R6" i="2" s="1"/>
  <c r="Y5" i="2" a="1"/>
  <c r="Y5" i="2" s="1"/>
  <c r="Z5" i="2" s="1"/>
  <c r="T5" i="2" a="1"/>
  <c r="T5" i="2" s="1"/>
  <c r="S5" i="2" a="1"/>
  <c r="S5" i="2" s="1"/>
  <c r="R5" i="2" a="1"/>
  <c r="R5" i="2" s="1"/>
  <c r="I5" i="2" a="1"/>
  <c r="I5" i="2" s="1"/>
  <c r="I6" i="2" s="1" a="1"/>
  <c r="I6" i="2" s="1"/>
  <c r="B5" i="2"/>
  <c r="B6" i="2" s="1"/>
  <c r="Y4" i="2" a="1"/>
  <c r="Y4" i="2" s="1"/>
  <c r="Z4" i="2" s="1"/>
  <c r="T4" i="2" a="1"/>
  <c r="T4" i="2" s="1"/>
  <c r="S4" i="2" a="1"/>
  <c r="S4" i="2" s="1"/>
  <c r="R4" i="2" a="1"/>
  <c r="R4" i="2" s="1"/>
  <c r="M4" i="2" a="1"/>
  <c r="M4" i="2" s="1"/>
  <c r="M5" i="2" s="1"/>
  <c r="I4" i="2" a="1"/>
  <c r="I4" i="2" s="1"/>
  <c r="F4" i="2"/>
  <c r="F5" i="2" s="1"/>
  <c r="B4" i="2"/>
  <c r="M3" i="2" a="1"/>
  <c r="M3" i="2" s="1"/>
  <c r="J3" i="2" a="1"/>
  <c r="J3" i="2" s="1"/>
  <c r="I3" i="2" a="1"/>
  <c r="I3" i="2" s="1"/>
  <c r="F3" i="2"/>
  <c r="C3" i="2"/>
  <c r="B3" i="2"/>
  <c r="L1" i="2"/>
  <c r="I1" i="2"/>
  <c r="J1" i="2" s="1"/>
  <c r="I10" i="1" a="1"/>
  <c r="I10" i="1" s="1"/>
  <c r="B10" i="1"/>
  <c r="I9" i="1" a="1"/>
  <c r="I9" i="1" s="1"/>
  <c r="B9" i="1"/>
  <c r="I8" i="1" a="1"/>
  <c r="I8" i="1" s="1"/>
  <c r="B8" i="1"/>
  <c r="Y7" i="1" a="1"/>
  <c r="Y7" i="1" s="1"/>
  <c r="Z7" i="1" s="1"/>
  <c r="T7" i="1" a="1"/>
  <c r="T7" i="1" s="1"/>
  <c r="S7" i="1" a="1"/>
  <c r="S7" i="1" s="1"/>
  <c r="R7" i="1" a="1"/>
  <c r="R7" i="1" s="1"/>
  <c r="I7" i="1" a="1"/>
  <c r="I7" i="1" s="1"/>
  <c r="B7" i="1"/>
  <c r="B13" i="1" s="1"/>
  <c r="Y6" i="1" a="1"/>
  <c r="Y6" i="1" s="1"/>
  <c r="Z6" i="1" s="1"/>
  <c r="T6" i="1" a="1"/>
  <c r="T6" i="1" s="1"/>
  <c r="S6" i="1" a="1"/>
  <c r="S6" i="1" s="1"/>
  <c r="R6" i="1" a="1"/>
  <c r="R6" i="1" s="1"/>
  <c r="Y5" i="1" a="1"/>
  <c r="Y5" i="1" s="1"/>
  <c r="Z5" i="1" s="1"/>
  <c r="T5" i="1" a="1"/>
  <c r="T5" i="1" s="1"/>
  <c r="S5" i="1" a="1"/>
  <c r="S5" i="1" s="1"/>
  <c r="R5" i="1" a="1"/>
  <c r="R5" i="1" s="1"/>
  <c r="I5" i="1" a="1"/>
  <c r="I5" i="1" s="1"/>
  <c r="I6" i="1" s="1" a="1"/>
  <c r="I6" i="1" s="1"/>
  <c r="I11" i="1" s="1"/>
  <c r="B5" i="1"/>
  <c r="B6" i="1" s="1"/>
  <c r="Y4" i="1" a="1"/>
  <c r="Y4" i="1" s="1"/>
  <c r="Z4" i="1" s="1"/>
  <c r="T4" i="1" a="1"/>
  <c r="T4" i="1" s="1"/>
  <c r="S4" i="1" a="1"/>
  <c r="S4" i="1" s="1"/>
  <c r="R4" i="1" a="1"/>
  <c r="R4" i="1" s="1"/>
  <c r="M4" i="1" a="1"/>
  <c r="M4" i="1" s="1"/>
  <c r="M5" i="1" s="1"/>
  <c r="I4" i="1" a="1"/>
  <c r="I4" i="1" s="1"/>
  <c r="F4" i="1"/>
  <c r="F5" i="1" s="1"/>
  <c r="B4" i="1"/>
  <c r="M3" i="1" a="1"/>
  <c r="M3" i="1" s="1"/>
  <c r="J3" i="1" a="1"/>
  <c r="J3" i="1" s="1"/>
  <c r="I3" i="1" a="1"/>
  <c r="I3" i="1" s="1"/>
  <c r="F3" i="1"/>
  <c r="C3" i="1"/>
  <c r="B3" i="1"/>
  <c r="L1" i="1"/>
  <c r="I1" i="1"/>
  <c r="J1" i="1" s="1"/>
  <c r="I11" i="4" l="1"/>
  <c r="J150" i="5"/>
  <c r="K150" i="5" s="1"/>
  <c r="J151" i="5"/>
  <c r="K151" i="5" s="1"/>
  <c r="J152" i="5"/>
  <c r="K152" i="5" s="1"/>
  <c r="B11" i="1"/>
  <c r="I13" i="3"/>
  <c r="B13" i="2"/>
  <c r="B11" i="5"/>
  <c r="M25" i="5"/>
  <c r="N25" i="5" s="1"/>
  <c r="O25" i="5" s="1"/>
  <c r="I11" i="3"/>
  <c r="B13" i="5"/>
  <c r="B11" i="2"/>
  <c r="I13" i="5"/>
  <c r="J184" i="1"/>
  <c r="K184" i="1" s="1"/>
  <c r="J25" i="1"/>
  <c r="K25" i="1" s="1"/>
  <c r="J43" i="1"/>
  <c r="K43" i="1" s="1"/>
  <c r="J78" i="1"/>
  <c r="K78" i="1" s="1"/>
  <c r="J102" i="1"/>
  <c r="K102" i="1" s="1"/>
  <c r="J127" i="1"/>
  <c r="K127" i="1" s="1"/>
  <c r="J178" i="1"/>
  <c r="K178" i="1" s="1"/>
  <c r="J181" i="1"/>
  <c r="K181" i="1" s="1"/>
  <c r="J203" i="1"/>
  <c r="K203" i="1" s="1"/>
  <c r="J215" i="1"/>
  <c r="K215" i="1" s="1"/>
  <c r="J75" i="1"/>
  <c r="K75" i="1" s="1"/>
  <c r="J85" i="1"/>
  <c r="K85" i="1" s="1"/>
  <c r="J88" i="1"/>
  <c r="K88" i="1" s="1"/>
  <c r="J99" i="1"/>
  <c r="K99" i="1" s="1"/>
  <c r="J163" i="1"/>
  <c r="K163" i="1" s="1"/>
  <c r="J200" i="1"/>
  <c r="K200" i="1" s="1"/>
  <c r="J138" i="1"/>
  <c r="K138" i="1" s="1"/>
  <c r="J141" i="1"/>
  <c r="K141" i="1" s="1"/>
  <c r="J148" i="1"/>
  <c r="K148" i="1" s="1"/>
  <c r="J160" i="1"/>
  <c r="K160" i="1" s="1"/>
  <c r="J32" i="1"/>
  <c r="K32" i="1" s="1"/>
  <c r="J37" i="1"/>
  <c r="K37" i="1" s="1"/>
  <c r="J52" i="1"/>
  <c r="K52" i="1" s="1"/>
  <c r="J62" i="1"/>
  <c r="K62" i="1" s="1"/>
  <c r="J87" i="1"/>
  <c r="K87" i="1" s="1"/>
  <c r="J94" i="1"/>
  <c r="K94" i="1" s="1"/>
  <c r="J101" i="1"/>
  <c r="K101" i="1" s="1"/>
  <c r="J126" i="1"/>
  <c r="K126" i="1" s="1"/>
  <c r="J145" i="1"/>
  <c r="K145" i="1" s="1"/>
  <c r="J157" i="1"/>
  <c r="K157" i="1" s="1"/>
  <c r="J34" i="1"/>
  <c r="K34" i="1" s="1"/>
  <c r="J74" i="1"/>
  <c r="K74" i="1" s="1"/>
  <c r="J84" i="1"/>
  <c r="K84" i="1" s="1"/>
  <c r="J98" i="1"/>
  <c r="K98" i="1" s="1"/>
  <c r="J59" i="1"/>
  <c r="K59" i="1" s="1"/>
  <c r="J176" i="1"/>
  <c r="K176" i="1" s="1"/>
  <c r="J71" i="1"/>
  <c r="K71" i="1" s="1"/>
  <c r="J128" i="1"/>
  <c r="K128" i="1" s="1"/>
  <c r="J159" i="1"/>
  <c r="K159" i="1" s="1"/>
  <c r="J103" i="1"/>
  <c r="K103" i="1" s="1"/>
  <c r="J169" i="1"/>
  <c r="K169" i="1" s="1"/>
  <c r="J194" i="1"/>
  <c r="K194" i="1" s="1"/>
  <c r="J140" i="1"/>
  <c r="K140" i="1" s="1"/>
  <c r="J135" i="1"/>
  <c r="K135" i="1" s="1"/>
  <c r="J64" i="1"/>
  <c r="K64" i="1" s="1"/>
  <c r="J117" i="1"/>
  <c r="K117" i="1" s="1"/>
  <c r="J31" i="1"/>
  <c r="K31" i="1" s="1"/>
  <c r="J187" i="1"/>
  <c r="K187" i="1" s="1"/>
  <c r="J49" i="1"/>
  <c r="K49" i="1" s="1"/>
  <c r="J55" i="1"/>
  <c r="K55" i="1" s="1"/>
  <c r="J191" i="1"/>
  <c r="K191" i="1" s="1"/>
  <c r="J72" i="1"/>
  <c r="K72" i="1" s="1"/>
  <c r="J68" i="1"/>
  <c r="K68" i="1" s="1"/>
  <c r="J142" i="1"/>
  <c r="K142" i="1" s="1"/>
  <c r="J107" i="1"/>
  <c r="K107" i="1" s="1"/>
  <c r="J83" i="1"/>
  <c r="K83" i="1" s="1"/>
  <c r="J149" i="1"/>
  <c r="K149" i="1" s="1"/>
  <c r="J189" i="1"/>
  <c r="K189" i="1" s="1"/>
  <c r="J119" i="1"/>
  <c r="K119" i="1" s="1"/>
  <c r="J26" i="1"/>
  <c r="K26" i="1" s="1"/>
  <c r="J167" i="1"/>
  <c r="K167" i="1" s="1"/>
  <c r="J207" i="1"/>
  <c r="K207" i="1" s="1"/>
  <c r="J96" i="1"/>
  <c r="K96" i="1" s="1"/>
  <c r="J67" i="1"/>
  <c r="K67" i="1" s="1"/>
  <c r="J122" i="1"/>
  <c r="K122" i="1" s="1"/>
  <c r="J60" i="1"/>
  <c r="K60" i="1" s="1"/>
  <c r="J151" i="1"/>
  <c r="K151" i="1" s="1"/>
  <c r="J38" i="1"/>
  <c r="K38" i="1" s="1"/>
  <c r="J114" i="1"/>
  <c r="K114" i="1" s="1"/>
  <c r="J33" i="1"/>
  <c r="K33" i="1" s="1"/>
  <c r="J172" i="1"/>
  <c r="K172" i="1" s="1"/>
  <c r="J51" i="1"/>
  <c r="K51" i="1" s="1"/>
  <c r="J166" i="1"/>
  <c r="K166" i="1" s="1"/>
  <c r="J41" i="1"/>
  <c r="K41" i="1" s="1"/>
  <c r="J185" i="1"/>
  <c r="K185" i="1" s="1"/>
  <c r="J66" i="1"/>
  <c r="K66" i="1" s="1"/>
  <c r="J218" i="1"/>
  <c r="K218" i="1" s="1"/>
  <c r="J81" i="1"/>
  <c r="K81" i="1" s="1"/>
  <c r="J28" i="1"/>
  <c r="K28" i="1" s="1"/>
  <c r="J171" i="1"/>
  <c r="K171" i="1" s="1"/>
  <c r="J110" i="1"/>
  <c r="K110" i="1" s="1"/>
  <c r="J152" i="1"/>
  <c r="K152" i="1" s="1"/>
  <c r="J44" i="1"/>
  <c r="K44" i="1" s="1"/>
  <c r="J202" i="1"/>
  <c r="K202" i="1" s="1"/>
  <c r="J54" i="1"/>
  <c r="K54" i="1" s="1"/>
  <c r="J143" i="1"/>
  <c r="K143" i="1" s="1"/>
  <c r="J65" i="1"/>
  <c r="K65" i="1" s="1"/>
  <c r="J188" i="1"/>
  <c r="K188" i="1" s="1"/>
  <c r="J120" i="1"/>
  <c r="K120" i="1" s="1"/>
  <c r="J27" i="1"/>
  <c r="K27" i="1" s="1"/>
  <c r="J146" i="1"/>
  <c r="K146" i="1" s="1"/>
  <c r="J30" i="1"/>
  <c r="K30" i="1" s="1"/>
  <c r="J24" i="1"/>
  <c r="K24" i="1" s="1"/>
  <c r="J131" i="1"/>
  <c r="K131" i="1" s="1"/>
  <c r="J35" i="1"/>
  <c r="K35" i="1" s="1"/>
  <c r="J158" i="1"/>
  <c r="K158" i="1" s="1"/>
  <c r="J212" i="1"/>
  <c r="K212" i="1" s="1"/>
  <c r="J58" i="1"/>
  <c r="K58" i="1" s="1"/>
  <c r="J73" i="1"/>
  <c r="K73" i="1" s="1"/>
  <c r="J164" i="1"/>
  <c r="K164" i="1" s="1"/>
  <c r="J105" i="1"/>
  <c r="K105" i="1" s="1"/>
  <c r="J147" i="1"/>
  <c r="K147" i="1" s="1"/>
  <c r="J39" i="1"/>
  <c r="K39" i="1" s="1"/>
  <c r="J180" i="1"/>
  <c r="K180" i="1" s="1"/>
  <c r="J124" i="1"/>
  <c r="K124" i="1" s="1"/>
  <c r="J57" i="1"/>
  <c r="K57" i="1" s="1"/>
  <c r="J183" i="1"/>
  <c r="K183" i="1" s="1"/>
  <c r="J118" i="1"/>
  <c r="K118" i="1" s="1"/>
  <c r="J198" i="1"/>
  <c r="K198" i="1" s="1"/>
  <c r="J220" i="1"/>
  <c r="K220" i="1" s="1"/>
  <c r="J97" i="1"/>
  <c r="K97" i="1" s="1"/>
  <c r="J129" i="1"/>
  <c r="K129" i="1" s="1"/>
  <c r="J156" i="1"/>
  <c r="K156" i="1" s="1"/>
  <c r="J206" i="1"/>
  <c r="K206" i="1" s="1"/>
  <c r="J56" i="1"/>
  <c r="K56" i="1" s="1"/>
  <c r="J221" i="1"/>
  <c r="K221" i="1" s="1"/>
  <c r="J190" i="1"/>
  <c r="K190" i="1" s="1"/>
  <c r="J46" i="1"/>
  <c r="K46" i="1" s="1"/>
  <c r="J154" i="1"/>
  <c r="K154" i="1" s="1"/>
  <c r="J89" i="1"/>
  <c r="K89" i="1" s="1"/>
  <c r="J133" i="1"/>
  <c r="K133" i="1" s="1"/>
  <c r="J162" i="1"/>
  <c r="K162" i="1" s="1"/>
  <c r="J47" i="1"/>
  <c r="K47" i="1" s="1"/>
  <c r="J177" i="1"/>
  <c r="K177" i="1" s="1"/>
  <c r="J92" i="1"/>
  <c r="K92" i="1" s="1"/>
  <c r="J170" i="1"/>
  <c r="K170" i="1" s="1"/>
  <c r="J111" i="1"/>
  <c r="K111" i="1" s="1"/>
  <c r="J186" i="1"/>
  <c r="K186" i="1" s="1"/>
  <c r="J134" i="1"/>
  <c r="K134" i="1" s="1"/>
  <c r="J213" i="1"/>
  <c r="K213" i="1" s="1"/>
  <c r="J95" i="1"/>
  <c r="K95" i="1" s="1"/>
  <c r="J139" i="1"/>
  <c r="K139" i="1" s="1"/>
  <c r="J150" i="1"/>
  <c r="K150" i="1" s="1"/>
  <c r="J196" i="1"/>
  <c r="K196" i="1" s="1"/>
  <c r="J50" i="1"/>
  <c r="K50" i="1" s="1"/>
  <c r="J40" i="1"/>
  <c r="K40" i="1" s="1"/>
  <c r="J86" i="1"/>
  <c r="K86" i="1" s="1"/>
  <c r="J29" i="1"/>
  <c r="K29" i="1" s="1"/>
  <c r="J42" i="1"/>
  <c r="K42" i="1" s="1"/>
  <c r="J174" i="1"/>
  <c r="K174" i="1" s="1"/>
  <c r="J109" i="1"/>
  <c r="K109" i="1" s="1"/>
  <c r="J209" i="1"/>
  <c r="K209" i="1" s="1"/>
  <c r="J108" i="1"/>
  <c r="K108" i="1" s="1"/>
  <c r="J100" i="1"/>
  <c r="K100" i="1" s="1"/>
  <c r="J61" i="1"/>
  <c r="K61" i="1" s="1"/>
  <c r="J125" i="1"/>
  <c r="K125" i="1" s="1"/>
  <c r="J179" i="1"/>
  <c r="K179" i="1" s="1"/>
  <c r="J112" i="1"/>
  <c r="K112" i="1" s="1"/>
  <c r="J161" i="1"/>
  <c r="K161" i="1" s="1"/>
  <c r="J116" i="1"/>
  <c r="K116" i="1" s="1"/>
  <c r="J197" i="1"/>
  <c r="K197" i="1" s="1"/>
  <c r="J193" i="1"/>
  <c r="K193" i="1" s="1"/>
  <c r="J76" i="1"/>
  <c r="K76" i="1" s="1"/>
  <c r="J70" i="1"/>
  <c r="K70" i="1" s="1"/>
  <c r="J144" i="1"/>
  <c r="K144" i="1" s="1"/>
  <c r="J173" i="1"/>
  <c r="K173" i="1" s="1"/>
  <c r="J91" i="1"/>
  <c r="K91" i="1" s="1"/>
  <c r="J204" i="1"/>
  <c r="K204" i="1" s="1"/>
  <c r="J121" i="1"/>
  <c r="K121" i="1" s="1"/>
  <c r="J182" i="1"/>
  <c r="K182" i="1" s="1"/>
  <c r="J214" i="1"/>
  <c r="K214" i="1" s="1"/>
  <c r="J165" i="1"/>
  <c r="K165" i="1" s="1"/>
  <c r="J69" i="1"/>
  <c r="K69" i="1" s="1"/>
  <c r="J205" i="1"/>
  <c r="K205" i="1" s="1"/>
  <c r="J136" i="1"/>
  <c r="K136" i="1" s="1"/>
  <c r="J153" i="1"/>
  <c r="K153" i="1" s="1"/>
  <c r="J45" i="1"/>
  <c r="K45" i="1" s="1"/>
  <c r="J130" i="1"/>
  <c r="K130" i="1" s="1"/>
  <c r="J48" i="1"/>
  <c r="K48" i="1" s="1"/>
  <c r="J216" i="1"/>
  <c r="K216" i="1" s="1"/>
  <c r="J104" i="1"/>
  <c r="K104" i="1" s="1"/>
  <c r="J211" i="1"/>
  <c r="K211" i="1" s="1"/>
  <c r="J80" i="1"/>
  <c r="K80" i="1" s="1"/>
  <c r="J93" i="1"/>
  <c r="K93" i="1" s="1"/>
  <c r="J175" i="1"/>
  <c r="K175" i="1" s="1"/>
  <c r="J137" i="1"/>
  <c r="K137" i="1" s="1"/>
  <c r="J199" i="1"/>
  <c r="K199" i="1" s="1"/>
  <c r="J195" i="1"/>
  <c r="K195" i="1" s="1"/>
  <c r="J201" i="1"/>
  <c r="K201" i="1" s="1"/>
  <c r="J90" i="1"/>
  <c r="K90" i="1" s="1"/>
  <c r="J123" i="1"/>
  <c r="K123" i="1" s="1"/>
  <c r="J219" i="1"/>
  <c r="K219" i="1" s="1"/>
  <c r="J192" i="1"/>
  <c r="K192" i="1" s="1"/>
  <c r="J63" i="1"/>
  <c r="K63" i="1" s="1"/>
  <c r="J106" i="1"/>
  <c r="K106" i="1" s="1"/>
  <c r="J79" i="1"/>
  <c r="K79" i="1" s="1"/>
  <c r="J115" i="1"/>
  <c r="K115" i="1" s="1"/>
  <c r="J217" i="1"/>
  <c r="K217" i="1" s="1"/>
  <c r="J168" i="1"/>
  <c r="K168" i="1" s="1"/>
  <c r="J53" i="1"/>
  <c r="K53" i="1" s="1"/>
  <c r="J36" i="1"/>
  <c r="K36" i="1" s="1"/>
  <c r="J113" i="1"/>
  <c r="K113" i="1" s="1"/>
  <c r="J210" i="1"/>
  <c r="K210" i="1" s="1"/>
  <c r="J77" i="1"/>
  <c r="K77" i="1" s="1"/>
  <c r="J82" i="1"/>
  <c r="K82" i="1" s="1"/>
  <c r="J155" i="1"/>
  <c r="K155" i="1" s="1"/>
  <c r="J132" i="1"/>
  <c r="K132" i="1" s="1"/>
  <c r="J208" i="1"/>
  <c r="K208" i="1" s="1"/>
  <c r="L28" i="1"/>
  <c r="J35" i="2"/>
  <c r="K35" i="2" s="1"/>
  <c r="J59" i="2"/>
  <c r="K59" i="2" s="1"/>
  <c r="J90" i="2"/>
  <c r="K90" i="2" s="1"/>
  <c r="J102" i="2"/>
  <c r="K102" i="2" s="1"/>
  <c r="J109" i="2"/>
  <c r="K109" i="2" s="1"/>
  <c r="J26" i="2"/>
  <c r="K26" i="2" s="1"/>
  <c r="J29" i="2"/>
  <c r="K29" i="2" s="1"/>
  <c r="J45" i="2"/>
  <c r="K45" i="2" s="1"/>
  <c r="J77" i="2"/>
  <c r="K77" i="2" s="1"/>
  <c r="J104" i="2"/>
  <c r="K104" i="2" s="1"/>
  <c r="J111" i="2"/>
  <c r="K111" i="2" s="1"/>
  <c r="J42" i="2"/>
  <c r="K42" i="2" s="1"/>
  <c r="J50" i="2"/>
  <c r="K50" i="2" s="1"/>
  <c r="J68" i="2"/>
  <c r="K68" i="2" s="1"/>
  <c r="J101" i="2"/>
  <c r="K101" i="2" s="1"/>
  <c r="J118" i="2"/>
  <c r="K118" i="2" s="1"/>
  <c r="J47" i="2"/>
  <c r="K47" i="2" s="1"/>
  <c r="J33" i="2"/>
  <c r="K33" i="2" s="1"/>
  <c r="J41" i="2"/>
  <c r="K41" i="2" s="1"/>
  <c r="J83" i="2"/>
  <c r="K83" i="2" s="1"/>
  <c r="J38" i="2"/>
  <c r="K38" i="2" s="1"/>
  <c r="J54" i="2"/>
  <c r="K54" i="2" s="1"/>
  <c r="J62" i="2"/>
  <c r="K62" i="2" s="1"/>
  <c r="J85" i="2"/>
  <c r="K85" i="2" s="1"/>
  <c r="J112" i="2"/>
  <c r="K112" i="2" s="1"/>
  <c r="J72" i="2"/>
  <c r="K72" i="2" s="1"/>
  <c r="J95" i="2"/>
  <c r="K95" i="2" s="1"/>
  <c r="J78" i="2"/>
  <c r="K78" i="2" s="1"/>
  <c r="J105" i="2"/>
  <c r="K105" i="2" s="1"/>
  <c r="J30" i="2"/>
  <c r="K30" i="2" s="1"/>
  <c r="J88" i="2"/>
  <c r="K88" i="2" s="1"/>
  <c r="J92" i="2"/>
  <c r="K92" i="2" s="1"/>
  <c r="J71" i="2"/>
  <c r="K71" i="2" s="1"/>
  <c r="J39" i="2"/>
  <c r="K39" i="2" s="1"/>
  <c r="J114" i="2"/>
  <c r="K114" i="2" s="1"/>
  <c r="J110" i="2"/>
  <c r="K110" i="2" s="1"/>
  <c r="J98" i="2"/>
  <c r="K98" i="2" s="1"/>
  <c r="J70" i="2"/>
  <c r="K70" i="2" s="1"/>
  <c r="J89" i="2"/>
  <c r="K89" i="2" s="1"/>
  <c r="J37" i="2"/>
  <c r="K37" i="2" s="1"/>
  <c r="J75" i="2"/>
  <c r="K75" i="2" s="1"/>
  <c r="J65" i="2"/>
  <c r="K65" i="2" s="1"/>
  <c r="J87" i="2"/>
  <c r="K87" i="2" s="1"/>
  <c r="J69" i="2"/>
  <c r="K69" i="2" s="1"/>
  <c r="J67" i="2"/>
  <c r="K67" i="2" s="1"/>
  <c r="J93" i="2"/>
  <c r="K93" i="2" s="1"/>
  <c r="J52" i="2"/>
  <c r="K52" i="2" s="1"/>
  <c r="J73" i="2"/>
  <c r="K73" i="2" s="1"/>
  <c r="J63" i="2"/>
  <c r="K63" i="2" s="1"/>
  <c r="J48" i="2"/>
  <c r="K48" i="2" s="1"/>
  <c r="J64" i="2"/>
  <c r="K64" i="2" s="1"/>
  <c r="J81" i="2"/>
  <c r="K81" i="2" s="1"/>
  <c r="J46" i="2"/>
  <c r="K46" i="2" s="1"/>
  <c r="J28" i="2"/>
  <c r="K28" i="2" s="1"/>
  <c r="J55" i="2"/>
  <c r="K55" i="2" s="1"/>
  <c r="J84" i="2"/>
  <c r="K84" i="2" s="1"/>
  <c r="J99" i="2"/>
  <c r="K99" i="2" s="1"/>
  <c r="J44" i="2"/>
  <c r="K44" i="2" s="1"/>
  <c r="J80" i="2"/>
  <c r="K80" i="2" s="1"/>
  <c r="J96" i="2"/>
  <c r="K96" i="2" s="1"/>
  <c r="J79" i="2"/>
  <c r="K79" i="2" s="1"/>
  <c r="J43" i="2"/>
  <c r="K43" i="2" s="1"/>
  <c r="J49" i="2"/>
  <c r="K49" i="2" s="1"/>
  <c r="J66" i="2"/>
  <c r="K66" i="2" s="1"/>
  <c r="J97" i="2"/>
  <c r="K97" i="2" s="1"/>
  <c r="J40" i="2"/>
  <c r="K40" i="2" s="1"/>
  <c r="J100" i="2"/>
  <c r="K100" i="2" s="1"/>
  <c r="J103" i="2"/>
  <c r="K103" i="2" s="1"/>
  <c r="J60" i="2"/>
  <c r="K60" i="2" s="1"/>
  <c r="J31" i="2"/>
  <c r="K31" i="2" s="1"/>
  <c r="J36" i="2"/>
  <c r="K36" i="2" s="1"/>
  <c r="J57" i="2"/>
  <c r="K57" i="2" s="1"/>
  <c r="J76" i="2"/>
  <c r="K76" i="2" s="1"/>
  <c r="J56" i="2"/>
  <c r="K56" i="2" s="1"/>
  <c r="J94" i="2"/>
  <c r="K94" i="2" s="1"/>
  <c r="J86" i="2"/>
  <c r="K86" i="2" s="1"/>
  <c r="J51" i="2"/>
  <c r="K51" i="2" s="1"/>
  <c r="J74" i="2"/>
  <c r="K74" i="2" s="1"/>
  <c r="J107" i="2"/>
  <c r="K107" i="2" s="1"/>
  <c r="J115" i="2"/>
  <c r="K115" i="2" s="1"/>
  <c r="J91" i="2"/>
  <c r="K91" i="2" s="1"/>
  <c r="J106" i="2"/>
  <c r="K106" i="2" s="1"/>
  <c r="J116" i="2"/>
  <c r="K116" i="2" s="1"/>
  <c r="J25" i="2"/>
  <c r="K25" i="2" s="1"/>
  <c r="J58" i="2"/>
  <c r="K58" i="2" s="1"/>
  <c r="J113" i="2"/>
  <c r="K113" i="2" s="1"/>
  <c r="J117" i="2"/>
  <c r="K117" i="2" s="1"/>
  <c r="J34" i="2"/>
  <c r="K34" i="2" s="1"/>
  <c r="J32" i="2"/>
  <c r="K32" i="2" s="1"/>
  <c r="J27" i="2"/>
  <c r="K27" i="2" s="1"/>
  <c r="J108" i="2"/>
  <c r="K108" i="2" s="1"/>
  <c r="J53" i="2"/>
  <c r="K53" i="2" s="1"/>
  <c r="J82" i="2"/>
  <c r="K82" i="2" s="1"/>
  <c r="J61" i="2"/>
  <c r="K61" i="2" s="1"/>
  <c r="J24" i="2"/>
  <c r="K24" i="2" s="1"/>
  <c r="J109" i="3"/>
  <c r="K109" i="3" s="1"/>
  <c r="J36" i="3"/>
  <c r="K36" i="3" s="1"/>
  <c r="J105" i="3"/>
  <c r="K105" i="3" s="1"/>
  <c r="J88" i="3"/>
  <c r="K88" i="3" s="1"/>
  <c r="J32" i="3"/>
  <c r="K32" i="3" s="1"/>
  <c r="J66" i="3"/>
  <c r="K66" i="3" s="1"/>
  <c r="J71" i="3"/>
  <c r="K71" i="3" s="1"/>
  <c r="J82" i="3"/>
  <c r="K82" i="3" s="1"/>
  <c r="J90" i="3"/>
  <c r="K90" i="3" s="1"/>
  <c r="J104" i="3"/>
  <c r="K104" i="3" s="1"/>
  <c r="J50" i="3"/>
  <c r="K50" i="3" s="1"/>
  <c r="J95" i="3"/>
  <c r="K95" i="3" s="1"/>
  <c r="J33" i="3"/>
  <c r="K33" i="3" s="1"/>
  <c r="J41" i="3"/>
  <c r="K41" i="3" s="1"/>
  <c r="J75" i="3"/>
  <c r="K75" i="3" s="1"/>
  <c r="J85" i="3"/>
  <c r="K85" i="3" s="1"/>
  <c r="J26" i="3"/>
  <c r="K26" i="3" s="1"/>
  <c r="J39" i="3"/>
  <c r="K39" i="3" s="1"/>
  <c r="J44" i="3"/>
  <c r="K44" i="3" s="1"/>
  <c r="J54" i="3"/>
  <c r="K54" i="3" s="1"/>
  <c r="J57" i="3"/>
  <c r="K57" i="3" s="1"/>
  <c r="J78" i="3"/>
  <c r="K78" i="3" s="1"/>
  <c r="J62" i="3"/>
  <c r="K62" i="3" s="1"/>
  <c r="J92" i="3"/>
  <c r="K92" i="3" s="1"/>
  <c r="J89" i="3"/>
  <c r="K89" i="3" s="1"/>
  <c r="J51" i="3"/>
  <c r="K51" i="3" s="1"/>
  <c r="J80" i="3"/>
  <c r="K80" i="3" s="1"/>
  <c r="J70" i="3"/>
  <c r="K70" i="3" s="1"/>
  <c r="J79" i="3"/>
  <c r="K79" i="3" s="1"/>
  <c r="J64" i="3"/>
  <c r="K64" i="3" s="1"/>
  <c r="J40" i="3"/>
  <c r="K40" i="3" s="1"/>
  <c r="J86" i="3"/>
  <c r="K86" i="3" s="1"/>
  <c r="J87" i="3"/>
  <c r="K87" i="3" s="1"/>
  <c r="J47" i="3"/>
  <c r="K47" i="3" s="1"/>
  <c r="J72" i="3"/>
  <c r="K72" i="3" s="1"/>
  <c r="J25" i="3"/>
  <c r="K25" i="3" s="1"/>
  <c r="J110" i="3"/>
  <c r="K110" i="3" s="1"/>
  <c r="J73" i="3"/>
  <c r="K73" i="3" s="1"/>
  <c r="J48" i="3"/>
  <c r="K48" i="3" s="1"/>
  <c r="J74" i="3"/>
  <c r="K74" i="3" s="1"/>
  <c r="J81" i="3"/>
  <c r="K81" i="3" s="1"/>
  <c r="J35" i="3"/>
  <c r="K35" i="3" s="1"/>
  <c r="J60" i="3"/>
  <c r="K60" i="3" s="1"/>
  <c r="J43" i="3"/>
  <c r="K43" i="3" s="1"/>
  <c r="J63" i="3"/>
  <c r="K63" i="3" s="1"/>
  <c r="J30" i="3"/>
  <c r="K30" i="3" s="1"/>
  <c r="J68" i="3"/>
  <c r="K68" i="3" s="1"/>
  <c r="J77" i="3"/>
  <c r="K77" i="3" s="1"/>
  <c r="J29" i="3"/>
  <c r="K29" i="3" s="1"/>
  <c r="J107" i="3"/>
  <c r="K107" i="3" s="1"/>
  <c r="J46" i="3"/>
  <c r="K46" i="3" s="1"/>
  <c r="J94" i="3"/>
  <c r="K94" i="3" s="1"/>
  <c r="J108" i="3"/>
  <c r="K108" i="3" s="1"/>
  <c r="J93" i="3"/>
  <c r="K93" i="3" s="1"/>
  <c r="J56" i="3"/>
  <c r="K56" i="3" s="1"/>
  <c r="J69" i="3"/>
  <c r="K69" i="3" s="1"/>
  <c r="J100" i="3"/>
  <c r="K100" i="3" s="1"/>
  <c r="J28" i="3"/>
  <c r="K28" i="3" s="1"/>
  <c r="J83" i="3"/>
  <c r="K83" i="3" s="1"/>
  <c r="J49" i="3"/>
  <c r="K49" i="3" s="1"/>
  <c r="J76" i="3"/>
  <c r="K76" i="3" s="1"/>
  <c r="J106" i="3"/>
  <c r="K106" i="3" s="1"/>
  <c r="J37" i="3"/>
  <c r="K37" i="3" s="1"/>
  <c r="J84" i="3"/>
  <c r="K84" i="3" s="1"/>
  <c r="J38" i="3"/>
  <c r="K38" i="3" s="1"/>
  <c r="J111" i="3"/>
  <c r="K111" i="3" s="1"/>
  <c r="J65" i="3"/>
  <c r="K65" i="3" s="1"/>
  <c r="J98" i="3"/>
  <c r="K98" i="3" s="1"/>
  <c r="J52" i="3"/>
  <c r="K52" i="3" s="1"/>
  <c r="J101" i="3"/>
  <c r="K101" i="3" s="1"/>
  <c r="J27" i="3"/>
  <c r="K27" i="3" s="1"/>
  <c r="J58" i="3"/>
  <c r="K58" i="3" s="1"/>
  <c r="J102" i="3"/>
  <c r="K102" i="3" s="1"/>
  <c r="J91" i="3"/>
  <c r="K91" i="3" s="1"/>
  <c r="J53" i="3"/>
  <c r="K53" i="3" s="1"/>
  <c r="J112" i="3"/>
  <c r="K112" i="3" s="1"/>
  <c r="J34" i="3"/>
  <c r="K34" i="3" s="1"/>
  <c r="J97" i="3"/>
  <c r="K97" i="3" s="1"/>
  <c r="J45" i="3"/>
  <c r="K45" i="3" s="1"/>
  <c r="J61" i="3"/>
  <c r="K61" i="3" s="1"/>
  <c r="J96" i="3"/>
  <c r="K96" i="3" s="1"/>
  <c r="J67" i="3"/>
  <c r="K67" i="3" s="1"/>
  <c r="J24" i="3"/>
  <c r="K24" i="3" s="1"/>
  <c r="J42" i="3"/>
  <c r="K42" i="3" s="1"/>
  <c r="J99" i="3"/>
  <c r="K99" i="3" s="1"/>
  <c r="J103" i="3"/>
  <c r="K103" i="3" s="1"/>
  <c r="J55" i="3"/>
  <c r="K55" i="3" s="1"/>
  <c r="J59" i="3"/>
  <c r="K59" i="3" s="1"/>
  <c r="J31" i="3"/>
  <c r="K31" i="3" s="1"/>
  <c r="B13" i="4"/>
  <c r="B12" i="2"/>
  <c r="L27" i="2"/>
  <c r="M26" i="2"/>
  <c r="N26" i="2" s="1"/>
  <c r="O26" i="2" s="1"/>
  <c r="L27" i="5"/>
  <c r="M26" i="5"/>
  <c r="N26" i="5" s="1"/>
  <c r="O26" i="5" s="1"/>
  <c r="N24" i="1"/>
  <c r="O24" i="1" s="1"/>
  <c r="M25" i="1"/>
  <c r="B12" i="3"/>
  <c r="J39" i="4"/>
  <c r="K39" i="4" s="1"/>
  <c r="J44" i="4"/>
  <c r="K44" i="4" s="1"/>
  <c r="J81" i="4"/>
  <c r="K81" i="4" s="1"/>
  <c r="J36" i="4"/>
  <c r="K36" i="4" s="1"/>
  <c r="J68" i="4"/>
  <c r="K68" i="4" s="1"/>
  <c r="J29" i="4"/>
  <c r="K29" i="4" s="1"/>
  <c r="J38" i="4"/>
  <c r="K38" i="4" s="1"/>
  <c r="J41" i="4"/>
  <c r="K41" i="4" s="1"/>
  <c r="J50" i="4"/>
  <c r="K50" i="4" s="1"/>
  <c r="J59" i="4"/>
  <c r="K59" i="4" s="1"/>
  <c r="J53" i="4"/>
  <c r="K53" i="4" s="1"/>
  <c r="J56" i="4"/>
  <c r="K56" i="4" s="1"/>
  <c r="J26" i="4"/>
  <c r="K26" i="4" s="1"/>
  <c r="J71" i="4"/>
  <c r="K71" i="4" s="1"/>
  <c r="J42" i="4"/>
  <c r="K42" i="4" s="1"/>
  <c r="J69" i="4"/>
  <c r="K69" i="4" s="1"/>
  <c r="J72" i="4"/>
  <c r="K72" i="4" s="1"/>
  <c r="J73" i="4"/>
  <c r="K73" i="4" s="1"/>
  <c r="J63" i="4"/>
  <c r="K63" i="4" s="1"/>
  <c r="J37" i="4"/>
  <c r="K37" i="4" s="1"/>
  <c r="J43" i="4"/>
  <c r="K43" i="4" s="1"/>
  <c r="J65" i="4"/>
  <c r="K65" i="4" s="1"/>
  <c r="J62" i="4"/>
  <c r="K62" i="4" s="1"/>
  <c r="J60" i="4"/>
  <c r="K60" i="4" s="1"/>
  <c r="J58" i="4"/>
  <c r="K58" i="4" s="1"/>
  <c r="J28" i="4"/>
  <c r="K28" i="4" s="1"/>
  <c r="J64" i="4"/>
  <c r="K64" i="4" s="1"/>
  <c r="J57" i="4"/>
  <c r="K57" i="4" s="1"/>
  <c r="J54" i="4"/>
  <c r="K54" i="4" s="1"/>
  <c r="J31" i="4"/>
  <c r="K31" i="4" s="1"/>
  <c r="J46" i="4"/>
  <c r="K46" i="4" s="1"/>
  <c r="J55" i="4"/>
  <c r="K55" i="4" s="1"/>
  <c r="J27" i="4"/>
  <c r="K27" i="4" s="1"/>
  <c r="J25" i="4"/>
  <c r="K25" i="4" s="1"/>
  <c r="J48" i="4"/>
  <c r="K48" i="4" s="1"/>
  <c r="J51" i="4"/>
  <c r="K51" i="4" s="1"/>
  <c r="J32" i="4"/>
  <c r="K32" i="4" s="1"/>
  <c r="J52" i="4"/>
  <c r="K52" i="4" s="1"/>
  <c r="J47" i="4"/>
  <c r="K47" i="4" s="1"/>
  <c r="J24" i="4"/>
  <c r="K24" i="4" s="1"/>
  <c r="J49" i="4"/>
  <c r="K49" i="4" s="1"/>
  <c r="J80" i="4"/>
  <c r="K80" i="4" s="1"/>
  <c r="J30" i="4"/>
  <c r="K30" i="4" s="1"/>
  <c r="J35" i="4"/>
  <c r="K35" i="4" s="1"/>
  <c r="J78" i="4"/>
  <c r="K78" i="4" s="1"/>
  <c r="J45" i="4"/>
  <c r="K45" i="4" s="1"/>
  <c r="J66" i="4"/>
  <c r="K66" i="4" s="1"/>
  <c r="J75" i="4"/>
  <c r="K75" i="4" s="1"/>
  <c r="J74" i="4"/>
  <c r="K74" i="4" s="1"/>
  <c r="J67" i="4"/>
  <c r="K67" i="4" s="1"/>
  <c r="J40" i="4"/>
  <c r="K40" i="4" s="1"/>
  <c r="J61" i="4"/>
  <c r="K61" i="4" s="1"/>
  <c r="J34" i="4"/>
  <c r="K34" i="4" s="1"/>
  <c r="J79" i="4"/>
  <c r="K79" i="4" s="1"/>
  <c r="J33" i="4"/>
  <c r="K33" i="4" s="1"/>
  <c r="J76" i="4"/>
  <c r="K76" i="4" s="1"/>
  <c r="J82" i="4"/>
  <c r="K82" i="4" s="1"/>
  <c r="J70" i="4"/>
  <c r="K70" i="4" s="1"/>
  <c r="J77" i="4"/>
  <c r="K77" i="4" s="1"/>
  <c r="J57" i="5"/>
  <c r="K57" i="5" s="1"/>
  <c r="J75" i="5"/>
  <c r="K75" i="5" s="1"/>
  <c r="J85" i="5"/>
  <c r="K85" i="5" s="1"/>
  <c r="J97" i="5"/>
  <c r="K97" i="5" s="1"/>
  <c r="J102" i="5"/>
  <c r="K102" i="5" s="1"/>
  <c r="J119" i="5"/>
  <c r="K119" i="5" s="1"/>
  <c r="J134" i="5"/>
  <c r="K134" i="5" s="1"/>
  <c r="J30" i="5"/>
  <c r="K30" i="5" s="1"/>
  <c r="J35" i="5"/>
  <c r="K35" i="5" s="1"/>
  <c r="J77" i="5"/>
  <c r="K77" i="5" s="1"/>
  <c r="J104" i="5"/>
  <c r="K104" i="5" s="1"/>
  <c r="J121" i="5"/>
  <c r="K121" i="5" s="1"/>
  <c r="J51" i="5"/>
  <c r="K51" i="5" s="1"/>
  <c r="J74" i="5"/>
  <c r="K74" i="5" s="1"/>
  <c r="J84" i="5"/>
  <c r="K84" i="5" s="1"/>
  <c r="J39" i="5"/>
  <c r="K39" i="5" s="1"/>
  <c r="J44" i="5"/>
  <c r="K44" i="5" s="1"/>
  <c r="J65" i="5"/>
  <c r="K65" i="5" s="1"/>
  <c r="J68" i="5"/>
  <c r="K68" i="5" s="1"/>
  <c r="J79" i="5"/>
  <c r="K79" i="5" s="1"/>
  <c r="J93" i="5"/>
  <c r="K93" i="5" s="1"/>
  <c r="J125" i="5"/>
  <c r="K125" i="5" s="1"/>
  <c r="J71" i="5"/>
  <c r="K71" i="5" s="1"/>
  <c r="J98" i="5"/>
  <c r="K98" i="5" s="1"/>
  <c r="J120" i="5"/>
  <c r="K120" i="5" s="1"/>
  <c r="J149" i="5"/>
  <c r="K149" i="5" s="1"/>
  <c r="J139" i="5"/>
  <c r="K139" i="5" s="1"/>
  <c r="J41" i="5"/>
  <c r="K41" i="5" s="1"/>
  <c r="J103" i="5"/>
  <c r="K103" i="5" s="1"/>
  <c r="J76" i="5"/>
  <c r="K76" i="5" s="1"/>
  <c r="J115" i="5"/>
  <c r="K115" i="5" s="1"/>
  <c r="J86" i="5"/>
  <c r="K86" i="5" s="1"/>
  <c r="J148" i="5"/>
  <c r="K148" i="5" s="1"/>
  <c r="J94" i="5"/>
  <c r="K94" i="5" s="1"/>
  <c r="J117" i="5"/>
  <c r="K117" i="5" s="1"/>
  <c r="J43" i="5"/>
  <c r="K43" i="5" s="1"/>
  <c r="J142" i="5"/>
  <c r="K142" i="5" s="1"/>
  <c r="J110" i="5"/>
  <c r="K110" i="5" s="1"/>
  <c r="J91" i="5"/>
  <c r="K91" i="5" s="1"/>
  <c r="J52" i="5"/>
  <c r="K52" i="5" s="1"/>
  <c r="J92" i="5"/>
  <c r="K92" i="5" s="1"/>
  <c r="J80" i="5"/>
  <c r="K80" i="5" s="1"/>
  <c r="J111" i="5"/>
  <c r="K111" i="5" s="1"/>
  <c r="J114" i="5"/>
  <c r="K114" i="5" s="1"/>
  <c r="J138" i="5"/>
  <c r="K138" i="5" s="1"/>
  <c r="J48" i="5"/>
  <c r="K48" i="5" s="1"/>
  <c r="J46" i="5"/>
  <c r="K46" i="5" s="1"/>
  <c r="J101" i="5"/>
  <c r="K101" i="5" s="1"/>
  <c r="J69" i="5"/>
  <c r="K69" i="5" s="1"/>
  <c r="J137" i="5"/>
  <c r="K137" i="5" s="1"/>
  <c r="J67" i="5"/>
  <c r="K67" i="5" s="1"/>
  <c r="J78" i="5"/>
  <c r="K78" i="5" s="1"/>
  <c r="J107" i="5"/>
  <c r="K107" i="5" s="1"/>
  <c r="J99" i="5"/>
  <c r="K99" i="5" s="1"/>
  <c r="J132" i="5"/>
  <c r="K132" i="5" s="1"/>
  <c r="J140" i="5"/>
  <c r="K140" i="5" s="1"/>
  <c r="J36" i="5"/>
  <c r="K36" i="5" s="1"/>
  <c r="J127" i="5"/>
  <c r="K127" i="5" s="1"/>
  <c r="J82" i="5"/>
  <c r="K82" i="5" s="1"/>
  <c r="J128" i="5"/>
  <c r="K128" i="5" s="1"/>
  <c r="J54" i="5"/>
  <c r="K54" i="5" s="1"/>
  <c r="J124" i="5"/>
  <c r="K124" i="5" s="1"/>
  <c r="J38" i="5"/>
  <c r="K38" i="5" s="1"/>
  <c r="J112" i="5"/>
  <c r="K112" i="5" s="1"/>
  <c r="J133" i="5"/>
  <c r="K133" i="5" s="1"/>
  <c r="J59" i="5"/>
  <c r="K59" i="5" s="1"/>
  <c r="J105" i="5"/>
  <c r="K105" i="5" s="1"/>
  <c r="J122" i="5"/>
  <c r="K122" i="5" s="1"/>
  <c r="J116" i="5"/>
  <c r="K116" i="5" s="1"/>
  <c r="J135" i="5"/>
  <c r="K135" i="5" s="1"/>
  <c r="J141" i="5"/>
  <c r="K141" i="5" s="1"/>
  <c r="J37" i="5"/>
  <c r="K37" i="5" s="1"/>
  <c r="J126" i="5"/>
  <c r="K126" i="5" s="1"/>
  <c r="J109" i="5"/>
  <c r="K109" i="5" s="1"/>
  <c r="J147" i="5"/>
  <c r="K147" i="5" s="1"/>
  <c r="J32" i="5"/>
  <c r="K32" i="5" s="1"/>
  <c r="J131" i="5"/>
  <c r="K131" i="5" s="1"/>
  <c r="J26" i="5"/>
  <c r="K26" i="5" s="1"/>
  <c r="J50" i="5"/>
  <c r="K50" i="5" s="1"/>
  <c r="J73" i="5"/>
  <c r="K73" i="5" s="1"/>
  <c r="J72" i="5"/>
  <c r="K72" i="5" s="1"/>
  <c r="J33" i="5"/>
  <c r="K33" i="5" s="1"/>
  <c r="J95" i="5"/>
  <c r="K95" i="5" s="1"/>
  <c r="J31" i="5"/>
  <c r="K31" i="5" s="1"/>
  <c r="J34" i="5"/>
  <c r="K34" i="5" s="1"/>
  <c r="J61" i="5"/>
  <c r="K61" i="5" s="1"/>
  <c r="J136" i="5"/>
  <c r="K136" i="5" s="1"/>
  <c r="J145" i="5"/>
  <c r="K145" i="5" s="1"/>
  <c r="J28" i="5"/>
  <c r="K28" i="5" s="1"/>
  <c r="J129" i="5"/>
  <c r="K129" i="5" s="1"/>
  <c r="J24" i="5"/>
  <c r="K24" i="5" s="1"/>
  <c r="J29" i="5"/>
  <c r="K29" i="5" s="1"/>
  <c r="J66" i="5"/>
  <c r="K66" i="5" s="1"/>
  <c r="J83" i="5"/>
  <c r="K83" i="5" s="1"/>
  <c r="J146" i="5"/>
  <c r="K146" i="5" s="1"/>
  <c r="J96" i="5"/>
  <c r="K96" i="5" s="1"/>
  <c r="J47" i="5"/>
  <c r="K47" i="5" s="1"/>
  <c r="J144" i="5"/>
  <c r="K144" i="5" s="1"/>
  <c r="J60" i="5"/>
  <c r="K60" i="5" s="1"/>
  <c r="J56" i="5"/>
  <c r="K56" i="5" s="1"/>
  <c r="J88" i="5"/>
  <c r="K88" i="5" s="1"/>
  <c r="J55" i="5"/>
  <c r="K55" i="5" s="1"/>
  <c r="J118" i="5"/>
  <c r="K118" i="5" s="1"/>
  <c r="J106" i="5"/>
  <c r="K106" i="5" s="1"/>
  <c r="J49" i="5"/>
  <c r="K49" i="5" s="1"/>
  <c r="J64" i="5"/>
  <c r="K64" i="5" s="1"/>
  <c r="J123" i="5"/>
  <c r="K123" i="5" s="1"/>
  <c r="J63" i="5"/>
  <c r="K63" i="5" s="1"/>
  <c r="J42" i="5"/>
  <c r="K42" i="5" s="1"/>
  <c r="J89" i="5"/>
  <c r="K89" i="5" s="1"/>
  <c r="J108" i="5"/>
  <c r="K108" i="5" s="1"/>
  <c r="J143" i="5"/>
  <c r="K143" i="5" s="1"/>
  <c r="J87" i="5"/>
  <c r="K87" i="5" s="1"/>
  <c r="J100" i="5"/>
  <c r="K100" i="5" s="1"/>
  <c r="J81" i="5"/>
  <c r="K81" i="5" s="1"/>
  <c r="J27" i="5"/>
  <c r="K27" i="5" s="1"/>
  <c r="J53" i="5"/>
  <c r="K53" i="5" s="1"/>
  <c r="J70" i="5"/>
  <c r="K70" i="5" s="1"/>
  <c r="J58" i="5"/>
  <c r="K58" i="5" s="1"/>
  <c r="J90" i="5"/>
  <c r="K90" i="5" s="1"/>
  <c r="J45" i="5"/>
  <c r="K45" i="5" s="1"/>
  <c r="J62" i="5"/>
  <c r="K62" i="5" s="1"/>
  <c r="J25" i="5"/>
  <c r="K25" i="5" s="1"/>
  <c r="J130" i="5"/>
  <c r="K130" i="5" s="1"/>
  <c r="J113" i="5"/>
  <c r="K113" i="5" s="1"/>
  <c r="J40" i="5"/>
  <c r="K40" i="5" s="1"/>
  <c r="I13" i="1"/>
  <c r="I13" i="2"/>
  <c r="B11" i="4"/>
  <c r="M25" i="3"/>
  <c r="N25" i="3" s="1"/>
  <c r="O25" i="3" s="1"/>
  <c r="L26" i="3"/>
  <c r="L28" i="4"/>
  <c r="M27" i="4"/>
  <c r="N27" i="4" s="1"/>
  <c r="O27" i="4" s="1"/>
  <c r="B12" i="1"/>
  <c r="J21" i="1"/>
  <c r="J23" i="1"/>
  <c r="K23" i="1" s="1"/>
  <c r="J22" i="1"/>
  <c r="K22" i="1" s="1"/>
  <c r="I11" i="2"/>
  <c r="J21" i="2"/>
  <c r="J23" i="2"/>
  <c r="K23" i="2" s="1"/>
  <c r="J22" i="2"/>
  <c r="K22" i="2" s="1"/>
  <c r="B12" i="5"/>
  <c r="J21" i="5"/>
  <c r="J22" i="5"/>
  <c r="K22" i="5" s="1"/>
  <c r="J23" i="5"/>
  <c r="K23" i="5" s="1"/>
  <c r="I11" i="5"/>
  <c r="U7" i="3"/>
  <c r="J23" i="3"/>
  <c r="K23" i="3" s="1"/>
  <c r="J22" i="3"/>
  <c r="K22" i="3" s="1"/>
  <c r="J21" i="3"/>
  <c r="U6" i="3"/>
  <c r="U5" i="3"/>
  <c r="U7" i="4"/>
  <c r="U5" i="4"/>
  <c r="I12" i="4"/>
  <c r="J22" i="4"/>
  <c r="K22" i="4" s="1"/>
  <c r="J23" i="4"/>
  <c r="K23" i="4" s="1"/>
  <c r="J21" i="4"/>
  <c r="U6" i="4"/>
  <c r="U4" i="4"/>
  <c r="U4" i="3"/>
  <c r="I12" i="2"/>
  <c r="U4" i="2"/>
  <c r="U5" i="2"/>
  <c r="I12" i="3"/>
  <c r="U5" i="5"/>
  <c r="U6" i="2"/>
  <c r="M5" i="4"/>
  <c r="I12" i="5"/>
  <c r="F5" i="4"/>
  <c r="B12" i="4"/>
  <c r="F5" i="3"/>
  <c r="I12" i="1"/>
  <c r="U4" i="1"/>
  <c r="U5" i="1"/>
  <c r="U6" i="1"/>
  <c r="U4" i="5"/>
  <c r="U6" i="5"/>
  <c r="U7" i="5"/>
  <c r="U7" i="2"/>
  <c r="U7" i="1"/>
  <c r="N25" i="1" l="1"/>
  <c r="O25" i="1" s="1"/>
  <c r="M26" i="1"/>
  <c r="L29" i="1"/>
  <c r="L29" i="4"/>
  <c r="M28" i="4"/>
  <c r="N28" i="4" s="1"/>
  <c r="O28" i="4" s="1"/>
  <c r="L27" i="3"/>
  <c r="M26" i="3"/>
  <c r="N26" i="3" s="1"/>
  <c r="O26" i="3" s="1"/>
  <c r="L28" i="5"/>
  <c r="M27" i="5"/>
  <c r="N27" i="5" s="1"/>
  <c r="O27" i="5" s="1"/>
  <c r="L28" i="2"/>
  <c r="M27" i="2"/>
  <c r="N27" i="2" s="1"/>
  <c r="O27" i="2" s="1"/>
  <c r="K21" i="1"/>
  <c r="D3" i="1"/>
  <c r="K3" i="1" a="1"/>
  <c r="K3" i="1" s="1"/>
  <c r="K21" i="2"/>
  <c r="D3" i="2"/>
  <c r="K3" i="2" a="1"/>
  <c r="K3" i="2" s="1"/>
  <c r="K21" i="5"/>
  <c r="D3" i="5"/>
  <c r="K3" i="5" a="1"/>
  <c r="K3" i="5" s="1"/>
  <c r="K21" i="3"/>
  <c r="D3" i="3"/>
  <c r="K3" i="3" a="1"/>
  <c r="K3" i="3" s="1"/>
  <c r="K21" i="4"/>
  <c r="K3" i="4" a="1"/>
  <c r="K3" i="4" s="1"/>
  <c r="D3" i="4"/>
  <c r="L28" i="3" l="1"/>
  <c r="M27" i="3"/>
  <c r="N27" i="3" s="1"/>
  <c r="O27" i="3" s="1"/>
  <c r="M28" i="2"/>
  <c r="N28" i="2" s="1"/>
  <c r="O28" i="2" s="1"/>
  <c r="L29" i="2"/>
  <c r="L30" i="4"/>
  <c r="M29" i="4"/>
  <c r="N29" i="4" s="1"/>
  <c r="O29" i="4" s="1"/>
  <c r="L29" i="5"/>
  <c r="M28" i="5"/>
  <c r="N28" i="5" s="1"/>
  <c r="O28" i="5" s="1"/>
  <c r="L30" i="1"/>
  <c r="N26" i="1"/>
  <c r="O26" i="1" s="1"/>
  <c r="M27" i="1"/>
  <c r="Q21" i="1"/>
  <c r="L10" i="1" a="1"/>
  <c r="L10" i="1" s="1"/>
  <c r="E9" i="1"/>
  <c r="W7" i="1" a="1"/>
  <c r="W7" i="1" s="1"/>
  <c r="X7" i="1" s="1"/>
  <c r="E4" i="1"/>
  <c r="E12" i="1" s="1"/>
  <c r="E10" i="1"/>
  <c r="L8" i="1" a="1"/>
  <c r="L8" i="1" s="1"/>
  <c r="V7" i="1" a="1"/>
  <c r="V7" i="1" s="1"/>
  <c r="W6" i="1" a="1"/>
  <c r="W6" i="1" s="1"/>
  <c r="X6" i="1" s="1"/>
  <c r="W4" i="1" a="1"/>
  <c r="W4" i="1" s="1"/>
  <c r="X4" i="1" s="1"/>
  <c r="L7" i="1" a="1"/>
  <c r="L7" i="1" s="1"/>
  <c r="V6" i="1" a="1"/>
  <c r="V6" i="1" s="1"/>
  <c r="W5" i="1" a="1"/>
  <c r="W5" i="1" s="1"/>
  <c r="X5" i="1" s="1"/>
  <c r="L5" i="1" a="1"/>
  <c r="L5" i="1" s="1"/>
  <c r="L6" i="1" s="1" a="1"/>
  <c r="L6" i="1" s="1"/>
  <c r="E3" i="1"/>
  <c r="V4" i="1" a="1"/>
  <c r="V4" i="1" s="1"/>
  <c r="L4" i="1" a="1"/>
  <c r="L4" i="1" s="1"/>
  <c r="L12" i="1" s="1"/>
  <c r="L9" i="1" a="1"/>
  <c r="L9" i="1" s="1"/>
  <c r="E8" i="1"/>
  <c r="V5" i="1" a="1"/>
  <c r="V5" i="1" s="1"/>
  <c r="L3" i="1" a="1"/>
  <c r="L3" i="1" s="1"/>
  <c r="E7" i="1"/>
  <c r="E13" i="1" s="1"/>
  <c r="E5" i="1"/>
  <c r="E6" i="1" s="1"/>
  <c r="Q21" i="2"/>
  <c r="E10" i="2"/>
  <c r="L8" i="2" a="1"/>
  <c r="L8" i="2" s="1"/>
  <c r="V7" i="2" a="1"/>
  <c r="V7" i="2" s="1"/>
  <c r="W4" i="2" a="1"/>
  <c r="W4" i="2" s="1"/>
  <c r="X4" i="2" s="1"/>
  <c r="L7" i="2" a="1"/>
  <c r="L7" i="2" s="1"/>
  <c r="W6" i="2" a="1"/>
  <c r="W6" i="2" s="1"/>
  <c r="X6" i="2" s="1"/>
  <c r="L9" i="2" a="1"/>
  <c r="L9" i="2" s="1"/>
  <c r="E8" i="2"/>
  <c r="V6" i="2" a="1"/>
  <c r="V6" i="2" s="1"/>
  <c r="W5" i="2" a="1"/>
  <c r="W5" i="2" s="1"/>
  <c r="X5" i="2" s="1"/>
  <c r="L5" i="2" a="1"/>
  <c r="L5" i="2" s="1"/>
  <c r="L6" i="2" s="1" a="1"/>
  <c r="L6" i="2" s="1"/>
  <c r="V4" i="2" a="1"/>
  <c r="V4" i="2" s="1"/>
  <c r="L4" i="2" a="1"/>
  <c r="L4" i="2" s="1"/>
  <c r="L12" i="2" s="1"/>
  <c r="L3" i="2" a="1"/>
  <c r="L3" i="2" s="1"/>
  <c r="E3" i="2"/>
  <c r="V5" i="2" a="1"/>
  <c r="V5" i="2" s="1"/>
  <c r="L10" i="2" a="1"/>
  <c r="L10" i="2" s="1"/>
  <c r="E9" i="2"/>
  <c r="E7" i="2"/>
  <c r="E5" i="2"/>
  <c r="E6" i="2" s="1"/>
  <c r="W7" i="2" a="1"/>
  <c r="W7" i="2" s="1"/>
  <c r="X7" i="2" s="1"/>
  <c r="E4" i="2"/>
  <c r="E12" i="2" s="1"/>
  <c r="Q21" i="5"/>
  <c r="V6" i="5" a="1"/>
  <c r="V6" i="5" s="1"/>
  <c r="W5" i="5" a="1"/>
  <c r="W5" i="5" s="1"/>
  <c r="X5" i="5" s="1"/>
  <c r="L5" i="5" a="1"/>
  <c r="L5" i="5" s="1"/>
  <c r="L6" i="5" s="1" a="1"/>
  <c r="L6" i="5" s="1"/>
  <c r="L4" i="5" a="1"/>
  <c r="L4" i="5" s="1"/>
  <c r="L12" i="5" s="1"/>
  <c r="L9" i="5" a="1"/>
  <c r="L9" i="5" s="1"/>
  <c r="E8" i="5"/>
  <c r="V5" i="5" a="1"/>
  <c r="V5" i="5" s="1"/>
  <c r="E7" i="5"/>
  <c r="E5" i="5"/>
  <c r="E6" i="5" s="1"/>
  <c r="L10" i="5" a="1"/>
  <c r="L10" i="5" s="1"/>
  <c r="E9" i="5"/>
  <c r="E4" i="5"/>
  <c r="E12" i="5" s="1"/>
  <c r="W4" i="5" a="1"/>
  <c r="W4" i="5" s="1"/>
  <c r="X4" i="5" s="1"/>
  <c r="W7" i="5" a="1"/>
  <c r="W7" i="5" s="1"/>
  <c r="X7" i="5" s="1"/>
  <c r="E3" i="5"/>
  <c r="L3" i="5" a="1"/>
  <c r="L3" i="5" s="1"/>
  <c r="E10" i="5"/>
  <c r="L8" i="5" a="1"/>
  <c r="L8" i="5" s="1"/>
  <c r="V7" i="5" a="1"/>
  <c r="V7" i="5" s="1"/>
  <c r="L7" i="5" a="1"/>
  <c r="L7" i="5" s="1"/>
  <c r="W6" i="5" a="1"/>
  <c r="W6" i="5" s="1"/>
  <c r="X6" i="5" s="1"/>
  <c r="V4" i="5" a="1"/>
  <c r="V4" i="5" s="1"/>
  <c r="Q21" i="3"/>
  <c r="L10" i="3" a="1"/>
  <c r="L10" i="3" s="1"/>
  <c r="L9" i="3" a="1"/>
  <c r="L9" i="3" s="1"/>
  <c r="L8" i="3" a="1"/>
  <c r="L8" i="3" s="1"/>
  <c r="W7" i="3" a="1"/>
  <c r="W7" i="3" s="1"/>
  <c r="X7" i="3" s="1"/>
  <c r="E5" i="3"/>
  <c r="E6" i="3" s="1"/>
  <c r="V4" i="3" a="1"/>
  <c r="V4" i="3" s="1"/>
  <c r="V7" i="3" a="1"/>
  <c r="V7" i="3" s="1"/>
  <c r="E3" i="3"/>
  <c r="E10" i="3"/>
  <c r="E9" i="3"/>
  <c r="E8" i="3"/>
  <c r="L7" i="3" a="1"/>
  <c r="L7" i="3" s="1"/>
  <c r="W6" i="3" a="1"/>
  <c r="W6" i="3" s="1"/>
  <c r="X6" i="3" s="1"/>
  <c r="V5" i="3" a="1"/>
  <c r="V5" i="3" s="1"/>
  <c r="L3" i="3" a="1"/>
  <c r="L3" i="3" s="1"/>
  <c r="E4" i="3"/>
  <c r="E12" i="3" s="1"/>
  <c r="V6" i="3" a="1"/>
  <c r="V6" i="3" s="1"/>
  <c r="L5" i="3" a="1"/>
  <c r="L5" i="3" s="1"/>
  <c r="L6" i="3" s="1" a="1"/>
  <c r="L6" i="3" s="1"/>
  <c r="L4" i="3" a="1"/>
  <c r="L4" i="3" s="1"/>
  <c r="L12" i="3" s="1"/>
  <c r="W4" i="3" a="1"/>
  <c r="W4" i="3" s="1"/>
  <c r="X4" i="3" s="1"/>
  <c r="E7" i="3"/>
  <c r="W5" i="3" a="1"/>
  <c r="W5" i="3" s="1"/>
  <c r="X5" i="3" s="1"/>
  <c r="Q21" i="4"/>
  <c r="L9" i="4" a="1"/>
  <c r="L9" i="4" s="1"/>
  <c r="E8" i="4"/>
  <c r="E7" i="4"/>
  <c r="L10" i="4" a="1"/>
  <c r="L10" i="4" s="1"/>
  <c r="E9" i="4"/>
  <c r="W4" i="4" a="1"/>
  <c r="W4" i="4" s="1"/>
  <c r="X4" i="4" s="1"/>
  <c r="W6" i="4" a="1"/>
  <c r="W6" i="4" s="1"/>
  <c r="X6" i="4" s="1"/>
  <c r="L5" i="4" a="1"/>
  <c r="L5" i="4" s="1"/>
  <c r="L6" i="4" s="1" a="1"/>
  <c r="L6" i="4" s="1"/>
  <c r="V4" i="4" a="1"/>
  <c r="V4" i="4" s="1"/>
  <c r="E4" i="4"/>
  <c r="E12" i="4" s="1"/>
  <c r="E3" i="4"/>
  <c r="E10" i="4"/>
  <c r="L8" i="4" a="1"/>
  <c r="L8" i="4" s="1"/>
  <c r="W7" i="4" a="1"/>
  <c r="W7" i="4" s="1"/>
  <c r="X7" i="4" s="1"/>
  <c r="L7" i="4" a="1"/>
  <c r="L7" i="4" s="1"/>
  <c r="V6" i="4" a="1"/>
  <c r="V6" i="4" s="1"/>
  <c r="W5" i="4" a="1"/>
  <c r="W5" i="4" s="1"/>
  <c r="X5" i="4" s="1"/>
  <c r="V7" i="4" a="1"/>
  <c r="V7" i="4" s="1"/>
  <c r="V5" i="4" a="1"/>
  <c r="V5" i="4" s="1"/>
  <c r="E5" i="4"/>
  <c r="E6" i="4" s="1"/>
  <c r="L4" i="4" a="1"/>
  <c r="L4" i="4" s="1"/>
  <c r="L12" i="4" s="1"/>
  <c r="L3" i="4" a="1"/>
  <c r="L3" i="4" s="1"/>
  <c r="E13" i="3" l="1"/>
  <c r="L11" i="2"/>
  <c r="E13" i="5"/>
  <c r="L11" i="3"/>
  <c r="E11" i="2"/>
  <c r="E13" i="2"/>
  <c r="L13" i="3"/>
  <c r="L11" i="1"/>
  <c r="E11" i="5"/>
  <c r="M29" i="5"/>
  <c r="N29" i="5" s="1"/>
  <c r="O29" i="5" s="1"/>
  <c r="L30" i="5"/>
  <c r="L31" i="4"/>
  <c r="M30" i="4"/>
  <c r="N30" i="4" s="1"/>
  <c r="O30" i="4" s="1"/>
  <c r="N27" i="1"/>
  <c r="O27" i="1" s="1"/>
  <c r="M28" i="1"/>
  <c r="M29" i="2"/>
  <c r="N29" i="2" s="1"/>
  <c r="O29" i="2" s="1"/>
  <c r="L30" i="2"/>
  <c r="E11" i="4"/>
  <c r="L13" i="5"/>
  <c r="L31" i="1"/>
  <c r="L29" i="3"/>
  <c r="M28" i="3"/>
  <c r="N28" i="3" s="1"/>
  <c r="O28" i="3" s="1"/>
  <c r="E11" i="1"/>
  <c r="L13" i="1"/>
  <c r="Q22" i="1"/>
  <c r="R21" i="1"/>
  <c r="S21" i="1" s="1"/>
  <c r="T21" i="1" s="1"/>
  <c r="L13" i="2"/>
  <c r="R21" i="2"/>
  <c r="S21" i="2" s="1"/>
  <c r="T21" i="2" s="1"/>
  <c r="Q22" i="2"/>
  <c r="L11" i="5"/>
  <c r="R21" i="5"/>
  <c r="S21" i="5" s="1"/>
  <c r="T21" i="5" s="1"/>
  <c r="Q22" i="5"/>
  <c r="E11" i="3"/>
  <c r="Q22" i="3"/>
  <c r="R21" i="3"/>
  <c r="S21" i="3" s="1"/>
  <c r="T21" i="3" s="1"/>
  <c r="E13" i="4"/>
  <c r="L11" i="4"/>
  <c r="L13" i="4"/>
  <c r="Q22" i="4"/>
  <c r="R21" i="4"/>
  <c r="S21" i="4" s="1"/>
  <c r="T21" i="4" s="1"/>
  <c r="L31" i="2" l="1"/>
  <c r="M30" i="2"/>
  <c r="N30" i="2" s="1"/>
  <c r="O30" i="2" s="1"/>
  <c r="N28" i="1"/>
  <c r="O28" i="1" s="1"/>
  <c r="M29" i="1"/>
  <c r="L32" i="4"/>
  <c r="L33" i="4" s="1"/>
  <c r="M31" i="4"/>
  <c r="L30" i="3"/>
  <c r="M29" i="3"/>
  <c r="N29" i="3" s="1"/>
  <c r="O29" i="3" s="1"/>
  <c r="L32" i="1"/>
  <c r="M30" i="5"/>
  <c r="N30" i="5" s="1"/>
  <c r="O30" i="5" s="1"/>
  <c r="L31" i="5"/>
  <c r="Q23" i="1"/>
  <c r="Q24" i="1" s="1"/>
  <c r="R22" i="1"/>
  <c r="S22" i="1" s="1"/>
  <c r="T22" i="1" s="1"/>
  <c r="R22" i="2"/>
  <c r="S22" i="2" s="1"/>
  <c r="T22" i="2" s="1"/>
  <c r="Q23" i="2"/>
  <c r="Q24" i="2" s="1"/>
  <c r="R22" i="5"/>
  <c r="S22" i="5" s="1"/>
  <c r="T22" i="5" s="1"/>
  <c r="Q23" i="5"/>
  <c r="R22" i="3"/>
  <c r="S22" i="3" s="1"/>
  <c r="T22" i="3" s="1"/>
  <c r="Q23" i="3"/>
  <c r="Q23" i="4"/>
  <c r="Q24" i="4" s="1"/>
  <c r="R22" i="4"/>
  <c r="S22" i="4" s="1"/>
  <c r="T22" i="4" s="1"/>
  <c r="L31" i="3" l="1"/>
  <c r="M30" i="3"/>
  <c r="N30" i="3" s="1"/>
  <c r="O30" i="3" s="1"/>
  <c r="Q25" i="2"/>
  <c r="R23" i="5"/>
  <c r="S23" i="5" s="1"/>
  <c r="T23" i="5" s="1"/>
  <c r="Q24" i="5"/>
  <c r="M32" i="4"/>
  <c r="N32" i="4" s="1"/>
  <c r="O32" i="4" s="1"/>
  <c r="N31" i="4"/>
  <c r="O31" i="4" s="1"/>
  <c r="R23" i="3"/>
  <c r="S23" i="3" s="1"/>
  <c r="T23" i="3" s="1"/>
  <c r="Q24" i="3"/>
  <c r="L34" i="4"/>
  <c r="L32" i="5"/>
  <c r="M31" i="5"/>
  <c r="N31" i="5" s="1"/>
  <c r="O31" i="5" s="1"/>
  <c r="N29" i="1"/>
  <c r="O29" i="1" s="1"/>
  <c r="M30" i="1"/>
  <c r="Q25" i="4"/>
  <c r="L33" i="1"/>
  <c r="Q25" i="1"/>
  <c r="L32" i="2"/>
  <c r="M31" i="2"/>
  <c r="N31" i="2" s="1"/>
  <c r="O31" i="2" s="1"/>
  <c r="R23" i="1"/>
  <c r="S23" i="1" s="1"/>
  <c r="T23" i="1" s="1"/>
  <c r="R23" i="2"/>
  <c r="S23" i="2" s="1"/>
  <c r="T23" i="2" s="1"/>
  <c r="R23" i="4"/>
  <c r="S23" i="4" s="1"/>
  <c r="T23" i="4" s="1"/>
  <c r="R24" i="5" l="1"/>
  <c r="S24" i="5" s="1"/>
  <c r="T24" i="5" s="1"/>
  <c r="Q25" i="5"/>
  <c r="R24" i="1"/>
  <c r="S24" i="1" s="1"/>
  <c r="T24" i="1" s="1"/>
  <c r="M32" i="5"/>
  <c r="N32" i="5" s="1"/>
  <c r="O32" i="5" s="1"/>
  <c r="L33" i="5"/>
  <c r="M33" i="4"/>
  <c r="N33" i="4" s="1"/>
  <c r="O33" i="4" s="1"/>
  <c r="Q26" i="2"/>
  <c r="M32" i="2"/>
  <c r="N32" i="2" s="1"/>
  <c r="O32" i="2" s="1"/>
  <c r="L33" i="2"/>
  <c r="L34" i="1"/>
  <c r="L35" i="4"/>
  <c r="M34" i="4"/>
  <c r="N34" i="4" s="1"/>
  <c r="O34" i="4" s="1"/>
  <c r="R24" i="2"/>
  <c r="S24" i="2" s="1"/>
  <c r="T24" i="2" s="1"/>
  <c r="Q26" i="4"/>
  <c r="Q25" i="3"/>
  <c r="R24" i="3"/>
  <c r="S24" i="3" s="1"/>
  <c r="T24" i="3" s="1"/>
  <c r="N30" i="1"/>
  <c r="O30" i="1" s="1"/>
  <c r="M31" i="1"/>
  <c r="Q26" i="1"/>
  <c r="R24" i="4"/>
  <c r="S24" i="4" s="1"/>
  <c r="T24" i="4" s="1"/>
  <c r="L32" i="3"/>
  <c r="M31" i="3"/>
  <c r="N31" i="3" s="1"/>
  <c r="O31" i="3" s="1"/>
  <c r="R25" i="1" l="1"/>
  <c r="S25" i="1" s="1"/>
  <c r="T25" i="1" s="1"/>
  <c r="R25" i="4"/>
  <c r="S25" i="4" s="1"/>
  <c r="T25" i="4" s="1"/>
  <c r="Q27" i="2"/>
  <c r="R26" i="1"/>
  <c r="S26" i="1" s="1"/>
  <c r="T26" i="1" s="1"/>
  <c r="Q27" i="1"/>
  <c r="R25" i="2"/>
  <c r="S25" i="2" s="1"/>
  <c r="T25" i="2" s="1"/>
  <c r="N31" i="1"/>
  <c r="O31" i="1" s="1"/>
  <c r="M32" i="1"/>
  <c r="L36" i="4"/>
  <c r="M35" i="4"/>
  <c r="N35" i="4" s="1"/>
  <c r="O35" i="4" s="1"/>
  <c r="M33" i="5"/>
  <c r="N33" i="5" s="1"/>
  <c r="O33" i="5" s="1"/>
  <c r="L34" i="5"/>
  <c r="L35" i="1"/>
  <c r="R25" i="3"/>
  <c r="S25" i="3" s="1"/>
  <c r="T25" i="3" s="1"/>
  <c r="Q26" i="3"/>
  <c r="M33" i="2"/>
  <c r="N33" i="2" s="1"/>
  <c r="O33" i="2" s="1"/>
  <c r="L34" i="2"/>
  <c r="Q26" i="5"/>
  <c r="R25" i="5"/>
  <c r="S25" i="5" s="1"/>
  <c r="T25" i="5" s="1"/>
  <c r="L33" i="3"/>
  <c r="M32" i="3"/>
  <c r="N32" i="3" s="1"/>
  <c r="O32" i="3" s="1"/>
  <c r="R26" i="4"/>
  <c r="S26" i="4" s="1"/>
  <c r="T26" i="4" s="1"/>
  <c r="Q27" i="4"/>
  <c r="Q28" i="4" l="1"/>
  <c r="R27" i="4"/>
  <c r="S27" i="4" s="1"/>
  <c r="T27" i="4" s="1"/>
  <c r="Q27" i="3"/>
  <c r="R26" i="3"/>
  <c r="S26" i="3" s="1"/>
  <c r="T26" i="3" s="1"/>
  <c r="N32" i="1"/>
  <c r="O32" i="1" s="1"/>
  <c r="M33" i="1"/>
  <c r="L36" i="1"/>
  <c r="L34" i="3"/>
  <c r="M33" i="3"/>
  <c r="N33" i="3" s="1"/>
  <c r="O33" i="3" s="1"/>
  <c r="R27" i="1"/>
  <c r="S27" i="1" s="1"/>
  <c r="T27" i="1" s="1"/>
  <c r="Q28" i="1"/>
  <c r="R26" i="5"/>
  <c r="S26" i="5" s="1"/>
  <c r="T26" i="5" s="1"/>
  <c r="Q27" i="5"/>
  <c r="R26" i="2"/>
  <c r="S26" i="2" s="1"/>
  <c r="T26" i="2" s="1"/>
  <c r="M34" i="2"/>
  <c r="N34" i="2" s="1"/>
  <c r="O34" i="2" s="1"/>
  <c r="L35" i="2"/>
  <c r="Q28" i="2"/>
  <c r="M34" i="5"/>
  <c r="N34" i="5" s="1"/>
  <c r="O34" i="5" s="1"/>
  <c r="L35" i="5"/>
  <c r="L37" i="4"/>
  <c r="M36" i="4"/>
  <c r="N36" i="4" s="1"/>
  <c r="O36" i="4" s="1"/>
  <c r="L37" i="1" l="1"/>
  <c r="L38" i="4"/>
  <c r="M37" i="4"/>
  <c r="N37" i="4" s="1"/>
  <c r="O37" i="4" s="1"/>
  <c r="Q28" i="5"/>
  <c r="R27" i="5"/>
  <c r="S27" i="5" s="1"/>
  <c r="T27" i="5" s="1"/>
  <c r="N33" i="1"/>
  <c r="O33" i="1" s="1"/>
  <c r="M34" i="1"/>
  <c r="L36" i="5"/>
  <c r="M35" i="5"/>
  <c r="N35" i="5" s="1"/>
  <c r="O35" i="5" s="1"/>
  <c r="Q28" i="3"/>
  <c r="R27" i="3"/>
  <c r="S27" i="3" s="1"/>
  <c r="T27" i="3" s="1"/>
  <c r="R28" i="1"/>
  <c r="S28" i="1" s="1"/>
  <c r="T28" i="1" s="1"/>
  <c r="Q29" i="1"/>
  <c r="R27" i="2"/>
  <c r="S27" i="2" s="1"/>
  <c r="T27" i="2" s="1"/>
  <c r="Q29" i="2"/>
  <c r="M35" i="2"/>
  <c r="N35" i="2" s="1"/>
  <c r="O35" i="2" s="1"/>
  <c r="L36" i="2"/>
  <c r="L35" i="3"/>
  <c r="M34" i="3"/>
  <c r="N34" i="3" s="1"/>
  <c r="O34" i="3" s="1"/>
  <c r="Q29" i="4"/>
  <c r="R28" i="4"/>
  <c r="S28" i="4" s="1"/>
  <c r="T28" i="4" s="1"/>
  <c r="Q30" i="2" l="1"/>
  <c r="N34" i="1"/>
  <c r="O34" i="1" s="1"/>
  <c r="M35" i="1"/>
  <c r="R28" i="5"/>
  <c r="S28" i="5" s="1"/>
  <c r="T28" i="5" s="1"/>
  <c r="Q29" i="5"/>
  <c r="L36" i="3"/>
  <c r="M35" i="3"/>
  <c r="N35" i="3" s="1"/>
  <c r="O35" i="3" s="1"/>
  <c r="R29" i="4"/>
  <c r="S29" i="4" s="1"/>
  <c r="T29" i="4" s="1"/>
  <c r="Q30" i="4"/>
  <c r="M36" i="2"/>
  <c r="N36" i="2" s="1"/>
  <c r="O36" i="2" s="1"/>
  <c r="L37" i="2"/>
  <c r="R28" i="3"/>
  <c r="S28" i="3" s="1"/>
  <c r="T28" i="3" s="1"/>
  <c r="Q29" i="3"/>
  <c r="L39" i="4"/>
  <c r="M38" i="4"/>
  <c r="N38" i="4" s="1"/>
  <c r="O38" i="4" s="1"/>
  <c r="R29" i="1"/>
  <c r="S29" i="1" s="1"/>
  <c r="T29" i="1" s="1"/>
  <c r="Q30" i="1"/>
  <c r="L38" i="1"/>
  <c r="R28" i="2"/>
  <c r="S28" i="2" s="1"/>
  <c r="T28" i="2" s="1"/>
  <c r="L37" i="5"/>
  <c r="M36" i="5"/>
  <c r="N36" i="5" s="1"/>
  <c r="O36" i="5" s="1"/>
  <c r="M37" i="5" l="1"/>
  <c r="N37" i="5" s="1"/>
  <c r="O37" i="5" s="1"/>
  <c r="L38" i="5"/>
  <c r="R29" i="3"/>
  <c r="S29" i="3" s="1"/>
  <c r="T29" i="3" s="1"/>
  <c r="Q30" i="3"/>
  <c r="R29" i="5"/>
  <c r="S29" i="5" s="1"/>
  <c r="T29" i="5" s="1"/>
  <c r="Q30" i="5"/>
  <c r="L37" i="3"/>
  <c r="M36" i="3"/>
  <c r="N36" i="3" s="1"/>
  <c r="O36" i="3" s="1"/>
  <c r="L39" i="1"/>
  <c r="L38" i="2"/>
  <c r="M37" i="2"/>
  <c r="N37" i="2" s="1"/>
  <c r="O37" i="2" s="1"/>
  <c r="N35" i="1"/>
  <c r="O35" i="1" s="1"/>
  <c r="M36" i="1"/>
  <c r="L40" i="4"/>
  <c r="M39" i="4"/>
  <c r="N39" i="4" s="1"/>
  <c r="O39" i="4" s="1"/>
  <c r="Q31" i="1"/>
  <c r="R30" i="1"/>
  <c r="S30" i="1" s="1"/>
  <c r="T30" i="1" s="1"/>
  <c r="Q31" i="4"/>
  <c r="R30" i="4"/>
  <c r="S30" i="4" s="1"/>
  <c r="T30" i="4" s="1"/>
  <c r="Q31" i="2"/>
  <c r="R29" i="2"/>
  <c r="S29" i="2" s="1"/>
  <c r="T29" i="2" s="1"/>
  <c r="L41" i="4" l="1"/>
  <c r="M40" i="4"/>
  <c r="N40" i="4" s="1"/>
  <c r="O40" i="4" s="1"/>
  <c r="L38" i="3"/>
  <c r="M37" i="3"/>
  <c r="N37" i="3" s="1"/>
  <c r="O37" i="3" s="1"/>
  <c r="R30" i="2"/>
  <c r="S30" i="2" s="1"/>
  <c r="T30" i="2" s="1"/>
  <c r="N36" i="1"/>
  <c r="O36" i="1" s="1"/>
  <c r="M37" i="1"/>
  <c r="R30" i="5"/>
  <c r="S30" i="5" s="1"/>
  <c r="T30" i="5" s="1"/>
  <c r="Q31" i="5"/>
  <c r="Q31" i="3"/>
  <c r="R30" i="3"/>
  <c r="S30" i="3" s="1"/>
  <c r="T30" i="3" s="1"/>
  <c r="Q32" i="2"/>
  <c r="R31" i="4"/>
  <c r="S31" i="4" s="1"/>
  <c r="T31" i="4" s="1"/>
  <c r="Q32" i="4"/>
  <c r="M38" i="2"/>
  <c r="N38" i="2" s="1"/>
  <c r="O38" i="2" s="1"/>
  <c r="L39" i="2"/>
  <c r="L40" i="1"/>
  <c r="M38" i="5"/>
  <c r="N38" i="5" s="1"/>
  <c r="O38" i="5" s="1"/>
  <c r="L39" i="5"/>
  <c r="Q32" i="1"/>
  <c r="R31" i="1"/>
  <c r="S31" i="1" s="1"/>
  <c r="T31" i="1" s="1"/>
  <c r="R31" i="2" l="1"/>
  <c r="S31" i="2" s="1"/>
  <c r="T31" i="2" s="1"/>
  <c r="Q33" i="4"/>
  <c r="R32" i="4"/>
  <c r="S32" i="4" s="1"/>
  <c r="T32" i="4" s="1"/>
  <c r="N37" i="1"/>
  <c r="O37" i="1" s="1"/>
  <c r="M38" i="1"/>
  <c r="R32" i="1"/>
  <c r="S32" i="1" s="1"/>
  <c r="T32" i="1" s="1"/>
  <c r="Q33" i="1"/>
  <c r="L40" i="5"/>
  <c r="M39" i="5"/>
  <c r="N39" i="5" s="1"/>
  <c r="O39" i="5" s="1"/>
  <c r="L41" i="1"/>
  <c r="L39" i="3"/>
  <c r="M38" i="3"/>
  <c r="N38" i="3" s="1"/>
  <c r="O38" i="3" s="1"/>
  <c r="R32" i="2"/>
  <c r="S32" i="2" s="1"/>
  <c r="T32" i="2" s="1"/>
  <c r="Q33" i="2"/>
  <c r="R31" i="3"/>
  <c r="S31" i="3" s="1"/>
  <c r="T31" i="3" s="1"/>
  <c r="Q32" i="3"/>
  <c r="L40" i="2"/>
  <c r="M39" i="2"/>
  <c r="N39" i="2" s="1"/>
  <c r="O39" i="2" s="1"/>
  <c r="R31" i="5"/>
  <c r="S31" i="5" s="1"/>
  <c r="T31" i="5" s="1"/>
  <c r="Q32" i="5"/>
  <c r="L42" i="4"/>
  <c r="M41" i="4"/>
  <c r="N41" i="4" s="1"/>
  <c r="O41" i="4" s="1"/>
  <c r="M40" i="5" l="1"/>
  <c r="N40" i="5" s="1"/>
  <c r="O40" i="5" s="1"/>
  <c r="L41" i="5"/>
  <c r="Q34" i="2"/>
  <c r="R33" i="2"/>
  <c r="S33" i="2" s="1"/>
  <c r="T33" i="2" s="1"/>
  <c r="Q34" i="1"/>
  <c r="R33" i="1"/>
  <c r="S33" i="1" s="1"/>
  <c r="T33" i="1" s="1"/>
  <c r="R32" i="3"/>
  <c r="S32" i="3" s="1"/>
  <c r="T32" i="3" s="1"/>
  <c r="Q33" i="3"/>
  <c r="L43" i="4"/>
  <c r="M42" i="4"/>
  <c r="N42" i="4" s="1"/>
  <c r="O42" i="4" s="1"/>
  <c r="N38" i="1"/>
  <c r="O38" i="1" s="1"/>
  <c r="M39" i="1"/>
  <c r="L40" i="3"/>
  <c r="M39" i="3"/>
  <c r="N39" i="3" s="1"/>
  <c r="O39" i="3" s="1"/>
  <c r="L42" i="1"/>
  <c r="Q33" i="5"/>
  <c r="R32" i="5"/>
  <c r="S32" i="5" s="1"/>
  <c r="T32" i="5" s="1"/>
  <c r="L41" i="2"/>
  <c r="M40" i="2"/>
  <c r="N40" i="2" s="1"/>
  <c r="O40" i="2" s="1"/>
  <c r="Q34" i="4"/>
  <c r="R33" i="4"/>
  <c r="S33" i="4" s="1"/>
  <c r="T33" i="4" s="1"/>
  <c r="L43" i="1" l="1"/>
  <c r="Q34" i="3"/>
  <c r="R33" i="3"/>
  <c r="S33" i="3" s="1"/>
  <c r="T33" i="3" s="1"/>
  <c r="Q35" i="4"/>
  <c r="R34" i="4"/>
  <c r="S34" i="4" s="1"/>
  <c r="T34" i="4" s="1"/>
  <c r="L41" i="3"/>
  <c r="M40" i="3"/>
  <c r="N40" i="3" s="1"/>
  <c r="O40" i="3" s="1"/>
  <c r="R34" i="1"/>
  <c r="S34" i="1" s="1"/>
  <c r="T34" i="1" s="1"/>
  <c r="Q35" i="1"/>
  <c r="N39" i="1"/>
  <c r="O39" i="1" s="1"/>
  <c r="M40" i="1"/>
  <c r="L42" i="2"/>
  <c r="M41" i="2"/>
  <c r="N41" i="2" s="1"/>
  <c r="O41" i="2" s="1"/>
  <c r="Q35" i="2"/>
  <c r="R34" i="2"/>
  <c r="S34" i="2" s="1"/>
  <c r="T34" i="2" s="1"/>
  <c r="M41" i="5"/>
  <c r="N41" i="5" s="1"/>
  <c r="O41" i="5" s="1"/>
  <c r="L42" i="5"/>
  <c r="Q34" i="5"/>
  <c r="R33" i="5"/>
  <c r="S33" i="5" s="1"/>
  <c r="T33" i="5" s="1"/>
  <c r="L44" i="4"/>
  <c r="M43" i="4"/>
  <c r="N43" i="4" s="1"/>
  <c r="O43" i="4" s="1"/>
  <c r="R35" i="2" l="1"/>
  <c r="S35" i="2" s="1"/>
  <c r="T35" i="2" s="1"/>
  <c r="Q36" i="2"/>
  <c r="L42" i="3"/>
  <c r="M41" i="3"/>
  <c r="N41" i="3" s="1"/>
  <c r="O41" i="3" s="1"/>
  <c r="L45" i="4"/>
  <c r="M44" i="4"/>
  <c r="N44" i="4" s="1"/>
  <c r="O44" i="4" s="1"/>
  <c r="L43" i="2"/>
  <c r="M42" i="2"/>
  <c r="N42" i="2" s="1"/>
  <c r="O42" i="2" s="1"/>
  <c r="Q36" i="4"/>
  <c r="R35" i="4"/>
  <c r="S35" i="4" s="1"/>
  <c r="T35" i="4" s="1"/>
  <c r="Q35" i="5"/>
  <c r="R34" i="5"/>
  <c r="S34" i="5" s="1"/>
  <c r="T34" i="5" s="1"/>
  <c r="R34" i="3"/>
  <c r="S34" i="3" s="1"/>
  <c r="T34" i="3" s="1"/>
  <c r="Q35" i="3"/>
  <c r="N40" i="1"/>
  <c r="O40" i="1" s="1"/>
  <c r="M41" i="1"/>
  <c r="M42" i="5"/>
  <c r="N42" i="5" s="1"/>
  <c r="O42" i="5" s="1"/>
  <c r="L43" i="5"/>
  <c r="R35" i="1"/>
  <c r="S35" i="1" s="1"/>
  <c r="T35" i="1" s="1"/>
  <c r="Q36" i="1"/>
  <c r="L44" i="1"/>
  <c r="N41" i="1" l="1"/>
  <c r="O41" i="1" s="1"/>
  <c r="M42" i="1"/>
  <c r="M43" i="2"/>
  <c r="N43" i="2" s="1"/>
  <c r="O43" i="2" s="1"/>
  <c r="L44" i="2"/>
  <c r="L45" i="1"/>
  <c r="R35" i="3"/>
  <c r="S35" i="3" s="1"/>
  <c r="T35" i="3" s="1"/>
  <c r="Q36" i="3"/>
  <c r="L46" i="4"/>
  <c r="M45" i="4"/>
  <c r="N45" i="4" s="1"/>
  <c r="O45" i="4" s="1"/>
  <c r="Q36" i="5"/>
  <c r="R35" i="5"/>
  <c r="S35" i="5" s="1"/>
  <c r="T35" i="5" s="1"/>
  <c r="L43" i="3"/>
  <c r="M42" i="3"/>
  <c r="N42" i="3" s="1"/>
  <c r="O42" i="3" s="1"/>
  <c r="R36" i="1"/>
  <c r="S36" i="1" s="1"/>
  <c r="T36" i="1" s="1"/>
  <c r="Q37" i="1"/>
  <c r="M43" i="5"/>
  <c r="N43" i="5" s="1"/>
  <c r="O43" i="5" s="1"/>
  <c r="L44" i="5"/>
  <c r="Q37" i="2"/>
  <c r="R36" i="2"/>
  <c r="S36" i="2" s="1"/>
  <c r="T36" i="2" s="1"/>
  <c r="Q37" i="4"/>
  <c r="R36" i="4"/>
  <c r="S36" i="4" s="1"/>
  <c r="T36" i="4" s="1"/>
  <c r="Q38" i="1" l="1"/>
  <c r="R37" i="1"/>
  <c r="S37" i="1" s="1"/>
  <c r="T37" i="1" s="1"/>
  <c r="R36" i="3"/>
  <c r="S36" i="3" s="1"/>
  <c r="T36" i="3" s="1"/>
  <c r="Q37" i="3"/>
  <c r="R37" i="4"/>
  <c r="S37" i="4" s="1"/>
  <c r="T37" i="4" s="1"/>
  <c r="Q38" i="4"/>
  <c r="L44" i="3"/>
  <c r="M43" i="3"/>
  <c r="N43" i="3" s="1"/>
  <c r="O43" i="3" s="1"/>
  <c r="L46" i="1"/>
  <c r="M44" i="2"/>
  <c r="N44" i="2" s="1"/>
  <c r="O44" i="2" s="1"/>
  <c r="L45" i="2"/>
  <c r="R37" i="2"/>
  <c r="S37" i="2" s="1"/>
  <c r="T37" i="2" s="1"/>
  <c r="Q38" i="2"/>
  <c r="Q37" i="5"/>
  <c r="R36" i="5"/>
  <c r="S36" i="5" s="1"/>
  <c r="T36" i="5" s="1"/>
  <c r="L45" i="5"/>
  <c r="M44" i="5"/>
  <c r="N44" i="5" s="1"/>
  <c r="O44" i="5" s="1"/>
  <c r="N42" i="1"/>
  <c r="O42" i="1" s="1"/>
  <c r="M43" i="1"/>
  <c r="L47" i="4"/>
  <c r="M46" i="4"/>
  <c r="N46" i="4" s="1"/>
  <c r="O46" i="4" s="1"/>
  <c r="R37" i="5" l="1"/>
  <c r="S37" i="5" s="1"/>
  <c r="T37" i="5" s="1"/>
  <c r="Q38" i="5"/>
  <c r="L45" i="3"/>
  <c r="M44" i="3"/>
  <c r="N44" i="3" s="1"/>
  <c r="O44" i="3" s="1"/>
  <c r="R38" i="2"/>
  <c r="S38" i="2" s="1"/>
  <c r="T38" i="2" s="1"/>
  <c r="Q39" i="2"/>
  <c r="R38" i="4"/>
  <c r="S38" i="4" s="1"/>
  <c r="T38" i="4" s="1"/>
  <c r="Q39" i="4"/>
  <c r="L48" i="4"/>
  <c r="M47" i="4"/>
  <c r="N47" i="4" s="1"/>
  <c r="O47" i="4" s="1"/>
  <c r="N43" i="1"/>
  <c r="O43" i="1" s="1"/>
  <c r="M44" i="1"/>
  <c r="L46" i="2"/>
  <c r="M45" i="2"/>
  <c r="N45" i="2" s="1"/>
  <c r="O45" i="2" s="1"/>
  <c r="R37" i="3"/>
  <c r="S37" i="3" s="1"/>
  <c r="T37" i="3" s="1"/>
  <c r="Q38" i="3"/>
  <c r="M45" i="5"/>
  <c r="N45" i="5" s="1"/>
  <c r="O45" i="5" s="1"/>
  <c r="L46" i="5"/>
  <c r="L47" i="1"/>
  <c r="Q39" i="1"/>
  <c r="R38" i="1"/>
  <c r="S38" i="1" s="1"/>
  <c r="T38" i="1" s="1"/>
  <c r="R38" i="3" l="1"/>
  <c r="S38" i="3" s="1"/>
  <c r="T38" i="3" s="1"/>
  <c r="Q39" i="3"/>
  <c r="Q40" i="4"/>
  <c r="R39" i="4"/>
  <c r="S39" i="4" s="1"/>
  <c r="T39" i="4" s="1"/>
  <c r="R39" i="2"/>
  <c r="S39" i="2" s="1"/>
  <c r="T39" i="2" s="1"/>
  <c r="Q40" i="2"/>
  <c r="R39" i="1"/>
  <c r="S39" i="1" s="1"/>
  <c r="T39" i="1" s="1"/>
  <c r="Q40" i="1"/>
  <c r="L47" i="2"/>
  <c r="M46" i="2"/>
  <c r="N46" i="2" s="1"/>
  <c r="O46" i="2" s="1"/>
  <c r="L48" i="1"/>
  <c r="N44" i="1"/>
  <c r="O44" i="1" s="1"/>
  <c r="M45" i="1"/>
  <c r="L46" i="3"/>
  <c r="M45" i="3"/>
  <c r="N45" i="3" s="1"/>
  <c r="O45" i="3" s="1"/>
  <c r="M46" i="5"/>
  <c r="N46" i="5" s="1"/>
  <c r="O46" i="5" s="1"/>
  <c r="L47" i="5"/>
  <c r="Q39" i="5"/>
  <c r="R38" i="5"/>
  <c r="S38" i="5" s="1"/>
  <c r="T38" i="5" s="1"/>
  <c r="L49" i="4"/>
  <c r="M48" i="4"/>
  <c r="N48" i="4" s="1"/>
  <c r="O48" i="4" s="1"/>
  <c r="R40" i="1" l="1"/>
  <c r="S40" i="1" s="1"/>
  <c r="T40" i="1" s="1"/>
  <c r="Q41" i="1"/>
  <c r="L47" i="3"/>
  <c r="M46" i="3"/>
  <c r="N46" i="3" s="1"/>
  <c r="O46" i="3" s="1"/>
  <c r="N45" i="1"/>
  <c r="O45" i="1" s="1"/>
  <c r="M46" i="1"/>
  <c r="R40" i="2"/>
  <c r="S40" i="2" s="1"/>
  <c r="T40" i="2" s="1"/>
  <c r="Q41" i="2"/>
  <c r="L50" i="4"/>
  <c r="M49" i="4"/>
  <c r="N49" i="4" s="1"/>
  <c r="O49" i="4" s="1"/>
  <c r="Q40" i="5"/>
  <c r="R39" i="5"/>
  <c r="S39" i="5" s="1"/>
  <c r="T39" i="5" s="1"/>
  <c r="L49" i="1"/>
  <c r="R40" i="4"/>
  <c r="S40" i="4" s="1"/>
  <c r="T40" i="4" s="1"/>
  <c r="Q41" i="4"/>
  <c r="M47" i="5"/>
  <c r="N47" i="5" s="1"/>
  <c r="O47" i="5" s="1"/>
  <c r="L48" i="5"/>
  <c r="R39" i="3"/>
  <c r="S39" i="3" s="1"/>
  <c r="T39" i="3" s="1"/>
  <c r="Q40" i="3"/>
  <c r="M47" i="2"/>
  <c r="N47" i="2" s="1"/>
  <c r="O47" i="2" s="1"/>
  <c r="L48" i="2"/>
  <c r="R41" i="4" l="1"/>
  <c r="S41" i="4" s="1"/>
  <c r="T41" i="4" s="1"/>
  <c r="Q42" i="4"/>
  <c r="R41" i="2"/>
  <c r="S41" i="2" s="1"/>
  <c r="T41" i="2" s="1"/>
  <c r="Q42" i="2"/>
  <c r="M48" i="2"/>
  <c r="N48" i="2" s="1"/>
  <c r="O48" i="2" s="1"/>
  <c r="L49" i="2"/>
  <c r="L50" i="1"/>
  <c r="N46" i="1"/>
  <c r="O46" i="1" s="1"/>
  <c r="M47" i="1"/>
  <c r="R40" i="3"/>
  <c r="S40" i="3" s="1"/>
  <c r="T40" i="3" s="1"/>
  <c r="Q41" i="3"/>
  <c r="Q41" i="5"/>
  <c r="R40" i="5"/>
  <c r="S40" i="5" s="1"/>
  <c r="T40" i="5" s="1"/>
  <c r="L48" i="3"/>
  <c r="M47" i="3"/>
  <c r="N47" i="3" s="1"/>
  <c r="O47" i="3" s="1"/>
  <c r="Q42" i="1"/>
  <c r="R41" i="1"/>
  <c r="S41" i="1" s="1"/>
  <c r="T41" i="1" s="1"/>
  <c r="L49" i="5"/>
  <c r="M48" i="5"/>
  <c r="N48" i="5" s="1"/>
  <c r="O48" i="5" s="1"/>
  <c r="L51" i="4"/>
  <c r="M50" i="4"/>
  <c r="N50" i="4" s="1"/>
  <c r="O50" i="4" s="1"/>
  <c r="L49" i="3" l="1"/>
  <c r="M48" i="3"/>
  <c r="N48" i="3" s="1"/>
  <c r="O48" i="3" s="1"/>
  <c r="L51" i="1"/>
  <c r="M49" i="2"/>
  <c r="N49" i="2" s="1"/>
  <c r="O49" i="2" s="1"/>
  <c r="L50" i="2"/>
  <c r="R41" i="3"/>
  <c r="S41" i="3" s="1"/>
  <c r="T41" i="3" s="1"/>
  <c r="Q42" i="3"/>
  <c r="R42" i="2"/>
  <c r="S42" i="2" s="1"/>
  <c r="T42" i="2" s="1"/>
  <c r="Q43" i="2"/>
  <c r="Q42" i="5"/>
  <c r="R41" i="5"/>
  <c r="S41" i="5" s="1"/>
  <c r="T41" i="5" s="1"/>
  <c r="M49" i="5"/>
  <c r="N49" i="5" s="1"/>
  <c r="O49" i="5" s="1"/>
  <c r="L50" i="5"/>
  <c r="L52" i="4"/>
  <c r="M51" i="4"/>
  <c r="N51" i="4" s="1"/>
  <c r="O51" i="4" s="1"/>
  <c r="N47" i="1"/>
  <c r="O47" i="1" s="1"/>
  <c r="M48" i="1"/>
  <c r="R42" i="4"/>
  <c r="S42" i="4" s="1"/>
  <c r="T42" i="4" s="1"/>
  <c r="Q43" i="4"/>
  <c r="Q43" i="1"/>
  <c r="R42" i="1"/>
  <c r="S42" i="1" s="1"/>
  <c r="T42" i="1" s="1"/>
  <c r="Q43" i="3" l="1"/>
  <c r="R42" i="3"/>
  <c r="S42" i="3" s="1"/>
  <c r="T42" i="3" s="1"/>
  <c r="L53" i="4"/>
  <c r="M52" i="4"/>
  <c r="N52" i="4" s="1"/>
  <c r="O52" i="4" s="1"/>
  <c r="M50" i="5"/>
  <c r="N50" i="5" s="1"/>
  <c r="O50" i="5" s="1"/>
  <c r="L51" i="5"/>
  <c r="L51" i="2"/>
  <c r="M50" i="2"/>
  <c r="N50" i="2" s="1"/>
  <c r="O50" i="2" s="1"/>
  <c r="R43" i="4"/>
  <c r="S43" i="4" s="1"/>
  <c r="T43" i="4" s="1"/>
  <c r="Q44" i="4"/>
  <c r="R43" i="1"/>
  <c r="S43" i="1" s="1"/>
  <c r="T43" i="1" s="1"/>
  <c r="Q44" i="1"/>
  <c r="R42" i="5"/>
  <c r="S42" i="5" s="1"/>
  <c r="T42" i="5" s="1"/>
  <c r="Q43" i="5"/>
  <c r="L52" i="1"/>
  <c r="N48" i="1"/>
  <c r="O48" i="1" s="1"/>
  <c r="M49" i="1"/>
  <c r="Q44" i="2"/>
  <c r="R43" i="2"/>
  <c r="S43" i="2" s="1"/>
  <c r="T43" i="2" s="1"/>
  <c r="L50" i="3"/>
  <c r="M49" i="3"/>
  <c r="N49" i="3" s="1"/>
  <c r="O49" i="3" s="1"/>
  <c r="L53" i="1" l="1"/>
  <c r="M51" i="2"/>
  <c r="N51" i="2" s="1"/>
  <c r="O51" i="2" s="1"/>
  <c r="L52" i="2"/>
  <c r="R43" i="5"/>
  <c r="S43" i="5" s="1"/>
  <c r="T43" i="5" s="1"/>
  <c r="Q44" i="5"/>
  <c r="L52" i="5"/>
  <c r="M51" i="5"/>
  <c r="N51" i="5" s="1"/>
  <c r="O51" i="5" s="1"/>
  <c r="R44" i="1"/>
  <c r="S44" i="1" s="1"/>
  <c r="T44" i="1" s="1"/>
  <c r="Q45" i="1"/>
  <c r="L51" i="3"/>
  <c r="M50" i="3"/>
  <c r="N50" i="3" s="1"/>
  <c r="O50" i="3" s="1"/>
  <c r="R44" i="2"/>
  <c r="S44" i="2" s="1"/>
  <c r="T44" i="2" s="1"/>
  <c r="Q45" i="2"/>
  <c r="L54" i="4"/>
  <c r="M53" i="4"/>
  <c r="N53" i="4" s="1"/>
  <c r="O53" i="4" s="1"/>
  <c r="N49" i="1"/>
  <c r="O49" i="1" s="1"/>
  <c r="M50" i="1"/>
  <c r="R44" i="4"/>
  <c r="S44" i="4" s="1"/>
  <c r="T44" i="4" s="1"/>
  <c r="Q45" i="4"/>
  <c r="Q44" i="3"/>
  <c r="R43" i="3"/>
  <c r="S43" i="3" s="1"/>
  <c r="T43" i="3" s="1"/>
  <c r="L55" i="4" l="1"/>
  <c r="M54" i="4"/>
  <c r="N54" i="4" s="1"/>
  <c r="O54" i="4" s="1"/>
  <c r="M52" i="5"/>
  <c r="N52" i="5" s="1"/>
  <c r="O52" i="5" s="1"/>
  <c r="L53" i="5"/>
  <c r="R45" i="2"/>
  <c r="S45" i="2" s="1"/>
  <c r="T45" i="2" s="1"/>
  <c r="Q46" i="2"/>
  <c r="R44" i="5"/>
  <c r="S44" i="5" s="1"/>
  <c r="T44" i="5" s="1"/>
  <c r="Q45" i="5"/>
  <c r="M52" i="2"/>
  <c r="N52" i="2" s="1"/>
  <c r="O52" i="2" s="1"/>
  <c r="L53" i="2"/>
  <c r="R45" i="4"/>
  <c r="S45" i="4" s="1"/>
  <c r="T45" i="4" s="1"/>
  <c r="Q46" i="4"/>
  <c r="L52" i="3"/>
  <c r="M51" i="3"/>
  <c r="N51" i="3" s="1"/>
  <c r="O51" i="3" s="1"/>
  <c r="N50" i="1"/>
  <c r="O50" i="1" s="1"/>
  <c r="M51" i="1"/>
  <c r="R45" i="1"/>
  <c r="S45" i="1" s="1"/>
  <c r="T45" i="1" s="1"/>
  <c r="Q46" i="1"/>
  <c r="R44" i="3"/>
  <c r="S44" i="3" s="1"/>
  <c r="T44" i="3" s="1"/>
  <c r="Q45" i="3"/>
  <c r="L54" i="1"/>
  <c r="N51" i="1" l="1"/>
  <c r="O51" i="1" s="1"/>
  <c r="M52" i="1"/>
  <c r="Q46" i="5"/>
  <c r="R45" i="5"/>
  <c r="S45" i="5" s="1"/>
  <c r="T45" i="5" s="1"/>
  <c r="L55" i="1"/>
  <c r="R46" i="2"/>
  <c r="S46" i="2" s="1"/>
  <c r="T46" i="2" s="1"/>
  <c r="Q47" i="2"/>
  <c r="L53" i="3"/>
  <c r="M52" i="3"/>
  <c r="N52" i="3" s="1"/>
  <c r="O52" i="3" s="1"/>
  <c r="R45" i="3"/>
  <c r="S45" i="3" s="1"/>
  <c r="T45" i="3" s="1"/>
  <c r="Q46" i="3"/>
  <c r="R46" i="4"/>
  <c r="S46" i="4" s="1"/>
  <c r="T46" i="4" s="1"/>
  <c r="Q47" i="4"/>
  <c r="L54" i="5"/>
  <c r="M53" i="5"/>
  <c r="N53" i="5" s="1"/>
  <c r="O53" i="5" s="1"/>
  <c r="R46" i="1"/>
  <c r="S46" i="1" s="1"/>
  <c r="T46" i="1" s="1"/>
  <c r="Q47" i="1"/>
  <c r="L54" i="2"/>
  <c r="M53" i="2"/>
  <c r="N53" i="2" s="1"/>
  <c r="O53" i="2" s="1"/>
  <c r="L56" i="4"/>
  <c r="M55" i="4"/>
  <c r="N55" i="4" s="1"/>
  <c r="O55" i="4" s="1"/>
  <c r="Q48" i="4" l="1"/>
  <c r="R47" i="4"/>
  <c r="S47" i="4" s="1"/>
  <c r="T47" i="4" s="1"/>
  <c r="L57" i="4"/>
  <c r="M56" i="4"/>
  <c r="N56" i="4" s="1"/>
  <c r="O56" i="4" s="1"/>
  <c r="L56" i="1"/>
  <c r="L55" i="5"/>
  <c r="M54" i="5"/>
  <c r="N54" i="5" s="1"/>
  <c r="O54" i="5" s="1"/>
  <c r="Q47" i="3"/>
  <c r="R46" i="3"/>
  <c r="S46" i="3" s="1"/>
  <c r="T46" i="3" s="1"/>
  <c r="L55" i="2"/>
  <c r="M54" i="2"/>
  <c r="N54" i="2" s="1"/>
  <c r="O54" i="2" s="1"/>
  <c r="R46" i="5"/>
  <c r="S46" i="5" s="1"/>
  <c r="T46" i="5" s="1"/>
  <c r="Q47" i="5"/>
  <c r="R47" i="2"/>
  <c r="S47" i="2" s="1"/>
  <c r="T47" i="2" s="1"/>
  <c r="Q48" i="2"/>
  <c r="R47" i="1"/>
  <c r="S47" i="1" s="1"/>
  <c r="T47" i="1" s="1"/>
  <c r="Q48" i="1"/>
  <c r="N52" i="1"/>
  <c r="O52" i="1" s="1"/>
  <c r="M53" i="1"/>
  <c r="L54" i="3"/>
  <c r="M53" i="3"/>
  <c r="N53" i="3" s="1"/>
  <c r="O53" i="3" s="1"/>
  <c r="R48" i="2" l="1"/>
  <c r="S48" i="2" s="1"/>
  <c r="T48" i="2" s="1"/>
  <c r="Q49" i="2"/>
  <c r="L56" i="5"/>
  <c r="M55" i="5"/>
  <c r="N55" i="5" s="1"/>
  <c r="O55" i="5" s="1"/>
  <c r="R47" i="5"/>
  <c r="S47" i="5" s="1"/>
  <c r="T47" i="5" s="1"/>
  <c r="Q48" i="5"/>
  <c r="L57" i="1"/>
  <c r="L55" i="3"/>
  <c r="M54" i="3"/>
  <c r="N54" i="3" s="1"/>
  <c r="O54" i="3" s="1"/>
  <c r="N53" i="1"/>
  <c r="O53" i="1" s="1"/>
  <c r="M54" i="1"/>
  <c r="M55" i="2"/>
  <c r="N55" i="2" s="1"/>
  <c r="O55" i="2" s="1"/>
  <c r="L56" i="2"/>
  <c r="L58" i="4"/>
  <c r="M57" i="4"/>
  <c r="N57" i="4" s="1"/>
  <c r="O57" i="4" s="1"/>
  <c r="Q49" i="1"/>
  <c r="R48" i="1"/>
  <c r="S48" i="1" s="1"/>
  <c r="T48" i="1" s="1"/>
  <c r="R47" i="3"/>
  <c r="S47" i="3" s="1"/>
  <c r="T47" i="3" s="1"/>
  <c r="Q48" i="3"/>
  <c r="R48" i="4"/>
  <c r="S48" i="4" s="1"/>
  <c r="T48" i="4" s="1"/>
  <c r="Q49" i="4"/>
  <c r="L58" i="1" l="1"/>
  <c r="L57" i="2"/>
  <c r="M56" i="2"/>
  <c r="N56" i="2" s="1"/>
  <c r="O56" i="2" s="1"/>
  <c r="Q49" i="3"/>
  <c r="R48" i="3"/>
  <c r="S48" i="3" s="1"/>
  <c r="T48" i="3" s="1"/>
  <c r="N54" i="1"/>
  <c r="O54" i="1" s="1"/>
  <c r="M55" i="1"/>
  <c r="L57" i="5"/>
  <c r="M56" i="5"/>
  <c r="N56" i="5" s="1"/>
  <c r="O56" i="5" s="1"/>
  <c r="L59" i="4"/>
  <c r="M58" i="4"/>
  <c r="N58" i="4" s="1"/>
  <c r="O58" i="4" s="1"/>
  <c r="Q49" i="5"/>
  <c r="R48" i="5"/>
  <c r="S48" i="5" s="1"/>
  <c r="T48" i="5" s="1"/>
  <c r="Q50" i="2"/>
  <c r="R49" i="2"/>
  <c r="S49" i="2" s="1"/>
  <c r="T49" i="2" s="1"/>
  <c r="R49" i="4"/>
  <c r="S49" i="4" s="1"/>
  <c r="T49" i="4" s="1"/>
  <c r="Q50" i="4"/>
  <c r="Q50" i="1"/>
  <c r="R49" i="1"/>
  <c r="S49" i="1" s="1"/>
  <c r="T49" i="1" s="1"/>
  <c r="L56" i="3"/>
  <c r="M55" i="3"/>
  <c r="N55" i="3" s="1"/>
  <c r="O55" i="3" s="1"/>
  <c r="N55" i="1" l="1"/>
  <c r="O55" i="1" s="1"/>
  <c r="M56" i="1"/>
  <c r="R50" i="2"/>
  <c r="S50" i="2" s="1"/>
  <c r="T50" i="2" s="1"/>
  <c r="Q51" i="2"/>
  <c r="L57" i="3"/>
  <c r="M56" i="3"/>
  <c r="N56" i="3" s="1"/>
  <c r="O56" i="3" s="1"/>
  <c r="R49" i="5"/>
  <c r="S49" i="5" s="1"/>
  <c r="T49" i="5" s="1"/>
  <c r="Q50" i="5"/>
  <c r="R49" i="3"/>
  <c r="S49" i="3" s="1"/>
  <c r="T49" i="3" s="1"/>
  <c r="Q50" i="3"/>
  <c r="R50" i="1"/>
  <c r="S50" i="1" s="1"/>
  <c r="T50" i="1" s="1"/>
  <c r="Q51" i="1"/>
  <c r="L60" i="4"/>
  <c r="M59" i="4"/>
  <c r="N59" i="4" s="1"/>
  <c r="O59" i="4" s="1"/>
  <c r="M57" i="2"/>
  <c r="N57" i="2" s="1"/>
  <c r="O57" i="2" s="1"/>
  <c r="L58" i="2"/>
  <c r="Q51" i="4"/>
  <c r="R50" i="4"/>
  <c r="S50" i="4" s="1"/>
  <c r="T50" i="4" s="1"/>
  <c r="L59" i="1"/>
  <c r="M57" i="5"/>
  <c r="N57" i="5" s="1"/>
  <c r="O57" i="5" s="1"/>
  <c r="L58" i="5"/>
  <c r="M58" i="2" l="1"/>
  <c r="N58" i="2" s="1"/>
  <c r="O58" i="2" s="1"/>
  <c r="L59" i="2"/>
  <c r="Q51" i="5"/>
  <c r="R50" i="5"/>
  <c r="S50" i="5" s="1"/>
  <c r="T50" i="5" s="1"/>
  <c r="L61" i="4"/>
  <c r="M60" i="4"/>
  <c r="N60" i="4" s="1"/>
  <c r="O60" i="4" s="1"/>
  <c r="L58" i="3"/>
  <c r="M57" i="3"/>
  <c r="N57" i="3" s="1"/>
  <c r="O57" i="3" s="1"/>
  <c r="L60" i="1"/>
  <c r="R51" i="1"/>
  <c r="S51" i="1" s="1"/>
  <c r="T51" i="1" s="1"/>
  <c r="Q52" i="1"/>
  <c r="R51" i="2"/>
  <c r="S51" i="2" s="1"/>
  <c r="T51" i="2" s="1"/>
  <c r="Q52" i="2"/>
  <c r="M58" i="5"/>
  <c r="N58" i="5" s="1"/>
  <c r="O58" i="5" s="1"/>
  <c r="L59" i="5"/>
  <c r="R50" i="3"/>
  <c r="S50" i="3" s="1"/>
  <c r="T50" i="3" s="1"/>
  <c r="Q51" i="3"/>
  <c r="N56" i="1"/>
  <c r="O56" i="1" s="1"/>
  <c r="M57" i="1"/>
  <c r="R51" i="4"/>
  <c r="S51" i="4" s="1"/>
  <c r="T51" i="4" s="1"/>
  <c r="Q52" i="4"/>
  <c r="M59" i="5" l="1"/>
  <c r="N59" i="5" s="1"/>
  <c r="O59" i="5" s="1"/>
  <c r="L60" i="5"/>
  <c r="L62" i="4"/>
  <c r="M61" i="4"/>
  <c r="N61" i="4" s="1"/>
  <c r="O61" i="4" s="1"/>
  <c r="R52" i="4"/>
  <c r="S52" i="4" s="1"/>
  <c r="T52" i="4" s="1"/>
  <c r="Q53" i="4"/>
  <c r="N57" i="1"/>
  <c r="O57" i="1" s="1"/>
  <c r="M58" i="1"/>
  <c r="Q53" i="1"/>
  <c r="R52" i="1"/>
  <c r="S52" i="1" s="1"/>
  <c r="T52" i="1" s="1"/>
  <c r="L59" i="3"/>
  <c r="M58" i="3"/>
  <c r="N58" i="3" s="1"/>
  <c r="O58" i="3" s="1"/>
  <c r="R51" i="5"/>
  <c r="S51" i="5" s="1"/>
  <c r="T51" i="5" s="1"/>
  <c r="Q52" i="5"/>
  <c r="R52" i="2"/>
  <c r="S52" i="2" s="1"/>
  <c r="T52" i="2" s="1"/>
  <c r="Q53" i="2"/>
  <c r="Q52" i="3"/>
  <c r="R51" i="3"/>
  <c r="S51" i="3" s="1"/>
  <c r="T51" i="3" s="1"/>
  <c r="L60" i="2"/>
  <c r="M59" i="2"/>
  <c r="N59" i="2" s="1"/>
  <c r="O59" i="2" s="1"/>
  <c r="L61" i="1"/>
  <c r="R53" i="2" l="1"/>
  <c r="S53" i="2" s="1"/>
  <c r="T53" i="2" s="1"/>
  <c r="Q54" i="2"/>
  <c r="N58" i="1"/>
  <c r="O58" i="1" s="1"/>
  <c r="M59" i="1"/>
  <c r="R52" i="5"/>
  <c r="S52" i="5" s="1"/>
  <c r="T52" i="5" s="1"/>
  <c r="Q53" i="5"/>
  <c r="R53" i="4"/>
  <c r="S53" i="4" s="1"/>
  <c r="T53" i="4" s="1"/>
  <c r="Q54" i="4"/>
  <c r="L61" i="2"/>
  <c r="M60" i="2"/>
  <c r="N60" i="2" s="1"/>
  <c r="O60" i="2" s="1"/>
  <c r="L60" i="3"/>
  <c r="M59" i="3"/>
  <c r="N59" i="3" s="1"/>
  <c r="O59" i="3" s="1"/>
  <c r="L63" i="4"/>
  <c r="M62" i="4"/>
  <c r="N62" i="4" s="1"/>
  <c r="O62" i="4" s="1"/>
  <c r="L62" i="1"/>
  <c r="M60" i="5"/>
  <c r="N60" i="5" s="1"/>
  <c r="O60" i="5" s="1"/>
  <c r="L61" i="5"/>
  <c r="R52" i="3"/>
  <c r="S52" i="3" s="1"/>
  <c r="T52" i="3" s="1"/>
  <c r="Q53" i="3"/>
  <c r="Q54" i="1"/>
  <c r="R53" i="1"/>
  <c r="S53" i="1" s="1"/>
  <c r="T53" i="1" s="1"/>
  <c r="Q55" i="4" l="1"/>
  <c r="R54" i="4"/>
  <c r="S54" i="4" s="1"/>
  <c r="T54" i="4" s="1"/>
  <c r="Q54" i="5"/>
  <c r="R53" i="5"/>
  <c r="S53" i="5" s="1"/>
  <c r="T53" i="5" s="1"/>
  <c r="R54" i="1"/>
  <c r="S54" i="1" s="1"/>
  <c r="T54" i="1" s="1"/>
  <c r="Q55" i="1"/>
  <c r="L64" i="4"/>
  <c r="M63" i="4"/>
  <c r="N63" i="4" s="1"/>
  <c r="O63" i="4" s="1"/>
  <c r="R53" i="3"/>
  <c r="S53" i="3" s="1"/>
  <c r="T53" i="3" s="1"/>
  <c r="Q54" i="3"/>
  <c r="N59" i="1"/>
  <c r="O59" i="1" s="1"/>
  <c r="M60" i="1"/>
  <c r="L61" i="3"/>
  <c r="M60" i="3"/>
  <c r="N60" i="3" s="1"/>
  <c r="O60" i="3" s="1"/>
  <c r="L62" i="5"/>
  <c r="M61" i="5"/>
  <c r="N61" i="5" s="1"/>
  <c r="O61" i="5" s="1"/>
  <c r="R54" i="2"/>
  <c r="S54" i="2" s="1"/>
  <c r="T54" i="2" s="1"/>
  <c r="Q55" i="2"/>
  <c r="L63" i="1"/>
  <c r="L62" i="2"/>
  <c r="M61" i="2"/>
  <c r="N61" i="2" s="1"/>
  <c r="O61" i="2" s="1"/>
  <c r="Q56" i="1" l="1"/>
  <c r="R55" i="1"/>
  <c r="S55" i="1" s="1"/>
  <c r="T55" i="1" s="1"/>
  <c r="M62" i="5"/>
  <c r="N62" i="5" s="1"/>
  <c r="O62" i="5" s="1"/>
  <c r="L63" i="5"/>
  <c r="L65" i="4"/>
  <c r="M64" i="4"/>
  <c r="N64" i="4" s="1"/>
  <c r="O64" i="4" s="1"/>
  <c r="L64" i="1"/>
  <c r="N60" i="1"/>
  <c r="O60" i="1" s="1"/>
  <c r="M61" i="1"/>
  <c r="Q55" i="5"/>
  <c r="R54" i="5"/>
  <c r="S54" i="5" s="1"/>
  <c r="T54" i="5" s="1"/>
  <c r="L62" i="3"/>
  <c r="M61" i="3"/>
  <c r="N61" i="3" s="1"/>
  <c r="O61" i="3" s="1"/>
  <c r="Q56" i="2"/>
  <c r="R55" i="2"/>
  <c r="S55" i="2" s="1"/>
  <c r="T55" i="2" s="1"/>
  <c r="R54" i="3"/>
  <c r="S54" i="3" s="1"/>
  <c r="T54" i="3" s="1"/>
  <c r="Q55" i="3"/>
  <c r="M62" i="2"/>
  <c r="N62" i="2" s="1"/>
  <c r="O62" i="2" s="1"/>
  <c r="L63" i="2"/>
  <c r="R55" i="4"/>
  <c r="S55" i="4" s="1"/>
  <c r="T55" i="4" s="1"/>
  <c r="Q56" i="4"/>
  <c r="L65" i="1" l="1"/>
  <c r="Q56" i="3"/>
  <c r="R55" i="3"/>
  <c r="S55" i="3" s="1"/>
  <c r="T55" i="3" s="1"/>
  <c r="L63" i="3"/>
  <c r="M62" i="3"/>
  <c r="N62" i="3" s="1"/>
  <c r="O62" i="3" s="1"/>
  <c r="L66" i="4"/>
  <c r="M65" i="4"/>
  <c r="N65" i="4" s="1"/>
  <c r="O65" i="4" s="1"/>
  <c r="R56" i="2"/>
  <c r="S56" i="2" s="1"/>
  <c r="T56" i="2" s="1"/>
  <c r="Q57" i="2"/>
  <c r="M63" i="2"/>
  <c r="N63" i="2" s="1"/>
  <c r="O63" i="2" s="1"/>
  <c r="L64" i="2"/>
  <c r="L64" i="5"/>
  <c r="M63" i="5"/>
  <c r="N63" i="5" s="1"/>
  <c r="O63" i="5" s="1"/>
  <c r="N61" i="1"/>
  <c r="O61" i="1" s="1"/>
  <c r="M62" i="1"/>
  <c r="Q57" i="4"/>
  <c r="R56" i="4"/>
  <c r="S56" i="4" s="1"/>
  <c r="T56" i="4" s="1"/>
  <c r="R55" i="5"/>
  <c r="S55" i="5" s="1"/>
  <c r="T55" i="5" s="1"/>
  <c r="Q56" i="5"/>
  <c r="R56" i="1"/>
  <c r="S56" i="1" s="1"/>
  <c r="T56" i="1" s="1"/>
  <c r="Q57" i="1"/>
  <c r="L67" i="4" l="1"/>
  <c r="M66" i="4"/>
  <c r="N66" i="4" s="1"/>
  <c r="O66" i="4" s="1"/>
  <c r="L65" i="5"/>
  <c r="M64" i="5"/>
  <c r="N64" i="5" s="1"/>
  <c r="O64" i="5" s="1"/>
  <c r="L64" i="3"/>
  <c r="M63" i="3"/>
  <c r="N63" i="3" s="1"/>
  <c r="O63" i="3" s="1"/>
  <c r="M64" i="2"/>
  <c r="N64" i="2" s="1"/>
  <c r="O64" i="2" s="1"/>
  <c r="L65" i="2"/>
  <c r="N62" i="1"/>
  <c r="O62" i="1" s="1"/>
  <c r="M63" i="1"/>
  <c r="R57" i="1"/>
  <c r="S57" i="1" s="1"/>
  <c r="T57" i="1" s="1"/>
  <c r="Q58" i="1"/>
  <c r="R56" i="3"/>
  <c r="S56" i="3" s="1"/>
  <c r="T56" i="3" s="1"/>
  <c r="Q57" i="3"/>
  <c r="R57" i="2"/>
  <c r="S57" i="2" s="1"/>
  <c r="T57" i="2" s="1"/>
  <c r="Q58" i="2"/>
  <c r="L66" i="1"/>
  <c r="Q57" i="5"/>
  <c r="R56" i="5"/>
  <c r="S56" i="5" s="1"/>
  <c r="T56" i="5" s="1"/>
  <c r="R57" i="4"/>
  <c r="S57" i="4" s="1"/>
  <c r="T57" i="4" s="1"/>
  <c r="Q58" i="4"/>
  <c r="Q59" i="2" l="1"/>
  <c r="R58" i="2"/>
  <c r="S58" i="2" s="1"/>
  <c r="T58" i="2" s="1"/>
  <c r="M65" i="2"/>
  <c r="N65" i="2" s="1"/>
  <c r="O65" i="2" s="1"/>
  <c r="L66" i="2"/>
  <c r="Q59" i="4"/>
  <c r="R58" i="4"/>
  <c r="S58" i="4" s="1"/>
  <c r="T58" i="4" s="1"/>
  <c r="R57" i="3"/>
  <c r="S57" i="3" s="1"/>
  <c r="T57" i="3" s="1"/>
  <c r="Q58" i="3"/>
  <c r="L65" i="3"/>
  <c r="M64" i="3"/>
  <c r="N64" i="3" s="1"/>
  <c r="O64" i="3" s="1"/>
  <c r="Q59" i="1"/>
  <c r="R58" i="1"/>
  <c r="S58" i="1" s="1"/>
  <c r="T58" i="1" s="1"/>
  <c r="L66" i="5"/>
  <c r="M65" i="5"/>
  <c r="N65" i="5" s="1"/>
  <c r="O65" i="5" s="1"/>
  <c r="L67" i="1"/>
  <c r="N63" i="1"/>
  <c r="O63" i="1" s="1"/>
  <c r="M64" i="1"/>
  <c r="Q58" i="5"/>
  <c r="R57" i="5"/>
  <c r="S57" i="5" s="1"/>
  <c r="T57" i="5" s="1"/>
  <c r="L68" i="4"/>
  <c r="M67" i="4"/>
  <c r="N67" i="4" s="1"/>
  <c r="O67" i="4" s="1"/>
  <c r="Q59" i="3" l="1"/>
  <c r="R58" i="3"/>
  <c r="S58" i="3" s="1"/>
  <c r="T58" i="3" s="1"/>
  <c r="L68" i="1"/>
  <c r="L69" i="4"/>
  <c r="M68" i="4"/>
  <c r="N68" i="4" s="1"/>
  <c r="O68" i="4" s="1"/>
  <c r="L67" i="5"/>
  <c r="M66" i="5"/>
  <c r="N66" i="5" s="1"/>
  <c r="O66" i="5" s="1"/>
  <c r="Q60" i="4"/>
  <c r="R59" i="4"/>
  <c r="S59" i="4" s="1"/>
  <c r="T59" i="4" s="1"/>
  <c r="L67" i="2"/>
  <c r="M66" i="2"/>
  <c r="N66" i="2" s="1"/>
  <c r="O66" i="2" s="1"/>
  <c r="Q59" i="5"/>
  <c r="R58" i="5"/>
  <c r="S58" i="5" s="1"/>
  <c r="T58" i="5" s="1"/>
  <c r="R59" i="1"/>
  <c r="S59" i="1" s="1"/>
  <c r="T59" i="1" s="1"/>
  <c r="Q60" i="1"/>
  <c r="N64" i="1"/>
  <c r="O64" i="1" s="1"/>
  <c r="M65" i="1"/>
  <c r="L66" i="3"/>
  <c r="M65" i="3"/>
  <c r="N65" i="3" s="1"/>
  <c r="O65" i="3" s="1"/>
  <c r="Q60" i="2"/>
  <c r="R59" i="2"/>
  <c r="S59" i="2" s="1"/>
  <c r="T59" i="2" s="1"/>
  <c r="R60" i="2" l="1"/>
  <c r="S60" i="2" s="1"/>
  <c r="T60" i="2" s="1"/>
  <c r="Q61" i="2"/>
  <c r="Q60" i="5"/>
  <c r="R59" i="5"/>
  <c r="S59" i="5" s="1"/>
  <c r="T59" i="5" s="1"/>
  <c r="L70" i="4"/>
  <c r="M69" i="4"/>
  <c r="N69" i="4" s="1"/>
  <c r="O69" i="4" s="1"/>
  <c r="L69" i="1"/>
  <c r="R60" i="1"/>
  <c r="S60" i="1" s="1"/>
  <c r="T60" i="1" s="1"/>
  <c r="Q61" i="1"/>
  <c r="L67" i="3"/>
  <c r="M66" i="3"/>
  <c r="N66" i="3" s="1"/>
  <c r="O66" i="3" s="1"/>
  <c r="L68" i="2"/>
  <c r="M67" i="2"/>
  <c r="N67" i="2" s="1"/>
  <c r="O67" i="2" s="1"/>
  <c r="L68" i="5"/>
  <c r="M67" i="5"/>
  <c r="N67" i="5" s="1"/>
  <c r="O67" i="5" s="1"/>
  <c r="N65" i="1"/>
  <c r="O65" i="1" s="1"/>
  <c r="M66" i="1"/>
  <c r="Q61" i="4"/>
  <c r="R60" i="4"/>
  <c r="S60" i="4" s="1"/>
  <c r="T60" i="4" s="1"/>
  <c r="R59" i="3"/>
  <c r="S59" i="3" s="1"/>
  <c r="T59" i="3" s="1"/>
  <c r="Q60" i="3"/>
  <c r="M68" i="5" l="1"/>
  <c r="N68" i="5" s="1"/>
  <c r="O68" i="5" s="1"/>
  <c r="L69" i="5"/>
  <c r="L70" i="1"/>
  <c r="Q61" i="3"/>
  <c r="R60" i="3"/>
  <c r="S60" i="3" s="1"/>
  <c r="T60" i="3" s="1"/>
  <c r="L69" i="2"/>
  <c r="M68" i="2"/>
  <c r="N68" i="2" s="1"/>
  <c r="O68" i="2" s="1"/>
  <c r="L71" i="4"/>
  <c r="M70" i="4"/>
  <c r="N70" i="4" s="1"/>
  <c r="O70" i="4" s="1"/>
  <c r="R61" i="4"/>
  <c r="S61" i="4" s="1"/>
  <c r="T61" i="4" s="1"/>
  <c r="Q62" i="4"/>
  <c r="L68" i="3"/>
  <c r="M67" i="3"/>
  <c r="N67" i="3" s="1"/>
  <c r="O67" i="3" s="1"/>
  <c r="Q61" i="5"/>
  <c r="R60" i="5"/>
  <c r="S60" i="5" s="1"/>
  <c r="T60" i="5" s="1"/>
  <c r="N66" i="1"/>
  <c r="O66" i="1" s="1"/>
  <c r="M67" i="1"/>
  <c r="Q62" i="1"/>
  <c r="R61" i="1"/>
  <c r="S61" i="1" s="1"/>
  <c r="T61" i="1" s="1"/>
  <c r="Q62" i="2"/>
  <c r="R61" i="2"/>
  <c r="S61" i="2" s="1"/>
  <c r="T61" i="2" s="1"/>
  <c r="Q63" i="2" l="1"/>
  <c r="R62" i="2"/>
  <c r="S62" i="2" s="1"/>
  <c r="T62" i="2" s="1"/>
  <c r="L69" i="3"/>
  <c r="M68" i="3"/>
  <c r="N68" i="3" s="1"/>
  <c r="O68" i="3" s="1"/>
  <c r="R61" i="3"/>
  <c r="S61" i="3" s="1"/>
  <c r="T61" i="3" s="1"/>
  <c r="Q62" i="3"/>
  <c r="Q63" i="4"/>
  <c r="R62" i="4"/>
  <c r="S62" i="4" s="1"/>
  <c r="T62" i="4" s="1"/>
  <c r="Q63" i="1"/>
  <c r="R62" i="1"/>
  <c r="S62" i="1" s="1"/>
  <c r="T62" i="1" s="1"/>
  <c r="L71" i="1"/>
  <c r="M69" i="2"/>
  <c r="N69" i="2" s="1"/>
  <c r="O69" i="2" s="1"/>
  <c r="L70" i="2"/>
  <c r="N67" i="1"/>
  <c r="O67" i="1" s="1"/>
  <c r="M68" i="1"/>
  <c r="M69" i="5"/>
  <c r="N69" i="5" s="1"/>
  <c r="O69" i="5" s="1"/>
  <c r="L70" i="5"/>
  <c r="Q62" i="5"/>
  <c r="R61" i="5"/>
  <c r="S61" i="5" s="1"/>
  <c r="T61" i="5" s="1"/>
  <c r="L72" i="4"/>
  <c r="M71" i="4"/>
  <c r="N71" i="4" s="1"/>
  <c r="O71" i="4" s="1"/>
  <c r="N68" i="1" l="1"/>
  <c r="O68" i="1" s="1"/>
  <c r="M69" i="1"/>
  <c r="M70" i="2"/>
  <c r="N70" i="2" s="1"/>
  <c r="O70" i="2" s="1"/>
  <c r="L71" i="2"/>
  <c r="Q63" i="3"/>
  <c r="R62" i="3"/>
  <c r="S62" i="3" s="1"/>
  <c r="T62" i="3" s="1"/>
  <c r="L72" i="1"/>
  <c r="Q63" i="5"/>
  <c r="R62" i="5"/>
  <c r="S62" i="5" s="1"/>
  <c r="T62" i="5" s="1"/>
  <c r="L70" i="3"/>
  <c r="M69" i="3"/>
  <c r="N69" i="3" s="1"/>
  <c r="O69" i="3" s="1"/>
  <c r="R63" i="4"/>
  <c r="S63" i="4" s="1"/>
  <c r="T63" i="4" s="1"/>
  <c r="Q64" i="4"/>
  <c r="L73" i="4"/>
  <c r="M72" i="4"/>
  <c r="N72" i="4" s="1"/>
  <c r="O72" i="4" s="1"/>
  <c r="L71" i="5"/>
  <c r="M70" i="5"/>
  <c r="N70" i="5" s="1"/>
  <c r="O70" i="5" s="1"/>
  <c r="R63" i="1"/>
  <c r="S63" i="1" s="1"/>
  <c r="T63" i="1" s="1"/>
  <c r="Q64" i="1"/>
  <c r="Q64" i="2"/>
  <c r="R63" i="2"/>
  <c r="S63" i="2" s="1"/>
  <c r="T63" i="2" s="1"/>
  <c r="L74" i="4" l="1"/>
  <c r="M73" i="4"/>
  <c r="N73" i="4" s="1"/>
  <c r="O73" i="4" s="1"/>
  <c r="L73" i="1"/>
  <c r="R64" i="4"/>
  <c r="S64" i="4" s="1"/>
  <c r="T64" i="4" s="1"/>
  <c r="Q65" i="4"/>
  <c r="R64" i="2"/>
  <c r="S64" i="2" s="1"/>
  <c r="T64" i="2" s="1"/>
  <c r="Q65" i="2"/>
  <c r="R63" i="3"/>
  <c r="S63" i="3" s="1"/>
  <c r="T63" i="3" s="1"/>
  <c r="Q64" i="3"/>
  <c r="Q65" i="1"/>
  <c r="R64" i="1"/>
  <c r="S64" i="1" s="1"/>
  <c r="T64" i="1" s="1"/>
  <c r="L72" i="2"/>
  <c r="M71" i="2"/>
  <c r="N71" i="2" s="1"/>
  <c r="O71" i="2" s="1"/>
  <c r="L71" i="3"/>
  <c r="M70" i="3"/>
  <c r="N70" i="3" s="1"/>
  <c r="O70" i="3" s="1"/>
  <c r="N69" i="1"/>
  <c r="O69" i="1" s="1"/>
  <c r="M70" i="1"/>
  <c r="L72" i="5"/>
  <c r="M71" i="5"/>
  <c r="N71" i="5" s="1"/>
  <c r="O71" i="5" s="1"/>
  <c r="Q64" i="5"/>
  <c r="R63" i="5"/>
  <c r="S63" i="5" s="1"/>
  <c r="T63" i="5" s="1"/>
  <c r="L72" i="3" l="1"/>
  <c r="M71" i="3"/>
  <c r="N71" i="3" s="1"/>
  <c r="O71" i="3" s="1"/>
  <c r="R65" i="4"/>
  <c r="S65" i="4" s="1"/>
  <c r="T65" i="4" s="1"/>
  <c r="Q66" i="4"/>
  <c r="R64" i="5"/>
  <c r="S64" i="5" s="1"/>
  <c r="T64" i="5" s="1"/>
  <c r="Q65" i="5"/>
  <c r="M72" i="2"/>
  <c r="N72" i="2" s="1"/>
  <c r="O72" i="2" s="1"/>
  <c r="L73" i="2"/>
  <c r="R65" i="2"/>
  <c r="S65" i="2" s="1"/>
  <c r="T65" i="2" s="1"/>
  <c r="Q66" i="2"/>
  <c r="M72" i="5"/>
  <c r="N72" i="5" s="1"/>
  <c r="O72" i="5" s="1"/>
  <c r="L73" i="5"/>
  <c r="R65" i="1"/>
  <c r="S65" i="1" s="1"/>
  <c r="T65" i="1" s="1"/>
  <c r="Q66" i="1"/>
  <c r="L74" i="1"/>
  <c r="N70" i="1"/>
  <c r="O70" i="1" s="1"/>
  <c r="M71" i="1"/>
  <c r="Q65" i="3"/>
  <c r="R64" i="3"/>
  <c r="S64" i="3" s="1"/>
  <c r="T64" i="3" s="1"/>
  <c r="L75" i="4"/>
  <c r="M74" i="4"/>
  <c r="N74" i="4" s="1"/>
  <c r="O74" i="4" s="1"/>
  <c r="L75" i="1" l="1"/>
  <c r="R66" i="1"/>
  <c r="S66" i="1" s="1"/>
  <c r="T66" i="1" s="1"/>
  <c r="Q67" i="1"/>
  <c r="R65" i="5"/>
  <c r="S65" i="5" s="1"/>
  <c r="T65" i="5" s="1"/>
  <c r="Q66" i="5"/>
  <c r="L74" i="2"/>
  <c r="M73" i="2"/>
  <c r="N73" i="2" s="1"/>
  <c r="O73" i="2" s="1"/>
  <c r="L76" i="4"/>
  <c r="M75" i="4"/>
  <c r="N75" i="4" s="1"/>
  <c r="O75" i="4" s="1"/>
  <c r="L74" i="5"/>
  <c r="M73" i="5"/>
  <c r="N73" i="5" s="1"/>
  <c r="O73" i="5" s="1"/>
  <c r="R66" i="4"/>
  <c r="S66" i="4" s="1"/>
  <c r="T66" i="4" s="1"/>
  <c r="Q67" i="4"/>
  <c r="Q67" i="2"/>
  <c r="R66" i="2"/>
  <c r="S66" i="2" s="1"/>
  <c r="T66" i="2" s="1"/>
  <c r="R65" i="3"/>
  <c r="S65" i="3" s="1"/>
  <c r="T65" i="3" s="1"/>
  <c r="Q66" i="3"/>
  <c r="N71" i="1"/>
  <c r="O71" i="1" s="1"/>
  <c r="M72" i="1"/>
  <c r="L73" i="3"/>
  <c r="M72" i="3"/>
  <c r="N72" i="3" s="1"/>
  <c r="O72" i="3" s="1"/>
  <c r="R67" i="2" l="1"/>
  <c r="S67" i="2" s="1"/>
  <c r="T67" i="2" s="1"/>
  <c r="Q68" i="2"/>
  <c r="L75" i="2"/>
  <c r="M74" i="2"/>
  <c r="N74" i="2" s="1"/>
  <c r="O74" i="2" s="1"/>
  <c r="Q68" i="4"/>
  <c r="R67" i="4"/>
  <c r="S67" i="4" s="1"/>
  <c r="T67" i="4" s="1"/>
  <c r="Q67" i="5"/>
  <c r="R66" i="5"/>
  <c r="S66" i="5" s="1"/>
  <c r="T66" i="5" s="1"/>
  <c r="Q68" i="1"/>
  <c r="R67" i="1"/>
  <c r="S67" i="1" s="1"/>
  <c r="T67" i="1" s="1"/>
  <c r="L74" i="3"/>
  <c r="M73" i="3"/>
  <c r="N73" i="3" s="1"/>
  <c r="O73" i="3" s="1"/>
  <c r="L75" i="5"/>
  <c r="M74" i="5"/>
  <c r="N74" i="5" s="1"/>
  <c r="O74" i="5" s="1"/>
  <c r="Q67" i="3"/>
  <c r="R66" i="3"/>
  <c r="S66" i="3" s="1"/>
  <c r="T66" i="3" s="1"/>
  <c r="L76" i="1"/>
  <c r="N72" i="1"/>
  <c r="O72" i="1" s="1"/>
  <c r="M73" i="1"/>
  <c r="L77" i="4"/>
  <c r="M76" i="4"/>
  <c r="N76" i="4" s="1"/>
  <c r="O76" i="4" s="1"/>
  <c r="R67" i="3" l="1"/>
  <c r="S67" i="3" s="1"/>
  <c r="T67" i="3" s="1"/>
  <c r="Q68" i="3"/>
  <c r="R67" i="5"/>
  <c r="S67" i="5" s="1"/>
  <c r="T67" i="5" s="1"/>
  <c r="Q68" i="5"/>
  <c r="L78" i="4"/>
  <c r="M77" i="4"/>
  <c r="N77" i="4" s="1"/>
  <c r="O77" i="4" s="1"/>
  <c r="M75" i="5"/>
  <c r="N75" i="5" s="1"/>
  <c r="O75" i="5" s="1"/>
  <c r="L76" i="5"/>
  <c r="R68" i="4"/>
  <c r="S68" i="4" s="1"/>
  <c r="T68" i="4" s="1"/>
  <c r="Q69" i="4"/>
  <c r="L75" i="3"/>
  <c r="M74" i="3"/>
  <c r="N74" i="3" s="1"/>
  <c r="O74" i="3" s="1"/>
  <c r="M75" i="2"/>
  <c r="N75" i="2" s="1"/>
  <c r="O75" i="2" s="1"/>
  <c r="L76" i="2"/>
  <c r="R68" i="2"/>
  <c r="S68" i="2" s="1"/>
  <c r="T68" i="2" s="1"/>
  <c r="Q69" i="2"/>
  <c r="N73" i="1"/>
  <c r="O73" i="1" s="1"/>
  <c r="M74" i="1"/>
  <c r="L77" i="1"/>
  <c r="R68" i="1"/>
  <c r="S68" i="1" s="1"/>
  <c r="T68" i="1" s="1"/>
  <c r="Q69" i="1"/>
  <c r="L79" i="4" l="1"/>
  <c r="M78" i="4"/>
  <c r="N78" i="4" s="1"/>
  <c r="O78" i="4" s="1"/>
  <c r="Q69" i="5"/>
  <c r="R68" i="5"/>
  <c r="S68" i="5" s="1"/>
  <c r="T68" i="5" s="1"/>
  <c r="L77" i="5"/>
  <c r="M76" i="5"/>
  <c r="N76" i="5" s="1"/>
  <c r="O76" i="5" s="1"/>
  <c r="R69" i="1"/>
  <c r="S69" i="1" s="1"/>
  <c r="T69" i="1" s="1"/>
  <c r="Q70" i="1"/>
  <c r="L76" i="3"/>
  <c r="M75" i="3"/>
  <c r="N75" i="3" s="1"/>
  <c r="O75" i="3" s="1"/>
  <c r="L78" i="1"/>
  <c r="N74" i="1"/>
  <c r="O74" i="1" s="1"/>
  <c r="M75" i="1"/>
  <c r="Q70" i="4"/>
  <c r="R69" i="4"/>
  <c r="S69" i="4" s="1"/>
  <c r="T69" i="4" s="1"/>
  <c r="R68" i="3"/>
  <c r="S68" i="3" s="1"/>
  <c r="T68" i="3" s="1"/>
  <c r="Q69" i="3"/>
  <c r="Q70" i="2"/>
  <c r="R69" i="2"/>
  <c r="S69" i="2" s="1"/>
  <c r="T69" i="2" s="1"/>
  <c r="M76" i="2"/>
  <c r="N76" i="2" s="1"/>
  <c r="O76" i="2" s="1"/>
  <c r="L77" i="2"/>
  <c r="M77" i="5" l="1"/>
  <c r="N77" i="5" s="1"/>
  <c r="O77" i="5" s="1"/>
  <c r="L78" i="5"/>
  <c r="R70" i="1"/>
  <c r="S70" i="1" s="1"/>
  <c r="T70" i="1" s="1"/>
  <c r="Q71" i="1"/>
  <c r="Q71" i="4"/>
  <c r="R70" i="4"/>
  <c r="S70" i="4" s="1"/>
  <c r="T70" i="4" s="1"/>
  <c r="N75" i="1"/>
  <c r="O75" i="1" s="1"/>
  <c r="M76" i="1"/>
  <c r="L79" i="1"/>
  <c r="Q71" i="2"/>
  <c r="R70" i="2"/>
  <c r="S70" i="2" s="1"/>
  <c r="T70" i="2" s="1"/>
  <c r="Q70" i="5"/>
  <c r="R69" i="5"/>
  <c r="S69" i="5" s="1"/>
  <c r="T69" i="5" s="1"/>
  <c r="Q70" i="3"/>
  <c r="R69" i="3"/>
  <c r="S69" i="3" s="1"/>
  <c r="T69" i="3" s="1"/>
  <c r="L78" i="2"/>
  <c r="M77" i="2"/>
  <c r="N77" i="2" s="1"/>
  <c r="O77" i="2" s="1"/>
  <c r="L77" i="3"/>
  <c r="M76" i="3"/>
  <c r="N76" i="3" s="1"/>
  <c r="O76" i="3" s="1"/>
  <c r="L80" i="4"/>
  <c r="M79" i="4"/>
  <c r="N79" i="4" s="1"/>
  <c r="O79" i="4" s="1"/>
  <c r="N76" i="1" l="1"/>
  <c r="O76" i="1" s="1"/>
  <c r="M77" i="1"/>
  <c r="L81" i="4"/>
  <c r="M80" i="4"/>
  <c r="N80" i="4" s="1"/>
  <c r="O80" i="4" s="1"/>
  <c r="Q71" i="5"/>
  <c r="R70" i="5"/>
  <c r="S70" i="5" s="1"/>
  <c r="T70" i="5" s="1"/>
  <c r="R71" i="4"/>
  <c r="S71" i="4" s="1"/>
  <c r="T71" i="4" s="1"/>
  <c r="Q72" i="4"/>
  <c r="R71" i="1"/>
  <c r="S71" i="1" s="1"/>
  <c r="T71" i="1" s="1"/>
  <c r="Q72" i="1"/>
  <c r="L78" i="3"/>
  <c r="M77" i="3"/>
  <c r="N77" i="3" s="1"/>
  <c r="O77" i="3" s="1"/>
  <c r="Q72" i="2"/>
  <c r="R71" i="2"/>
  <c r="S71" i="2" s="1"/>
  <c r="T71" i="2" s="1"/>
  <c r="R70" i="3"/>
  <c r="S70" i="3" s="1"/>
  <c r="T70" i="3" s="1"/>
  <c r="Q71" i="3"/>
  <c r="M78" i="5"/>
  <c r="N78" i="5" s="1"/>
  <c r="O78" i="5" s="1"/>
  <c r="L79" i="5"/>
  <c r="L79" i="2"/>
  <c r="M78" i="2"/>
  <c r="N78" i="2" s="1"/>
  <c r="O78" i="2" s="1"/>
  <c r="L80" i="1"/>
  <c r="R71" i="3" l="1"/>
  <c r="S71" i="3" s="1"/>
  <c r="T71" i="3" s="1"/>
  <c r="Q72" i="3"/>
  <c r="Q73" i="4"/>
  <c r="R72" i="4"/>
  <c r="S72" i="4" s="1"/>
  <c r="T72" i="4" s="1"/>
  <c r="L81" i="1"/>
  <c r="Q73" i="2"/>
  <c r="R72" i="2"/>
  <c r="S72" i="2" s="1"/>
  <c r="T72" i="2" s="1"/>
  <c r="Q72" i="5"/>
  <c r="R71" i="5"/>
  <c r="S71" i="5" s="1"/>
  <c r="T71" i="5" s="1"/>
  <c r="M79" i="2"/>
  <c r="N79" i="2" s="1"/>
  <c r="O79" i="2" s="1"/>
  <c r="L80" i="2"/>
  <c r="L79" i="3"/>
  <c r="M78" i="3"/>
  <c r="N78" i="3" s="1"/>
  <c r="O78" i="3" s="1"/>
  <c r="L82" i="4"/>
  <c r="M81" i="4"/>
  <c r="N81" i="4" s="1"/>
  <c r="O81" i="4" s="1"/>
  <c r="M79" i="5"/>
  <c r="N79" i="5" s="1"/>
  <c r="O79" i="5" s="1"/>
  <c r="L80" i="5"/>
  <c r="R72" i="1"/>
  <c r="S72" i="1" s="1"/>
  <c r="T72" i="1" s="1"/>
  <c r="Q73" i="1"/>
  <c r="N77" i="1"/>
  <c r="O77" i="1" s="1"/>
  <c r="M78" i="1"/>
  <c r="B14" i="4" l="1"/>
  <c r="I14" i="4"/>
  <c r="M82" i="4"/>
  <c r="N82" i="4" s="1"/>
  <c r="O82" i="4" s="1"/>
  <c r="B15" i="4" s="1"/>
  <c r="R73" i="2"/>
  <c r="S73" i="2" s="1"/>
  <c r="T73" i="2" s="1"/>
  <c r="Q74" i="2"/>
  <c r="N78" i="1"/>
  <c r="O78" i="1" s="1"/>
  <c r="M79" i="1"/>
  <c r="L80" i="3"/>
  <c r="M79" i="3"/>
  <c r="N79" i="3" s="1"/>
  <c r="O79" i="3" s="1"/>
  <c r="L82" i="1"/>
  <c r="I15" i="4" a="1"/>
  <c r="I15" i="4" s="1"/>
  <c r="I16" i="4" s="1"/>
  <c r="R73" i="1"/>
  <c r="S73" i="1" s="1"/>
  <c r="T73" i="1" s="1"/>
  <c r="Q74" i="1"/>
  <c r="M80" i="2"/>
  <c r="N80" i="2" s="1"/>
  <c r="O80" i="2" s="1"/>
  <c r="L81" i="2"/>
  <c r="Q74" i="4"/>
  <c r="R73" i="4"/>
  <c r="S73" i="4" s="1"/>
  <c r="T73" i="4" s="1"/>
  <c r="M80" i="5"/>
  <c r="N80" i="5" s="1"/>
  <c r="O80" i="5" s="1"/>
  <c r="L81" i="5"/>
  <c r="Q73" i="3"/>
  <c r="R72" i="3"/>
  <c r="S72" i="3" s="1"/>
  <c r="T72" i="3" s="1"/>
  <c r="Q73" i="5"/>
  <c r="R72" i="5"/>
  <c r="S72" i="5" s="1"/>
  <c r="T72" i="5" s="1"/>
  <c r="Q75" i="4" l="1"/>
  <c r="R74" i="4"/>
  <c r="S74" i="4" s="1"/>
  <c r="T74" i="4" s="1"/>
  <c r="L82" i="2"/>
  <c r="M81" i="2"/>
  <c r="N81" i="2" s="1"/>
  <c r="O81" i="2" s="1"/>
  <c r="L81" i="3"/>
  <c r="M80" i="3"/>
  <c r="N80" i="3" s="1"/>
  <c r="O80" i="3" s="1"/>
  <c r="R73" i="5"/>
  <c r="S73" i="5" s="1"/>
  <c r="T73" i="5" s="1"/>
  <c r="Q74" i="5"/>
  <c r="N79" i="1"/>
  <c r="O79" i="1" s="1"/>
  <c r="M80" i="1"/>
  <c r="R74" i="1"/>
  <c r="S74" i="1" s="1"/>
  <c r="T74" i="1" s="1"/>
  <c r="Q75" i="1"/>
  <c r="R73" i="3"/>
  <c r="S73" i="3" s="1"/>
  <c r="T73" i="3" s="1"/>
  <c r="Q74" i="3"/>
  <c r="R74" i="2"/>
  <c r="S74" i="2" s="1"/>
  <c r="T74" i="2" s="1"/>
  <c r="Q75" i="2"/>
  <c r="L83" i="1"/>
  <c r="B16" i="4"/>
  <c r="M81" i="5"/>
  <c r="N81" i="5" s="1"/>
  <c r="O81" i="5" s="1"/>
  <c r="L82" i="5"/>
  <c r="M82" i="2" l="1"/>
  <c r="N82" i="2" s="1"/>
  <c r="O82" i="2" s="1"/>
  <c r="L83" i="2"/>
  <c r="R75" i="2"/>
  <c r="S75" i="2" s="1"/>
  <c r="T75" i="2" s="1"/>
  <c r="Q76" i="2"/>
  <c r="R74" i="5"/>
  <c r="S74" i="5" s="1"/>
  <c r="T74" i="5" s="1"/>
  <c r="Q75" i="5"/>
  <c r="R74" i="3"/>
  <c r="S74" i="3" s="1"/>
  <c r="T74" i="3" s="1"/>
  <c r="Q75" i="3"/>
  <c r="Q76" i="1"/>
  <c r="R75" i="1"/>
  <c r="S75" i="1" s="1"/>
  <c r="T75" i="1" s="1"/>
  <c r="M82" i="5"/>
  <c r="N82" i="5" s="1"/>
  <c r="O82" i="5" s="1"/>
  <c r="L83" i="5"/>
  <c r="L82" i="3"/>
  <c r="M81" i="3"/>
  <c r="N81" i="3" s="1"/>
  <c r="O81" i="3" s="1"/>
  <c r="N80" i="1"/>
  <c r="O80" i="1" s="1"/>
  <c r="M81" i="1"/>
  <c r="L84" i="1"/>
  <c r="R75" i="4"/>
  <c r="S75" i="4" s="1"/>
  <c r="T75" i="4" s="1"/>
  <c r="Q76" i="4"/>
  <c r="R76" i="1" l="1"/>
  <c r="S76" i="1" s="1"/>
  <c r="T76" i="1" s="1"/>
  <c r="Q77" i="1"/>
  <c r="N81" i="1"/>
  <c r="O81" i="1" s="1"/>
  <c r="M82" i="1"/>
  <c r="R75" i="3"/>
  <c r="S75" i="3" s="1"/>
  <c r="T75" i="3" s="1"/>
  <c r="Q76" i="3"/>
  <c r="Q76" i="5"/>
  <c r="R75" i="5"/>
  <c r="S75" i="5" s="1"/>
  <c r="T75" i="5" s="1"/>
  <c r="L83" i="3"/>
  <c r="M82" i="3"/>
  <c r="N82" i="3" s="1"/>
  <c r="O82" i="3" s="1"/>
  <c r="L85" i="1"/>
  <c r="M83" i="5"/>
  <c r="N83" i="5" s="1"/>
  <c r="O83" i="5" s="1"/>
  <c r="L84" i="5"/>
  <c r="R76" i="2"/>
  <c r="S76" i="2" s="1"/>
  <c r="T76" i="2" s="1"/>
  <c r="Q77" i="2"/>
  <c r="Q77" i="4"/>
  <c r="R76" i="4"/>
  <c r="S76" i="4" s="1"/>
  <c r="T76" i="4" s="1"/>
  <c r="L84" i="2"/>
  <c r="M83" i="2"/>
  <c r="N83" i="2" s="1"/>
  <c r="O83" i="2" s="1"/>
  <c r="R77" i="2" l="1"/>
  <c r="S77" i="2" s="1"/>
  <c r="T77" i="2" s="1"/>
  <c r="Q78" i="2"/>
  <c r="R76" i="5"/>
  <c r="S76" i="5" s="1"/>
  <c r="T76" i="5" s="1"/>
  <c r="Q77" i="5"/>
  <c r="M84" i="5"/>
  <c r="N84" i="5" s="1"/>
  <c r="O84" i="5" s="1"/>
  <c r="L85" i="5"/>
  <c r="Q77" i="3"/>
  <c r="R76" i="3"/>
  <c r="S76" i="3" s="1"/>
  <c r="T76" i="3" s="1"/>
  <c r="L86" i="1"/>
  <c r="N82" i="1"/>
  <c r="O82" i="1" s="1"/>
  <c r="M83" i="1"/>
  <c r="L85" i="2"/>
  <c r="M84" i="2"/>
  <c r="N84" i="2" s="1"/>
  <c r="O84" i="2" s="1"/>
  <c r="Q78" i="1"/>
  <c r="R77" i="1"/>
  <c r="S77" i="1" s="1"/>
  <c r="T77" i="1" s="1"/>
  <c r="R77" i="4"/>
  <c r="S77" i="4" s="1"/>
  <c r="T77" i="4" s="1"/>
  <c r="Q78" i="4"/>
  <c r="L84" i="3"/>
  <c r="M83" i="3"/>
  <c r="N83" i="3" s="1"/>
  <c r="O83" i="3" s="1"/>
  <c r="M85" i="5" l="1"/>
  <c r="N85" i="5" s="1"/>
  <c r="O85" i="5" s="1"/>
  <c r="L86" i="5"/>
  <c r="M85" i="2"/>
  <c r="N85" i="2" s="1"/>
  <c r="O85" i="2" s="1"/>
  <c r="L86" i="2"/>
  <c r="N83" i="1"/>
  <c r="O83" i="1" s="1"/>
  <c r="M84" i="1"/>
  <c r="R77" i="5"/>
  <c r="S77" i="5" s="1"/>
  <c r="T77" i="5" s="1"/>
  <c r="Q78" i="5"/>
  <c r="Q79" i="4"/>
  <c r="R78" i="4"/>
  <c r="S78" i="4" s="1"/>
  <c r="T78" i="4" s="1"/>
  <c r="L87" i="1"/>
  <c r="R78" i="2"/>
  <c r="S78" i="2" s="1"/>
  <c r="T78" i="2" s="1"/>
  <c r="Q79" i="2"/>
  <c r="L85" i="3"/>
  <c r="M84" i="3"/>
  <c r="N84" i="3" s="1"/>
  <c r="O84" i="3" s="1"/>
  <c r="Q79" i="1"/>
  <c r="R78" i="1"/>
  <c r="S78" i="1" s="1"/>
  <c r="T78" i="1" s="1"/>
  <c r="R77" i="3"/>
  <c r="S77" i="3" s="1"/>
  <c r="T77" i="3" s="1"/>
  <c r="Q78" i="3"/>
  <c r="R79" i="1" l="1"/>
  <c r="S79" i="1" s="1"/>
  <c r="T79" i="1" s="1"/>
  <c r="Q80" i="1"/>
  <c r="Q80" i="4"/>
  <c r="R79" i="4"/>
  <c r="S79" i="4" s="1"/>
  <c r="T79" i="4" s="1"/>
  <c r="L86" i="3"/>
  <c r="M85" i="3"/>
  <c r="N85" i="3" s="1"/>
  <c r="O85" i="3" s="1"/>
  <c r="Q80" i="2"/>
  <c r="R79" i="2"/>
  <c r="S79" i="2" s="1"/>
  <c r="T79" i="2" s="1"/>
  <c r="N84" i="1"/>
  <c r="O84" i="1" s="1"/>
  <c r="M85" i="1"/>
  <c r="Q79" i="3"/>
  <c r="R78" i="3"/>
  <c r="S78" i="3" s="1"/>
  <c r="T78" i="3" s="1"/>
  <c r="L88" i="1"/>
  <c r="L87" i="2"/>
  <c r="M86" i="2"/>
  <c r="N86" i="2" s="1"/>
  <c r="O86" i="2" s="1"/>
  <c r="M86" i="5"/>
  <c r="N86" i="5" s="1"/>
  <c r="O86" i="5" s="1"/>
  <c r="L87" i="5"/>
  <c r="R78" i="5"/>
  <c r="S78" i="5" s="1"/>
  <c r="T78" i="5" s="1"/>
  <c r="Q79" i="5"/>
  <c r="L88" i="2" l="1"/>
  <c r="M87" i="2"/>
  <c r="N87" i="2" s="1"/>
  <c r="O87" i="2" s="1"/>
  <c r="Q81" i="2"/>
  <c r="R80" i="2"/>
  <c r="S80" i="2" s="1"/>
  <c r="T80" i="2" s="1"/>
  <c r="L89" i="1"/>
  <c r="R79" i="5"/>
  <c r="S79" i="5" s="1"/>
  <c r="T79" i="5" s="1"/>
  <c r="Q80" i="5"/>
  <c r="L87" i="3"/>
  <c r="M86" i="3"/>
  <c r="N86" i="3" s="1"/>
  <c r="O86" i="3" s="1"/>
  <c r="M87" i="5"/>
  <c r="N87" i="5" s="1"/>
  <c r="O87" i="5" s="1"/>
  <c r="L88" i="5"/>
  <c r="R79" i="3"/>
  <c r="S79" i="3" s="1"/>
  <c r="T79" i="3" s="1"/>
  <c r="Q80" i="3"/>
  <c r="Q81" i="4"/>
  <c r="R80" i="4"/>
  <c r="S80" i="4" s="1"/>
  <c r="T80" i="4" s="1"/>
  <c r="N85" i="1"/>
  <c r="O85" i="1" s="1"/>
  <c r="M86" i="1"/>
  <c r="Q81" i="1"/>
  <c r="R80" i="1"/>
  <c r="S80" i="1" s="1"/>
  <c r="T80" i="1" s="1"/>
  <c r="R80" i="5" l="1"/>
  <c r="S80" i="5" s="1"/>
  <c r="T80" i="5" s="1"/>
  <c r="Q81" i="5"/>
  <c r="R81" i="4"/>
  <c r="S81" i="4" s="1"/>
  <c r="T81" i="4" s="1"/>
  <c r="Q82" i="4"/>
  <c r="Q82" i="1"/>
  <c r="R81" i="1"/>
  <c r="S81" i="1" s="1"/>
  <c r="T81" i="1" s="1"/>
  <c r="N86" i="1"/>
  <c r="O86" i="1" s="1"/>
  <c r="M87" i="1"/>
  <c r="R80" i="3"/>
  <c r="S80" i="3" s="1"/>
  <c r="T80" i="3" s="1"/>
  <c r="Q81" i="3"/>
  <c r="L90" i="1"/>
  <c r="L89" i="5"/>
  <c r="M88" i="5"/>
  <c r="N88" i="5" s="1"/>
  <c r="O88" i="5" s="1"/>
  <c r="R81" i="2"/>
  <c r="S81" i="2" s="1"/>
  <c r="T81" i="2" s="1"/>
  <c r="Q82" i="2"/>
  <c r="L88" i="3"/>
  <c r="M87" i="3"/>
  <c r="N87" i="3" s="1"/>
  <c r="O87" i="3" s="1"/>
  <c r="M88" i="2"/>
  <c r="N88" i="2" s="1"/>
  <c r="O88" i="2" s="1"/>
  <c r="L89" i="2"/>
  <c r="L90" i="5" l="1"/>
  <c r="M89" i="5"/>
  <c r="N89" i="5" s="1"/>
  <c r="O89" i="5" s="1"/>
  <c r="R82" i="1"/>
  <c r="S82" i="1" s="1"/>
  <c r="T82" i="1" s="1"/>
  <c r="Q83" i="1"/>
  <c r="L90" i="2"/>
  <c r="M89" i="2"/>
  <c r="N89" i="2" s="1"/>
  <c r="O89" i="2" s="1"/>
  <c r="E14" i="4"/>
  <c r="L14" i="4"/>
  <c r="R82" i="4"/>
  <c r="S82" i="4" s="1"/>
  <c r="T82" i="4" s="1"/>
  <c r="L91" i="1"/>
  <c r="Q82" i="3"/>
  <c r="R81" i="3"/>
  <c r="S81" i="3" s="1"/>
  <c r="T81" i="3" s="1"/>
  <c r="Q82" i="5"/>
  <c r="R81" i="5"/>
  <c r="S81" i="5" s="1"/>
  <c r="T81" i="5" s="1"/>
  <c r="Q83" i="2"/>
  <c r="R82" i="2"/>
  <c r="S82" i="2" s="1"/>
  <c r="T82" i="2" s="1"/>
  <c r="N87" i="1"/>
  <c r="O87" i="1" s="1"/>
  <c r="M88" i="1"/>
  <c r="L89" i="3"/>
  <c r="M88" i="3"/>
  <c r="N88" i="3" s="1"/>
  <c r="O88" i="3" s="1"/>
  <c r="Q83" i="5" l="1"/>
  <c r="R82" i="5"/>
  <c r="S82" i="5" s="1"/>
  <c r="T82" i="5" s="1"/>
  <c r="L91" i="2"/>
  <c r="M90" i="2"/>
  <c r="N90" i="2" s="1"/>
  <c r="O90" i="2" s="1"/>
  <c r="L90" i="3"/>
  <c r="M89" i="3"/>
  <c r="N89" i="3" s="1"/>
  <c r="O89" i="3" s="1"/>
  <c r="R82" i="3"/>
  <c r="S82" i="3" s="1"/>
  <c r="T82" i="3" s="1"/>
  <c r="Q83" i="3"/>
  <c r="R83" i="1"/>
  <c r="S83" i="1" s="1"/>
  <c r="T83" i="1" s="1"/>
  <c r="Q84" i="1"/>
  <c r="R83" i="2"/>
  <c r="S83" i="2" s="1"/>
  <c r="T83" i="2" s="1"/>
  <c r="Q84" i="2"/>
  <c r="N88" i="1"/>
  <c r="O88" i="1" s="1"/>
  <c r="M89" i="1"/>
  <c r="L92" i="1"/>
  <c r="E15" i="4"/>
  <c r="E16" i="4" s="1"/>
  <c r="L15" i="4" a="1"/>
  <c r="L15" i="4" s="1"/>
  <c r="L16" i="4" s="1"/>
  <c r="M90" i="5"/>
  <c r="N90" i="5" s="1"/>
  <c r="O90" i="5" s="1"/>
  <c r="L91" i="5"/>
  <c r="L93" i="1" l="1"/>
  <c r="R83" i="3"/>
  <c r="S83" i="3" s="1"/>
  <c r="T83" i="3" s="1"/>
  <c r="Q84" i="3"/>
  <c r="L91" i="3"/>
  <c r="M90" i="3"/>
  <c r="N90" i="3" s="1"/>
  <c r="O90" i="3" s="1"/>
  <c r="M91" i="5"/>
  <c r="N91" i="5" s="1"/>
  <c r="O91" i="5" s="1"/>
  <c r="L92" i="5"/>
  <c r="R84" i="2"/>
  <c r="S84" i="2" s="1"/>
  <c r="T84" i="2" s="1"/>
  <c r="Q85" i="2"/>
  <c r="N89" i="1"/>
  <c r="O89" i="1" s="1"/>
  <c r="M90" i="1"/>
  <c r="M91" i="2"/>
  <c r="N91" i="2" s="1"/>
  <c r="O91" i="2" s="1"/>
  <c r="L92" i="2"/>
  <c r="Q85" i="1"/>
  <c r="R84" i="1"/>
  <c r="S84" i="1" s="1"/>
  <c r="T84" i="1" s="1"/>
  <c r="R83" i="5"/>
  <c r="S83" i="5" s="1"/>
  <c r="T83" i="5" s="1"/>
  <c r="Q84" i="5"/>
  <c r="M92" i="5" l="1"/>
  <c r="N92" i="5" s="1"/>
  <c r="O92" i="5" s="1"/>
  <c r="L93" i="5"/>
  <c r="R85" i="1"/>
  <c r="S85" i="1" s="1"/>
  <c r="T85" i="1" s="1"/>
  <c r="Q86" i="1"/>
  <c r="L93" i="2"/>
  <c r="M92" i="2"/>
  <c r="N92" i="2" s="1"/>
  <c r="O92" i="2" s="1"/>
  <c r="L92" i="3"/>
  <c r="M91" i="3"/>
  <c r="N91" i="3" s="1"/>
  <c r="O91" i="3" s="1"/>
  <c r="N90" i="1"/>
  <c r="O90" i="1" s="1"/>
  <c r="M91" i="1"/>
  <c r="R84" i="3"/>
  <c r="S84" i="3" s="1"/>
  <c r="T84" i="3" s="1"/>
  <c r="Q85" i="3"/>
  <c r="Q85" i="5"/>
  <c r="R84" i="5"/>
  <c r="S84" i="5" s="1"/>
  <c r="T84" i="5" s="1"/>
  <c r="Q86" i="2"/>
  <c r="R85" i="2"/>
  <c r="S85" i="2" s="1"/>
  <c r="T85" i="2" s="1"/>
  <c r="L94" i="1"/>
  <c r="L93" i="3" l="1"/>
  <c r="M92" i="3"/>
  <c r="N92" i="3" s="1"/>
  <c r="O92" i="3" s="1"/>
  <c r="R86" i="2"/>
  <c r="S86" i="2" s="1"/>
  <c r="T86" i="2" s="1"/>
  <c r="Q87" i="2"/>
  <c r="R85" i="5"/>
  <c r="S85" i="5" s="1"/>
  <c r="T85" i="5" s="1"/>
  <c r="Q86" i="5"/>
  <c r="L94" i="2"/>
  <c r="M93" i="2"/>
  <c r="N93" i="2" s="1"/>
  <c r="O93" i="2" s="1"/>
  <c r="R85" i="3"/>
  <c r="S85" i="3" s="1"/>
  <c r="T85" i="3" s="1"/>
  <c r="Q86" i="3"/>
  <c r="Q87" i="1"/>
  <c r="R86" i="1"/>
  <c r="S86" i="1" s="1"/>
  <c r="T86" i="1" s="1"/>
  <c r="N91" i="1"/>
  <c r="O91" i="1" s="1"/>
  <c r="M92" i="1"/>
  <c r="M93" i="5"/>
  <c r="N93" i="5" s="1"/>
  <c r="O93" i="5" s="1"/>
  <c r="L94" i="5"/>
  <c r="L95" i="1"/>
  <c r="M94" i="5" l="1"/>
  <c r="N94" i="5" s="1"/>
  <c r="O94" i="5" s="1"/>
  <c r="L95" i="5"/>
  <c r="M94" i="2"/>
  <c r="N94" i="2" s="1"/>
  <c r="O94" i="2" s="1"/>
  <c r="L95" i="2"/>
  <c r="N92" i="1"/>
  <c r="O92" i="1" s="1"/>
  <c r="M93" i="1"/>
  <c r="R86" i="5"/>
  <c r="S86" i="5" s="1"/>
  <c r="T86" i="5" s="1"/>
  <c r="Q87" i="5"/>
  <c r="R87" i="2"/>
  <c r="S87" i="2" s="1"/>
  <c r="T87" i="2" s="1"/>
  <c r="Q88" i="2"/>
  <c r="R87" i="1"/>
  <c r="S87" i="1" s="1"/>
  <c r="T87" i="1" s="1"/>
  <c r="Q88" i="1"/>
  <c r="L96" i="1"/>
  <c r="R86" i="3"/>
  <c r="S86" i="3" s="1"/>
  <c r="T86" i="3" s="1"/>
  <c r="Q87" i="3"/>
  <c r="L94" i="3"/>
  <c r="M93" i="3"/>
  <c r="N93" i="3" s="1"/>
  <c r="O93" i="3" s="1"/>
  <c r="Q88" i="3" l="1"/>
  <c r="R87" i="3"/>
  <c r="S87" i="3" s="1"/>
  <c r="T87" i="3" s="1"/>
  <c r="Q88" i="5"/>
  <c r="R87" i="5"/>
  <c r="S87" i="5" s="1"/>
  <c r="T87" i="5" s="1"/>
  <c r="L95" i="3"/>
  <c r="M94" i="3"/>
  <c r="N94" i="3" s="1"/>
  <c r="O94" i="3" s="1"/>
  <c r="L97" i="1"/>
  <c r="N93" i="1"/>
  <c r="O93" i="1" s="1"/>
  <c r="M94" i="1"/>
  <c r="R88" i="1"/>
  <c r="S88" i="1" s="1"/>
  <c r="T88" i="1" s="1"/>
  <c r="Q89" i="1"/>
  <c r="M95" i="2"/>
  <c r="N95" i="2" s="1"/>
  <c r="O95" i="2" s="1"/>
  <c r="L96" i="2"/>
  <c r="R88" i="2"/>
  <c r="S88" i="2" s="1"/>
  <c r="T88" i="2" s="1"/>
  <c r="Q89" i="2"/>
  <c r="M95" i="5"/>
  <c r="N95" i="5" s="1"/>
  <c r="O95" i="5" s="1"/>
  <c r="L96" i="5"/>
  <c r="R89" i="2" l="1"/>
  <c r="S89" i="2" s="1"/>
  <c r="T89" i="2" s="1"/>
  <c r="Q90" i="2"/>
  <c r="L98" i="1"/>
  <c r="L97" i="2"/>
  <c r="M96" i="2"/>
  <c r="N96" i="2" s="1"/>
  <c r="O96" i="2" s="1"/>
  <c r="L96" i="3"/>
  <c r="M95" i="3"/>
  <c r="N95" i="3" s="1"/>
  <c r="O95" i="3" s="1"/>
  <c r="R89" i="1"/>
  <c r="S89" i="1" s="1"/>
  <c r="T89" i="1" s="1"/>
  <c r="Q90" i="1"/>
  <c r="Q89" i="5"/>
  <c r="R88" i="5"/>
  <c r="S88" i="5" s="1"/>
  <c r="T88" i="5" s="1"/>
  <c r="L97" i="5"/>
  <c r="M96" i="5"/>
  <c r="N96" i="5" s="1"/>
  <c r="O96" i="5" s="1"/>
  <c r="N94" i="1"/>
  <c r="O94" i="1" s="1"/>
  <c r="M95" i="1"/>
  <c r="R88" i="3"/>
  <c r="S88" i="3" s="1"/>
  <c r="T88" i="3" s="1"/>
  <c r="Q89" i="3"/>
  <c r="M97" i="5" l="1"/>
  <c r="N97" i="5" s="1"/>
  <c r="O97" i="5" s="1"/>
  <c r="L98" i="5"/>
  <c r="M97" i="2"/>
  <c r="N97" i="2" s="1"/>
  <c r="O97" i="2" s="1"/>
  <c r="L98" i="2"/>
  <c r="L97" i="3"/>
  <c r="M96" i="3"/>
  <c r="N96" i="3" s="1"/>
  <c r="O96" i="3" s="1"/>
  <c r="N95" i="1"/>
  <c r="O95" i="1" s="1"/>
  <c r="M96" i="1"/>
  <c r="R89" i="5"/>
  <c r="S89" i="5" s="1"/>
  <c r="T89" i="5" s="1"/>
  <c r="Q90" i="5"/>
  <c r="L99" i="1"/>
  <c r="Q90" i="3"/>
  <c r="R89" i="3"/>
  <c r="S89" i="3" s="1"/>
  <c r="T89" i="3" s="1"/>
  <c r="R90" i="1"/>
  <c r="S90" i="1" s="1"/>
  <c r="T90" i="1" s="1"/>
  <c r="Q91" i="1"/>
  <c r="R90" i="2"/>
  <c r="S90" i="2" s="1"/>
  <c r="T90" i="2" s="1"/>
  <c r="Q91" i="2"/>
  <c r="R91" i="1" l="1"/>
  <c r="S91" i="1" s="1"/>
  <c r="T91" i="1" s="1"/>
  <c r="Q92" i="1"/>
  <c r="N96" i="1"/>
  <c r="O96" i="1" s="1"/>
  <c r="M97" i="1"/>
  <c r="Q91" i="3"/>
  <c r="R90" i="3"/>
  <c r="S90" i="3" s="1"/>
  <c r="T90" i="3" s="1"/>
  <c r="L98" i="3"/>
  <c r="M97" i="3"/>
  <c r="N97" i="3" s="1"/>
  <c r="O97" i="3" s="1"/>
  <c r="M98" i="2"/>
  <c r="N98" i="2" s="1"/>
  <c r="O98" i="2" s="1"/>
  <c r="L99" i="2"/>
  <c r="L100" i="1"/>
  <c r="R91" i="2"/>
  <c r="S91" i="2" s="1"/>
  <c r="T91" i="2" s="1"/>
  <c r="Q92" i="2"/>
  <c r="Q91" i="5"/>
  <c r="R90" i="5"/>
  <c r="S90" i="5" s="1"/>
  <c r="T90" i="5" s="1"/>
  <c r="M98" i="5"/>
  <c r="N98" i="5" s="1"/>
  <c r="O98" i="5" s="1"/>
  <c r="L99" i="5"/>
  <c r="L99" i="3" l="1"/>
  <c r="M98" i="3"/>
  <c r="N98" i="3" s="1"/>
  <c r="O98" i="3" s="1"/>
  <c r="R91" i="3"/>
  <c r="S91" i="3" s="1"/>
  <c r="T91" i="3" s="1"/>
  <c r="Q92" i="3"/>
  <c r="L101" i="1"/>
  <c r="N97" i="1"/>
  <c r="O97" i="1" s="1"/>
  <c r="M98" i="1"/>
  <c r="Q92" i="5"/>
  <c r="R91" i="5"/>
  <c r="S91" i="5" s="1"/>
  <c r="T91" i="5" s="1"/>
  <c r="R92" i="2"/>
  <c r="S92" i="2" s="1"/>
  <c r="T92" i="2" s="1"/>
  <c r="Q93" i="2"/>
  <c r="L100" i="5"/>
  <c r="M99" i="5"/>
  <c r="N99" i="5" s="1"/>
  <c r="O99" i="5" s="1"/>
  <c r="L100" i="2"/>
  <c r="M99" i="2"/>
  <c r="N99" i="2" s="1"/>
  <c r="O99" i="2" s="1"/>
  <c r="R92" i="1"/>
  <c r="S92" i="1" s="1"/>
  <c r="T92" i="1" s="1"/>
  <c r="Q93" i="1"/>
  <c r="N98" i="1" l="1"/>
  <c r="O98" i="1" s="1"/>
  <c r="M99" i="1"/>
  <c r="L102" i="1"/>
  <c r="M100" i="5"/>
  <c r="N100" i="5" s="1"/>
  <c r="O100" i="5" s="1"/>
  <c r="L101" i="5"/>
  <c r="L101" i="2"/>
  <c r="M100" i="2"/>
  <c r="N100" i="2" s="1"/>
  <c r="O100" i="2" s="1"/>
  <c r="R93" i="2"/>
  <c r="S93" i="2" s="1"/>
  <c r="T93" i="2" s="1"/>
  <c r="Q94" i="2"/>
  <c r="R92" i="3"/>
  <c r="S92" i="3" s="1"/>
  <c r="T92" i="3" s="1"/>
  <c r="Q93" i="3"/>
  <c r="Q94" i="1"/>
  <c r="R93" i="1"/>
  <c r="S93" i="1" s="1"/>
  <c r="T93" i="1" s="1"/>
  <c r="Q93" i="5"/>
  <c r="R92" i="5"/>
  <c r="S92" i="5" s="1"/>
  <c r="T92" i="5" s="1"/>
  <c r="L100" i="3"/>
  <c r="M99" i="3"/>
  <c r="N99" i="3" s="1"/>
  <c r="O99" i="3" s="1"/>
  <c r="Q94" i="3" l="1"/>
  <c r="R93" i="3"/>
  <c r="S93" i="3" s="1"/>
  <c r="T93" i="3" s="1"/>
  <c r="M101" i="2"/>
  <c r="N101" i="2" s="1"/>
  <c r="O101" i="2" s="1"/>
  <c r="L102" i="2"/>
  <c r="M101" i="5"/>
  <c r="N101" i="5" s="1"/>
  <c r="O101" i="5" s="1"/>
  <c r="L102" i="5"/>
  <c r="L103" i="1"/>
  <c r="R94" i="2"/>
  <c r="S94" i="2" s="1"/>
  <c r="T94" i="2" s="1"/>
  <c r="Q95" i="2"/>
  <c r="N99" i="1"/>
  <c r="O99" i="1" s="1"/>
  <c r="M100" i="1"/>
  <c r="Q94" i="5"/>
  <c r="R93" i="5"/>
  <c r="S93" i="5" s="1"/>
  <c r="T93" i="5" s="1"/>
  <c r="Q95" i="1"/>
  <c r="R94" i="1"/>
  <c r="S94" i="1" s="1"/>
  <c r="T94" i="1" s="1"/>
  <c r="L101" i="3"/>
  <c r="M100" i="3"/>
  <c r="N100" i="3" s="1"/>
  <c r="O100" i="3" s="1"/>
  <c r="L104" i="1" l="1"/>
  <c r="M102" i="5"/>
  <c r="N102" i="5" s="1"/>
  <c r="O102" i="5" s="1"/>
  <c r="L103" i="5"/>
  <c r="Q95" i="5"/>
  <c r="R94" i="5"/>
  <c r="S94" i="5" s="1"/>
  <c r="T94" i="5" s="1"/>
  <c r="Q96" i="1"/>
  <c r="R95" i="1"/>
  <c r="S95" i="1" s="1"/>
  <c r="T95" i="1" s="1"/>
  <c r="N100" i="1"/>
  <c r="O100" i="1" s="1"/>
  <c r="M101" i="1"/>
  <c r="M102" i="2"/>
  <c r="N102" i="2" s="1"/>
  <c r="O102" i="2" s="1"/>
  <c r="L103" i="2"/>
  <c r="R95" i="2"/>
  <c r="S95" i="2" s="1"/>
  <c r="T95" i="2" s="1"/>
  <c r="Q96" i="2"/>
  <c r="L102" i="3"/>
  <c r="M101" i="3"/>
  <c r="N101" i="3" s="1"/>
  <c r="O101" i="3" s="1"/>
  <c r="Q95" i="3"/>
  <c r="R94" i="3"/>
  <c r="S94" i="3" s="1"/>
  <c r="T94" i="3" s="1"/>
  <c r="L103" i="3" l="1"/>
  <c r="M102" i="3"/>
  <c r="N102" i="3" s="1"/>
  <c r="O102" i="3" s="1"/>
  <c r="Q97" i="2"/>
  <c r="R96" i="2"/>
  <c r="S96" i="2" s="1"/>
  <c r="T96" i="2" s="1"/>
  <c r="Q97" i="1"/>
  <c r="R96" i="1"/>
  <c r="S96" i="1" s="1"/>
  <c r="T96" i="1" s="1"/>
  <c r="R95" i="5"/>
  <c r="S95" i="5" s="1"/>
  <c r="T95" i="5" s="1"/>
  <c r="Q96" i="5"/>
  <c r="L104" i="2"/>
  <c r="M103" i="2"/>
  <c r="N103" i="2" s="1"/>
  <c r="O103" i="2" s="1"/>
  <c r="M103" i="5"/>
  <c r="N103" i="5" s="1"/>
  <c r="O103" i="5" s="1"/>
  <c r="L104" i="5"/>
  <c r="N101" i="1"/>
  <c r="O101" i="1" s="1"/>
  <c r="M102" i="1"/>
  <c r="Q96" i="3"/>
  <c r="R95" i="3"/>
  <c r="S95" i="3" s="1"/>
  <c r="T95" i="3" s="1"/>
  <c r="L105" i="1"/>
  <c r="R96" i="5" l="1"/>
  <c r="S96" i="5" s="1"/>
  <c r="T96" i="5" s="1"/>
  <c r="Q97" i="5"/>
  <c r="Q98" i="1"/>
  <c r="R97" i="1"/>
  <c r="S97" i="1" s="1"/>
  <c r="T97" i="1" s="1"/>
  <c r="N102" i="1"/>
  <c r="O102" i="1" s="1"/>
  <c r="M103" i="1"/>
  <c r="M104" i="5"/>
  <c r="N104" i="5" s="1"/>
  <c r="O104" i="5" s="1"/>
  <c r="L105" i="5"/>
  <c r="Q98" i="2"/>
  <c r="R97" i="2"/>
  <c r="S97" i="2" s="1"/>
  <c r="T97" i="2" s="1"/>
  <c r="Q97" i="3"/>
  <c r="R96" i="3"/>
  <c r="S96" i="3" s="1"/>
  <c r="T96" i="3" s="1"/>
  <c r="L106" i="1"/>
  <c r="M104" i="2"/>
  <c r="N104" i="2" s="1"/>
  <c r="O104" i="2" s="1"/>
  <c r="L105" i="2"/>
  <c r="L104" i="3"/>
  <c r="M103" i="3"/>
  <c r="N103" i="3" s="1"/>
  <c r="O103" i="3" s="1"/>
  <c r="L106" i="2" l="1"/>
  <c r="M105" i="2"/>
  <c r="N105" i="2" s="1"/>
  <c r="O105" i="2" s="1"/>
  <c r="L106" i="5"/>
  <c r="M105" i="5"/>
  <c r="N105" i="5" s="1"/>
  <c r="O105" i="5" s="1"/>
  <c r="N103" i="1"/>
  <c r="O103" i="1" s="1"/>
  <c r="M104" i="1"/>
  <c r="L107" i="1"/>
  <c r="Q98" i="3"/>
  <c r="R97" i="3"/>
  <c r="S97" i="3" s="1"/>
  <c r="T97" i="3" s="1"/>
  <c r="Q99" i="1"/>
  <c r="R98" i="1"/>
  <c r="S98" i="1" s="1"/>
  <c r="T98" i="1" s="1"/>
  <c r="R97" i="5"/>
  <c r="S97" i="5" s="1"/>
  <c r="T97" i="5" s="1"/>
  <c r="Q98" i="5"/>
  <c r="L105" i="3"/>
  <c r="M104" i="3"/>
  <c r="N104" i="3" s="1"/>
  <c r="O104" i="3" s="1"/>
  <c r="Q99" i="2"/>
  <c r="R98" i="2"/>
  <c r="S98" i="2" s="1"/>
  <c r="T98" i="2" s="1"/>
  <c r="R98" i="5" l="1"/>
  <c r="S98" i="5" s="1"/>
  <c r="T98" i="5" s="1"/>
  <c r="Q99" i="5"/>
  <c r="N104" i="1"/>
  <c r="O104" i="1" s="1"/>
  <c r="M105" i="1"/>
  <c r="L108" i="1"/>
  <c r="L106" i="3"/>
  <c r="M105" i="3"/>
  <c r="N105" i="3" s="1"/>
  <c r="O105" i="3" s="1"/>
  <c r="Q100" i="1"/>
  <c r="R99" i="1"/>
  <c r="S99" i="1" s="1"/>
  <c r="T99" i="1" s="1"/>
  <c r="M106" i="5"/>
  <c r="N106" i="5" s="1"/>
  <c r="O106" i="5" s="1"/>
  <c r="L107" i="5"/>
  <c r="R99" i="2"/>
  <c r="S99" i="2" s="1"/>
  <c r="T99" i="2" s="1"/>
  <c r="Q100" i="2"/>
  <c r="R98" i="3"/>
  <c r="S98" i="3" s="1"/>
  <c r="T98" i="3" s="1"/>
  <c r="Q99" i="3"/>
  <c r="M106" i="2"/>
  <c r="N106" i="2" s="1"/>
  <c r="O106" i="2" s="1"/>
  <c r="L107" i="2"/>
  <c r="L109" i="1" l="1"/>
  <c r="L107" i="3"/>
  <c r="M106" i="3"/>
  <c r="N106" i="3" s="1"/>
  <c r="O106" i="3" s="1"/>
  <c r="R99" i="3"/>
  <c r="S99" i="3" s="1"/>
  <c r="T99" i="3" s="1"/>
  <c r="Q100" i="3"/>
  <c r="R100" i="2"/>
  <c r="S100" i="2" s="1"/>
  <c r="T100" i="2" s="1"/>
  <c r="Q101" i="2"/>
  <c r="L108" i="5"/>
  <c r="M107" i="5"/>
  <c r="N107" i="5" s="1"/>
  <c r="O107" i="5" s="1"/>
  <c r="N105" i="1"/>
  <c r="O105" i="1" s="1"/>
  <c r="M106" i="1"/>
  <c r="M107" i="2"/>
  <c r="N107" i="2" s="1"/>
  <c r="O107" i="2" s="1"/>
  <c r="L108" i="2"/>
  <c r="R99" i="5"/>
  <c r="S99" i="5" s="1"/>
  <c r="T99" i="5" s="1"/>
  <c r="Q100" i="5"/>
  <c r="R100" i="1"/>
  <c r="S100" i="1" s="1"/>
  <c r="T100" i="1" s="1"/>
  <c r="Q101" i="1"/>
  <c r="M108" i="2" l="1"/>
  <c r="N108" i="2" s="1"/>
  <c r="O108" i="2" s="1"/>
  <c r="L109" i="2"/>
  <c r="R100" i="3"/>
  <c r="S100" i="3" s="1"/>
  <c r="T100" i="3" s="1"/>
  <c r="Q101" i="3"/>
  <c r="N106" i="1"/>
  <c r="O106" i="1" s="1"/>
  <c r="M107" i="1"/>
  <c r="R101" i="2"/>
  <c r="S101" i="2" s="1"/>
  <c r="T101" i="2" s="1"/>
  <c r="Q102" i="2"/>
  <c r="L108" i="3"/>
  <c r="M107" i="3"/>
  <c r="N107" i="3" s="1"/>
  <c r="O107" i="3" s="1"/>
  <c r="L110" i="1"/>
  <c r="R100" i="5"/>
  <c r="S100" i="5" s="1"/>
  <c r="T100" i="5" s="1"/>
  <c r="Q101" i="5"/>
  <c r="R101" i="1"/>
  <c r="S101" i="1" s="1"/>
  <c r="T101" i="1" s="1"/>
  <c r="Q102" i="1"/>
  <c r="L109" i="5"/>
  <c r="M108" i="5"/>
  <c r="N108" i="5" s="1"/>
  <c r="O108" i="5" s="1"/>
  <c r="Q103" i="1" l="1"/>
  <c r="R102" i="1"/>
  <c r="S102" i="1" s="1"/>
  <c r="T102" i="1" s="1"/>
  <c r="R102" i="2"/>
  <c r="S102" i="2" s="1"/>
  <c r="T102" i="2" s="1"/>
  <c r="Q103" i="2"/>
  <c r="R101" i="5"/>
  <c r="S101" i="5" s="1"/>
  <c r="T101" i="5" s="1"/>
  <c r="Q102" i="5"/>
  <c r="N107" i="1"/>
  <c r="O107" i="1" s="1"/>
  <c r="M108" i="1"/>
  <c r="L111" i="1"/>
  <c r="R101" i="3"/>
  <c r="S101" i="3" s="1"/>
  <c r="T101" i="3" s="1"/>
  <c r="Q102" i="3"/>
  <c r="M109" i="2"/>
  <c r="N109" i="2" s="1"/>
  <c r="O109" i="2" s="1"/>
  <c r="L110" i="2"/>
  <c r="M109" i="5"/>
  <c r="N109" i="5" s="1"/>
  <c r="O109" i="5" s="1"/>
  <c r="L110" i="5"/>
  <c r="L109" i="3"/>
  <c r="M108" i="3"/>
  <c r="N108" i="3" s="1"/>
  <c r="O108" i="3" s="1"/>
  <c r="N108" i="1" l="1"/>
  <c r="O108" i="1" s="1"/>
  <c r="M109" i="1"/>
  <c r="R102" i="5"/>
  <c r="S102" i="5" s="1"/>
  <c r="T102" i="5" s="1"/>
  <c r="Q103" i="5"/>
  <c r="M110" i="2"/>
  <c r="N110" i="2" s="1"/>
  <c r="O110" i="2" s="1"/>
  <c r="L111" i="2"/>
  <c r="R102" i="3"/>
  <c r="S102" i="3" s="1"/>
  <c r="T102" i="3" s="1"/>
  <c r="Q103" i="3"/>
  <c r="R103" i="2"/>
  <c r="S103" i="2" s="1"/>
  <c r="T103" i="2" s="1"/>
  <c r="Q104" i="2"/>
  <c r="L110" i="3"/>
  <c r="M109" i="3"/>
  <c r="N109" i="3" s="1"/>
  <c r="O109" i="3" s="1"/>
  <c r="M110" i="5"/>
  <c r="N110" i="5" s="1"/>
  <c r="O110" i="5" s="1"/>
  <c r="L111" i="5"/>
  <c r="L112" i="1"/>
  <c r="R103" i="1"/>
  <c r="S103" i="1" s="1"/>
  <c r="T103" i="1" s="1"/>
  <c r="Q104" i="1"/>
  <c r="L113" i="1" l="1"/>
  <c r="R103" i="3"/>
  <c r="S103" i="3" s="1"/>
  <c r="T103" i="3" s="1"/>
  <c r="Q104" i="3"/>
  <c r="M111" i="5"/>
  <c r="N111" i="5" s="1"/>
  <c r="O111" i="5" s="1"/>
  <c r="L112" i="5"/>
  <c r="M111" i="2"/>
  <c r="N111" i="2" s="1"/>
  <c r="O111" i="2" s="1"/>
  <c r="L112" i="2"/>
  <c r="R103" i="5"/>
  <c r="S103" i="5" s="1"/>
  <c r="T103" i="5" s="1"/>
  <c r="Q104" i="5"/>
  <c r="L111" i="3"/>
  <c r="M110" i="3"/>
  <c r="N110" i="3" s="1"/>
  <c r="O110" i="3" s="1"/>
  <c r="Q105" i="1"/>
  <c r="R104" i="1"/>
  <c r="S104" i="1" s="1"/>
  <c r="T104" i="1" s="1"/>
  <c r="R104" i="2"/>
  <c r="S104" i="2" s="1"/>
  <c r="T104" i="2" s="1"/>
  <c r="Q105" i="2"/>
  <c r="N109" i="1"/>
  <c r="O109" i="1" s="1"/>
  <c r="M110" i="1"/>
  <c r="M112" i="2" l="1"/>
  <c r="N112" i="2" s="1"/>
  <c r="O112" i="2" s="1"/>
  <c r="L113" i="2"/>
  <c r="R105" i="2"/>
  <c r="S105" i="2" s="1"/>
  <c r="T105" i="2" s="1"/>
  <c r="Q106" i="2"/>
  <c r="R105" i="1"/>
  <c r="S105" i="1" s="1"/>
  <c r="T105" i="1" s="1"/>
  <c r="Q106" i="1"/>
  <c r="L113" i="5"/>
  <c r="M112" i="5"/>
  <c r="N112" i="5" s="1"/>
  <c r="O112" i="5" s="1"/>
  <c r="L112" i="3"/>
  <c r="M111" i="3"/>
  <c r="N111" i="3" s="1"/>
  <c r="O111" i="3" s="1"/>
  <c r="R104" i="3"/>
  <c r="S104" i="3" s="1"/>
  <c r="T104" i="3" s="1"/>
  <c r="Q105" i="3"/>
  <c r="N110" i="1"/>
  <c r="O110" i="1" s="1"/>
  <c r="M111" i="1"/>
  <c r="R104" i="5"/>
  <c r="S104" i="5" s="1"/>
  <c r="T104" i="5" s="1"/>
  <c r="Q105" i="5"/>
  <c r="L114" i="1"/>
  <c r="N111" i="1" l="1"/>
  <c r="O111" i="1" s="1"/>
  <c r="M112" i="1"/>
  <c r="R106" i="1"/>
  <c r="S106" i="1" s="1"/>
  <c r="T106" i="1" s="1"/>
  <c r="Q107" i="1"/>
  <c r="B14" i="3"/>
  <c r="I14" i="3"/>
  <c r="M112" i="3"/>
  <c r="N112" i="3" s="1"/>
  <c r="O112" i="3" s="1"/>
  <c r="B15" i="3" s="1"/>
  <c r="L114" i="5"/>
  <c r="M113" i="5"/>
  <c r="N113" i="5" s="1"/>
  <c r="O113" i="5" s="1"/>
  <c r="L115" i="1"/>
  <c r="Q106" i="3"/>
  <c r="R105" i="3"/>
  <c r="S105" i="3" s="1"/>
  <c r="T105" i="3" s="1"/>
  <c r="Q107" i="2"/>
  <c r="R106" i="2"/>
  <c r="S106" i="2" s="1"/>
  <c r="T106" i="2" s="1"/>
  <c r="Q106" i="5"/>
  <c r="R105" i="5"/>
  <c r="S105" i="5" s="1"/>
  <c r="T105" i="5" s="1"/>
  <c r="I15" i="3" a="1"/>
  <c r="I15" i="3" s="1"/>
  <c r="I16" i="3" s="1"/>
  <c r="M113" i="2"/>
  <c r="N113" i="2" s="1"/>
  <c r="O113" i="2" s="1"/>
  <c r="L114" i="2"/>
  <c r="B16" i="3" l="1"/>
  <c r="R106" i="5"/>
  <c r="S106" i="5" s="1"/>
  <c r="T106" i="5" s="1"/>
  <c r="Q107" i="5"/>
  <c r="M114" i="5"/>
  <c r="N114" i="5" s="1"/>
  <c r="O114" i="5" s="1"/>
  <c r="L115" i="5"/>
  <c r="Q108" i="2"/>
  <c r="R107" i="2"/>
  <c r="S107" i="2" s="1"/>
  <c r="T107" i="2" s="1"/>
  <c r="M114" i="2"/>
  <c r="N114" i="2" s="1"/>
  <c r="O114" i="2" s="1"/>
  <c r="L115" i="2"/>
  <c r="R106" i="3"/>
  <c r="S106" i="3" s="1"/>
  <c r="T106" i="3" s="1"/>
  <c r="Q107" i="3"/>
  <c r="Q108" i="1"/>
  <c r="R107" i="1"/>
  <c r="S107" i="1" s="1"/>
  <c r="T107" i="1" s="1"/>
  <c r="L116" i="1"/>
  <c r="N112" i="1"/>
  <c r="O112" i="1" s="1"/>
  <c r="M113" i="1"/>
  <c r="L117" i="1" l="1"/>
  <c r="R108" i="1"/>
  <c r="S108" i="1" s="1"/>
  <c r="T108" i="1" s="1"/>
  <c r="Q109" i="1"/>
  <c r="Q109" i="2"/>
  <c r="R108" i="2"/>
  <c r="S108" i="2" s="1"/>
  <c r="T108" i="2" s="1"/>
  <c r="Q108" i="3"/>
  <c r="R107" i="3"/>
  <c r="S107" i="3" s="1"/>
  <c r="T107" i="3" s="1"/>
  <c r="L116" i="5"/>
  <c r="M115" i="5"/>
  <c r="N115" i="5" s="1"/>
  <c r="O115" i="5" s="1"/>
  <c r="N113" i="1"/>
  <c r="O113" i="1" s="1"/>
  <c r="M114" i="1"/>
  <c r="M115" i="2"/>
  <c r="N115" i="2" s="1"/>
  <c r="O115" i="2" s="1"/>
  <c r="L116" i="2"/>
  <c r="R107" i="5"/>
  <c r="S107" i="5" s="1"/>
  <c r="T107" i="5" s="1"/>
  <c r="Q108" i="5"/>
  <c r="R108" i="5" l="1"/>
  <c r="S108" i="5" s="1"/>
  <c r="T108" i="5" s="1"/>
  <c r="Q109" i="5"/>
  <c r="Q109" i="3"/>
  <c r="R108" i="3"/>
  <c r="S108" i="3" s="1"/>
  <c r="T108" i="3" s="1"/>
  <c r="Q110" i="2"/>
  <c r="R109" i="2"/>
  <c r="S109" i="2" s="1"/>
  <c r="T109" i="2" s="1"/>
  <c r="M116" i="2"/>
  <c r="N116" i="2" s="1"/>
  <c r="O116" i="2" s="1"/>
  <c r="L117" i="2"/>
  <c r="N114" i="1"/>
  <c r="O114" i="1" s="1"/>
  <c r="M115" i="1"/>
  <c r="Q110" i="1"/>
  <c r="R109" i="1"/>
  <c r="S109" i="1" s="1"/>
  <c r="T109" i="1" s="1"/>
  <c r="L118" i="1"/>
  <c r="L117" i="5"/>
  <c r="M116" i="5"/>
  <c r="N116" i="5" s="1"/>
  <c r="O116" i="5" s="1"/>
  <c r="L119" i="1" l="1"/>
  <c r="M117" i="5"/>
  <c r="N117" i="5" s="1"/>
  <c r="O117" i="5" s="1"/>
  <c r="L118" i="5"/>
  <c r="R110" i="2"/>
  <c r="S110" i="2" s="1"/>
  <c r="T110" i="2" s="1"/>
  <c r="Q111" i="2"/>
  <c r="R110" i="1"/>
  <c r="S110" i="1" s="1"/>
  <c r="T110" i="1" s="1"/>
  <c r="Q111" i="1"/>
  <c r="Q110" i="3"/>
  <c r="R109" i="3"/>
  <c r="S109" i="3" s="1"/>
  <c r="T109" i="3" s="1"/>
  <c r="N115" i="1"/>
  <c r="O115" i="1" s="1"/>
  <c r="M116" i="1"/>
  <c r="M117" i="2"/>
  <c r="N117" i="2" s="1"/>
  <c r="O117" i="2" s="1"/>
  <c r="L118" i="2"/>
  <c r="L119" i="2" s="1"/>
  <c r="R109" i="5"/>
  <c r="S109" i="5" s="1"/>
  <c r="T109" i="5" s="1"/>
  <c r="Q110" i="5"/>
  <c r="M119" i="2" l="1"/>
  <c r="N119" i="2" s="1"/>
  <c r="O119" i="2" s="1"/>
  <c r="L120" i="2"/>
  <c r="N116" i="1"/>
  <c r="O116" i="1" s="1"/>
  <c r="M117" i="1"/>
  <c r="M118" i="2"/>
  <c r="N118" i="2" s="1"/>
  <c r="O118" i="2" s="1"/>
  <c r="Q112" i="2"/>
  <c r="R111" i="2"/>
  <c r="S111" i="2" s="1"/>
  <c r="T111" i="2" s="1"/>
  <c r="M118" i="5"/>
  <c r="N118" i="5" s="1"/>
  <c r="O118" i="5" s="1"/>
  <c r="L119" i="5"/>
  <c r="R110" i="3"/>
  <c r="S110" i="3" s="1"/>
  <c r="T110" i="3" s="1"/>
  <c r="Q111" i="3"/>
  <c r="L120" i="1"/>
  <c r="R110" i="5"/>
  <c r="S110" i="5" s="1"/>
  <c r="T110" i="5" s="1"/>
  <c r="Q111" i="5"/>
  <c r="Q112" i="1"/>
  <c r="R111" i="1"/>
  <c r="S111" i="1" s="1"/>
  <c r="T111" i="1" s="1"/>
  <c r="L121" i="2" l="1"/>
  <c r="M120" i="2"/>
  <c r="N120" i="2" s="1"/>
  <c r="O120" i="2" s="1"/>
  <c r="L121" i="1"/>
  <c r="Q113" i="1"/>
  <c r="R112" i="1"/>
  <c r="S112" i="1" s="1"/>
  <c r="T112" i="1" s="1"/>
  <c r="Q112" i="3"/>
  <c r="R111" i="3"/>
  <c r="S111" i="3" s="1"/>
  <c r="T111" i="3" s="1"/>
  <c r="Q113" i="2"/>
  <c r="R112" i="2"/>
  <c r="S112" i="2" s="1"/>
  <c r="T112" i="2" s="1"/>
  <c r="Q112" i="5"/>
  <c r="R111" i="5"/>
  <c r="S111" i="5" s="1"/>
  <c r="T111" i="5" s="1"/>
  <c r="M119" i="5"/>
  <c r="N119" i="5" s="1"/>
  <c r="O119" i="5" s="1"/>
  <c r="L120" i="5"/>
  <c r="N117" i="1"/>
  <c r="O117" i="1" s="1"/>
  <c r="M118" i="1"/>
  <c r="M121" i="2" l="1"/>
  <c r="N121" i="2" s="1"/>
  <c r="O121" i="2" s="1"/>
  <c r="B14" i="2"/>
  <c r="I14" i="2"/>
  <c r="R113" i="2"/>
  <c r="S113" i="2" s="1"/>
  <c r="T113" i="2" s="1"/>
  <c r="Q114" i="2"/>
  <c r="L15" i="3" a="1"/>
  <c r="L15" i="3" s="1"/>
  <c r="L16" i="3" s="1"/>
  <c r="M120" i="5"/>
  <c r="N120" i="5" s="1"/>
  <c r="O120" i="5" s="1"/>
  <c r="L121" i="5"/>
  <c r="R112" i="5"/>
  <c r="S112" i="5" s="1"/>
  <c r="T112" i="5" s="1"/>
  <c r="Q113" i="5"/>
  <c r="E14" i="3"/>
  <c r="L14" i="3"/>
  <c r="R112" i="3"/>
  <c r="S112" i="3" s="1"/>
  <c r="T112" i="3" s="1"/>
  <c r="E15" i="3" s="1"/>
  <c r="R113" i="1"/>
  <c r="S113" i="1" s="1"/>
  <c r="T113" i="1" s="1"/>
  <c r="Q114" i="1"/>
  <c r="N118" i="1"/>
  <c r="O118" i="1" s="1"/>
  <c r="M119" i="1"/>
  <c r="L122" i="1"/>
  <c r="B15" i="2" l="1"/>
  <c r="B16" i="2" s="1"/>
  <c r="I15" i="2" a="1"/>
  <c r="I15" i="2" s="1"/>
  <c r="I16" i="2" s="1"/>
  <c r="E16" i="3"/>
  <c r="L123" i="1"/>
  <c r="N119" i="1"/>
  <c r="O119" i="1" s="1"/>
  <c r="M120" i="1"/>
  <c r="R113" i="5"/>
  <c r="S113" i="5" s="1"/>
  <c r="T113" i="5" s="1"/>
  <c r="Q114" i="5"/>
  <c r="L122" i="5"/>
  <c r="M121" i="5"/>
  <c r="N121" i="5" s="1"/>
  <c r="O121" i="5" s="1"/>
  <c r="R114" i="1"/>
  <c r="S114" i="1" s="1"/>
  <c r="T114" i="1" s="1"/>
  <c r="Q115" i="1"/>
  <c r="R114" i="2"/>
  <c r="S114" i="2" s="1"/>
  <c r="T114" i="2" s="1"/>
  <c r="Q115" i="2"/>
  <c r="Q115" i="5" l="1"/>
  <c r="R114" i="5"/>
  <c r="S114" i="5" s="1"/>
  <c r="T114" i="5" s="1"/>
  <c r="M122" i="5"/>
  <c r="N122" i="5" s="1"/>
  <c r="O122" i="5" s="1"/>
  <c r="L123" i="5"/>
  <c r="R115" i="2"/>
  <c r="S115" i="2" s="1"/>
  <c r="T115" i="2" s="1"/>
  <c r="Q116" i="2"/>
  <c r="N120" i="1"/>
  <c r="O120" i="1" s="1"/>
  <c r="M121" i="1"/>
  <c r="Q116" i="1"/>
  <c r="R115" i="1"/>
  <c r="S115" i="1" s="1"/>
  <c r="T115" i="1" s="1"/>
  <c r="L124" i="1"/>
  <c r="N121" i="1" l="1"/>
  <c r="O121" i="1" s="1"/>
  <c r="M122" i="1"/>
  <c r="R116" i="1"/>
  <c r="S116" i="1" s="1"/>
  <c r="T116" i="1" s="1"/>
  <c r="Q117" i="1"/>
  <c r="Q117" i="2"/>
  <c r="R116" i="2"/>
  <c r="S116" i="2" s="1"/>
  <c r="T116" i="2" s="1"/>
  <c r="L125" i="1"/>
  <c r="L124" i="5"/>
  <c r="M123" i="5"/>
  <c r="N123" i="5" s="1"/>
  <c r="O123" i="5" s="1"/>
  <c r="R115" i="5"/>
  <c r="S115" i="5" s="1"/>
  <c r="T115" i="5" s="1"/>
  <c r="Q116" i="5"/>
  <c r="L126" i="1" l="1"/>
  <c r="Q118" i="2"/>
  <c r="Q119" i="2" s="1"/>
  <c r="R117" i="2"/>
  <c r="S117" i="2" s="1"/>
  <c r="T117" i="2" s="1"/>
  <c r="Q117" i="5"/>
  <c r="R116" i="5"/>
  <c r="S116" i="5" s="1"/>
  <c r="T116" i="5" s="1"/>
  <c r="R117" i="1"/>
  <c r="S117" i="1" s="1"/>
  <c r="T117" i="1" s="1"/>
  <c r="Q118" i="1"/>
  <c r="N122" i="1"/>
  <c r="O122" i="1" s="1"/>
  <c r="M123" i="1"/>
  <c r="L125" i="5"/>
  <c r="M124" i="5"/>
  <c r="N124" i="5" s="1"/>
  <c r="O124" i="5" s="1"/>
  <c r="Q120" i="2" l="1"/>
  <c r="Q118" i="5"/>
  <c r="R117" i="5"/>
  <c r="S117" i="5" s="1"/>
  <c r="T117" i="5" s="1"/>
  <c r="M125" i="5"/>
  <c r="N125" i="5" s="1"/>
  <c r="O125" i="5" s="1"/>
  <c r="L126" i="5"/>
  <c r="R118" i="2"/>
  <c r="S118" i="2" s="1"/>
  <c r="T118" i="2" s="1"/>
  <c r="N123" i="1"/>
  <c r="O123" i="1" s="1"/>
  <c r="M124" i="1"/>
  <c r="Q119" i="1"/>
  <c r="R118" i="1"/>
  <c r="S118" i="1" s="1"/>
  <c r="T118" i="1" s="1"/>
  <c r="L127" i="1"/>
  <c r="Q121" i="2" l="1"/>
  <c r="R119" i="2"/>
  <c r="S119" i="2" s="1"/>
  <c r="T119" i="2" s="1"/>
  <c r="L128" i="1"/>
  <c r="M126" i="5"/>
  <c r="N126" i="5" s="1"/>
  <c r="O126" i="5" s="1"/>
  <c r="L127" i="5"/>
  <c r="R119" i="1"/>
  <c r="S119" i="1" s="1"/>
  <c r="T119" i="1" s="1"/>
  <c r="Q120" i="1"/>
  <c r="N124" i="1"/>
  <c r="O124" i="1" s="1"/>
  <c r="M125" i="1"/>
  <c r="Q119" i="5"/>
  <c r="R118" i="5"/>
  <c r="S118" i="5" s="1"/>
  <c r="T118" i="5" s="1"/>
  <c r="R120" i="2" l="1"/>
  <c r="S120" i="2" s="1"/>
  <c r="T120" i="2" s="1"/>
  <c r="E14" i="2"/>
  <c r="L14" i="2"/>
  <c r="M127" i="5"/>
  <c r="N127" i="5" s="1"/>
  <c r="O127" i="5" s="1"/>
  <c r="L128" i="5"/>
  <c r="L129" i="1"/>
  <c r="Q120" i="5"/>
  <c r="R119" i="5"/>
  <c r="S119" i="5" s="1"/>
  <c r="T119" i="5" s="1"/>
  <c r="Q121" i="1"/>
  <c r="R120" i="1"/>
  <c r="S120" i="1" s="1"/>
  <c r="T120" i="1" s="1"/>
  <c r="N125" i="1"/>
  <c r="O125" i="1" s="1"/>
  <c r="M126" i="1"/>
  <c r="R121" i="2" l="1"/>
  <c r="S121" i="2" s="1"/>
  <c r="T121" i="2" s="1"/>
  <c r="L15" i="2" a="1"/>
  <c r="L15" i="2" s="1"/>
  <c r="L16" i="2" s="1"/>
  <c r="E15" i="2"/>
  <c r="E16" i="2" s="1"/>
  <c r="Q122" i="1"/>
  <c r="R121" i="1"/>
  <c r="S121" i="1" s="1"/>
  <c r="T121" i="1" s="1"/>
  <c r="R120" i="5"/>
  <c r="S120" i="5" s="1"/>
  <c r="T120" i="5" s="1"/>
  <c r="Q121" i="5"/>
  <c r="L130" i="1"/>
  <c r="N126" i="1"/>
  <c r="O126" i="1" s="1"/>
  <c r="M127" i="1"/>
  <c r="M128" i="5"/>
  <c r="N128" i="5" s="1"/>
  <c r="O128" i="5" s="1"/>
  <c r="L129" i="5"/>
  <c r="L131" i="1" l="1"/>
  <c r="N127" i="1"/>
  <c r="O127" i="1" s="1"/>
  <c r="M128" i="1"/>
  <c r="Q122" i="5"/>
  <c r="R121" i="5"/>
  <c r="S121" i="5" s="1"/>
  <c r="T121" i="5" s="1"/>
  <c r="M129" i="5"/>
  <c r="N129" i="5" s="1"/>
  <c r="O129" i="5" s="1"/>
  <c r="L130" i="5"/>
  <c r="R122" i="1"/>
  <c r="S122" i="1" s="1"/>
  <c r="T122" i="1" s="1"/>
  <c r="Q123" i="1"/>
  <c r="M130" i="5" l="1"/>
  <c r="N130" i="5" s="1"/>
  <c r="O130" i="5" s="1"/>
  <c r="L131" i="5"/>
  <c r="Q123" i="5"/>
  <c r="R122" i="5"/>
  <c r="S122" i="5" s="1"/>
  <c r="T122" i="5" s="1"/>
  <c r="N128" i="1"/>
  <c r="O128" i="1" s="1"/>
  <c r="M129" i="1"/>
  <c r="Q124" i="1"/>
  <c r="R123" i="1"/>
  <c r="S123" i="1" s="1"/>
  <c r="T123" i="1" s="1"/>
  <c r="L132" i="1"/>
  <c r="Q125" i="1" l="1"/>
  <c r="R124" i="1"/>
  <c r="S124" i="1" s="1"/>
  <c r="T124" i="1" s="1"/>
  <c r="N129" i="1"/>
  <c r="O129" i="1" s="1"/>
  <c r="M130" i="1"/>
  <c r="Q124" i="5"/>
  <c r="R123" i="5"/>
  <c r="S123" i="5" s="1"/>
  <c r="T123" i="5" s="1"/>
  <c r="L132" i="5"/>
  <c r="M131" i="5"/>
  <c r="N131" i="5" s="1"/>
  <c r="O131" i="5" s="1"/>
  <c r="L133" i="1"/>
  <c r="M132" i="5" l="1"/>
  <c r="N132" i="5" s="1"/>
  <c r="O132" i="5" s="1"/>
  <c r="L133" i="5"/>
  <c r="R124" i="5"/>
  <c r="S124" i="5" s="1"/>
  <c r="T124" i="5" s="1"/>
  <c r="Q125" i="5"/>
  <c r="N130" i="1"/>
  <c r="O130" i="1" s="1"/>
  <c r="M131" i="1"/>
  <c r="L134" i="1"/>
  <c r="R125" i="1"/>
  <c r="S125" i="1" s="1"/>
  <c r="T125" i="1" s="1"/>
  <c r="Q126" i="1"/>
  <c r="L135" i="1" l="1"/>
  <c r="N131" i="1"/>
  <c r="O131" i="1" s="1"/>
  <c r="M132" i="1"/>
  <c r="R125" i="5"/>
  <c r="S125" i="5" s="1"/>
  <c r="T125" i="5" s="1"/>
  <c r="Q126" i="5"/>
  <c r="Q127" i="1"/>
  <c r="R126" i="1"/>
  <c r="S126" i="1" s="1"/>
  <c r="T126" i="1" s="1"/>
  <c r="L134" i="5"/>
  <c r="M133" i="5"/>
  <c r="N133" i="5" s="1"/>
  <c r="O133" i="5" s="1"/>
  <c r="R127" i="1" l="1"/>
  <c r="S127" i="1" s="1"/>
  <c r="T127" i="1" s="1"/>
  <c r="Q128" i="1"/>
  <c r="R126" i="5"/>
  <c r="S126" i="5" s="1"/>
  <c r="T126" i="5" s="1"/>
  <c r="Q127" i="5"/>
  <c r="N132" i="1"/>
  <c r="O132" i="1" s="1"/>
  <c r="M133" i="1"/>
  <c r="M134" i="5"/>
  <c r="N134" i="5" s="1"/>
  <c r="O134" i="5" s="1"/>
  <c r="L135" i="5"/>
  <c r="L136" i="1"/>
  <c r="M135" i="5" l="1"/>
  <c r="N135" i="5" s="1"/>
  <c r="O135" i="5" s="1"/>
  <c r="L136" i="5"/>
  <c r="N133" i="1"/>
  <c r="O133" i="1" s="1"/>
  <c r="M134" i="1"/>
  <c r="R127" i="5"/>
  <c r="S127" i="5" s="1"/>
  <c r="T127" i="5" s="1"/>
  <c r="Q128" i="5"/>
  <c r="Q129" i="1"/>
  <c r="R128" i="1"/>
  <c r="S128" i="1" s="1"/>
  <c r="T128" i="1" s="1"/>
  <c r="L137" i="1"/>
  <c r="R129" i="1" l="1"/>
  <c r="S129" i="1" s="1"/>
  <c r="T129" i="1" s="1"/>
  <c r="Q130" i="1"/>
  <c r="N134" i="1"/>
  <c r="O134" i="1" s="1"/>
  <c r="M135" i="1"/>
  <c r="R128" i="5"/>
  <c r="S128" i="5" s="1"/>
  <c r="T128" i="5" s="1"/>
  <c r="Q129" i="5"/>
  <c r="L137" i="5"/>
  <c r="M136" i="5"/>
  <c r="N136" i="5" s="1"/>
  <c r="O136" i="5" s="1"/>
  <c r="L138" i="1"/>
  <c r="L138" i="5" l="1"/>
  <c r="M137" i="5"/>
  <c r="N137" i="5" s="1"/>
  <c r="O137" i="5" s="1"/>
  <c r="Q130" i="5"/>
  <c r="R129" i="5"/>
  <c r="S129" i="5" s="1"/>
  <c r="T129" i="5" s="1"/>
  <c r="N135" i="1"/>
  <c r="O135" i="1" s="1"/>
  <c r="M136" i="1"/>
  <c r="Q131" i="1"/>
  <c r="R130" i="1"/>
  <c r="S130" i="1" s="1"/>
  <c r="T130" i="1" s="1"/>
  <c r="L139" i="1"/>
  <c r="Q132" i="1" l="1"/>
  <c r="R131" i="1"/>
  <c r="S131" i="1" s="1"/>
  <c r="T131" i="1" s="1"/>
  <c r="Q131" i="5"/>
  <c r="R130" i="5"/>
  <c r="S130" i="5" s="1"/>
  <c r="T130" i="5" s="1"/>
  <c r="N136" i="1"/>
  <c r="O136" i="1" s="1"/>
  <c r="M137" i="1"/>
  <c r="L140" i="1"/>
  <c r="M138" i="5"/>
  <c r="N138" i="5" s="1"/>
  <c r="O138" i="5" s="1"/>
  <c r="L139" i="5"/>
  <c r="N137" i="1" l="1"/>
  <c r="O137" i="1" s="1"/>
  <c r="M138" i="1"/>
  <c r="Q132" i="5"/>
  <c r="R131" i="5"/>
  <c r="S131" i="5" s="1"/>
  <c r="T131" i="5" s="1"/>
  <c r="L141" i="1"/>
  <c r="M139" i="5"/>
  <c r="N139" i="5" s="1"/>
  <c r="O139" i="5" s="1"/>
  <c r="L140" i="5"/>
  <c r="R132" i="1"/>
  <c r="S132" i="1" s="1"/>
  <c r="T132" i="1" s="1"/>
  <c r="Q133" i="1"/>
  <c r="L142" i="1" l="1"/>
  <c r="Q133" i="5"/>
  <c r="R132" i="5"/>
  <c r="S132" i="5" s="1"/>
  <c r="T132" i="5" s="1"/>
  <c r="R133" i="1"/>
  <c r="S133" i="1" s="1"/>
  <c r="T133" i="1" s="1"/>
  <c r="Q134" i="1"/>
  <c r="N138" i="1"/>
  <c r="O138" i="1" s="1"/>
  <c r="M139" i="1"/>
  <c r="L141" i="5"/>
  <c r="M140" i="5"/>
  <c r="N140" i="5" s="1"/>
  <c r="O140" i="5" s="1"/>
  <c r="N139" i="1" l="1"/>
  <c r="O139" i="1" s="1"/>
  <c r="M140" i="1"/>
  <c r="R134" i="1"/>
  <c r="S134" i="1" s="1"/>
  <c r="T134" i="1" s="1"/>
  <c r="Q135" i="1"/>
  <c r="Q134" i="5"/>
  <c r="R133" i="5"/>
  <c r="S133" i="5" s="1"/>
  <c r="T133" i="5" s="1"/>
  <c r="L142" i="5"/>
  <c r="M141" i="5"/>
  <c r="N141" i="5" s="1"/>
  <c r="O141" i="5" s="1"/>
  <c r="L143" i="1"/>
  <c r="Q135" i="5" l="1"/>
  <c r="R134" i="5"/>
  <c r="S134" i="5" s="1"/>
  <c r="T134" i="5" s="1"/>
  <c r="Q136" i="1"/>
  <c r="R135" i="1"/>
  <c r="S135" i="1" s="1"/>
  <c r="T135" i="1" s="1"/>
  <c r="L144" i="1"/>
  <c r="N140" i="1"/>
  <c r="O140" i="1" s="1"/>
  <c r="M141" i="1"/>
  <c r="M142" i="5"/>
  <c r="N142" i="5" s="1"/>
  <c r="O142" i="5" s="1"/>
  <c r="L143" i="5"/>
  <c r="N141" i="1" l="1"/>
  <c r="O141" i="1" s="1"/>
  <c r="M142" i="1"/>
  <c r="L145" i="1"/>
  <c r="Q137" i="1"/>
  <c r="R136" i="1"/>
  <c r="S136" i="1" s="1"/>
  <c r="T136" i="1" s="1"/>
  <c r="M143" i="5"/>
  <c r="N143" i="5" s="1"/>
  <c r="O143" i="5" s="1"/>
  <c r="L144" i="5"/>
  <c r="Q136" i="5"/>
  <c r="R135" i="5"/>
  <c r="S135" i="5" s="1"/>
  <c r="T135" i="5" s="1"/>
  <c r="M144" i="5" l="1"/>
  <c r="N144" i="5" s="1"/>
  <c r="O144" i="5" s="1"/>
  <c r="L145" i="5"/>
  <c r="R137" i="1"/>
  <c r="S137" i="1" s="1"/>
  <c r="T137" i="1" s="1"/>
  <c r="Q138" i="1"/>
  <c r="L146" i="1"/>
  <c r="N142" i="1"/>
  <c r="O142" i="1" s="1"/>
  <c r="M143" i="1"/>
  <c r="R136" i="5"/>
  <c r="S136" i="5" s="1"/>
  <c r="T136" i="5" s="1"/>
  <c r="Q137" i="5"/>
  <c r="L147" i="1" l="1"/>
  <c r="N143" i="1"/>
  <c r="O143" i="1" s="1"/>
  <c r="M144" i="1"/>
  <c r="R138" i="1"/>
  <c r="S138" i="1" s="1"/>
  <c r="T138" i="1" s="1"/>
  <c r="Q139" i="1"/>
  <c r="Q138" i="5"/>
  <c r="R137" i="5"/>
  <c r="S137" i="5" s="1"/>
  <c r="T137" i="5" s="1"/>
  <c r="M145" i="5"/>
  <c r="N145" i="5" s="1"/>
  <c r="O145" i="5" s="1"/>
  <c r="L146" i="5"/>
  <c r="R138" i="5" l="1"/>
  <c r="S138" i="5" s="1"/>
  <c r="T138" i="5" s="1"/>
  <c r="Q139" i="5"/>
  <c r="R139" i="1"/>
  <c r="S139" i="1" s="1"/>
  <c r="T139" i="1" s="1"/>
  <c r="Q140" i="1"/>
  <c r="N144" i="1"/>
  <c r="O144" i="1" s="1"/>
  <c r="M145" i="1"/>
  <c r="M146" i="5"/>
  <c r="N146" i="5" s="1"/>
  <c r="O146" i="5" s="1"/>
  <c r="L147" i="5"/>
  <c r="L148" i="1"/>
  <c r="N145" i="1" l="1"/>
  <c r="O145" i="1" s="1"/>
  <c r="M146" i="1"/>
  <c r="M147" i="5"/>
  <c r="N147" i="5" s="1"/>
  <c r="O147" i="5" s="1"/>
  <c r="L148" i="5"/>
  <c r="R140" i="1"/>
  <c r="S140" i="1" s="1"/>
  <c r="T140" i="1" s="1"/>
  <c r="Q141" i="1"/>
  <c r="L149" i="1"/>
  <c r="R139" i="5"/>
  <c r="S139" i="5" s="1"/>
  <c r="T139" i="5" s="1"/>
  <c r="Q140" i="5"/>
  <c r="R141" i="1" l="1"/>
  <c r="S141" i="1" s="1"/>
  <c r="T141" i="1" s="1"/>
  <c r="Q142" i="1"/>
  <c r="Q141" i="5"/>
  <c r="R140" i="5"/>
  <c r="S140" i="5" s="1"/>
  <c r="T140" i="5" s="1"/>
  <c r="M148" i="5"/>
  <c r="N148" i="5" s="1"/>
  <c r="O148" i="5" s="1"/>
  <c r="L149" i="5"/>
  <c r="L150" i="5" s="1"/>
  <c r="L150" i="1"/>
  <c r="N146" i="1"/>
  <c r="O146" i="1" s="1"/>
  <c r="M147" i="1"/>
  <c r="L151" i="5" l="1"/>
  <c r="M149" i="5"/>
  <c r="N149" i="5" s="1"/>
  <c r="O149" i="5" s="1"/>
  <c r="N147" i="1"/>
  <c r="O147" i="1" s="1"/>
  <c r="M148" i="1"/>
  <c r="R141" i="5"/>
  <c r="S141" i="5" s="1"/>
  <c r="T141" i="5" s="1"/>
  <c r="Q142" i="5"/>
  <c r="R142" i="1"/>
  <c r="S142" i="1" s="1"/>
  <c r="T142" i="1" s="1"/>
  <c r="Q143" i="1"/>
  <c r="L151" i="1"/>
  <c r="M150" i="5" l="1"/>
  <c r="N150" i="5" s="1"/>
  <c r="O150" i="5" s="1"/>
  <c r="M151" i="5"/>
  <c r="N151" i="5" s="1"/>
  <c r="O151" i="5" s="1"/>
  <c r="L152" i="5"/>
  <c r="R143" i="1"/>
  <c r="S143" i="1" s="1"/>
  <c r="T143" i="1" s="1"/>
  <c r="Q144" i="1"/>
  <c r="R142" i="5"/>
  <c r="S142" i="5" s="1"/>
  <c r="T142" i="5" s="1"/>
  <c r="Q143" i="5"/>
  <c r="N148" i="1"/>
  <c r="O148" i="1" s="1"/>
  <c r="M149" i="1"/>
  <c r="L152" i="1"/>
  <c r="I15" i="5" l="1" a="1"/>
  <c r="I15" i="5" s="1"/>
  <c r="I16" i="5" s="1"/>
  <c r="M152" i="5"/>
  <c r="N152" i="5" s="1"/>
  <c r="O152" i="5" s="1"/>
  <c r="B15" i="5" s="1"/>
  <c r="B14" i="5"/>
  <c r="I14" i="5"/>
  <c r="N149" i="1"/>
  <c r="O149" i="1" s="1"/>
  <c r="M150" i="1"/>
  <c r="Q144" i="5"/>
  <c r="R143" i="5"/>
  <c r="S143" i="5" s="1"/>
  <c r="T143" i="5" s="1"/>
  <c r="Q145" i="1"/>
  <c r="R144" i="1"/>
  <c r="S144" i="1" s="1"/>
  <c r="T144" i="1" s="1"/>
  <c r="L153" i="1"/>
  <c r="B16" i="5" l="1"/>
  <c r="L154" i="1"/>
  <c r="Q146" i="1"/>
  <c r="R145" i="1"/>
  <c r="S145" i="1" s="1"/>
  <c r="T145" i="1" s="1"/>
  <c r="Q145" i="5"/>
  <c r="R144" i="5"/>
  <c r="S144" i="5" s="1"/>
  <c r="T144" i="5" s="1"/>
  <c r="N150" i="1"/>
  <c r="O150" i="1" s="1"/>
  <c r="M151" i="1"/>
  <c r="R145" i="5" l="1"/>
  <c r="S145" i="5" s="1"/>
  <c r="T145" i="5" s="1"/>
  <c r="Q146" i="5"/>
  <c r="Q147" i="1"/>
  <c r="R146" i="1"/>
  <c r="S146" i="1" s="1"/>
  <c r="T146" i="1" s="1"/>
  <c r="L155" i="1"/>
  <c r="N151" i="1"/>
  <c r="O151" i="1" s="1"/>
  <c r="M152" i="1"/>
  <c r="N152" i="1" l="1"/>
  <c r="O152" i="1" s="1"/>
  <c r="M153" i="1"/>
  <c r="L156" i="1"/>
  <c r="R147" i="1"/>
  <c r="S147" i="1" s="1"/>
  <c r="T147" i="1" s="1"/>
  <c r="Q148" i="1"/>
  <c r="Q147" i="5"/>
  <c r="R146" i="5"/>
  <c r="S146" i="5" s="1"/>
  <c r="T146" i="5" s="1"/>
  <c r="L157" i="1" l="1"/>
  <c r="Q148" i="5"/>
  <c r="R147" i="5"/>
  <c r="S147" i="5" s="1"/>
  <c r="T147" i="5" s="1"/>
  <c r="R148" i="1"/>
  <c r="S148" i="1" s="1"/>
  <c r="T148" i="1" s="1"/>
  <c r="Q149" i="1"/>
  <c r="N153" i="1"/>
  <c r="O153" i="1" s="1"/>
  <c r="M154" i="1"/>
  <c r="N154" i="1" l="1"/>
  <c r="O154" i="1" s="1"/>
  <c r="M155" i="1"/>
  <c r="Q150" i="1"/>
  <c r="R149" i="1"/>
  <c r="S149" i="1" s="1"/>
  <c r="T149" i="1" s="1"/>
  <c r="R148" i="5"/>
  <c r="S148" i="5" s="1"/>
  <c r="T148" i="5" s="1"/>
  <c r="Q149" i="5"/>
  <c r="Q150" i="5" s="1"/>
  <c r="L158" i="1"/>
  <c r="Q151" i="5" l="1"/>
  <c r="L159" i="1"/>
  <c r="R149" i="5"/>
  <c r="S149" i="5" s="1"/>
  <c r="T149" i="5" s="1"/>
  <c r="R150" i="1"/>
  <c r="S150" i="1" s="1"/>
  <c r="T150" i="1" s="1"/>
  <c r="Q151" i="1"/>
  <c r="N155" i="1"/>
  <c r="O155" i="1" s="1"/>
  <c r="M156" i="1"/>
  <c r="R150" i="5" l="1"/>
  <c r="S150" i="5" s="1"/>
  <c r="T150" i="5" s="1"/>
  <c r="Q152" i="5"/>
  <c r="R151" i="5"/>
  <c r="S151" i="5" s="1"/>
  <c r="T151" i="5" s="1"/>
  <c r="R151" i="1"/>
  <c r="S151" i="1" s="1"/>
  <c r="T151" i="1" s="1"/>
  <c r="Q152" i="1"/>
  <c r="N156" i="1"/>
  <c r="O156" i="1" s="1"/>
  <c r="M157" i="1"/>
  <c r="L160" i="1"/>
  <c r="R152" i="5" l="1"/>
  <c r="S152" i="5" s="1"/>
  <c r="T152" i="5" s="1"/>
  <c r="L14" i="5"/>
  <c r="E14" i="5"/>
  <c r="N157" i="1"/>
  <c r="O157" i="1" s="1"/>
  <c r="M158" i="1"/>
  <c r="L161" i="1"/>
  <c r="Q153" i="1"/>
  <c r="R152" i="1"/>
  <c r="S152" i="1" s="1"/>
  <c r="T152" i="1" s="1"/>
  <c r="L15" i="5" l="1" a="1"/>
  <c r="L15" i="5" s="1"/>
  <c r="L16" i="5" s="1"/>
  <c r="E15" i="5"/>
  <c r="E16" i="5" s="1"/>
  <c r="R153" i="1"/>
  <c r="S153" i="1" s="1"/>
  <c r="T153" i="1" s="1"/>
  <c r="Q154" i="1"/>
  <c r="L162" i="1"/>
  <c r="N158" i="1"/>
  <c r="O158" i="1" s="1"/>
  <c r="M159" i="1"/>
  <c r="N159" i="1" l="1"/>
  <c r="O159" i="1" s="1"/>
  <c r="M160" i="1"/>
  <c r="L163" i="1"/>
  <c r="Q155" i="1"/>
  <c r="R154" i="1"/>
  <c r="S154" i="1" s="1"/>
  <c r="T154" i="1" s="1"/>
  <c r="L164" i="1" l="1"/>
  <c r="R155" i="1"/>
  <c r="S155" i="1" s="1"/>
  <c r="T155" i="1" s="1"/>
  <c r="Q156" i="1"/>
  <c r="N160" i="1"/>
  <c r="O160" i="1" s="1"/>
  <c r="M161" i="1"/>
  <c r="R156" i="1" l="1"/>
  <c r="S156" i="1" s="1"/>
  <c r="T156" i="1" s="1"/>
  <c r="Q157" i="1"/>
  <c r="L165" i="1"/>
  <c r="N161" i="1"/>
  <c r="O161" i="1" s="1"/>
  <c r="M162" i="1"/>
  <c r="N162" i="1" l="1"/>
  <c r="O162" i="1" s="1"/>
  <c r="M163" i="1"/>
  <c r="L166" i="1"/>
  <c r="R157" i="1"/>
  <c r="S157" i="1" s="1"/>
  <c r="T157" i="1" s="1"/>
  <c r="Q158" i="1"/>
  <c r="R158" i="1" l="1"/>
  <c r="S158" i="1" s="1"/>
  <c r="T158" i="1" s="1"/>
  <c r="Q159" i="1"/>
  <c r="L167" i="1"/>
  <c r="N163" i="1"/>
  <c r="O163" i="1" s="1"/>
  <c r="M164" i="1"/>
  <c r="N164" i="1" l="1"/>
  <c r="O164" i="1" s="1"/>
  <c r="M165" i="1"/>
  <c r="L168" i="1"/>
  <c r="Q160" i="1"/>
  <c r="R159" i="1"/>
  <c r="S159" i="1" s="1"/>
  <c r="T159" i="1" s="1"/>
  <c r="R160" i="1" l="1"/>
  <c r="S160" i="1" s="1"/>
  <c r="T160" i="1" s="1"/>
  <c r="Q161" i="1"/>
  <c r="L169" i="1"/>
  <c r="N165" i="1"/>
  <c r="O165" i="1" s="1"/>
  <c r="M166" i="1"/>
  <c r="N166" i="1" l="1"/>
  <c r="O166" i="1" s="1"/>
  <c r="M167" i="1"/>
  <c r="L170" i="1"/>
  <c r="R161" i="1"/>
  <c r="S161" i="1" s="1"/>
  <c r="T161" i="1" s="1"/>
  <c r="Q162" i="1"/>
  <c r="Q163" i="1" l="1"/>
  <c r="R162" i="1"/>
  <c r="S162" i="1" s="1"/>
  <c r="T162" i="1" s="1"/>
  <c r="L171" i="1"/>
  <c r="N167" i="1"/>
  <c r="O167" i="1" s="1"/>
  <c r="M168" i="1"/>
  <c r="N168" i="1" l="1"/>
  <c r="O168" i="1" s="1"/>
  <c r="M169" i="1"/>
  <c r="L172" i="1"/>
  <c r="Q164" i="1"/>
  <c r="R163" i="1"/>
  <c r="S163" i="1" s="1"/>
  <c r="T163" i="1" s="1"/>
  <c r="L173" i="1" l="1"/>
  <c r="R164" i="1"/>
  <c r="S164" i="1" s="1"/>
  <c r="T164" i="1" s="1"/>
  <c r="Q165" i="1"/>
  <c r="N169" i="1"/>
  <c r="O169" i="1" s="1"/>
  <c r="M170" i="1"/>
  <c r="Q166" i="1" l="1"/>
  <c r="R165" i="1"/>
  <c r="S165" i="1" s="1"/>
  <c r="T165" i="1" s="1"/>
  <c r="N170" i="1"/>
  <c r="O170" i="1" s="1"/>
  <c r="M171" i="1"/>
  <c r="L174" i="1"/>
  <c r="N171" i="1" l="1"/>
  <c r="O171" i="1" s="1"/>
  <c r="M172" i="1"/>
  <c r="L175" i="1"/>
  <c r="R166" i="1"/>
  <c r="S166" i="1" s="1"/>
  <c r="T166" i="1" s="1"/>
  <c r="Q167" i="1"/>
  <c r="R167" i="1" l="1"/>
  <c r="S167" i="1" s="1"/>
  <c r="T167" i="1" s="1"/>
  <c r="Q168" i="1"/>
  <c r="L176" i="1"/>
  <c r="N172" i="1"/>
  <c r="O172" i="1" s="1"/>
  <c r="M173" i="1"/>
  <c r="L177" i="1" l="1"/>
  <c r="N173" i="1"/>
  <c r="O173" i="1" s="1"/>
  <c r="M174" i="1"/>
  <c r="R168" i="1"/>
  <c r="S168" i="1" s="1"/>
  <c r="T168" i="1" s="1"/>
  <c r="Q169" i="1"/>
  <c r="Q170" i="1" l="1"/>
  <c r="R169" i="1"/>
  <c r="S169" i="1" s="1"/>
  <c r="T169" i="1" s="1"/>
  <c r="N174" i="1"/>
  <c r="O174" i="1" s="1"/>
  <c r="M175" i="1"/>
  <c r="L178" i="1"/>
  <c r="N175" i="1" l="1"/>
  <c r="O175" i="1" s="1"/>
  <c r="M176" i="1"/>
  <c r="L179" i="1"/>
  <c r="R170" i="1"/>
  <c r="S170" i="1" s="1"/>
  <c r="T170" i="1" s="1"/>
  <c r="Q171" i="1"/>
  <c r="R171" i="1" l="1"/>
  <c r="S171" i="1" s="1"/>
  <c r="T171" i="1" s="1"/>
  <c r="Q172" i="1"/>
  <c r="L180" i="1"/>
  <c r="N176" i="1"/>
  <c r="O176" i="1" s="1"/>
  <c r="M177" i="1"/>
  <c r="N177" i="1" l="1"/>
  <c r="O177" i="1" s="1"/>
  <c r="M178" i="1"/>
  <c r="L181" i="1"/>
  <c r="R172" i="1"/>
  <c r="S172" i="1" s="1"/>
  <c r="T172" i="1" s="1"/>
  <c r="Q173" i="1"/>
  <c r="L182" i="1" l="1"/>
  <c r="R173" i="1"/>
  <c r="S173" i="1" s="1"/>
  <c r="T173" i="1" s="1"/>
  <c r="Q174" i="1"/>
  <c r="N178" i="1"/>
  <c r="O178" i="1" s="1"/>
  <c r="M179" i="1"/>
  <c r="N179" i="1" l="1"/>
  <c r="O179" i="1" s="1"/>
  <c r="M180" i="1"/>
  <c r="R174" i="1"/>
  <c r="S174" i="1" s="1"/>
  <c r="T174" i="1" s="1"/>
  <c r="Q175" i="1"/>
  <c r="L183" i="1"/>
  <c r="R175" i="1" l="1"/>
  <c r="S175" i="1" s="1"/>
  <c r="T175" i="1" s="1"/>
  <c r="Q176" i="1"/>
  <c r="L184" i="1"/>
  <c r="N180" i="1"/>
  <c r="O180" i="1" s="1"/>
  <c r="M181" i="1"/>
  <c r="N181" i="1" l="1"/>
  <c r="O181" i="1" s="1"/>
  <c r="M182" i="1"/>
  <c r="L185" i="1"/>
  <c r="R176" i="1"/>
  <c r="S176" i="1" s="1"/>
  <c r="T176" i="1" s="1"/>
  <c r="Q177" i="1"/>
  <c r="Q178" i="1" l="1"/>
  <c r="R177" i="1"/>
  <c r="S177" i="1" s="1"/>
  <c r="T177" i="1" s="1"/>
  <c r="L186" i="1"/>
  <c r="N182" i="1"/>
  <c r="O182" i="1" s="1"/>
  <c r="M183" i="1"/>
  <c r="N183" i="1" l="1"/>
  <c r="O183" i="1" s="1"/>
  <c r="M184" i="1"/>
  <c r="L187" i="1"/>
  <c r="Q179" i="1"/>
  <c r="R178" i="1"/>
  <c r="S178" i="1" s="1"/>
  <c r="T178" i="1" s="1"/>
  <c r="R179" i="1" l="1"/>
  <c r="S179" i="1" s="1"/>
  <c r="T179" i="1" s="1"/>
  <c r="Q180" i="1"/>
  <c r="L188" i="1"/>
  <c r="N184" i="1"/>
  <c r="O184" i="1" s="1"/>
  <c r="M185" i="1"/>
  <c r="L189" i="1" l="1"/>
  <c r="N185" i="1"/>
  <c r="O185" i="1" s="1"/>
  <c r="M186" i="1"/>
  <c r="R180" i="1"/>
  <c r="S180" i="1" s="1"/>
  <c r="T180" i="1" s="1"/>
  <c r="Q181" i="1"/>
  <c r="R181" i="1" l="1"/>
  <c r="S181" i="1" s="1"/>
  <c r="T181" i="1" s="1"/>
  <c r="Q182" i="1"/>
  <c r="N186" i="1"/>
  <c r="O186" i="1" s="1"/>
  <c r="M187" i="1"/>
  <c r="L190" i="1"/>
  <c r="L191" i="1" l="1"/>
  <c r="Q183" i="1"/>
  <c r="R182" i="1"/>
  <c r="S182" i="1" s="1"/>
  <c r="T182" i="1" s="1"/>
  <c r="N187" i="1"/>
  <c r="O187" i="1" s="1"/>
  <c r="M188" i="1"/>
  <c r="N188" i="1" l="1"/>
  <c r="O188" i="1" s="1"/>
  <c r="M189" i="1"/>
  <c r="R183" i="1"/>
  <c r="S183" i="1" s="1"/>
  <c r="T183" i="1" s="1"/>
  <c r="Q184" i="1"/>
  <c r="L192" i="1"/>
  <c r="L193" i="1" l="1"/>
  <c r="R184" i="1"/>
  <c r="S184" i="1" s="1"/>
  <c r="T184" i="1" s="1"/>
  <c r="Q185" i="1"/>
  <c r="N189" i="1"/>
  <c r="O189" i="1" s="1"/>
  <c r="M190" i="1"/>
  <c r="N190" i="1" l="1"/>
  <c r="O190" i="1" s="1"/>
  <c r="M191" i="1"/>
  <c r="Q186" i="1"/>
  <c r="R185" i="1"/>
  <c r="S185" i="1" s="1"/>
  <c r="T185" i="1" s="1"/>
  <c r="L194" i="1"/>
  <c r="L195" i="1" l="1"/>
  <c r="Q187" i="1"/>
  <c r="R186" i="1"/>
  <c r="S186" i="1" s="1"/>
  <c r="T186" i="1" s="1"/>
  <c r="N191" i="1"/>
  <c r="O191" i="1" s="1"/>
  <c r="M192" i="1"/>
  <c r="N192" i="1" l="1"/>
  <c r="O192" i="1" s="1"/>
  <c r="M193" i="1"/>
  <c r="R187" i="1"/>
  <c r="S187" i="1" s="1"/>
  <c r="T187" i="1" s="1"/>
  <c r="Q188" i="1"/>
  <c r="L196" i="1"/>
  <c r="L197" i="1" l="1"/>
  <c r="R188" i="1"/>
  <c r="S188" i="1" s="1"/>
  <c r="T188" i="1" s="1"/>
  <c r="Q189" i="1"/>
  <c r="N193" i="1"/>
  <c r="O193" i="1" s="1"/>
  <c r="M194" i="1"/>
  <c r="N194" i="1" l="1"/>
  <c r="O194" i="1" s="1"/>
  <c r="M195" i="1"/>
  <c r="R189" i="1"/>
  <c r="S189" i="1" s="1"/>
  <c r="T189" i="1" s="1"/>
  <c r="Q190" i="1"/>
  <c r="L198" i="1"/>
  <c r="L199" i="1" l="1"/>
  <c r="Q191" i="1"/>
  <c r="R190" i="1"/>
  <c r="S190" i="1" s="1"/>
  <c r="T190" i="1" s="1"/>
  <c r="N195" i="1"/>
  <c r="O195" i="1" s="1"/>
  <c r="M196" i="1"/>
  <c r="N196" i="1" l="1"/>
  <c r="O196" i="1" s="1"/>
  <c r="M197" i="1"/>
  <c r="Q192" i="1"/>
  <c r="R191" i="1"/>
  <c r="S191" i="1" s="1"/>
  <c r="T191" i="1" s="1"/>
  <c r="L200" i="1"/>
  <c r="R192" i="1" l="1"/>
  <c r="S192" i="1" s="1"/>
  <c r="T192" i="1" s="1"/>
  <c r="Q193" i="1"/>
  <c r="L201" i="1"/>
  <c r="N197" i="1"/>
  <c r="O197" i="1" s="1"/>
  <c r="M198" i="1"/>
  <c r="L202" i="1" l="1"/>
  <c r="N198" i="1"/>
  <c r="O198" i="1" s="1"/>
  <c r="M199" i="1"/>
  <c r="R193" i="1"/>
  <c r="S193" i="1" s="1"/>
  <c r="T193" i="1" s="1"/>
  <c r="Q194" i="1"/>
  <c r="R194" i="1" l="1"/>
  <c r="S194" i="1" s="1"/>
  <c r="T194" i="1" s="1"/>
  <c r="Q195" i="1"/>
  <c r="N199" i="1"/>
  <c r="O199" i="1" s="1"/>
  <c r="M200" i="1"/>
  <c r="L203" i="1"/>
  <c r="Q196" i="1" l="1"/>
  <c r="R195" i="1"/>
  <c r="S195" i="1" s="1"/>
  <c r="T195" i="1" s="1"/>
  <c r="L204" i="1"/>
  <c r="N200" i="1"/>
  <c r="O200" i="1" s="1"/>
  <c r="M201" i="1"/>
  <c r="N201" i="1" l="1"/>
  <c r="O201" i="1" s="1"/>
  <c r="M202" i="1"/>
  <c r="L205" i="1"/>
  <c r="R196" i="1"/>
  <c r="S196" i="1" s="1"/>
  <c r="T196" i="1" s="1"/>
  <c r="Q197" i="1"/>
  <c r="Q198" i="1" l="1"/>
  <c r="R197" i="1"/>
  <c r="S197" i="1" s="1"/>
  <c r="T197" i="1" s="1"/>
  <c r="L206" i="1"/>
  <c r="N202" i="1"/>
  <c r="O202" i="1" s="1"/>
  <c r="M203" i="1"/>
  <c r="L207" i="1" l="1"/>
  <c r="N203" i="1"/>
  <c r="O203" i="1" s="1"/>
  <c r="M204" i="1"/>
  <c r="R198" i="1"/>
  <c r="S198" i="1" s="1"/>
  <c r="T198" i="1" s="1"/>
  <c r="Q199" i="1"/>
  <c r="R199" i="1" l="1"/>
  <c r="S199" i="1" s="1"/>
  <c r="T199" i="1" s="1"/>
  <c r="Q200" i="1"/>
  <c r="N204" i="1"/>
  <c r="O204" i="1" s="1"/>
  <c r="M205" i="1"/>
  <c r="L208" i="1"/>
  <c r="N205" i="1" l="1"/>
  <c r="O205" i="1" s="1"/>
  <c r="M206" i="1"/>
  <c r="L209" i="1"/>
  <c r="Q201" i="1"/>
  <c r="R200" i="1"/>
  <c r="S200" i="1" s="1"/>
  <c r="T200" i="1" s="1"/>
  <c r="Q202" i="1" l="1"/>
  <c r="R201" i="1"/>
  <c r="S201" i="1" s="1"/>
  <c r="T201" i="1" s="1"/>
  <c r="L210" i="1"/>
  <c r="N206" i="1"/>
  <c r="O206" i="1" s="1"/>
  <c r="M207" i="1"/>
  <c r="L211" i="1" l="1"/>
  <c r="N207" i="1"/>
  <c r="O207" i="1" s="1"/>
  <c r="M208" i="1"/>
  <c r="R202" i="1"/>
  <c r="S202" i="1" s="1"/>
  <c r="T202" i="1" s="1"/>
  <c r="Q203" i="1"/>
  <c r="R203" i="1" l="1"/>
  <c r="S203" i="1" s="1"/>
  <c r="T203" i="1" s="1"/>
  <c r="Q204" i="1"/>
  <c r="N208" i="1"/>
  <c r="O208" i="1" s="1"/>
  <c r="M209" i="1"/>
  <c r="L212" i="1"/>
  <c r="N209" i="1" l="1"/>
  <c r="O209" i="1" s="1"/>
  <c r="M210" i="1"/>
  <c r="L213" i="1"/>
  <c r="Q205" i="1"/>
  <c r="R204" i="1"/>
  <c r="S204" i="1" s="1"/>
  <c r="T204" i="1" s="1"/>
  <c r="R205" i="1" l="1"/>
  <c r="S205" i="1" s="1"/>
  <c r="T205" i="1" s="1"/>
  <c r="Q206" i="1"/>
  <c r="L214" i="1"/>
  <c r="N210" i="1"/>
  <c r="O210" i="1" s="1"/>
  <c r="M211" i="1"/>
  <c r="L215" i="1" l="1"/>
  <c r="N211" i="1"/>
  <c r="O211" i="1" s="1"/>
  <c r="M212" i="1"/>
  <c r="R206" i="1"/>
  <c r="S206" i="1" s="1"/>
  <c r="T206" i="1" s="1"/>
  <c r="Q207" i="1"/>
  <c r="N212" i="1" l="1"/>
  <c r="O212" i="1" s="1"/>
  <c r="M213" i="1"/>
  <c r="R207" i="1"/>
  <c r="S207" i="1" s="1"/>
  <c r="T207" i="1" s="1"/>
  <c r="Q208" i="1"/>
  <c r="L216" i="1"/>
  <c r="R208" i="1" l="1"/>
  <c r="S208" i="1" s="1"/>
  <c r="T208" i="1" s="1"/>
  <c r="Q209" i="1"/>
  <c r="L217" i="1"/>
  <c r="N213" i="1"/>
  <c r="O213" i="1" s="1"/>
  <c r="M214" i="1"/>
  <c r="L218" i="1" l="1"/>
  <c r="N214" i="1"/>
  <c r="O214" i="1" s="1"/>
  <c r="M215" i="1"/>
  <c r="Q210" i="1"/>
  <c r="R209" i="1"/>
  <c r="S209" i="1" s="1"/>
  <c r="T209" i="1" s="1"/>
  <c r="N215" i="1" l="1"/>
  <c r="O215" i="1" s="1"/>
  <c r="M216" i="1"/>
  <c r="Q211" i="1"/>
  <c r="R210" i="1"/>
  <c r="S210" i="1" s="1"/>
  <c r="T210" i="1" s="1"/>
  <c r="L219" i="1"/>
  <c r="L220" i="1" l="1"/>
  <c r="R211" i="1"/>
  <c r="S211" i="1" s="1"/>
  <c r="T211" i="1" s="1"/>
  <c r="Q212" i="1"/>
  <c r="N216" i="1"/>
  <c r="O216" i="1" s="1"/>
  <c r="M217" i="1"/>
  <c r="N217" i="1" l="1"/>
  <c r="O217" i="1" s="1"/>
  <c r="M218" i="1"/>
  <c r="Q213" i="1"/>
  <c r="R212" i="1"/>
  <c r="S212" i="1" s="1"/>
  <c r="T212" i="1" s="1"/>
  <c r="L221" i="1"/>
  <c r="I14" i="1" l="1"/>
  <c r="B14" i="1"/>
  <c r="Q214" i="1"/>
  <c r="R213" i="1"/>
  <c r="S213" i="1" s="1"/>
  <c r="T213" i="1" s="1"/>
  <c r="N218" i="1"/>
  <c r="O218" i="1" s="1"/>
  <c r="M219" i="1"/>
  <c r="N219" i="1" l="1"/>
  <c r="O219" i="1" s="1"/>
  <c r="M220" i="1"/>
  <c r="R214" i="1"/>
  <c r="S214" i="1" s="1"/>
  <c r="T214" i="1" s="1"/>
  <c r="Q215" i="1"/>
  <c r="Q216" i="1" l="1"/>
  <c r="R215" i="1"/>
  <c r="S215" i="1" s="1"/>
  <c r="T215" i="1" s="1"/>
  <c r="N220" i="1"/>
  <c r="O220" i="1" s="1"/>
  <c r="I15" i="1" s="1" a="1"/>
  <c r="I15" i="1" s="1"/>
  <c r="I16" i="1" s="1"/>
  <c r="M221" i="1"/>
  <c r="N221" i="1" s="1"/>
  <c r="O221" i="1" s="1"/>
  <c r="B15" i="1" s="1"/>
  <c r="B16" i="1" s="1"/>
  <c r="Q217" i="1" l="1"/>
  <c r="R216" i="1"/>
  <c r="S216" i="1" s="1"/>
  <c r="T216" i="1" s="1"/>
  <c r="R217" i="1" l="1"/>
  <c r="S217" i="1" s="1"/>
  <c r="T217" i="1" s="1"/>
  <c r="Q218" i="1"/>
  <c r="Q219" i="1" l="1"/>
  <c r="R218" i="1"/>
  <c r="S218" i="1" s="1"/>
  <c r="T218" i="1" s="1"/>
  <c r="R219" i="1" l="1"/>
  <c r="S219" i="1" s="1"/>
  <c r="T219" i="1" s="1"/>
  <c r="Q220" i="1"/>
  <c r="Q221" i="1" l="1"/>
  <c r="R220" i="1"/>
  <c r="S220" i="1" s="1"/>
  <c r="T220" i="1" s="1"/>
  <c r="L15" i="1" l="1" a="1"/>
  <c r="L15" i="1" s="1"/>
  <c r="R221" i="1"/>
  <c r="S221" i="1" s="1"/>
  <c r="T221" i="1" s="1"/>
  <c r="E15" i="1" s="1"/>
  <c r="L14" i="1"/>
  <c r="E14" i="1"/>
  <c r="E16" i="1" l="1"/>
  <c r="L16" i="1"/>
</calcChain>
</file>

<file path=xl/sharedStrings.xml><?xml version="1.0" encoding="utf-8"?>
<sst xmlns="http://schemas.openxmlformats.org/spreadsheetml/2006/main" count="1824" uniqueCount="111">
  <si>
    <t>Overall</t>
  </si>
  <si>
    <t>Gross %</t>
  </si>
  <si>
    <t>Impact Cost</t>
  </si>
  <si>
    <t>Rollover Cost</t>
  </si>
  <si>
    <t>Net %</t>
  </si>
  <si>
    <t>Days</t>
  </si>
  <si>
    <t>Total Profit %</t>
  </si>
  <si>
    <t>Dates</t>
  </si>
  <si>
    <t>Start Date</t>
  </si>
  <si>
    <t>End Date</t>
  </si>
  <si>
    <t>Trades</t>
  </si>
  <si>
    <t>Total Gross Profit</t>
  </si>
  <si>
    <t>Average Gross Profit</t>
  </si>
  <si>
    <t>Gross Month. Thk.</t>
  </si>
  <si>
    <t>Total Net Profit</t>
  </si>
  <si>
    <t>Average Net Profit</t>
  </si>
  <si>
    <t>Net Month. Thk.</t>
  </si>
  <si>
    <t>Average Days Held</t>
  </si>
  <si>
    <t>Months Held</t>
  </si>
  <si>
    <t>Avg %</t>
  </si>
  <si>
    <t>From 2008 To 2025</t>
  </si>
  <si>
    <t>Total Trades</t>
  </si>
  <si>
    <t>From 2008 to 2010</t>
  </si>
  <si>
    <t>Win Ratio</t>
  </si>
  <si>
    <t>From 2011 to 2019</t>
  </si>
  <si>
    <t>Win Avg</t>
  </si>
  <si>
    <t>From 2011 to 2025</t>
  </si>
  <si>
    <t>Loss Avg</t>
  </si>
  <si>
    <t>Max Winner</t>
  </si>
  <si>
    <t>Max Looser</t>
  </si>
  <si>
    <t>Expectancy Ratio</t>
  </si>
  <si>
    <t>Monthly Thickness</t>
  </si>
  <si>
    <t>Risk Reward</t>
  </si>
  <si>
    <t>CAGR</t>
  </si>
  <si>
    <t>DD</t>
  </si>
  <si>
    <t>CAR/MDD</t>
  </si>
  <si>
    <t>Gross</t>
  </si>
  <si>
    <t>Net</t>
  </si>
  <si>
    <t>CUMM</t>
  </si>
  <si>
    <t>Peak</t>
  </si>
  <si>
    <t>%DD</t>
  </si>
  <si>
    <t>Year by exit Date</t>
  </si>
  <si>
    <t>Year by entry Date</t>
  </si>
  <si>
    <t>Impact cost</t>
  </si>
  <si>
    <t>Net Profit</t>
  </si>
  <si>
    <t>Symbol</t>
  </si>
  <si>
    <t>Trade</t>
  </si>
  <si>
    <t>Date</t>
  </si>
  <si>
    <t>Price</t>
  </si>
  <si>
    <t>Ex. date</t>
  </si>
  <si>
    <t>Ex. Price</t>
  </si>
  <si>
    <t>% chg</t>
  </si>
  <si>
    <t>NIFTY 50</t>
  </si>
  <si>
    <t>Long</t>
  </si>
  <si>
    <t>Column Labels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</si>
  <si>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</si>
  <si>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</si>
  <si>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</si>
  <si>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</si>
  <si>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</si>
  <si>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</si>
  <si>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</si>
  <si>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</si>
  <si>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</si>
  <si>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</si>
  <si>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</si>
  <si>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</si>
  <si>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</si>
  <si>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</si>
  <si>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</si>
  <si>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</si>
  <si>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</si>
  <si>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</si>
  <si>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</si>
  <si>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</si>
  <si>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</si>
  <si>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</si>
  <si>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</si>
  <si>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</si>
  <si>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</si>
  <si>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</si>
  <si>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</si>
  <si>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</si>
  <si>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</si>
  <si>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</si>
  <si>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</si>
  <si>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Row Labels</t>
  </si>
  <si>
    <t>Avg.</t>
  </si>
  <si>
    <t>YOY Table</t>
  </si>
  <si>
    <t>5,1_5,1</t>
  </si>
  <si>
    <t>5,2_5,2</t>
  </si>
  <si>
    <t xml:space="preserve">5,2_5,4 </t>
  </si>
  <si>
    <t>5,1_5,2</t>
  </si>
  <si>
    <t>5,1_5,4</t>
  </si>
  <si>
    <t>Total</t>
  </si>
  <si>
    <t>Buy N Hold</t>
  </si>
  <si>
    <t>Rules:</t>
  </si>
  <si>
    <t>First Trade of Base 2 Entry @ 5DP, ride with ATR</t>
  </si>
  <si>
    <t>Rest all trades Ride with Daily  STR till base ends</t>
  </si>
  <si>
    <t>Sum of Net Profit</t>
  </si>
  <si>
    <t xml:space="preserve">Note: </t>
  </si>
  <si>
    <t>The Stats. Below are on gross basis and from 2008</t>
  </si>
  <si>
    <t>2026</t>
  </si>
  <si>
    <t>Sr. No.</t>
  </si>
  <si>
    <t>All Sheets Name</t>
  </si>
  <si>
    <t>From</t>
  </si>
  <si>
    <t>Total Net Profit %</t>
  </si>
  <si>
    <t>Net Avg %</t>
  </si>
  <si>
    <t>Avarage Days</t>
  </si>
  <si>
    <t>Max MAE</t>
  </si>
  <si>
    <t>Avg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</si>
</sst>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77">
    <xf numFmtId="0" fontId="0" fillId="0" borderId="0" xfId="0"/>
    <xf numFmtId="14" fontId="0" fillId="0" borderId="0" xfId="0" applyNumberFormat="1"/>
    <xf numFmtId="10" fontId="0" fillId="0" borderId="0" xfId="0" applyNumberFormat="1"/>
    <xf numFmtId="0" fontId="3" fillId="0" borderId="0" xfId="2"/>
    <xf numFmtId="10" fontId="3" fillId="0" borderId="0" xfId="2" applyNumberFormat="1"/>
    <xf numFmtId="14" fontId="3" fillId="0" borderId="0" xfId="2" applyNumberFormat="1"/>
    <xf numFmtId="0" fontId="2" fillId="2" borderId="0" xfId="2" applyFont="1" applyFill="1" applyAlignment="1">
      <alignment horizontal="center" vertical="center"/>
    </xf>
    <xf numFmtId="0" fontId="2" fillId="3" borderId="0" xfId="2" applyFont="1" applyFill="1"/>
    <xf numFmtId="10" fontId="2" fillId="3" borderId="0" xfId="2" applyNumberFormat="1" applyFont="1" applyFill="1" applyAlignment="1">
      <alignment horizontal="center" vertical="center"/>
    </xf>
    <xf numFmtId="0" fontId="2" fillId="3" borderId="0" xfId="2" applyFont="1" applyFill="1" applyAlignment="1">
      <alignment horizontal="center" vertical="center"/>
    </xf>
    <xf numFmtId="0" fontId="2" fillId="3" borderId="0" xfId="2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" fontId="2" fillId="3" borderId="0" xfId="2" applyNumberFormat="1" applyFont="1" applyFill="1" applyAlignment="1">
      <alignment horizontal="center" vertical="center"/>
    </xf>
    <xf numFmtId="0" fontId="4" fillId="4" borderId="4" xfId="0" applyFont="1" applyFill="1" applyBorder="1"/>
    <xf numFmtId="14" fontId="0" fillId="0" borderId="5" xfId="0" applyNumberFormat="1" applyBorder="1"/>
    <xf numFmtId="0" fontId="0" fillId="0" borderId="5" xfId="0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3" fillId="0" borderId="0" xfId="2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0" fontId="2" fillId="3" borderId="0" xfId="3" applyNumberFormat="1" applyFont="1" applyFill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4" fillId="4" borderId="7" xfId="0" applyFont="1" applyFill="1" applyBorder="1"/>
    <xf numFmtId="14" fontId="0" fillId="0" borderId="8" xfId="0" applyNumberFormat="1" applyBorder="1"/>
    <xf numFmtId="0" fontId="0" fillId="0" borderId="8" xfId="0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0" fontId="3" fillId="0" borderId="0" xfId="2" applyNumberFormat="1" applyAlignment="1">
      <alignment horizontal="center" vertical="center"/>
    </xf>
    <xf numFmtId="2" fontId="3" fillId="0" borderId="0" xfId="2" applyNumberForma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2" applyFont="1" applyAlignment="1">
      <alignment horizontal="center"/>
    </xf>
    <xf numFmtId="0" fontId="2" fillId="0" borderId="0" xfId="2" applyFont="1"/>
    <xf numFmtId="10" fontId="0" fillId="0" borderId="0" xfId="1" applyNumberFormat="1" applyFont="1"/>
    <xf numFmtId="0" fontId="3" fillId="0" borderId="0" xfId="2" applyAlignment="1">
      <alignment horizontal="center"/>
    </xf>
    <xf numFmtId="0" fontId="3" fillId="0" borderId="0" xfId="2" applyFill="1" applyAlignment="1">
      <alignment horizontal="center"/>
    </xf>
    <xf numFmtId="10" fontId="3" fillId="0" borderId="0" xfId="2" applyNumberFormat="1" applyFill="1"/>
    <xf numFmtId="0" fontId="0" fillId="0" borderId="0" xfId="0" applyFill="1"/>
    <xf numFmtId="10" fontId="0" fillId="0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5" xfId="1" applyNumberFormat="1" applyFont="1" applyBorder="1"/>
    <xf numFmtId="164" fontId="0" fillId="0" borderId="0" xfId="0" applyNumberFormat="1"/>
    <xf numFmtId="0" fontId="2" fillId="0" borderId="5" xfId="0" applyFont="1" applyBorder="1"/>
    <xf numFmtId="0" fontId="0" fillId="0" borderId="5" xfId="0" applyBorder="1"/>
    <xf numFmtId="0" fontId="2" fillId="0" borderId="5" xfId="0" applyNumberFormat="1" applyFont="1" applyBorder="1"/>
    <xf numFmtId="164" fontId="2" fillId="0" borderId="5" xfId="1" applyNumberFormat="1" applyFont="1" applyBorder="1"/>
    <xf numFmtId="0" fontId="4" fillId="0" borderId="0" xfId="0" applyFont="1"/>
    <xf numFmtId="0" fontId="0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10" fontId="2" fillId="0" borderId="0" xfId="1" applyNumberFormat="1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1" fontId="2" fillId="0" borderId="12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 vertical="center"/>
    </xf>
    <xf numFmtId="9" fontId="2" fillId="0" borderId="12" xfId="1" applyNumberFormat="1" applyFont="1" applyBorder="1" applyAlignment="1">
      <alignment horizontal="center" vertical="center"/>
    </xf>
    <xf numFmtId="10" fontId="2" fillId="0" borderId="12" xfId="1" applyNumberFormat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4" fontId="2" fillId="0" borderId="12" xfId="1" applyNumberFormat="1" applyFont="1" applyFill="1" applyBorder="1" applyAlignment="1">
      <alignment horizontal="center" vertical="center"/>
    </xf>
    <xf numFmtId="1" fontId="2" fillId="0" borderId="12" xfId="1" applyNumberFormat="1" applyFont="1" applyFill="1" applyBorder="1" applyAlignment="1">
      <alignment horizontal="center" vertical="center"/>
    </xf>
    <xf numFmtId="2" fontId="2" fillId="0" borderId="12" xfId="1" applyNumberFormat="1" applyFont="1" applyFill="1" applyBorder="1" applyAlignment="1">
      <alignment horizontal="center" vertical="center"/>
    </xf>
    <xf numFmtId="9" fontId="2" fillId="0" borderId="12" xfId="1" applyNumberFormat="1" applyFont="1" applyFill="1" applyBorder="1" applyAlignment="1">
      <alignment horizontal="center" vertical="center"/>
    </xf>
    <xf numFmtId="10" fontId="2" fillId="0" borderId="12" xfId="1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4">
    <cellStyle name="Normal" xfId="0" builtinId="0"/>
    <cellStyle name="Normal 2 2 2" xfId="2"/>
    <cellStyle name="Percent" xfId="1" builtinId="5"/>
    <cellStyle name="Percent 2" xfId="3"/>
  </cellStyles>
  <dxfs count="17">
    <dxf>
      <numFmt numFmtId="164" formatCode="0.0%"/>
    </dxf>
    <dxf>
      <font>
        <color rgb="FF006100"/>
      </font>
      <fill>
        <patternFill>
          <bgColor rgb="FFC6EFCE"/>
        </patternFill>
      </fill>
    </dxf>
    <dxf>
      <numFmt numFmtId="164" formatCode="0.0%"/>
    </dxf>
    <dxf>
      <font>
        <color rgb="FF006100"/>
      </font>
      <fill>
        <patternFill>
          <bgColor rgb="FFC6EFCE"/>
        </patternFill>
      </fill>
    </dxf>
    <dxf>
      <numFmt numFmtId="164" formatCode="0.0%"/>
    </dxf>
    <dxf>
      <font>
        <color rgb="FF006100"/>
      </font>
      <fill>
        <patternFill>
          <bgColor rgb="FFC6EFCE"/>
        </patternFill>
      </fill>
    </dxf>
    <dxf>
      <numFmt numFmtId="164" formatCode="0.0%"/>
    </dxf>
    <dxf>
      <font>
        <color rgb="FF006100"/>
      </font>
      <fill>
        <patternFill>
          <bgColor rgb="FFC6EFCE"/>
        </patternFill>
      </fill>
    </dxf>
    <dxf>
      <numFmt numFmtId="164" formatCode="0.0%"/>
    </dxf>
    <dxf>
      <numFmt numFmtId="14" formatCode="0.00%"/>
    </dxf>
    <dxf>
      <numFmt numFmtId="164" formatCode="0.0%"/>
    </dxf>
    <dxf>
      <numFmt numFmtId="13" formatCode="0%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FF47" refreshedDate="46049.632668171296" createdVersion="6" refreshedVersion="6" minRefreshableVersion="3" recordCount="210">
  <cacheSource type="worksheet">
    <worksheetSource ref="A20:K1998" sheet="5,1_5,1"/>
  </cacheSource>
  <cacheFields count="14">
    <cacheField name="Symbol" numFmtId="0">
      <sharedItems containsBlank="1"/>
    </cacheField>
    <cacheField name="Trade" numFmtId="0">
      <sharedItems containsBlank="1"/>
    </cacheField>
    <cacheField name="Date" numFmtId="0">
      <sharedItems containsNonDate="0" containsDate="1" containsString="0" containsBlank="1" minDate="2008-11-21T00:00:00" maxDate="2026-01-01T00:00:00" count="210">
        <d v="2008-11-21T00:00:00"/>
        <d v="2008-12-30T00:00:00"/>
        <d v="2009-01-28T00:00:00"/>
        <d v="2009-02-26T00:00:00"/>
        <d v="2009-03-13T00:00:00"/>
        <d v="2009-04-02T00:00:00"/>
        <d v="2009-05-04T00:00:00"/>
        <d v="2009-06-10T00:00:00"/>
        <d v="2009-06-26T00:00:00"/>
        <d v="2009-07-14T00:00:00"/>
        <d v="2009-08-13T00:00:00"/>
        <d v="2009-08-24T00:00:00"/>
        <d v="2009-09-07T00:00:00"/>
        <d v="2009-10-14T00:00:00"/>
        <d v="2009-11-06T00:00:00"/>
        <d v="2009-11-23T00:00:00"/>
        <d v="2009-11-30T00:00:00"/>
        <d v="2009-12-23T00:00:00"/>
        <d v="2010-01-18T00:00:00"/>
        <d v="2010-02-16T00:00:00"/>
        <d v="2010-04-23T00:00:00"/>
        <d v="2010-05-10T00:00:00"/>
        <d v="2010-05-27T00:00:00"/>
        <d v="2010-06-11T00:00:00"/>
        <d v="2010-07-09T00:00:00"/>
        <d v="2010-08-03T00:00:00"/>
        <d v="2010-08-18T00:00:00"/>
        <d v="2010-09-01T00:00:00"/>
        <d v="2010-10-13T00:00:00"/>
        <d v="2010-11-01T00:00:00"/>
        <d v="2010-12-01T00:00:00"/>
        <d v="2010-12-14T00:00:00"/>
        <d v="2011-09-26T00:00:00"/>
        <d v="2011-10-10T00:00:00"/>
        <d v="2012-05-24T00:00:00"/>
        <d v="2012-06-06T00:00:00"/>
        <d v="2012-07-30T00:00:00"/>
        <d v="2012-09-07T00:00:00"/>
        <d v="2012-11-02T00:00:00"/>
        <d v="2012-11-26T00:00:00"/>
        <d v="2012-12-19T00:00:00"/>
        <d v="2013-01-01T00:00:00"/>
        <d v="2013-01-15T00:00:00"/>
        <d v="2013-02-19T00:00:00"/>
        <d v="2013-08-23T00:00:00"/>
        <d v="2013-08-29T00:00:00"/>
        <d v="2013-09-05T00:00:00"/>
        <d v="2013-10-03T00:00:00"/>
        <d v="2013-10-29T00:00:00"/>
        <d v="2013-11-18T00:00:00"/>
        <d v="2013-11-25T00:00:00"/>
        <d v="2013-12-20T00:00:00"/>
        <d v="2014-01-13T00:00:00"/>
        <d v="2014-02-07T00:00:00"/>
        <d v="2014-02-18T00:00:00"/>
        <d v="2014-04-21T00:00:00"/>
        <d v="2014-05-09T00:00:00"/>
        <d v="2014-06-02T00:00:00"/>
        <d v="2014-06-17T00:00:00"/>
        <d v="2014-06-30T00:00:00"/>
        <d v="2014-07-16T00:00:00"/>
        <d v="2014-08-12T00:00:00"/>
        <d v="2014-09-18T00:00:00"/>
        <d v="2014-10-09T00:00:00"/>
        <d v="2014-10-21T00:00:00"/>
        <d v="2014-12-18T00:00:00"/>
        <d v="2015-01-02T00:00:00"/>
        <d v="2015-01-08T00:00:00"/>
        <d v="2015-02-12T00:00:00"/>
        <d v="2015-02-27T00:00:00"/>
        <d v="2015-03-30T00:00:00"/>
        <d v="2015-05-04T00:00:00"/>
        <d v="2015-05-11T00:00:00"/>
        <d v="2015-05-18T00:00:00"/>
        <d v="2015-05-29T00:00:00"/>
        <d v="2015-06-17T00:00:00"/>
        <d v="2015-07-13T00:00:00"/>
        <d v="2015-07-31T00:00:00"/>
        <d v="2015-08-14T00:00:00"/>
        <d v="2016-02-23T00:00:00"/>
        <d v="2016-03-01T00:00:00"/>
        <d v="2016-03-30T00:00:00"/>
        <d v="2016-04-11T00:00:00"/>
        <d v="2016-05-09T00:00:00"/>
        <d v="2016-05-25T00:00:00"/>
        <d v="2016-06-15T00:00:00"/>
        <d v="2016-06-29T00:00:00"/>
        <d v="2016-08-05T00:00:00"/>
        <d v="2016-08-12T00:00:00"/>
        <d v="2016-08-30T00:00:00"/>
        <d v="2016-09-19T00:00:00"/>
        <d v="2016-10-03T00:00:00"/>
        <d v="2016-10-18T00:00:00"/>
        <d v="2016-11-08T00:00:00"/>
        <d v="2016-12-23T00:00:00"/>
        <d v="2016-12-27T00:00:00"/>
        <d v="2017-01-24T00:00:00"/>
        <d v="2017-02-17T00:00:00"/>
        <d v="2017-03-06T00:00:00"/>
        <d v="2017-03-29T00:00:00"/>
        <d v="2017-04-24T00:00:00"/>
        <d v="2017-05-10T00:00:00"/>
        <d v="2017-05-25T00:00:00"/>
        <d v="2017-06-19T00:00:00"/>
        <d v="2017-07-03T00:00:00"/>
        <d v="2017-07-21T00:00:00"/>
        <d v="2017-08-16T00:00:00"/>
        <d v="2017-08-28T00:00:00"/>
        <d v="2017-08-31T00:00:00"/>
        <d v="2017-10-04T00:00:00"/>
        <d v="2017-11-17T00:00:00"/>
        <d v="2017-12-08T00:00:00"/>
        <d v="2017-12-15T00:00:00"/>
        <d v="2018-01-05T00:00:00"/>
        <d v="2019-02-22T00:00:00"/>
        <d v="2019-03-26T00:00:00"/>
        <d v="2019-04-15T00:00:00"/>
        <d v="2019-04-24T00:00:00"/>
        <d v="2019-08-23T00:00:00"/>
        <d v="2019-09-09T00:00:00"/>
        <d v="2019-09-20T00:00:00"/>
        <d v="2019-10-15T00:00:00"/>
        <d v="2019-11-20T00:00:00"/>
        <d v="2019-12-13T00:00:00"/>
        <d v="2019-12-27T00:00:00"/>
        <d v="2020-01-09T00:00:00"/>
        <d v="2020-02-04T00:00:00"/>
        <d v="2020-02-19T00:00:00"/>
        <d v="2020-03-24T00:00:00"/>
        <d v="2020-04-07T00:00:00"/>
        <d v="2020-04-23T00:00:00"/>
        <d v="2020-05-13T00:00:00"/>
        <d v="2020-05-27T00:00:00"/>
        <d v="2020-06-18T00:00:00"/>
        <d v="2020-07-17T00:00:00"/>
        <d v="2020-08-06T00:00:00"/>
        <d v="2020-08-18T00:00:00"/>
        <d v="2020-09-10T00:00:00"/>
        <d v="2020-09-28T00:00:00"/>
        <d v="2020-10-21T00:00:00"/>
        <d v="2020-11-04T00:00:00"/>
        <d v="2020-12-01T00:00:00"/>
        <d v="2020-12-23T00:00:00"/>
        <d v="2021-01-20T00:00:00"/>
        <d v="2021-02-01T00:00:00"/>
        <d v="2021-02-24T00:00:00"/>
        <d v="2021-03-03T00:00:00"/>
        <d v="2021-03-30T00:00:00"/>
        <d v="2021-04-27T00:00:00"/>
        <d v="2021-05-07T00:00:00"/>
        <d v="2021-05-17T00:00:00"/>
        <d v="2021-06-24T00:00:00"/>
        <d v="2021-07-05T00:00:00"/>
        <d v="2021-07-13T00:00:00"/>
        <d v="2021-07-22T00:00:00"/>
        <d v="2021-08-24T00:00:00"/>
        <d v="2021-09-23T00:00:00"/>
        <d v="2021-10-05T00:00:00"/>
        <d v="2021-11-08T00:00:00"/>
        <d v="2022-06-24T00:00:00"/>
        <d v="2022-07-18T00:00:00"/>
        <d v="2022-07-28T00:00:00"/>
        <d v="2022-08-30T00:00:00"/>
        <d v="2022-09-20T00:00:00"/>
        <d v="2022-10-04T00:00:00"/>
        <d v="2022-10-17T00:00:00"/>
        <d v="2022-11-11T00:00:00"/>
        <d v="2022-11-24T00:00:00"/>
        <d v="2022-12-13T00:00:00"/>
        <d v="2023-02-22T00:00:00"/>
        <d v="2023-03-03T00:00:00"/>
        <d v="2023-03-31T00:00:00"/>
        <d v="2023-04-25T00:00:00"/>
        <d v="2023-05-23T00:00:00"/>
        <d v="2023-06-13T00:00:00"/>
        <d v="2023-06-27T00:00:00"/>
        <d v="2023-08-09T00:00:00"/>
        <d v="2023-09-01T00:00:00"/>
        <d v="2023-10-06T00:00:00"/>
        <d v="2023-11-03T00:00:00"/>
        <d v="2023-12-26T00:00:00"/>
        <d v="2024-01-12T00:00:00"/>
        <d v="2024-01-29T00:00:00"/>
        <d v="2024-02-15T00:00:00"/>
        <d v="2024-03-01T00:00:00"/>
        <d v="2024-03-22T00:00:00"/>
        <d v="2024-04-22T00:00:00"/>
        <d v="2024-05-16T00:00:00"/>
        <d v="2024-06-03T00:00:00"/>
        <d v="2024-06-07T00:00:00"/>
        <d v="2024-07-26T00:00:00"/>
        <d v="2024-08-16T00:00:00"/>
        <d v="2024-09-12T00:00:00"/>
        <d v="2025-02-21T00:00:00"/>
        <d v="2025-03-05T00:00:00"/>
        <d v="2025-04-08T00:00:00"/>
        <d v="2025-05-12T00:00:00"/>
        <d v="2025-05-23T00:00:00"/>
        <d v="2025-06-06T00:00:00"/>
        <d v="2025-06-16T00:00:00"/>
        <d v="2025-07-23T00:00:00"/>
        <d v="2025-08-18T00:00:00"/>
        <d v="2025-09-03T00:00:00"/>
        <d v="2025-10-03T00:00:00"/>
        <d v="2025-11-11T00:00:00"/>
        <d v="2025-11-26T00:00:00"/>
        <d v="2025-12-05T00:00:00"/>
        <d v="2025-12-12T00:00:00"/>
        <d v="2025-12-31T00:00:00"/>
        <m/>
      </sharedItems>
      <fieldGroup par="11" base="2">
        <rangePr groupBy="months" startDate="2008-11-21T00:00:00" endDate="2026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Price" numFmtId="0">
      <sharedItems containsString="0" containsBlank="1" containsNumber="1" minValue="2693.45" maxValue="26205.3"/>
    </cacheField>
    <cacheField name="Ex. date" numFmtId="0">
      <sharedItems containsNonDate="0" containsDate="1" containsString="0" containsBlank="1" minDate="2008-12-24T00:00:00" maxDate="2026-01-09T00:00:00" count="210">
        <d v="2008-12-24T00:00:00"/>
        <d v="2009-01-07T00:00:00"/>
        <d v="2009-02-16T00:00:00"/>
        <d v="2009-03-02T00:00:00"/>
        <d v="2009-03-30T00:00:00"/>
        <d v="2009-04-28T00:00:00"/>
        <d v="2009-06-08T00:00:00"/>
        <d v="2009-06-15T00:00:00"/>
        <d v="2009-07-06T00:00:00"/>
        <d v="2009-08-07T00:00:00"/>
        <d v="2009-08-17T00:00:00"/>
        <d v="2009-09-02T00:00:00"/>
        <d v="2009-10-05T00:00:00"/>
        <d v="2009-10-21T00:00:00"/>
        <d v="2009-11-19T00:00:00"/>
        <d v="2009-11-26T00:00:00"/>
        <d v="2009-12-15T00:00:00"/>
        <d v="2010-01-12T00:00:00"/>
        <d v="2010-01-21T00:00:00"/>
        <d v="2010-04-08T00:00:00"/>
        <d v="2010-04-28T00:00:00"/>
        <d v="2010-05-17T00:00:00"/>
        <d v="2010-06-07T00:00:00"/>
        <d v="2010-06-29T00:00:00"/>
        <d v="2010-07-28T00:00:00"/>
        <d v="2010-08-12T00:00:00"/>
        <d v="2010-08-25T00:00:00"/>
        <d v="2010-10-12T00:00:00"/>
        <d v="2010-10-15T00:00:00"/>
        <d v="2010-11-11T00:00:00"/>
        <d v="2010-12-08T00:00:00"/>
        <d v="2010-12-31T00:00:00"/>
        <d v="2011-10-03T00:00:00"/>
        <d v="2011-11-09T00:00:00"/>
        <d v="2012-05-31T00:00:00"/>
        <d v="2012-07-12T00:00:00"/>
        <d v="2012-08-27T00:00:00"/>
        <d v="2012-10-09T00:00:00"/>
        <d v="2012-11-09T00:00:00"/>
        <d v="2012-12-13T00:00:00"/>
        <d v="2012-12-21T00:00:00"/>
        <d v="2013-01-11T00:00:00"/>
        <d v="2013-01-24T00:00:00"/>
        <d v="2013-02-21T00:00:00"/>
        <d v="2013-08-27T00:00:00"/>
        <d v="2013-09-03T00:00:00"/>
        <d v="2013-09-23T00:00:00"/>
        <d v="2013-10-28T00:00:00"/>
        <d v="2013-11-05T00:00:00"/>
        <d v="2013-11-21T00:00:00"/>
        <d v="2013-12-12T00:00:00"/>
        <d v="2014-01-02T00:00:00"/>
        <d v="2014-01-24T00:00:00"/>
        <d v="2014-02-13T00:00:00"/>
        <d v="2014-04-16T00:00:00"/>
        <d v="2014-04-28T00:00:00"/>
        <d v="2014-05-29T00:00:00"/>
        <d v="2014-06-16T00:00:00"/>
        <d v="2014-06-26T00:00:00"/>
        <d v="2014-07-08T00:00:00"/>
        <d v="2014-07-31T00:00:00"/>
        <d v="2014-09-15T00:00:00"/>
        <d v="2014-09-23T00:00:00"/>
        <d v="2014-10-16T00:00:00"/>
        <d v="2014-12-08T00:00:00"/>
        <d v="2014-12-24T00:00:00"/>
        <d v="2015-01-06T00:00:00"/>
        <d v="2015-01-30T00:00:00"/>
        <d v="2015-02-23T00:00:00"/>
        <d v="2015-03-09T00:00:00"/>
        <d v="2015-04-16T00:00:00"/>
        <d v="2015-05-06T00:00:00"/>
        <d v="2015-05-12T00:00:00"/>
        <d v="2015-05-25T00:00:00"/>
        <d v="2015-06-02T00:00:00"/>
        <d v="2015-07-08T00:00:00"/>
        <d v="2015-07-21T00:00:00"/>
        <d v="2015-08-11T00:00:00"/>
        <d v="2015-08-21T00:00:00"/>
        <d v="2016-02-24T00:00:00"/>
        <d v="2016-03-29T00:00:00"/>
        <d v="2016-04-05T00:00:00"/>
        <d v="2016-04-28T00:00:00"/>
        <d v="2016-05-19T00:00:00"/>
        <d v="2016-06-09T00:00:00"/>
        <d v="2016-06-24T00:00:00"/>
        <d v="2016-08-03T00:00:00"/>
        <d v="2016-08-10T00:00:00"/>
        <d v="2016-08-25T00:00:00"/>
        <d v="2016-09-12T00:00:00"/>
        <d v="2016-09-26T00:00:00"/>
        <d v="2016-10-13T00:00:00"/>
        <d v="2016-10-26T00:00:00"/>
        <d v="2016-11-11T00:00:00"/>
        <d v="2016-12-26T00:00:00"/>
        <d v="2017-01-20T00:00:00"/>
        <d v="2017-02-15T00:00:00"/>
        <d v="2017-02-28T00:00:00"/>
        <d v="2017-03-22T00:00:00"/>
        <d v="2017-04-10T00:00:00"/>
        <d v="2017-05-05T00:00:00"/>
        <d v="2017-05-18T00:00:00"/>
        <d v="2017-06-13T00:00:00"/>
        <d v="2017-06-23T00:00:00"/>
        <d v="2017-07-18T00:00:00"/>
        <d v="2017-08-03T00:00:00"/>
        <d v="2017-08-21T00:00:00"/>
        <d v="2017-08-29T00:00:00"/>
        <d v="2017-09-22T00:00:00"/>
        <d v="2017-11-07T00:00:00"/>
        <d v="2017-11-30T00:00:00"/>
        <d v="2017-12-13T00:00:00"/>
        <d v="2018-01-01T00:00:00"/>
        <d v="2018-01-31T00:00:00"/>
        <d v="2019-03-25T00:00:00"/>
        <d v="2019-04-10T00:00:00"/>
        <d v="2019-04-22T00:00:00"/>
        <d v="2019-05-06T00:00:00"/>
        <d v="2019-09-03T00:00:00"/>
        <d v="2019-09-17T00:00:00"/>
        <d v="2019-10-03T00:00:00"/>
        <d v="2019-11-13T00:00:00"/>
        <d v="2019-12-03T00:00:00"/>
        <d v="2019-12-26T00:00:00"/>
        <d v="2020-01-06T00:00:00"/>
        <d v="2020-01-20T00:00:00"/>
        <d v="2020-02-17T00:00:00"/>
        <d v="2020-02-24T00:00:00"/>
        <d v="2020-04-03T00:00:00"/>
        <d v="2020-04-21T00:00:00"/>
        <d v="2020-05-04T00:00:00"/>
        <d v="2020-05-14T00:00:00"/>
        <d v="2020-06-11T00:00:00"/>
        <d v="2020-07-14T00:00:00"/>
        <d v="2020-07-31T00:00:00"/>
        <d v="2020-08-14T00:00:00"/>
        <d v="2020-08-31T00:00:00"/>
        <d v="2020-09-21T00:00:00"/>
        <d v="2020-10-15T00:00:00"/>
        <d v="2020-10-26T00:00:00"/>
        <d v="2020-11-25T00:00:00"/>
        <d v="2020-12-21T00:00:00"/>
        <d v="2021-01-18T00:00:00"/>
        <d v="2021-01-22T00:00:00"/>
        <d v="2021-02-18T00:00:00"/>
        <d v="2021-02-26T00:00:00"/>
        <d v="2021-03-15T00:00:00"/>
        <d v="2021-04-12T00:00:00"/>
        <d v="2021-04-30T00:00:00"/>
        <d v="2021-05-12T00:00:00"/>
        <d v="2021-06-17T00:00:00"/>
        <d v="2021-07-01T00:00:00"/>
        <d v="2021-07-08T00:00:00"/>
        <d v="2021-07-19T00:00:00"/>
        <d v="2021-08-20T00:00:00"/>
        <d v="2021-09-20T00:00:00"/>
        <d v="2021-09-30T00:00:00"/>
        <d v="2021-10-20T00:00:00"/>
        <d v="2021-11-17T00:00:00"/>
        <d v="2022-07-13T00:00:00"/>
        <d v="2022-07-26T00:00:00"/>
        <d v="2022-08-19T00:00:00"/>
        <d v="2022-09-15T00:00:00"/>
        <d v="2022-09-23T00:00:00"/>
        <d v="2022-10-11T00:00:00"/>
        <d v="2022-11-10T00:00:00"/>
        <d v="2022-11-21T00:00:00"/>
        <d v="2022-12-06T00:00:00"/>
        <d v="2022-12-15T00:00:00"/>
        <d v="2023-02-24T00:00:00"/>
        <d v="2023-03-10T00:00:00"/>
        <d v="2023-04-18T00:00:00"/>
        <d v="2023-05-17T00:00:00"/>
        <d v="2023-06-09T00:00:00"/>
        <d v="2023-06-23T00:00:00"/>
        <d v="2023-07-24T00:00:00"/>
        <d v="2023-08-17T00:00:00"/>
        <d v="2023-09-20T00:00:00"/>
        <d v="2023-10-18T00:00:00"/>
        <d v="2023-12-20T00:00:00"/>
        <d v="2024-01-03T00:00:00"/>
        <d v="2024-01-17T00:00:00"/>
        <d v="2024-02-12T00:00:00"/>
        <d v="2024-02-28T00:00:00"/>
        <d v="2024-03-11T00:00:00"/>
        <d v="2024-04-12T00:00:00"/>
        <d v="2024-05-06T00:00:00"/>
        <d v="2024-05-29T00:00:00"/>
        <d v="2024-06-04T00:00:00"/>
        <d v="2024-07-24T00:00:00"/>
        <d v="2024-08-02T00:00:00"/>
        <d v="2024-09-05T00:00:00"/>
        <d v="2024-09-30T00:00:00"/>
        <d v="2025-02-24T00:00:00"/>
        <d v="2025-04-01T00:00:00"/>
        <d v="2025-05-09T00:00:00"/>
        <d v="2025-05-22T00:00:00"/>
        <d v="2025-06-03T00:00:00"/>
        <d v="2025-06-12T00:00:00"/>
        <d v="2025-07-10T00:00:00"/>
        <d v="2025-07-25T00:00:00"/>
        <d v="2025-08-22T00:00:00"/>
        <d v="2025-09-22T00:00:00"/>
        <d v="2025-10-31T00:00:00"/>
        <d v="2025-11-24T00:00:00"/>
        <d v="2025-12-03T00:00:00"/>
        <d v="2025-12-09T00:00:00"/>
        <d v="2025-12-29T00:00:00"/>
        <d v="2026-01-08T00:00:00"/>
        <m/>
      </sharedItems>
      <fieldGroup par="13" base="4">
        <rangePr groupBy="months" startDate="2008-12-24T00:00:00" endDate="2026-01-09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1-2026"/>
        </groupItems>
      </fieldGroup>
    </cacheField>
    <cacheField name="Ex. Price" numFmtId="0">
      <sharedItems containsString="0" containsBlank="1" containsNumber="1" minValue="2674.6" maxValue="25986"/>
    </cacheField>
    <cacheField name="% chg" numFmtId="0">
      <sharedItems containsString="0" containsBlank="1" containsNumber="1" minValue="-5.9299999999999999E-2" maxValue="0.21229999999999999"/>
    </cacheField>
    <cacheField name="Days" numFmtId="0">
      <sharedItems containsString="0" containsBlank="1" containsNumber="1" containsInteger="1" minValue="1" maxValue="57"/>
    </cacheField>
    <cacheField name="Impact cost" numFmtId="0">
      <sharedItems containsString="0" containsBlank="1" containsNumber="1" minValue="1.5E-3" maxValue="1.5E-3"/>
    </cacheField>
    <cacheField name="Rollover Cost" numFmtId="0">
      <sharedItems containsString="0" containsBlank="1" containsNumber="1" minValue="1.6666666666666666E-4" maxValue="9.4999999999999998E-3"/>
    </cacheField>
    <cacheField name="Net Profit" numFmtId="0">
      <sharedItems containsString="0" containsBlank="1" containsNumber="1" minValue="-6.0966666666666662E-2" maxValue="0.20496666666666666"/>
    </cacheField>
    <cacheField name="Years" numFmtId="0" databaseField="0">
      <fieldGroup base="2">
        <rangePr groupBy="years" startDate="2008-11-21T00:00:00" endDate="2026-01-01T00:00:00"/>
        <groupItems count="21">
          <s v="&lt;21-11-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-01-2026"/>
        </groupItems>
      </fieldGroup>
    </cacheField>
    <cacheField name="Quarters" numFmtId="0" databaseField="0">
      <fieldGroup base="4">
        <rangePr groupBy="quarters" startDate="2008-12-24T00:00:00" endDate="2026-01-09T00:00:00"/>
        <groupItems count="6">
          <s v="&lt;24-12-2008"/>
          <s v="Qtr1"/>
          <s v="Qtr2"/>
          <s v="Qtr3"/>
          <s v="Qtr4"/>
          <s v="&gt;09-01-2026"/>
        </groupItems>
      </fieldGroup>
    </cacheField>
    <cacheField name="Years2" numFmtId="0" databaseField="0">
      <fieldGroup base="4">
        <rangePr groupBy="years" startDate="2008-12-24T00:00:00" endDate="2026-01-09T00:00:00"/>
        <groupItems count="21">
          <s v="&lt;24-12-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9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FF47" refreshedDate="46049.633233912034" createdVersion="6" refreshedVersion="6" minRefreshableVersion="3" recordCount="180">
  <cacheSource type="worksheet">
    <worksheetSource ref="A20:K19998" sheet="5,2_5,4 "/>
  </cacheSource>
  <cacheFields count="12">
    <cacheField name="Symbol" numFmtId="0">
      <sharedItems containsBlank="1"/>
    </cacheField>
    <cacheField name="Trade" numFmtId="0">
      <sharedItems containsBlank="1"/>
    </cacheField>
    <cacheField name="Date" numFmtId="0">
      <sharedItems containsNonDate="0" containsDate="1" containsString="0" containsBlank="1" minDate="2008-11-21T00:00:00" maxDate="2025-10-07T00:00:00" count="66">
        <d v="2008-11-21T00:00:00"/>
        <d v="2009-01-05T00:00:00"/>
        <d v="2009-02-09T00:00:00"/>
        <d v="2009-03-16T00:00:00"/>
        <d v="2009-07-15T00:00:00"/>
        <d v="2009-11-11T00:00:00"/>
        <d v="2009-12-01T00:00:00"/>
        <d v="2010-03-02T00:00:00"/>
        <d v="2010-06-03T00:00:00"/>
        <d v="2010-12-29T00:00:00"/>
        <d v="2011-09-26T00:00:00"/>
        <d v="2012-05-24T00:00:00"/>
        <d v="2012-06-06T00:00:00"/>
        <d v="2012-07-31T00:00:00"/>
        <d v="2012-09-08T00:00:00"/>
        <d v="2013-08-23T00:00:00"/>
        <d v="2013-11-18T00:00:00"/>
        <d v="2013-12-02T00:00:00"/>
        <d v="2014-02-18T00:00:00"/>
        <d v="2014-07-22T00:00:00"/>
        <d v="2014-08-14T00:00:00"/>
        <d v="2014-10-22T00:00:00"/>
        <d v="2014-12-22T00:00:00"/>
        <d v="2015-01-15T00:00:00"/>
        <d v="2015-02-13T00:00:00"/>
        <d v="2015-04-01T00:00:00"/>
        <d v="2015-05-18T00:00:00"/>
        <d v="2015-06-19T00:00:00"/>
        <d v="2016-02-23T00:00:00"/>
        <d v="2016-12-23T00:00:00"/>
        <d v="2017-09-01T00:00:00"/>
        <d v="2017-10-12T00:00:00"/>
        <d v="2017-11-21T00:00:00"/>
        <d v="2017-12-11T00:00:00"/>
        <d v="2019-02-22T00:00:00"/>
        <d v="2019-08-23T00:00:00"/>
        <d v="2019-09-20T00:00:00"/>
        <d v="2020-02-05T00:00:00"/>
        <d v="2020-03-24T00:00:00"/>
        <d v="2020-05-28T00:00:00"/>
        <d v="2020-10-01T00:00:00"/>
        <d v="2021-02-02T00:00:00"/>
        <d v="2021-03-03T00:00:00"/>
        <d v="2021-04-28T00:00:00"/>
        <d v="2021-05-18T00:00:00"/>
        <d v="2022-06-24T00:00:00"/>
        <d v="2022-08-30T00:00:00"/>
        <d v="2022-10-18T00:00:00"/>
        <d v="2023-02-22T00:00:00"/>
        <d v="2023-03-31T00:00:00"/>
        <d v="2023-10-11T00:00:00"/>
        <d v="2023-11-06T00:00:00"/>
        <d v="2024-02-16T00:00:00"/>
        <d v="2024-03-28T00:00:00"/>
        <d v="2024-04-25T00:00:00"/>
        <d v="2024-05-21T00:00:00"/>
        <d v="2024-06-03T00:00:00"/>
        <d v="2024-06-25T00:00:00"/>
        <d v="2024-08-20T00:00:00"/>
        <d v="2025-02-21T00:00:00"/>
        <d v="2025-03-06T00:00:00"/>
        <d v="2025-04-15T00:00:00"/>
        <d v="2025-08-18T00:00:00"/>
        <d v="2025-09-10T00:00:00"/>
        <d v="2025-10-06T00:00:00"/>
        <m/>
      </sharedItems>
      <fieldGroup par="11" base="2">
        <rangePr groupBy="months" startDate="2008-11-21T00:00:00" endDate="2025-10-07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10-2025"/>
        </groupItems>
      </fieldGroup>
    </cacheField>
    <cacheField name="Price" numFmtId="0">
      <sharedItems containsString="0" containsBlank="1" containsNumber="1" minValue="2693.45" maxValue="25077.65"/>
    </cacheField>
    <cacheField name="Ex. date" numFmtId="0">
      <sharedItems containsNonDate="0" containsDate="1" containsString="0" containsBlank="1" minDate="2008-12-26T00:00:00" maxDate="2026-01-20T00:00:00"/>
    </cacheField>
    <cacheField name="Ex. Price" numFmtId="0">
      <sharedItems containsString="0" containsBlank="1" containsNumber="1" minValue="2770.5" maxValue="25585.5"/>
    </cacheField>
    <cacheField name="% chg" numFmtId="0">
      <sharedItems containsString="0" containsBlank="1" containsNumber="1" minValue="-0.1116" maxValue="0.49990000000000001"/>
    </cacheField>
    <cacheField name="Days" numFmtId="0">
      <sharedItems containsString="0" containsBlank="1" containsNumber="1" containsInteger="1" minValue="1" maxValue="231"/>
    </cacheField>
    <cacheField name="Impact cost" numFmtId="0">
      <sharedItems containsString="0" containsBlank="1" containsNumber="1" minValue="1.5E-3" maxValue="1.5E-3"/>
    </cacheField>
    <cacheField name="Rollover Cost" numFmtId="0">
      <sharedItems containsString="0" containsBlank="1" containsNumber="1" minValue="1.6666666666666666E-4" maxValue="3.85E-2"/>
    </cacheField>
    <cacheField name="Net Profit" numFmtId="0">
      <sharedItems containsString="0" containsBlank="1" containsNumber="1" minValue="-0.11426666666666667" maxValue="0.47973333333333334"/>
    </cacheField>
    <cacheField name="Years" numFmtId="0" databaseField="0">
      <fieldGroup base="2">
        <rangePr groupBy="years" startDate="2008-11-21T00:00:00" endDate="2025-10-07T00:00:00"/>
        <groupItems count="20">
          <s v="&lt;21-11-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7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FF47" refreshedDate="46049.633408912036" createdVersion="6" refreshedVersion="6" minRefreshableVersion="3" recordCount="180">
  <cacheSource type="worksheet">
    <worksheetSource ref="A20:K1998" sheet="5,1_5,4"/>
  </cacheSource>
  <cacheFields count="12">
    <cacheField name="Symbol" numFmtId="0">
      <sharedItems containsBlank="1"/>
    </cacheField>
    <cacheField name="Trade" numFmtId="0">
      <sharedItems containsBlank="1"/>
    </cacheField>
    <cacheField name="Date" numFmtId="0">
      <sharedItems containsNonDate="0" containsDate="1" containsString="0" containsBlank="1" minDate="2008-11-21T00:00:00" maxDate="2025-10-04T00:00:00" count="102">
        <d v="2008-11-21T00:00:00"/>
        <d v="2008-12-30T00:00:00"/>
        <d v="2009-01-28T00:00:00"/>
        <d v="2009-02-26T00:00:00"/>
        <d v="2009-03-13T00:00:00"/>
        <d v="2009-07-14T00:00:00"/>
        <d v="2009-11-06T00:00:00"/>
        <d v="2009-11-23T00:00:00"/>
        <d v="2009-11-30T00:00:00"/>
        <d v="2010-02-16T00:00:00"/>
        <d v="2010-05-10T00:00:00"/>
        <d v="2010-05-27T00:00:00"/>
        <d v="2010-06-11T00:00:00"/>
        <d v="2010-12-01T00:00:00"/>
        <d v="2010-12-14T00:00:00"/>
        <d v="2011-09-26T00:00:00"/>
        <d v="2011-10-10T00:00:00"/>
        <d v="2012-05-24T00:00:00"/>
        <d v="2012-06-06T00:00:00"/>
        <d v="2012-07-30T00:00:00"/>
        <d v="2012-09-07T00:00:00"/>
        <d v="2013-08-23T00:00:00"/>
        <d v="2013-08-29T00:00:00"/>
        <d v="2013-09-05T00:00:00"/>
        <d v="2013-11-18T00:00:00"/>
        <d v="2013-11-25T00:00:00"/>
        <d v="2014-02-07T00:00:00"/>
        <d v="2014-02-18T00:00:00"/>
        <d v="2014-07-16T00:00:00"/>
        <d v="2014-08-12T00:00:00"/>
        <d v="2014-10-09T00:00:00"/>
        <d v="2014-10-21T00:00:00"/>
        <d v="2014-12-18T00:00:00"/>
        <d v="2015-01-02T00:00:00"/>
        <d v="2015-01-08T00:00:00"/>
        <d v="2015-02-12T00:00:00"/>
        <d v="2015-02-27T00:00:00"/>
        <d v="2015-03-30T00:00:00"/>
        <d v="2015-05-04T00:00:00"/>
        <d v="2015-05-11T00:00:00"/>
        <d v="2015-05-18T00:00:00"/>
        <d v="2015-05-29T00:00:00"/>
        <d v="2015-06-17T00:00:00"/>
        <d v="2016-02-23T00:00:00"/>
        <d v="2016-03-01T00:00:00"/>
        <d v="2016-10-03T00:00:00"/>
        <d v="2016-10-18T00:00:00"/>
        <d v="2016-11-08T00:00:00"/>
        <d v="2016-12-23T00:00:00"/>
        <d v="2016-12-27T00:00:00"/>
        <d v="2017-08-16T00:00:00"/>
        <d v="2017-08-28T00:00:00"/>
        <d v="2017-08-31T00:00:00"/>
        <d v="2017-10-04T00:00:00"/>
        <d v="2017-11-17T00:00:00"/>
        <d v="2017-12-08T00:00:00"/>
        <d v="2017-12-15T00:00:00"/>
        <d v="2019-02-22T00:00:00"/>
        <d v="2019-08-23T00:00:00"/>
        <d v="2019-09-09T00:00:00"/>
        <d v="2019-09-20T00:00:00"/>
        <d v="2020-02-04T00:00:00"/>
        <d v="2020-02-19T00:00:00"/>
        <d v="2020-03-24T00:00:00"/>
        <d v="2020-04-07T00:00:00"/>
        <d v="2020-04-23T00:00:00"/>
        <d v="2020-05-27T00:00:00"/>
        <d v="2020-09-28T00:00:00"/>
        <d v="2021-02-01T00:00:00"/>
        <d v="2021-03-03T00:00:00"/>
        <d v="2021-03-30T00:00:00"/>
        <d v="2021-04-27T00:00:00"/>
        <d v="2021-05-07T00:00:00"/>
        <d v="2021-05-17T00:00:00"/>
        <d v="2021-11-08T00:00:00"/>
        <d v="2022-06-24T00:00:00"/>
        <d v="2022-07-18T00:00:00"/>
        <d v="2022-08-30T00:00:00"/>
        <d v="2022-09-20T00:00:00"/>
        <d v="2022-10-04T00:00:00"/>
        <d v="2022-10-17T00:00:00"/>
        <d v="2023-02-22T00:00:00"/>
        <d v="2023-03-03T00:00:00"/>
        <d v="2023-03-31T00:00:00"/>
        <d v="2023-10-06T00:00:00"/>
        <d v="2023-11-03T00:00:00"/>
        <d v="2024-01-29T00:00:00"/>
        <d v="2024-02-15T00:00:00"/>
        <d v="2024-03-01T00:00:00"/>
        <d v="2024-03-22T00:00:00"/>
        <d v="2024-04-22T00:00:00"/>
        <d v="2024-05-16T00:00:00"/>
        <d v="2024-06-03T00:00:00"/>
        <d v="2024-06-07T00:00:00"/>
        <d v="2024-08-16T00:00:00"/>
        <d v="2025-02-21T00:00:00"/>
        <d v="2025-03-05T00:00:00"/>
        <d v="2025-04-08T00:00:00"/>
        <d v="2025-08-18T00:00:00"/>
        <d v="2025-09-03T00:00:00"/>
        <d v="2025-10-03T00:00:00"/>
        <m/>
      </sharedItems>
      <fieldGroup par="11" base="2">
        <rangePr groupBy="months" startDate="2008-11-21T00:00:00" endDate="2025-10-04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0-2025"/>
        </groupItems>
      </fieldGroup>
    </cacheField>
    <cacheField name="Price" numFmtId="0">
      <sharedItems containsString="0" containsBlank="1" containsNumber="1" minValue="2693.45" maxValue="24894.25"/>
    </cacheField>
    <cacheField name="Ex. date" numFmtId="0">
      <sharedItems containsNonDate="0" containsDate="1" containsString="0" containsBlank="1" minDate="2008-12-24T00:00:00" maxDate="2026-01-20T00:00:00"/>
    </cacheField>
    <cacheField name="Ex. Price" numFmtId="0">
      <sharedItems containsString="0" containsBlank="1" containsNumber="1" minValue="2674.6" maxValue="25585.5"/>
    </cacheField>
    <cacheField name="% chg" numFmtId="0">
      <sharedItems containsString="0" containsBlank="1" containsNumber="1" minValue="-6.93E-2" maxValue="0.53190000000000004"/>
    </cacheField>
    <cacheField name="Days" numFmtId="0">
      <sharedItems containsString="0" containsBlank="1" containsNumber="1" containsInteger="1" minValue="1" maxValue="227"/>
    </cacheField>
    <cacheField name="Impact cost" numFmtId="0">
      <sharedItems containsString="0" containsBlank="1" containsNumber="1" minValue="1.5E-3" maxValue="1.5E-3"/>
    </cacheField>
    <cacheField name="Rollover Cost" numFmtId="0">
      <sharedItems containsString="0" containsBlank="1" containsNumber="1" minValue="1.6666666666666666E-4" maxValue="3.783333333333333E-2"/>
    </cacheField>
    <cacheField name="Net Profit" numFmtId="0">
      <sharedItems containsString="0" containsBlank="1" containsNumber="1" minValue="-7.2966666666666666E-2" maxValue="0.51123333333333332"/>
    </cacheField>
    <cacheField name="Years" numFmtId="0" databaseField="0">
      <fieldGroup base="2">
        <rangePr groupBy="years" startDate="2008-11-21T00:00:00" endDate="2025-10-04T00:00:00"/>
        <groupItems count="20">
          <s v="&lt;21-11-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FF47" refreshedDate="46049.641233796297" createdVersion="6" refreshedVersion="6" minRefreshableVersion="3" recordCount="181">
  <cacheSource type="worksheet">
    <worksheetSource ref="A20:K1999" sheet="5,2_5,2"/>
  </cacheSource>
  <cacheFields count="12">
    <cacheField name="Symbol" numFmtId="0">
      <sharedItems containsBlank="1"/>
    </cacheField>
    <cacheField name="Trade" numFmtId="0">
      <sharedItems containsBlank="1"/>
    </cacheField>
    <cacheField name="Date" numFmtId="0">
      <sharedItems containsNonDate="0" containsDate="1" containsString="0" containsBlank="1" minDate="2008-11-21T00:00:00" maxDate="2025-12-23T00:00:00" count="98">
        <d v="2008-11-21T00:00:00"/>
        <d v="2009-01-05T00:00:00"/>
        <d v="2009-02-09T00:00:00"/>
        <d v="2009-03-16T00:00:00"/>
        <d v="2009-07-15T00:00:00"/>
        <d v="2009-08-27T00:00:00"/>
        <d v="2009-11-11T00:00:00"/>
        <d v="2009-12-01T00:00:00"/>
        <d v="2009-12-23T00:00:00"/>
        <d v="2010-03-02T00:00:00"/>
        <d v="2010-06-03T00:00:00"/>
        <d v="2010-09-06T00:00:00"/>
        <d v="2010-11-03T00:00:00"/>
        <d v="2010-12-29T00:00:00"/>
        <d v="2011-09-26T00:00:00"/>
        <d v="2012-05-24T00:00:00"/>
        <d v="2012-06-06T00:00:00"/>
        <d v="2012-07-31T00:00:00"/>
        <d v="2012-09-08T00:00:00"/>
        <d v="2012-11-06T00:00:00"/>
        <d v="2012-11-27T00:00:00"/>
        <d v="2013-08-23T00:00:00"/>
        <d v="2013-10-08T00:00:00"/>
        <d v="2013-11-18T00:00:00"/>
        <d v="2013-12-02T00:00:00"/>
        <d v="2013-12-23T00:00:00"/>
        <d v="2014-01-13T00:00:00"/>
        <d v="2014-02-18T00:00:00"/>
        <d v="2014-05-09T00:00:00"/>
        <d v="2014-07-22T00:00:00"/>
        <d v="2014-08-14T00:00:00"/>
        <d v="2014-09-18T00:00:00"/>
        <d v="2014-10-22T00:00:00"/>
        <d v="2014-12-22T00:00:00"/>
        <d v="2015-01-15T00:00:00"/>
        <d v="2015-02-13T00:00:00"/>
        <d v="2015-04-01T00:00:00"/>
        <d v="2015-05-18T00:00:00"/>
        <d v="2015-06-19T00:00:00"/>
        <d v="2015-07-16T00:00:00"/>
        <d v="2015-08-03T00:00:00"/>
        <d v="2016-02-23T00:00:00"/>
        <d v="2016-04-13T00:00:00"/>
        <d v="2016-05-10T00:00:00"/>
        <d v="2016-06-23T00:00:00"/>
        <d v="2016-12-23T00:00:00"/>
        <d v="2017-04-25T00:00:00"/>
        <d v="2017-05-26T00:00:00"/>
        <d v="2017-07-06T00:00:00"/>
        <d v="2017-09-01T00:00:00"/>
        <d v="2017-10-12T00:00:00"/>
        <d v="2017-11-21T00:00:00"/>
        <d v="2017-12-11T00:00:00"/>
        <d v="2019-02-22T00:00:00"/>
        <d v="2019-08-23T00:00:00"/>
        <d v="2019-09-20T00:00:00"/>
        <d v="2019-10-17T00:00:00"/>
        <d v="2019-12-17T00:00:00"/>
        <d v="2020-01-13T00:00:00"/>
        <d v="2020-02-05T00:00:00"/>
        <d v="2020-03-24T00:00:00"/>
        <d v="2020-05-28T00:00:00"/>
        <d v="2020-06-23T00:00:00"/>
        <d v="2020-08-18T00:00:00"/>
        <d v="2020-09-16T00:00:00"/>
        <d v="2020-10-01T00:00:00"/>
        <d v="2020-11-05T00:00:00"/>
        <d v="2020-12-28T00:00:00"/>
        <d v="2021-02-02T00:00:00"/>
        <d v="2021-03-03T00:00:00"/>
        <d v="2021-04-28T00:00:00"/>
        <d v="2021-05-18T00:00:00"/>
        <d v="2021-08-03T00:00:00"/>
        <d v="2022-06-24T00:00:00"/>
        <d v="2022-08-30T00:00:00"/>
        <d v="2022-10-18T00:00:00"/>
        <d v="2023-02-22T00:00:00"/>
        <d v="2023-03-31T00:00:00"/>
        <d v="2023-09-05T00:00:00"/>
        <d v="2023-10-11T00:00:00"/>
        <d v="2023-11-06T00:00:00"/>
        <d v="2024-02-16T00:00:00"/>
        <d v="2024-03-28T00:00:00"/>
        <d v="2024-04-25T00:00:00"/>
        <d v="2024-05-21T00:00:00"/>
        <d v="2024-06-03T00:00:00"/>
        <d v="2024-06-25T00:00:00"/>
        <d v="2024-08-20T00:00:00"/>
        <d v="2024-09-12T00:00:00"/>
        <d v="2025-02-21T00:00:00"/>
        <d v="2025-03-06T00:00:00"/>
        <d v="2025-04-15T00:00:00"/>
        <d v="2025-08-18T00:00:00"/>
        <d v="2025-09-10T00:00:00"/>
        <d v="2025-10-06T00:00:00"/>
        <d v="2025-11-12T00:00:00"/>
        <d v="2025-12-22T00:00:00"/>
        <m/>
      </sharedItems>
      <fieldGroup par="11" base="2">
        <rangePr groupBy="months" startDate="2008-11-21T00:00:00" endDate="2025-12-23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12-2025"/>
        </groupItems>
      </fieldGroup>
    </cacheField>
    <cacheField name="Price" numFmtId="0">
      <sharedItems containsString="0" containsBlank="1" containsNumber="1" minValue="2693.45" maxValue="26172.400000000001"/>
    </cacheField>
    <cacheField name="Ex. date" numFmtId="0">
      <sharedItems containsNonDate="0" containsDate="1" containsString="0" containsBlank="1" minDate="2008-12-26T00:00:00" maxDate="2026-01-09T00:00:00"/>
    </cacheField>
    <cacheField name="Ex. Price" numFmtId="0">
      <sharedItems containsString="0" containsBlank="1" containsNumber="1" minValue="2770.5" maxValue="25876.85"/>
    </cacheField>
    <cacheField name="% chg" numFmtId="0">
      <sharedItems containsString="0" containsBlank="1" containsNumber="1" minValue="-6.4399999999999999E-2" maxValue="0.56850000000000001"/>
    </cacheField>
    <cacheField name="Days" numFmtId="0">
      <sharedItems containsString="0" containsBlank="1" containsNumber="1" containsInteger="1" minValue="1" maxValue="124"/>
    </cacheField>
    <cacheField name="Impact cost" numFmtId="0">
      <sharedItems containsString="0" containsBlank="1" containsNumber="1" minValue="1.5E-3" maxValue="1.5E-3"/>
    </cacheField>
    <cacheField name="Rollover Cost" numFmtId="0">
      <sharedItems containsString="0" containsBlank="1" containsNumber="1" minValue="1.6666666666666666E-4" maxValue="2.066666666666667E-2"/>
    </cacheField>
    <cacheField name="Net Profit" numFmtId="0">
      <sharedItems containsString="0" containsBlank="1" containsNumber="1" minValue="-6.6233333333333338E-2" maxValue="0.55149999999999999"/>
    </cacheField>
    <cacheField name="Years" numFmtId="0" databaseField="0">
      <fieldGroup base="2">
        <rangePr groupBy="years" startDate="2008-11-21T00:00:00" endDate="2025-12-23T00:00:00"/>
        <groupItems count="20">
          <s v="&lt;21-11-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3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FF47" refreshedDate="46049.642061921295" createdVersion="6" refreshedVersion="6" minRefreshableVersion="3" recordCount="182">
  <cacheSource type="worksheet">
    <worksheetSource ref="A20:K2000" sheet="5,1_5,2"/>
  </cacheSource>
  <cacheFields count="12">
    <cacheField name="Symbol" numFmtId="0">
      <sharedItems containsBlank="1"/>
    </cacheField>
    <cacheField name="Trade" numFmtId="0">
      <sharedItems containsBlank="1"/>
    </cacheField>
    <cacheField name="Date" numFmtId="0">
      <sharedItems containsNonDate="0" containsDate="1" containsString="0" containsBlank="1" minDate="2008-11-21T00:00:00" maxDate="2025-12-13T00:00:00" count="135">
        <d v="2008-11-21T00:00:00"/>
        <d v="2008-12-30T00:00:00"/>
        <d v="2009-01-28T00:00:00"/>
        <d v="2009-02-26T00:00:00"/>
        <d v="2009-03-13T00:00:00"/>
        <d v="2009-06-26T00:00:00"/>
        <d v="2009-07-14T00:00:00"/>
        <d v="2009-08-13T00:00:00"/>
        <d v="2009-08-24T00:00:00"/>
        <d v="2009-11-06T00:00:00"/>
        <d v="2009-11-30T00:00:00"/>
        <d v="2009-12-23T00:00:00"/>
        <d v="2010-02-16T00:00:00"/>
        <d v="2010-04-23T00:00:00"/>
        <d v="2010-05-10T00:00:00"/>
        <d v="2010-05-27T00:00:00"/>
        <d v="2010-09-01T00:00:00"/>
        <d v="2010-11-01T00:00:00"/>
        <d v="2010-12-01T00:00:00"/>
        <d v="2010-12-14T00:00:00"/>
        <d v="2011-09-26T00:00:00"/>
        <d v="2011-10-10T00:00:00"/>
        <d v="2012-05-24T00:00:00"/>
        <d v="2012-06-06T00:00:00"/>
        <d v="2012-07-30T00:00:00"/>
        <d v="2012-09-07T00:00:00"/>
        <d v="2012-11-02T00:00:00"/>
        <d v="2012-11-26T00:00:00"/>
        <d v="2013-02-19T00:00:00"/>
        <d v="2013-08-23T00:00:00"/>
        <d v="2013-08-29T00:00:00"/>
        <d v="2013-10-03T00:00:00"/>
        <d v="2013-11-18T00:00:00"/>
        <d v="2013-11-25T00:00:00"/>
        <d v="2013-12-20T00:00:00"/>
        <d v="2014-01-13T00:00:00"/>
        <d v="2014-02-07T00:00:00"/>
        <d v="2014-02-18T00:00:00"/>
        <d v="2014-05-09T00:00:00"/>
        <d v="2014-07-16T00:00:00"/>
        <d v="2014-08-12T00:00:00"/>
        <d v="2014-09-18T00:00:00"/>
        <d v="2014-10-09T00:00:00"/>
        <d v="2014-10-21T00:00:00"/>
        <d v="2014-12-18T00:00:00"/>
        <d v="2015-01-08T00:00:00"/>
        <d v="2015-02-12T00:00:00"/>
        <d v="2015-03-30T00:00:00"/>
        <d v="2015-05-04T00:00:00"/>
        <d v="2015-05-11T00:00:00"/>
        <d v="2015-05-18T00:00:00"/>
        <d v="2015-06-17T00:00:00"/>
        <d v="2015-07-13T00:00:00"/>
        <d v="2015-07-31T00:00:00"/>
        <d v="2015-08-14T00:00:00"/>
        <d v="2016-02-23T00:00:00"/>
        <d v="2016-03-01T00:00:00"/>
        <d v="2016-04-11T00:00:00"/>
        <d v="2016-05-09T00:00:00"/>
        <d v="2016-06-15T00:00:00"/>
        <d v="2016-09-19T00:00:00"/>
        <d v="2016-10-03T00:00:00"/>
        <d v="2016-10-18T00:00:00"/>
        <d v="2016-11-08T00:00:00"/>
        <d v="2016-12-23T00:00:00"/>
        <d v="2016-12-27T00:00:00"/>
        <d v="2017-04-24T00:00:00"/>
        <d v="2017-05-25T00:00:00"/>
        <d v="2017-07-03T00:00:00"/>
        <d v="2017-08-16T00:00:00"/>
        <d v="2017-08-28T00:00:00"/>
        <d v="2017-08-31T00:00:00"/>
        <d v="2017-10-04T00:00:00"/>
        <d v="2017-11-17T00:00:00"/>
        <d v="2017-12-08T00:00:00"/>
        <d v="2019-02-22T00:00:00"/>
        <d v="2019-04-24T00:00:00"/>
        <d v="2019-08-23T00:00:00"/>
        <d v="2019-09-20T00:00:00"/>
        <d v="2019-10-15T00:00:00"/>
        <d v="2019-12-13T00:00:00"/>
        <d v="2020-01-09T00:00:00"/>
        <d v="2020-02-04T00:00:00"/>
        <d v="2020-03-24T00:00:00"/>
        <d v="2020-04-07T00:00:00"/>
        <d v="2020-05-13T00:00:00"/>
        <d v="2020-05-27T00:00:00"/>
        <d v="2020-06-18T00:00:00"/>
        <d v="2020-08-06T00:00:00"/>
        <d v="2020-08-18T00:00:00"/>
        <d v="2020-09-10T00:00:00"/>
        <d v="2020-09-28T00:00:00"/>
        <d v="2020-11-04T00:00:00"/>
        <d v="2020-12-23T00:00:00"/>
        <d v="2021-02-01T00:00:00"/>
        <d v="2021-02-24T00:00:00"/>
        <d v="2021-03-03T00:00:00"/>
        <d v="2021-03-30T00:00:00"/>
        <d v="2021-04-27T00:00:00"/>
        <d v="2021-05-07T00:00:00"/>
        <d v="2021-05-17T00:00:00"/>
        <d v="2021-07-22T00:00:00"/>
        <d v="2021-11-08T00:00:00"/>
        <d v="2022-06-24T00:00:00"/>
        <d v="2022-08-30T00:00:00"/>
        <d v="2022-09-20T00:00:00"/>
        <d v="2022-10-04T00:00:00"/>
        <d v="2022-10-17T00:00:00"/>
        <d v="2022-12-13T00:00:00"/>
        <d v="2023-02-22T00:00:00"/>
        <d v="2023-03-03T00:00:00"/>
        <d v="2023-03-31T00:00:00"/>
        <d v="2023-08-09T00:00:00"/>
        <d v="2023-09-01T00:00:00"/>
        <d v="2023-10-06T00:00:00"/>
        <d v="2023-11-03T00:00:00"/>
        <d v="2024-01-29T00:00:00"/>
        <d v="2024-02-15T00:00:00"/>
        <d v="2024-03-22T00:00:00"/>
        <d v="2024-04-22T00:00:00"/>
        <d v="2024-05-16T00:00:00"/>
        <d v="2024-06-03T00:00:00"/>
        <d v="2024-06-07T00:00:00"/>
        <d v="2024-08-16T00:00:00"/>
        <d v="2024-09-12T00:00:00"/>
        <d v="2025-02-21T00:00:00"/>
        <d v="2025-03-05T00:00:00"/>
        <d v="2025-04-08T00:00:00"/>
        <d v="2025-07-23T00:00:00"/>
        <d v="2025-08-18T00:00:00"/>
        <d v="2025-09-03T00:00:00"/>
        <d v="2025-10-03T00:00:00"/>
        <d v="2025-11-11T00:00:00"/>
        <d v="2025-12-12T00:00:00"/>
        <m/>
      </sharedItems>
      <fieldGroup par="11" base="2">
        <rangePr groupBy="months" startDate="2008-11-21T00:00:00" endDate="2025-12-13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2-2025"/>
        </groupItems>
      </fieldGroup>
    </cacheField>
    <cacheField name="Price" numFmtId="0">
      <sharedItems containsString="0" containsBlank="1" containsNumber="1" minValue="2693.45" maxValue="26046.95"/>
    </cacheField>
    <cacheField name="Ex. date" numFmtId="0">
      <sharedItems containsNonDate="0" containsDate="1" containsString="0" containsBlank="1" minDate="2008-12-26T00:00:00" maxDate="2026-01-09T00:00:00"/>
    </cacheField>
    <cacheField name="Ex. Price" numFmtId="0">
      <sharedItems containsString="0" containsBlank="1" containsNumber="1" minValue="2674.6" maxValue="25876.85"/>
    </cacheField>
    <cacheField name="% chg" numFmtId="0">
      <sharedItems containsString="0" containsBlank="1" containsNumber="1" minValue="-5.9299999999999999E-2" maxValue="0.60199999999999998"/>
    </cacheField>
    <cacheField name="Days" numFmtId="0">
      <sharedItems containsString="0" containsBlank="1" containsNumber="1" containsInteger="1" minValue="1" maxValue="124"/>
    </cacheField>
    <cacheField name="Impact cost" numFmtId="0">
      <sharedItems containsString="0" containsBlank="1" containsNumber="1" minValue="1.5E-3" maxValue="1.5E-3"/>
    </cacheField>
    <cacheField name="Rollover Cost" numFmtId="0">
      <sharedItems containsString="0" containsBlank="1" containsNumber="1" minValue="1.6666666666666666E-4" maxValue="2.066666666666667E-2"/>
    </cacheField>
    <cacheField name="Net Profit" numFmtId="0">
      <sharedItems containsString="0" containsBlank="1" containsNumber="1" minValue="-6.0966666666666662E-2" maxValue="0.58450000000000002"/>
    </cacheField>
    <cacheField name="Years" numFmtId="0" databaseField="0">
      <fieldGroup base="2">
        <rangePr groupBy="years" startDate="2008-11-21T00:00:00" endDate="2025-12-13T00:00:00"/>
        <groupItems count="20">
          <s v="&lt;21-11-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3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0">
  <r>
    <s v="NIFTY 50"/>
    <s v="Long"/>
    <x v="0"/>
    <n v="2693.45"/>
    <x v="0"/>
    <n v="2916.85"/>
    <n v="8.2900000000000001E-2"/>
    <n v="33"/>
    <n v="1.5E-3"/>
    <n v="5.5000000000000005E-3"/>
    <n v="7.5899999999999995E-2"/>
  </r>
  <r>
    <s v="NIFTY 50"/>
    <s v="Long"/>
    <x v="1"/>
    <n v="2979.5"/>
    <x v="1"/>
    <n v="2920.4"/>
    <n v="-1.9800000000000002E-2"/>
    <n v="8"/>
    <n v="1.5E-3"/>
    <n v="1.3333333333333333E-3"/>
    <n v="-2.2633333333333335E-2"/>
  </r>
  <r>
    <s v="NIFTY 50"/>
    <s v="Long"/>
    <x v="2"/>
    <n v="2849.5"/>
    <x v="2"/>
    <n v="2848.5"/>
    <n v="-4.0000000000000002E-4"/>
    <n v="19"/>
    <n v="1.5E-3"/>
    <n v="3.1666666666666666E-3"/>
    <n v="-5.0666666666666664E-3"/>
  </r>
  <r>
    <s v="NIFTY 50"/>
    <s v="Long"/>
    <x v="3"/>
    <n v="2785.65"/>
    <x v="3"/>
    <n v="2674.6"/>
    <n v="-3.9899999999999998E-2"/>
    <n v="4"/>
    <n v="1.5E-3"/>
    <n v="6.6666666666666664E-4"/>
    <n v="-4.2066666666666662E-2"/>
  </r>
  <r>
    <s v="NIFTY 50"/>
    <s v="Long"/>
    <x v="4"/>
    <n v="2719.25"/>
    <x v="4"/>
    <n v="2978.15"/>
    <n v="9.5200000000000007E-2"/>
    <n v="17"/>
    <n v="1.5E-3"/>
    <n v="2.8333333333333331E-3"/>
    <n v="9.0866666666666679E-2"/>
  </r>
  <r>
    <s v="NIFTY 50"/>
    <s v="Long"/>
    <x v="5"/>
    <n v="3211.05"/>
    <x v="5"/>
    <n v="3362.35"/>
    <n v="4.7100000000000003E-2"/>
    <n v="26"/>
    <n v="1.5E-3"/>
    <n v="4.333333333333334E-3"/>
    <n v="4.1266666666666667E-2"/>
  </r>
  <r>
    <s v="NIFTY 50"/>
    <s v="Long"/>
    <x v="6"/>
    <n v="3654"/>
    <x v="6"/>
    <n v="4429.8999999999996"/>
    <n v="0.21229999999999999"/>
    <n v="35"/>
    <n v="1.5E-3"/>
    <n v="5.8333333333333336E-3"/>
    <n v="0.20496666666666666"/>
  </r>
  <r>
    <s v="NIFTY 50"/>
    <s v="Long"/>
    <x v="7"/>
    <n v="4655.25"/>
    <x v="7"/>
    <n v="4484"/>
    <n v="-3.6799999999999999E-2"/>
    <n v="5"/>
    <n v="1.5E-3"/>
    <n v="8.3333333333333328E-4"/>
    <n v="-3.9133333333333332E-2"/>
  </r>
  <r>
    <s v="NIFTY 50"/>
    <s v="Long"/>
    <x v="8"/>
    <n v="4375.5"/>
    <x v="8"/>
    <n v="4165.7"/>
    <n v="-4.7899999999999998E-2"/>
    <n v="10"/>
    <n v="1.5E-3"/>
    <n v="1.6666666666666666E-3"/>
    <n v="-5.1066666666666663E-2"/>
  </r>
  <r>
    <s v="NIFTY 50"/>
    <s v="Long"/>
    <x v="9"/>
    <n v="4111.3999999999996"/>
    <x v="9"/>
    <n v="4481.3999999999996"/>
    <n v="0.09"/>
    <n v="24"/>
    <n v="1.5E-3"/>
    <n v="4.0000000000000001E-3"/>
    <n v="8.4499999999999992E-2"/>
  </r>
  <r>
    <s v="NIFTY 50"/>
    <s v="Long"/>
    <x v="10"/>
    <n v="4605"/>
    <x v="10"/>
    <n v="4387.8999999999996"/>
    <n v="-4.7100000000000003E-2"/>
    <n v="4"/>
    <n v="1.5E-3"/>
    <n v="6.6666666666666664E-4"/>
    <n v="-4.9266666666666667E-2"/>
  </r>
  <r>
    <s v="NIFTY 50"/>
    <s v="Long"/>
    <x v="11"/>
    <n v="4642.8"/>
    <x v="11"/>
    <n v="4608.3500000000004"/>
    <n v="-7.4000000000000003E-3"/>
    <n v="9"/>
    <n v="1.5E-3"/>
    <n v="1.5E-3"/>
    <n v="-1.04E-2"/>
  </r>
  <r>
    <s v="NIFTY 50"/>
    <s v="Long"/>
    <x v="12"/>
    <n v="4782.8999999999996"/>
    <x v="12"/>
    <n v="5003.2"/>
    <n v="4.6100000000000002E-2"/>
    <n v="28"/>
    <n v="1.5E-3"/>
    <n v="4.6666666666666671E-3"/>
    <n v="3.9933333333333335E-2"/>
  </r>
  <r>
    <s v="NIFTY 50"/>
    <s v="Long"/>
    <x v="13"/>
    <n v="5118.2"/>
    <x v="13"/>
    <n v="5063.6000000000004"/>
    <n v="-1.0699999999999999E-2"/>
    <n v="7"/>
    <n v="1.5E-3"/>
    <n v="1.1666666666666668E-3"/>
    <n v="-1.3366666666666666E-2"/>
  </r>
  <r>
    <s v="NIFTY 50"/>
    <s v="Long"/>
    <x v="14"/>
    <n v="4796.1499999999996"/>
    <x v="14"/>
    <n v="4989"/>
    <n v="4.02E-2"/>
    <n v="13"/>
    <n v="1.5E-3"/>
    <n v="2.166666666666667E-3"/>
    <n v="3.6533333333333334E-2"/>
  </r>
  <r>
    <s v="NIFTY 50"/>
    <s v="Long"/>
    <x v="15"/>
    <n v="5103.55"/>
    <x v="15"/>
    <n v="5005.55"/>
    <n v="-1.9199999999999998E-2"/>
    <n v="3"/>
    <n v="1.5E-3"/>
    <n v="5.0000000000000001E-4"/>
    <n v="-2.1199999999999997E-2"/>
  </r>
  <r>
    <s v="NIFTY 50"/>
    <s v="Long"/>
    <x v="16"/>
    <n v="5032.7"/>
    <x v="16"/>
    <n v="5033.05"/>
    <n v="1E-4"/>
    <n v="15"/>
    <n v="1.5E-3"/>
    <n v="2.5000000000000001E-3"/>
    <n v="-3.9000000000000003E-3"/>
  </r>
  <r>
    <s v="NIFTY 50"/>
    <s v="Long"/>
    <x v="17"/>
    <n v="5144.6000000000004"/>
    <x v="17"/>
    <n v="5210.3999999999996"/>
    <n v="1.2800000000000001E-2"/>
    <n v="20"/>
    <n v="1.5E-3"/>
    <n v="3.3333333333333331E-3"/>
    <n v="7.966666666666667E-3"/>
  </r>
  <r>
    <s v="NIFTY 50"/>
    <s v="Long"/>
    <x v="18"/>
    <n v="5274.85"/>
    <x v="18"/>
    <n v="5094.1499999999996"/>
    <n v="-3.4299999999999997E-2"/>
    <n v="3"/>
    <n v="1.5E-3"/>
    <n v="5.0000000000000001E-4"/>
    <n v="-3.6299999999999999E-2"/>
  </r>
  <r>
    <s v="NIFTY 50"/>
    <s v="Long"/>
    <x v="19"/>
    <n v="4855.75"/>
    <x v="19"/>
    <n v="5304.45"/>
    <n v="9.2399999999999996E-2"/>
    <n v="51"/>
    <n v="1.5E-3"/>
    <n v="8.5000000000000006E-3"/>
    <n v="8.2400000000000001E-2"/>
  </r>
  <r>
    <s v="NIFTY 50"/>
    <s v="Long"/>
    <x v="20"/>
    <n v="5304.1"/>
    <x v="20"/>
    <n v="5215.45"/>
    <n v="-1.67E-2"/>
    <n v="5"/>
    <n v="1.5E-3"/>
    <n v="8.3333333333333328E-4"/>
    <n v="-1.9033333333333333E-2"/>
  </r>
  <r>
    <s v="NIFTY 50"/>
    <s v="Long"/>
    <x v="21"/>
    <n v="5193.6000000000004"/>
    <x v="21"/>
    <n v="5059.8999999999996"/>
    <n v="-2.5700000000000001E-2"/>
    <n v="7"/>
    <n v="1.5E-3"/>
    <n v="1.1666666666666668E-3"/>
    <n v="-2.8366666666666669E-2"/>
  </r>
  <r>
    <s v="NIFTY 50"/>
    <s v="Long"/>
    <x v="22"/>
    <n v="5003.1000000000004"/>
    <x v="22"/>
    <n v="5034"/>
    <n v="6.1999999999999998E-3"/>
    <n v="11"/>
    <n v="1.5E-3"/>
    <n v="1.8333333333333333E-3"/>
    <n v="2.8666666666666667E-3"/>
  </r>
  <r>
    <s v="NIFTY 50"/>
    <s v="Long"/>
    <x v="23"/>
    <n v="5119.3500000000004"/>
    <x v="23"/>
    <n v="5256.15"/>
    <n v="2.6700000000000002E-2"/>
    <n v="18"/>
    <n v="1.5E-3"/>
    <n v="3.0000000000000001E-3"/>
    <n v="2.2200000000000001E-2"/>
  </r>
  <r>
    <s v="NIFTY 50"/>
    <s v="Long"/>
    <x v="24"/>
    <n v="5352.45"/>
    <x v="24"/>
    <n v="5397.55"/>
    <n v="8.3999999999999995E-3"/>
    <n v="19"/>
    <n v="1.5E-3"/>
    <n v="3.1666666666666666E-3"/>
    <n v="3.7333333333333333E-3"/>
  </r>
  <r>
    <s v="NIFTY 50"/>
    <s v="Long"/>
    <x v="25"/>
    <n v="5439.55"/>
    <x v="25"/>
    <n v="5416.45"/>
    <n v="-4.1999999999999997E-3"/>
    <n v="9"/>
    <n v="1.5E-3"/>
    <n v="1.5E-3"/>
    <n v="-7.1999999999999998E-3"/>
  </r>
  <r>
    <s v="NIFTY 50"/>
    <s v="Long"/>
    <x v="26"/>
    <n v="5479.15"/>
    <x v="26"/>
    <n v="5462.35"/>
    <n v="-3.0999999999999999E-3"/>
    <n v="7"/>
    <n v="1.5E-3"/>
    <n v="1.1666666666666668E-3"/>
    <n v="-5.7666666666666665E-3"/>
  </r>
  <r>
    <s v="NIFTY 50"/>
    <s v="Long"/>
    <x v="27"/>
    <n v="5471.85"/>
    <x v="27"/>
    <n v="6090.9"/>
    <n v="0.11310000000000001"/>
    <n v="41"/>
    <n v="1.5E-3"/>
    <n v="6.8333333333333336E-3"/>
    <n v="0.10476666666666667"/>
  </r>
  <r>
    <s v="NIFTY 50"/>
    <s v="Long"/>
    <x v="28"/>
    <n v="6233.9"/>
    <x v="28"/>
    <n v="6062.65"/>
    <n v="-2.75E-2"/>
    <n v="2"/>
    <n v="1.5E-3"/>
    <n v="3.3333333333333332E-4"/>
    <n v="-2.9333333333333333E-2"/>
  </r>
  <r>
    <s v="NIFTY 50"/>
    <s v="Long"/>
    <x v="29"/>
    <n v="6117.55"/>
    <x v="29"/>
    <n v="6194.25"/>
    <n v="1.2500000000000001E-2"/>
    <n v="10"/>
    <n v="1.5E-3"/>
    <n v="1.6666666666666666E-3"/>
    <n v="9.3333333333333341E-3"/>
  </r>
  <r>
    <s v="NIFTY 50"/>
    <s v="Long"/>
    <x v="30"/>
    <n v="5960.9"/>
    <x v="30"/>
    <n v="5903.7"/>
    <n v="-9.5999999999999992E-3"/>
    <n v="7"/>
    <n v="1.5E-3"/>
    <n v="1.1666666666666668E-3"/>
    <n v="-1.2266666666666665E-2"/>
  </r>
  <r>
    <s v="NIFTY 50"/>
    <s v="Long"/>
    <x v="31"/>
    <n v="5944.1"/>
    <x v="31"/>
    <n v="6134.5"/>
    <n v="3.2000000000000001E-2"/>
    <n v="17"/>
    <n v="1.5E-3"/>
    <n v="2.8333333333333331E-3"/>
    <n v="2.7666666666666666E-2"/>
  </r>
  <r>
    <s v="NIFTY 50"/>
    <s v="Long"/>
    <x v="32"/>
    <n v="4835.3999999999996"/>
    <x v="32"/>
    <n v="4849.5"/>
    <n v="2.8999999999999998E-3"/>
    <n v="7"/>
    <n v="1.5E-3"/>
    <n v="1.1666666666666668E-3"/>
    <n v="2.3333333333333279E-4"/>
  </r>
  <r>
    <s v="NIFTY 50"/>
    <s v="Long"/>
    <x v="33"/>
    <n v="4979.6000000000004"/>
    <x v="33"/>
    <n v="5221.05"/>
    <n v="4.8500000000000001E-2"/>
    <n v="30"/>
    <n v="1.5E-3"/>
    <n v="5.0000000000000001E-3"/>
    <n v="4.2000000000000003E-2"/>
  </r>
  <r>
    <s v="NIFTY 50"/>
    <s v="Long"/>
    <x v="34"/>
    <n v="4921.3999999999996"/>
    <x v="34"/>
    <n v="4924.25"/>
    <n v="5.9999999999999995E-4"/>
    <n v="7"/>
    <n v="1.5E-3"/>
    <n v="1.1666666666666668E-3"/>
    <n v="-2.0666666666666672E-3"/>
  </r>
  <r>
    <s v="NIFTY 50"/>
    <s v="Long"/>
    <x v="35"/>
    <n v="4997.1000000000004"/>
    <x v="35"/>
    <n v="5235.25"/>
    <n v="4.7699999999999999E-2"/>
    <n v="36"/>
    <n v="1.5E-3"/>
    <n v="6.0000000000000001E-3"/>
    <n v="4.02E-2"/>
  </r>
  <r>
    <s v="NIFTY 50"/>
    <s v="Long"/>
    <x v="36"/>
    <n v="5199.8"/>
    <x v="36"/>
    <n v="5350.25"/>
    <n v="2.8899999999999999E-2"/>
    <n v="28"/>
    <n v="1.5E-3"/>
    <n v="4.6666666666666671E-3"/>
    <n v="2.2733333333333331E-2"/>
  </r>
  <r>
    <s v="NIFTY 50"/>
    <s v="Long"/>
    <x v="37"/>
    <n v="5342.1"/>
    <x v="37"/>
    <n v="5704.6"/>
    <n v="6.7900000000000002E-2"/>
    <n v="32"/>
    <n v="1.5E-3"/>
    <n v="5.3333333333333332E-3"/>
    <n v="6.1066666666666672E-2"/>
  </r>
  <r>
    <s v="NIFTY 50"/>
    <s v="Long"/>
    <x v="38"/>
    <n v="5697.7"/>
    <x v="38"/>
    <n v="5686.25"/>
    <n v="-2E-3"/>
    <n v="7"/>
    <n v="1.5E-3"/>
    <n v="1.1666666666666668E-3"/>
    <n v="-4.6666666666666671E-3"/>
  </r>
  <r>
    <s v="NIFTY 50"/>
    <s v="Long"/>
    <x v="39"/>
    <n v="5635.9"/>
    <x v="39"/>
    <n v="5851.5"/>
    <n v="3.8300000000000001E-2"/>
    <n v="17"/>
    <n v="1.5E-3"/>
    <n v="2.8333333333333331E-3"/>
    <n v="3.3966666666666666E-2"/>
  </r>
  <r>
    <s v="NIFTY 50"/>
    <s v="Long"/>
    <x v="40"/>
    <n v="5929.6"/>
    <x v="40"/>
    <n v="5847.7"/>
    <n v="-1.38E-2"/>
    <n v="2"/>
    <n v="1.5E-3"/>
    <n v="3.3333333333333332E-4"/>
    <n v="-1.5633333333333332E-2"/>
  </r>
  <r>
    <s v="NIFTY 50"/>
    <s v="Long"/>
    <x v="41"/>
    <n v="5950.85"/>
    <x v="41"/>
    <n v="5951.3"/>
    <n v="1E-4"/>
    <n v="10"/>
    <n v="1.5E-3"/>
    <n v="1.6666666666666666E-3"/>
    <n v="-3.0666666666666668E-3"/>
  </r>
  <r>
    <s v="NIFTY 50"/>
    <s v="Long"/>
    <x v="42"/>
    <n v="6056.6"/>
    <x v="42"/>
    <n v="6019.35"/>
    <n v="-6.1999999999999998E-3"/>
    <n v="9"/>
    <n v="1.5E-3"/>
    <n v="1.5E-3"/>
    <n v="-9.1999999999999998E-3"/>
  </r>
  <r>
    <s v="NIFTY 50"/>
    <s v="Long"/>
    <x v="43"/>
    <n v="5939.7"/>
    <x v="43"/>
    <n v="5852.25"/>
    <n v="-1.47E-2"/>
    <n v="2"/>
    <n v="1.5E-3"/>
    <n v="3.3333333333333332E-4"/>
    <n v="-1.6533333333333334E-2"/>
  </r>
  <r>
    <s v="NIFTY 50"/>
    <s v="Long"/>
    <x v="44"/>
    <n v="5471.75"/>
    <x v="44"/>
    <n v="5287.45"/>
    <n v="-3.3700000000000001E-2"/>
    <n v="4"/>
    <n v="1.5E-3"/>
    <n v="6.6666666666666664E-4"/>
    <n v="-3.5866666666666665E-2"/>
  </r>
  <r>
    <s v="NIFTY 50"/>
    <s v="Long"/>
    <x v="45"/>
    <n v="5409.05"/>
    <x v="45"/>
    <n v="5341.45"/>
    <n v="-1.2500000000000001E-2"/>
    <n v="5"/>
    <n v="1.5E-3"/>
    <n v="8.3333333333333328E-4"/>
    <n v="-1.4833333333333334E-2"/>
  </r>
  <r>
    <s v="NIFTY 50"/>
    <s v="Long"/>
    <x v="46"/>
    <n v="5592.95"/>
    <x v="46"/>
    <n v="5889.75"/>
    <n v="5.3100000000000001E-2"/>
    <n v="18"/>
    <n v="1.5E-3"/>
    <n v="3.0000000000000001E-3"/>
    <n v="4.8600000000000004E-2"/>
  </r>
  <r>
    <s v="NIFTY 50"/>
    <s v="Long"/>
    <x v="47"/>
    <n v="5909.7"/>
    <x v="47"/>
    <n v="6101.1"/>
    <n v="3.2399999999999998E-2"/>
    <n v="25"/>
    <n v="1.5E-3"/>
    <n v="4.1666666666666666E-3"/>
    <n v="2.6733333333333331E-2"/>
  </r>
  <r>
    <s v="NIFTY 50"/>
    <s v="Long"/>
    <x v="48"/>
    <n v="6220.9"/>
    <x v="48"/>
    <n v="6253.15"/>
    <n v="5.1999999999999998E-3"/>
    <n v="7"/>
    <n v="1.5E-3"/>
    <n v="1.1666666666666668E-3"/>
    <n v="2.5333333333333328E-3"/>
  </r>
  <r>
    <s v="NIFTY 50"/>
    <s v="Long"/>
    <x v="49"/>
    <n v="6189"/>
    <x v="49"/>
    <n v="5999.05"/>
    <n v="-3.0700000000000002E-2"/>
    <n v="3"/>
    <n v="1.5E-3"/>
    <n v="5.0000000000000001E-4"/>
    <n v="-3.27E-2"/>
  </r>
  <r>
    <s v="NIFTY 50"/>
    <s v="Long"/>
    <x v="50"/>
    <n v="6115.35"/>
    <x v="50"/>
    <n v="6237.05"/>
    <n v="1.9900000000000001E-2"/>
    <n v="17"/>
    <n v="1.5E-3"/>
    <n v="2.8333333333333331E-3"/>
    <n v="1.5566666666666668E-2"/>
  </r>
  <r>
    <s v="NIFTY 50"/>
    <s v="Long"/>
    <x v="51"/>
    <n v="6274.25"/>
    <x v="51"/>
    <n v="6221.15"/>
    <n v="-8.5000000000000006E-3"/>
    <n v="13"/>
    <n v="1.5E-3"/>
    <n v="2.166666666666667E-3"/>
    <n v="-1.2166666666666668E-2"/>
  </r>
  <r>
    <s v="NIFTY 50"/>
    <s v="Long"/>
    <x v="52"/>
    <n v="6272.75"/>
    <x v="52"/>
    <n v="6266.75"/>
    <n v="-1E-3"/>
    <n v="11"/>
    <n v="1.5E-3"/>
    <n v="1.8333333333333333E-3"/>
    <n v="-4.3333333333333331E-3"/>
  </r>
  <r>
    <s v="NIFTY 50"/>
    <s v="Long"/>
    <x v="53"/>
    <n v="6063.2"/>
    <x v="53"/>
    <n v="6001.1"/>
    <n v="-1.0200000000000001E-2"/>
    <n v="6"/>
    <n v="1.5E-3"/>
    <n v="1E-3"/>
    <n v="-1.2700000000000001E-2"/>
  </r>
  <r>
    <s v="NIFTY 50"/>
    <s v="Long"/>
    <x v="54"/>
    <n v="6127.1"/>
    <x v="54"/>
    <n v="6675.3"/>
    <n v="8.9499999999999996E-2"/>
    <n v="57"/>
    <n v="1.5E-3"/>
    <n v="9.4999999999999998E-3"/>
    <n v="7.85E-2"/>
  </r>
  <r>
    <s v="NIFTY 50"/>
    <s v="Long"/>
    <x v="55"/>
    <n v="6817.65"/>
    <x v="55"/>
    <n v="6761.25"/>
    <n v="-8.3000000000000001E-3"/>
    <n v="7"/>
    <n v="1.5E-3"/>
    <n v="1.1666666666666668E-3"/>
    <n v="-1.0966666666666666E-2"/>
  </r>
  <r>
    <s v="NIFTY 50"/>
    <s v="Long"/>
    <x v="56"/>
    <n v="6858.8"/>
    <x v="56"/>
    <n v="7235.65"/>
    <n v="5.4899999999999997E-2"/>
    <n v="20"/>
    <n v="1.5E-3"/>
    <n v="3.3333333333333331E-3"/>
    <n v="5.0066666666666662E-2"/>
  </r>
  <r>
    <s v="NIFTY 50"/>
    <s v="Long"/>
    <x v="57"/>
    <n v="7362.5"/>
    <x v="57"/>
    <n v="7533.55"/>
    <n v="2.3199999999999998E-2"/>
    <n v="14"/>
    <n v="1.5E-3"/>
    <n v="2.3333333333333335E-3"/>
    <n v="1.9366666666666664E-2"/>
  </r>
  <r>
    <s v="NIFTY 50"/>
    <s v="Long"/>
    <x v="58"/>
    <n v="7631.7"/>
    <x v="58"/>
    <n v="7493.201"/>
    <n v="-1.8100000000000002E-2"/>
    <n v="9"/>
    <n v="1.5E-3"/>
    <n v="1.5E-3"/>
    <n v="-2.1100000000000001E-2"/>
  </r>
  <r>
    <s v="NIFTY 50"/>
    <s v="Long"/>
    <x v="59"/>
    <n v="7611.35"/>
    <x v="59"/>
    <n v="7623.201"/>
    <n v="1.6000000000000001E-3"/>
    <n v="8"/>
    <n v="1.5E-3"/>
    <n v="1.3333333333333333E-3"/>
    <n v="-1.2333333333333335E-3"/>
  </r>
  <r>
    <s v="NIFTY 50"/>
    <s v="Long"/>
    <x v="60"/>
    <n v="7624.4"/>
    <x v="60"/>
    <n v="7721.299"/>
    <n v="1.2699999999999999E-2"/>
    <n v="15"/>
    <n v="1.5E-3"/>
    <n v="2.5000000000000001E-3"/>
    <n v="8.6999999999999994E-3"/>
  </r>
  <r>
    <s v="NIFTY 50"/>
    <s v="Long"/>
    <x v="61"/>
    <n v="7727.05"/>
    <x v="61"/>
    <n v="8042"/>
    <n v="4.0800000000000003E-2"/>
    <n v="34"/>
    <n v="1.5E-3"/>
    <n v="5.6666666666666662E-3"/>
    <n v="3.3633333333333335E-2"/>
  </r>
  <r>
    <s v="NIFTY 50"/>
    <s v="Long"/>
    <x v="62"/>
    <n v="8114.75"/>
    <x v="62"/>
    <n v="8017.55"/>
    <n v="-1.2E-2"/>
    <n v="5"/>
    <n v="1.5E-3"/>
    <n v="8.3333333333333328E-4"/>
    <n v="-1.4333333333333333E-2"/>
  </r>
  <r>
    <s v="NIFTY 50"/>
    <s v="Long"/>
    <x v="63"/>
    <n v="7960.55"/>
    <x v="63"/>
    <n v="7748.2"/>
    <n v="-2.6700000000000002E-2"/>
    <n v="7"/>
    <n v="1.5E-3"/>
    <n v="1.1666666666666668E-3"/>
    <n v="-2.9366666666666669E-2"/>
  </r>
  <r>
    <s v="NIFTY 50"/>
    <s v="Long"/>
    <x v="64"/>
    <n v="7927.75"/>
    <x v="64"/>
    <n v="8438.25"/>
    <n v="6.4399999999999999E-2"/>
    <n v="48"/>
    <n v="1.5E-3"/>
    <n v="8.0000000000000002E-3"/>
    <n v="5.4899999999999997E-2"/>
  </r>
  <r>
    <s v="NIFTY 50"/>
    <s v="Long"/>
    <x v="65"/>
    <n v="8159.3"/>
    <x v="65"/>
    <n v="8174.1009999999997"/>
    <n v="1.8E-3"/>
    <n v="6"/>
    <n v="1.5E-3"/>
    <n v="1E-3"/>
    <n v="-7.000000000000001E-4"/>
  </r>
  <r>
    <s v="NIFTY 50"/>
    <s v="Long"/>
    <x v="66"/>
    <n v="8395.4500000000007"/>
    <x v="66"/>
    <n v="8127.35"/>
    <n v="-3.1899999999999998E-2"/>
    <n v="4"/>
    <n v="1.5E-3"/>
    <n v="6.6666666666666664E-4"/>
    <n v="-3.4066666666666662E-2"/>
  </r>
  <r>
    <s v="NIFTY 50"/>
    <s v="Long"/>
    <x v="67"/>
    <n v="8234.6"/>
    <x v="67"/>
    <n v="8808.9"/>
    <n v="6.9699999999999998E-2"/>
    <n v="22"/>
    <n v="1.5E-3"/>
    <n v="3.6666666666666666E-3"/>
    <n v="6.4533333333333331E-2"/>
  </r>
  <r>
    <s v="NIFTY 50"/>
    <s v="Long"/>
    <x v="68"/>
    <n v="8711.5499999999993"/>
    <x v="68"/>
    <n v="8754.9500000000007"/>
    <n v="5.0000000000000001E-3"/>
    <n v="11"/>
    <n v="1.5E-3"/>
    <n v="1.8333333333333333E-3"/>
    <n v="1.666666666666667E-3"/>
  </r>
  <r>
    <s v="NIFTY 50"/>
    <s v="Long"/>
    <x v="69"/>
    <n v="8844.6"/>
    <x v="69"/>
    <n v="8756.75"/>
    <n v="-9.9000000000000008E-3"/>
    <n v="10"/>
    <n v="1.5E-3"/>
    <n v="1.6666666666666666E-3"/>
    <n v="-1.3066666666666667E-2"/>
  </r>
  <r>
    <s v="NIFTY 50"/>
    <s v="Long"/>
    <x v="70"/>
    <n v="8492.2999999999993"/>
    <x v="70"/>
    <n v="8706.7000000000007"/>
    <n v="2.52E-2"/>
    <n v="17"/>
    <n v="1.5E-3"/>
    <n v="2.8333333333333331E-3"/>
    <n v="2.0866666666666665E-2"/>
  </r>
  <r>
    <s v="NIFTY 50"/>
    <s v="Long"/>
    <x v="71"/>
    <n v="8331.9500000000007"/>
    <x v="71"/>
    <n v="8097"/>
    <n v="-2.8199999999999999E-2"/>
    <n v="2"/>
    <n v="1.5E-3"/>
    <n v="3.3333333333333332E-4"/>
    <n v="-3.0033333333333332E-2"/>
  </r>
  <r>
    <s v="NIFTY 50"/>
    <s v="Long"/>
    <x v="72"/>
    <n v="8325.25"/>
    <x v="72"/>
    <n v="8126.951"/>
    <n v="-2.3800000000000002E-2"/>
    <n v="1"/>
    <n v="1.5E-3"/>
    <n v="1.6666666666666666E-4"/>
    <n v="-2.5466666666666669E-2"/>
  </r>
  <r>
    <s v="NIFTY 50"/>
    <s v="Long"/>
    <x v="73"/>
    <n v="8373.65"/>
    <x v="73"/>
    <n v="8370.25"/>
    <n v="-4.0000000000000002E-4"/>
    <n v="7"/>
    <n v="1.5E-3"/>
    <n v="1.1666666666666668E-3"/>
    <n v="-3.0666666666666672E-3"/>
  </r>
  <r>
    <s v="NIFTY 50"/>
    <s v="Long"/>
    <x v="74"/>
    <n v="8433.65"/>
    <x v="74"/>
    <n v="8236.4500000000007"/>
    <n v="-2.3400000000000001E-2"/>
    <n v="4"/>
    <n v="1.5E-3"/>
    <n v="6.6666666666666664E-4"/>
    <n v="-2.5566666666666668E-2"/>
  </r>
  <r>
    <s v="NIFTY 50"/>
    <s v="Long"/>
    <x v="75"/>
    <n v="8091.55"/>
    <x v="75"/>
    <n v="8363.0499999999993"/>
    <n v="3.3599999999999998E-2"/>
    <n v="21"/>
    <n v="1.5E-3"/>
    <n v="3.4999999999999996E-3"/>
    <n v="2.86E-2"/>
  </r>
  <r>
    <s v="NIFTY 50"/>
    <s v="Long"/>
    <x v="76"/>
    <n v="8459.65"/>
    <x v="76"/>
    <n v="8529.4500000000007"/>
    <n v="8.3000000000000001E-3"/>
    <n v="8"/>
    <n v="1.5E-3"/>
    <n v="1.3333333333333333E-3"/>
    <n v="5.4666666666666665E-3"/>
  </r>
  <r>
    <s v="NIFTY 50"/>
    <s v="Long"/>
    <x v="77"/>
    <n v="8532.85"/>
    <x v="77"/>
    <n v="8462.35"/>
    <n v="-8.3000000000000001E-3"/>
    <n v="11"/>
    <n v="1.5E-3"/>
    <n v="1.8333333333333333E-3"/>
    <n v="-1.1633333333333332E-2"/>
  </r>
  <r>
    <s v="NIFTY 50"/>
    <s v="Long"/>
    <x v="78"/>
    <n v="8518.5499999999993"/>
    <x v="78"/>
    <n v="8299.9500000000007"/>
    <n v="-2.5700000000000001E-2"/>
    <n v="7"/>
    <n v="1.5E-3"/>
    <n v="1.1666666666666668E-3"/>
    <n v="-2.8366666666666669E-2"/>
  </r>
  <r>
    <s v="NIFTY 50"/>
    <s v="Long"/>
    <x v="79"/>
    <n v="7109.55"/>
    <x v="79"/>
    <n v="7018.7"/>
    <n v="-1.2800000000000001E-2"/>
    <n v="1"/>
    <n v="1.5E-3"/>
    <n v="1.6666666666666666E-4"/>
    <n v="-1.4466666666666668E-2"/>
  </r>
  <r>
    <s v="NIFTY 50"/>
    <s v="Long"/>
    <x v="80"/>
    <n v="7222.3"/>
    <x v="80"/>
    <n v="7597"/>
    <n v="5.1900000000000002E-2"/>
    <n v="28"/>
    <n v="1.5E-3"/>
    <n v="4.6666666666666671E-3"/>
    <n v="4.5733333333333334E-2"/>
  </r>
  <r>
    <s v="NIFTY 50"/>
    <s v="Long"/>
    <x v="81"/>
    <n v="7735.2"/>
    <x v="81"/>
    <n v="7603.2"/>
    <n v="-1.7100000000000001E-2"/>
    <n v="6"/>
    <n v="1.5E-3"/>
    <n v="1E-3"/>
    <n v="-1.9599999999999999E-2"/>
  </r>
  <r>
    <s v="NIFTY 50"/>
    <s v="Long"/>
    <x v="82"/>
    <n v="7671.4"/>
    <x v="82"/>
    <n v="7847.25"/>
    <n v="2.29E-2"/>
    <n v="17"/>
    <n v="1.5E-3"/>
    <n v="2.8333333333333331E-3"/>
    <n v="1.8566666666666669E-2"/>
  </r>
  <r>
    <s v="NIFTY 50"/>
    <s v="Long"/>
    <x v="83"/>
    <n v="7866.05"/>
    <x v="83"/>
    <n v="7783.4"/>
    <n v="-1.0500000000000001E-2"/>
    <n v="10"/>
    <n v="1.5E-3"/>
    <n v="1.6666666666666666E-3"/>
    <n v="-1.3666666666666667E-2"/>
  </r>
  <r>
    <s v="NIFTY 50"/>
    <s v="Long"/>
    <x v="84"/>
    <n v="7934.9"/>
    <x v="84"/>
    <n v="8203.6"/>
    <n v="3.39E-2"/>
    <n v="15"/>
    <n v="1.5E-3"/>
    <n v="2.5000000000000001E-3"/>
    <n v="2.9899999999999999E-2"/>
  </r>
  <r>
    <s v="NIFTY 50"/>
    <s v="Long"/>
    <x v="85"/>
    <n v="8206.6"/>
    <x v="85"/>
    <n v="8088.6009999999997"/>
    <n v="-1.44E-2"/>
    <n v="9"/>
    <n v="1.5E-3"/>
    <n v="1.5E-3"/>
    <n v="-1.7399999999999999E-2"/>
  </r>
  <r>
    <s v="NIFTY 50"/>
    <s v="Long"/>
    <x v="86"/>
    <n v="8204"/>
    <x v="86"/>
    <n v="8544.85"/>
    <n v="4.1500000000000002E-2"/>
    <n v="35"/>
    <n v="1.5E-3"/>
    <n v="5.8333333333333336E-3"/>
    <n v="3.4166666666666665E-2"/>
  </r>
  <r>
    <s v="NIFTY 50"/>
    <s v="Long"/>
    <x v="87"/>
    <n v="8683.15"/>
    <x v="87"/>
    <n v="8575.2999999999993"/>
    <n v="-1.24E-2"/>
    <n v="5"/>
    <n v="1.5E-3"/>
    <n v="8.3333333333333328E-4"/>
    <n v="-1.4733333333333333E-2"/>
  </r>
  <r>
    <s v="NIFTY 50"/>
    <s v="Long"/>
    <x v="88"/>
    <n v="8672.15"/>
    <x v="88"/>
    <n v="8592.2000000000007"/>
    <n v="-9.1999999999999998E-3"/>
    <n v="13"/>
    <n v="1.5E-3"/>
    <n v="2.166666666666667E-3"/>
    <n v="-1.2866666666666667E-2"/>
  </r>
  <r>
    <s v="NIFTY 50"/>
    <s v="Long"/>
    <x v="89"/>
    <n v="8744.35"/>
    <x v="89"/>
    <n v="8715.6"/>
    <n v="-3.3E-3"/>
    <n v="13"/>
    <n v="1.5E-3"/>
    <n v="2.166666666666667E-3"/>
    <n v="-6.966666666666667E-3"/>
  </r>
  <r>
    <s v="NIFTY 50"/>
    <s v="Long"/>
    <x v="90"/>
    <n v="8808.4"/>
    <x v="90"/>
    <n v="8723.0499999999993"/>
    <n v="-9.7000000000000003E-3"/>
    <n v="7"/>
    <n v="1.5E-3"/>
    <n v="1.1666666666666668E-3"/>
    <n v="-1.2366666666666668E-2"/>
  </r>
  <r>
    <s v="NIFTY 50"/>
    <s v="Long"/>
    <x v="91"/>
    <n v="8738.1"/>
    <x v="91"/>
    <n v="8573.35"/>
    <n v="-1.89E-2"/>
    <n v="10"/>
    <n v="1.5E-3"/>
    <n v="1.6666666666666666E-3"/>
    <n v="-2.2066666666666665E-2"/>
  </r>
  <r>
    <s v="NIFTY 50"/>
    <s v="Long"/>
    <x v="92"/>
    <n v="8677.9"/>
    <x v="92"/>
    <n v="8615.25"/>
    <n v="-7.1999999999999998E-3"/>
    <n v="8"/>
    <n v="1.5E-3"/>
    <n v="1.3333333333333333E-3"/>
    <n v="-1.0033333333333333E-2"/>
  </r>
  <r>
    <s v="NIFTY 50"/>
    <s v="Long"/>
    <x v="93"/>
    <n v="8543.5499999999993"/>
    <x v="93"/>
    <n v="8296.2999999999993"/>
    <n v="-2.8899999999999999E-2"/>
    <n v="3"/>
    <n v="1.5E-3"/>
    <n v="5.0000000000000001E-4"/>
    <n v="-3.0899999999999997E-2"/>
  </r>
  <r>
    <s v="NIFTY 50"/>
    <s v="Long"/>
    <x v="94"/>
    <n v="7985.75"/>
    <x v="94"/>
    <n v="7908.25"/>
    <n v="-9.7000000000000003E-3"/>
    <n v="3"/>
    <n v="1.5E-3"/>
    <n v="5.0000000000000001E-4"/>
    <n v="-1.17E-2"/>
  </r>
  <r>
    <s v="NIFTY 50"/>
    <s v="Long"/>
    <x v="95"/>
    <n v="8032.85"/>
    <x v="95"/>
    <n v="8349.35"/>
    <n v="3.9399999999999998E-2"/>
    <n v="24"/>
    <n v="1.5E-3"/>
    <n v="4.0000000000000001E-3"/>
    <n v="3.39E-2"/>
  </r>
  <r>
    <s v="NIFTY 50"/>
    <s v="Long"/>
    <x v="96"/>
    <n v="8475.7999999999993"/>
    <x v="96"/>
    <n v="8724.7000000000007"/>
    <n v="2.9399999999999999E-2"/>
    <n v="22"/>
    <n v="1.5E-3"/>
    <n v="3.6666666666666666E-3"/>
    <n v="2.4233333333333332E-2"/>
  </r>
  <r>
    <s v="NIFTY 50"/>
    <s v="Long"/>
    <x v="97"/>
    <n v="8821.7000000000007"/>
    <x v="97"/>
    <n v="8879.6"/>
    <n v="6.6E-3"/>
    <n v="11"/>
    <n v="1.5E-3"/>
    <n v="1.8333333333333333E-3"/>
    <n v="3.2666666666666669E-3"/>
  </r>
  <r>
    <s v="NIFTY 50"/>
    <s v="Long"/>
    <x v="98"/>
    <n v="8963.4500000000007"/>
    <x v="98"/>
    <n v="9030.4500000000007"/>
    <n v="7.4999999999999997E-3"/>
    <n v="16"/>
    <n v="1.5E-3"/>
    <n v="2.6666666666666666E-3"/>
    <n v="3.3333333333333331E-3"/>
  </r>
  <r>
    <s v="NIFTY 50"/>
    <s v="Long"/>
    <x v="99"/>
    <n v="9143.7999999999993"/>
    <x v="99"/>
    <n v="9181.4500000000007"/>
    <n v="4.1000000000000003E-3"/>
    <n v="12"/>
    <n v="1.5E-3"/>
    <n v="2E-3"/>
    <n v="6.0000000000000027E-4"/>
  </r>
  <r>
    <s v="NIFTY 50"/>
    <s v="Long"/>
    <x v="100"/>
    <n v="9217.9500000000007"/>
    <x v="100"/>
    <n v="9285.2999999999993"/>
    <n v="7.3000000000000001E-3"/>
    <n v="11"/>
    <n v="1.5E-3"/>
    <n v="1.8333333333333333E-3"/>
    <n v="3.966666666666667E-3"/>
  </r>
  <r>
    <s v="NIFTY 50"/>
    <s v="Long"/>
    <x v="101"/>
    <n v="9407.2999999999993"/>
    <x v="101"/>
    <n v="9429.4500000000007"/>
    <n v="2.3999999999999998E-3"/>
    <n v="8"/>
    <n v="1.5E-3"/>
    <n v="1.3333333333333333E-3"/>
    <n v="-4.3333333333333375E-4"/>
  </r>
  <r>
    <s v="NIFTY 50"/>
    <s v="Long"/>
    <x v="102"/>
    <n v="9509.75"/>
    <x v="102"/>
    <n v="9606.9"/>
    <n v="1.0200000000000001E-2"/>
    <n v="19"/>
    <n v="1.5E-3"/>
    <n v="3.1666666666666666E-3"/>
    <n v="5.5333333333333345E-3"/>
  </r>
  <r>
    <s v="NIFTY 50"/>
    <s v="Long"/>
    <x v="103"/>
    <n v="9657.5499999999993"/>
    <x v="103"/>
    <n v="9574.9500000000007"/>
    <n v="-8.6E-3"/>
    <n v="4"/>
    <n v="1.5E-3"/>
    <n v="6.6666666666666664E-4"/>
    <n v="-1.0766666666666667E-2"/>
  </r>
  <r>
    <s v="NIFTY 50"/>
    <s v="Long"/>
    <x v="104"/>
    <n v="9615"/>
    <x v="104"/>
    <n v="9827.15"/>
    <n v="2.2100000000000002E-2"/>
    <n v="15"/>
    <n v="1.5E-3"/>
    <n v="2.5000000000000001E-3"/>
    <n v="1.8100000000000002E-2"/>
  </r>
  <r>
    <s v="NIFTY 50"/>
    <s v="Long"/>
    <x v="105"/>
    <n v="9915.25"/>
    <x v="105"/>
    <n v="10013.65"/>
    <n v="9.9000000000000008E-3"/>
    <n v="13"/>
    <n v="1.5E-3"/>
    <n v="2.166666666666667E-3"/>
    <n v="6.2333333333333338E-3"/>
  </r>
  <r>
    <s v="NIFTY 50"/>
    <s v="Long"/>
    <x v="106"/>
    <n v="9897.2999999999993"/>
    <x v="106"/>
    <n v="9754.35"/>
    <n v="-1.44E-2"/>
    <n v="5"/>
    <n v="1.5E-3"/>
    <n v="8.3333333333333328E-4"/>
    <n v="-1.6733333333333333E-2"/>
  </r>
  <r>
    <s v="NIFTY 50"/>
    <s v="Long"/>
    <x v="107"/>
    <n v="9912.7999999999993"/>
    <x v="107"/>
    <n v="9796.0499999999993"/>
    <n v="-1.18E-2"/>
    <n v="1"/>
    <n v="1.5E-3"/>
    <n v="1.6666666666666666E-4"/>
    <n v="-1.3466666666666667E-2"/>
  </r>
  <r>
    <s v="NIFTY 50"/>
    <s v="Long"/>
    <x v="108"/>
    <n v="9917.9"/>
    <x v="108"/>
    <n v="9964.4"/>
    <n v="4.7000000000000002E-3"/>
    <n v="22"/>
    <n v="1.5E-3"/>
    <n v="3.6666666666666666E-3"/>
    <n v="-4.6666666666666645E-4"/>
  </r>
  <r>
    <s v="NIFTY 50"/>
    <s v="Long"/>
    <x v="109"/>
    <n v="9914.9"/>
    <x v="109"/>
    <n v="10350.15"/>
    <n v="4.3900000000000002E-2"/>
    <n v="34"/>
    <n v="1.5E-3"/>
    <n v="5.6666666666666662E-3"/>
    <n v="3.6733333333333333E-2"/>
  </r>
  <r>
    <s v="NIFTY 50"/>
    <s v="Long"/>
    <x v="110"/>
    <n v="10283.6"/>
    <x v="110"/>
    <n v="10226.549999999999"/>
    <n v="-5.4999999999999997E-3"/>
    <n v="13"/>
    <n v="1.5E-3"/>
    <n v="2.166666666666667E-3"/>
    <n v="-9.1666666666666667E-3"/>
  </r>
  <r>
    <s v="NIFTY 50"/>
    <s v="Long"/>
    <x v="111"/>
    <n v="10265.65"/>
    <x v="111"/>
    <n v="10192.950000000001"/>
    <n v="-7.1000000000000004E-3"/>
    <n v="5"/>
    <n v="1.5E-3"/>
    <n v="8.3333333333333328E-4"/>
    <n v="-9.4333333333333335E-3"/>
  </r>
  <r>
    <s v="NIFTY 50"/>
    <s v="Long"/>
    <x v="112"/>
    <n v="10333.25"/>
    <x v="112"/>
    <n v="10435.549999999999"/>
    <n v="9.9000000000000008E-3"/>
    <n v="17"/>
    <n v="1.5E-3"/>
    <n v="2.8333333333333331E-3"/>
    <n v="5.5666666666666677E-3"/>
  </r>
  <r>
    <s v="NIFTY 50"/>
    <s v="Long"/>
    <x v="113"/>
    <n v="10558.85"/>
    <x v="113"/>
    <n v="11027.7"/>
    <n v="4.4400000000000002E-2"/>
    <n v="26"/>
    <n v="1.5E-3"/>
    <n v="4.333333333333334E-3"/>
    <n v="3.8566666666666666E-2"/>
  </r>
  <r>
    <s v="NIFTY 50"/>
    <s v="Long"/>
    <x v="114"/>
    <n v="10791.65"/>
    <x v="114"/>
    <n v="11354.25"/>
    <n v="5.21E-2"/>
    <n v="31"/>
    <n v="1.5E-3"/>
    <n v="5.1666666666666675E-3"/>
    <n v="4.5433333333333333E-2"/>
  </r>
  <r>
    <s v="NIFTY 50"/>
    <s v="Long"/>
    <x v="115"/>
    <n v="11483.25"/>
    <x v="115"/>
    <n v="11584.3"/>
    <n v="8.8000000000000005E-3"/>
    <n v="15"/>
    <n v="1.5E-3"/>
    <n v="2.5000000000000001E-3"/>
    <n v="4.8000000000000004E-3"/>
  </r>
  <r>
    <s v="NIFTY 50"/>
    <s v="Long"/>
    <x v="116"/>
    <n v="11690.35"/>
    <x v="116"/>
    <n v="11594.45"/>
    <n v="-8.2000000000000007E-3"/>
    <n v="7"/>
    <n v="1.5E-3"/>
    <n v="1.1666666666666668E-3"/>
    <n v="-1.0866666666666667E-2"/>
  </r>
  <r>
    <s v="NIFTY 50"/>
    <s v="Long"/>
    <x v="117"/>
    <n v="11726.15"/>
    <x v="117"/>
    <n v="11598.25"/>
    <n v="-1.09E-2"/>
    <n v="12"/>
    <n v="1.5E-3"/>
    <n v="2E-3"/>
    <n v="-1.44E-2"/>
  </r>
  <r>
    <s v="NIFTY 50"/>
    <s v="Long"/>
    <x v="118"/>
    <n v="10829.35"/>
    <x v="118"/>
    <n v="10797.9"/>
    <n v="-2.8999999999999998E-3"/>
    <n v="11"/>
    <n v="1.5E-3"/>
    <n v="1.8333333333333333E-3"/>
    <n v="-6.2333333333333329E-3"/>
  </r>
  <r>
    <s v="NIFTY 50"/>
    <s v="Long"/>
    <x v="119"/>
    <n v="11003.05"/>
    <x v="119"/>
    <n v="10817.6"/>
    <n v="-1.6899999999999998E-2"/>
    <n v="8"/>
    <n v="1.5E-3"/>
    <n v="1.3333333333333333E-3"/>
    <n v="-1.9733333333333332E-2"/>
  </r>
  <r>
    <s v="NIFTY 50"/>
    <s v="Long"/>
    <x v="120"/>
    <n v="11274.2"/>
    <x v="120"/>
    <n v="11314"/>
    <n v="3.5000000000000001E-3"/>
    <n v="13"/>
    <n v="1.5E-3"/>
    <n v="2.166666666666667E-3"/>
    <n v="-1.6666666666666696E-4"/>
  </r>
  <r>
    <s v="NIFTY 50"/>
    <s v="Long"/>
    <x v="121"/>
    <n v="11428.3"/>
    <x v="121"/>
    <n v="11840.45"/>
    <n v="3.61E-2"/>
    <n v="29"/>
    <n v="1.5E-3"/>
    <n v="4.8333333333333336E-3"/>
    <n v="2.9766666666666667E-2"/>
  </r>
  <r>
    <s v="NIFTY 50"/>
    <s v="Long"/>
    <x v="122"/>
    <n v="11999.1"/>
    <x v="122"/>
    <n v="11994.2"/>
    <n v="-4.0000000000000002E-4"/>
    <n v="13"/>
    <n v="1.5E-3"/>
    <n v="2.166666666666667E-3"/>
    <n v="-4.0666666666666672E-3"/>
  </r>
  <r>
    <s v="NIFTY 50"/>
    <s v="Long"/>
    <x v="123"/>
    <n v="12086.7"/>
    <x v="123"/>
    <n v="12126.55"/>
    <n v="3.3E-3"/>
    <n v="13"/>
    <n v="1.5E-3"/>
    <n v="2.166666666666667E-3"/>
    <n v="-3.6666666666666705E-4"/>
  </r>
  <r>
    <s v="NIFTY 50"/>
    <s v="Long"/>
    <x v="124"/>
    <n v="12245.8"/>
    <x v="124"/>
    <n v="11993.05"/>
    <n v="-2.06E-2"/>
    <n v="10"/>
    <n v="1.5E-3"/>
    <n v="1.6666666666666666E-3"/>
    <n v="-2.3766666666666665E-2"/>
  </r>
  <r>
    <s v="NIFTY 50"/>
    <s v="Long"/>
    <x v="125"/>
    <n v="12215.9"/>
    <x v="125"/>
    <n v="12224.55"/>
    <n v="6.9999999999999999E-4"/>
    <n v="11"/>
    <n v="1.5E-3"/>
    <n v="1.8333333333333333E-3"/>
    <n v="-2.633333333333333E-3"/>
  </r>
  <r>
    <s v="NIFTY 50"/>
    <s v="Long"/>
    <x v="126"/>
    <n v="11979.65"/>
    <x v="126"/>
    <n v="12045.8"/>
    <n v="5.4999999999999997E-3"/>
    <n v="13"/>
    <n v="1.5E-3"/>
    <n v="2.166666666666667E-3"/>
    <n v="1.8333333333333326E-3"/>
  </r>
  <r>
    <s v="NIFTY 50"/>
    <s v="Long"/>
    <x v="127"/>
    <n v="12125.9"/>
    <x v="127"/>
    <n v="11829.4"/>
    <n v="-2.4500000000000001E-2"/>
    <n v="5"/>
    <n v="1.5E-3"/>
    <n v="8.3333333333333328E-4"/>
    <n v="-2.6833333333333334E-2"/>
  </r>
  <r>
    <s v="NIFTY 50"/>
    <s v="Long"/>
    <x v="128"/>
    <n v="7801.05"/>
    <x v="128"/>
    <n v="8083.799"/>
    <n v="3.6200000000000003E-2"/>
    <n v="10"/>
    <n v="1.5E-3"/>
    <n v="1.6666666666666666E-3"/>
    <n v="3.3033333333333338E-2"/>
  </r>
  <r>
    <s v="NIFTY 50"/>
    <s v="Long"/>
    <x v="129"/>
    <n v="8792.2000000000007"/>
    <x v="129"/>
    <n v="8981.4500000000007"/>
    <n v="2.1499999999999998E-2"/>
    <n v="14"/>
    <n v="1.5E-3"/>
    <n v="2.3333333333333335E-3"/>
    <n v="1.7666666666666664E-2"/>
  </r>
  <r>
    <s v="NIFTY 50"/>
    <s v="Long"/>
    <x v="130"/>
    <n v="9313.9"/>
    <x v="130"/>
    <n v="9293.5"/>
    <n v="-2.2000000000000001E-3"/>
    <n v="11"/>
    <n v="1.5E-3"/>
    <n v="1.8333333333333333E-3"/>
    <n v="-5.5333333333333328E-3"/>
  </r>
  <r>
    <s v="NIFTY 50"/>
    <s v="Long"/>
    <x v="131"/>
    <n v="9383.5499999999993"/>
    <x v="131"/>
    <n v="9142.75"/>
    <n v="-2.5700000000000001E-2"/>
    <n v="1"/>
    <n v="1.5E-3"/>
    <n v="1.6666666666666666E-4"/>
    <n v="-2.7366666666666668E-2"/>
  </r>
  <r>
    <s v="NIFTY 50"/>
    <s v="Long"/>
    <x v="132"/>
    <n v="9314.9500000000007"/>
    <x v="132"/>
    <n v="9902"/>
    <n v="6.3E-2"/>
    <n v="15"/>
    <n v="1.5E-3"/>
    <n v="2.5000000000000001E-3"/>
    <n v="5.8999999999999997E-2"/>
  </r>
  <r>
    <s v="NIFTY 50"/>
    <s v="Long"/>
    <x v="133"/>
    <n v="10091.65"/>
    <x v="133"/>
    <n v="10607.35"/>
    <n v="5.11E-2"/>
    <n v="26"/>
    <n v="1.5E-3"/>
    <n v="4.333333333333334E-3"/>
    <n v="4.5266666666666663E-2"/>
  </r>
  <r>
    <s v="NIFTY 50"/>
    <s v="Long"/>
    <x v="134"/>
    <n v="10901.7"/>
    <x v="134"/>
    <n v="11073.45"/>
    <n v="1.5800000000000002E-2"/>
    <n v="14"/>
    <n v="1.5E-3"/>
    <n v="2.3333333333333335E-3"/>
    <n v="1.1966666666666667E-2"/>
  </r>
  <r>
    <s v="NIFTY 50"/>
    <s v="Long"/>
    <x v="135"/>
    <n v="11200.15"/>
    <x v="135"/>
    <n v="11178.4"/>
    <n v="-1.9E-3"/>
    <n v="8"/>
    <n v="1.5E-3"/>
    <n v="1.3333333333333333E-3"/>
    <n v="-4.7333333333333333E-3"/>
  </r>
  <r>
    <s v="NIFTY 50"/>
    <s v="Long"/>
    <x v="136"/>
    <n v="11385.35"/>
    <x v="136"/>
    <n v="11387.5"/>
    <n v="2.0000000000000001E-4"/>
    <n v="13"/>
    <n v="1.5E-3"/>
    <n v="2.166666666666667E-3"/>
    <n v="-3.4666666666666669E-3"/>
  </r>
  <r>
    <s v="NIFTY 50"/>
    <s v="Long"/>
    <x v="137"/>
    <n v="11449.25"/>
    <x v="137"/>
    <n v="11250.55"/>
    <n v="-1.7399999999999999E-2"/>
    <n v="11"/>
    <n v="1.5E-3"/>
    <n v="1.8333333333333333E-3"/>
    <n v="-2.0733333333333333E-2"/>
  </r>
  <r>
    <s v="NIFTY 50"/>
    <s v="Long"/>
    <x v="138"/>
    <n v="11227.55"/>
    <x v="138"/>
    <n v="11680.35"/>
    <n v="4.0300000000000002E-2"/>
    <n v="17"/>
    <n v="1.5E-3"/>
    <n v="2.8333333333333331E-3"/>
    <n v="3.5966666666666668E-2"/>
  </r>
  <r>
    <s v="NIFTY 50"/>
    <s v="Long"/>
    <x v="139"/>
    <n v="11937.65"/>
    <x v="139"/>
    <n v="11767.75"/>
    <n v="-1.4200000000000001E-2"/>
    <n v="5"/>
    <n v="1.5E-3"/>
    <n v="8.3333333333333328E-4"/>
    <n v="-1.6533333333333334E-2"/>
  </r>
  <r>
    <s v="NIFTY 50"/>
    <s v="Long"/>
    <x v="140"/>
    <n v="11908.5"/>
    <x v="140"/>
    <n v="12858.4"/>
    <n v="7.9799999999999996E-2"/>
    <n v="21"/>
    <n v="1.5E-3"/>
    <n v="3.4999999999999996E-3"/>
    <n v="7.4799999999999991E-2"/>
  </r>
  <r>
    <s v="NIFTY 50"/>
    <s v="Long"/>
    <x v="141"/>
    <n v="13109.05"/>
    <x v="141"/>
    <n v="13328.4"/>
    <n v="1.67E-2"/>
    <n v="20"/>
    <n v="1.5E-3"/>
    <n v="3.3333333333333331E-3"/>
    <n v="1.1866666666666666E-2"/>
  </r>
  <r>
    <s v="NIFTY 50"/>
    <s v="Long"/>
    <x v="142"/>
    <n v="13601.1"/>
    <x v="142"/>
    <n v="14281.3"/>
    <n v="0.05"/>
    <n v="26"/>
    <n v="1.5E-3"/>
    <n v="4.333333333333334E-3"/>
    <n v="4.4166666666666667E-2"/>
  </r>
  <r>
    <s v="NIFTY 50"/>
    <s v="Long"/>
    <x v="143"/>
    <n v="14644.7"/>
    <x v="143"/>
    <n v="14371.9"/>
    <n v="-1.8599999999999998E-2"/>
    <n v="2"/>
    <n v="1.5E-3"/>
    <n v="3.3333333333333332E-4"/>
    <n v="-2.0433333333333331E-2"/>
  </r>
  <r>
    <s v="NIFTY 50"/>
    <s v="Long"/>
    <x v="144"/>
    <n v="14281.2"/>
    <x v="144"/>
    <n v="15118.95"/>
    <n v="5.8700000000000002E-2"/>
    <n v="17"/>
    <n v="1.5E-3"/>
    <n v="2.8333333333333331E-3"/>
    <n v="5.4366666666666667E-2"/>
  </r>
  <r>
    <s v="NIFTY 50"/>
    <s v="Long"/>
    <x v="145"/>
    <n v="14982"/>
    <x v="145"/>
    <n v="14529.15"/>
    <n v="-3.0200000000000001E-2"/>
    <n v="2"/>
    <n v="1.5E-3"/>
    <n v="3.3333333333333332E-4"/>
    <n v="-3.2033333333333337E-2"/>
  </r>
  <r>
    <s v="NIFTY 50"/>
    <s v="Long"/>
    <x v="146"/>
    <n v="15245.6"/>
    <x v="146"/>
    <n v="14929.5"/>
    <n v="-2.07E-2"/>
    <n v="12"/>
    <n v="1.5E-3"/>
    <n v="2E-3"/>
    <n v="-2.4199999999999999E-2"/>
  </r>
  <r>
    <s v="NIFTY 50"/>
    <s v="Long"/>
    <x v="147"/>
    <n v="14845.1"/>
    <x v="147"/>
    <n v="14310.8"/>
    <n v="-3.5999999999999997E-2"/>
    <n v="13"/>
    <n v="1.5E-3"/>
    <n v="2.166666666666667E-3"/>
    <n v="-3.9666666666666663E-2"/>
  </r>
  <r>
    <s v="NIFTY 50"/>
    <s v="Long"/>
    <x v="148"/>
    <n v="14653.05"/>
    <x v="148"/>
    <n v="14631.1"/>
    <n v="-1.5E-3"/>
    <n v="3"/>
    <n v="1.5E-3"/>
    <n v="5.0000000000000001E-4"/>
    <n v="-3.5000000000000001E-3"/>
  </r>
  <r>
    <s v="NIFTY 50"/>
    <s v="Long"/>
    <x v="149"/>
    <n v="14823.15"/>
    <x v="149"/>
    <n v="14696.5"/>
    <n v="-8.5000000000000006E-3"/>
    <n v="5"/>
    <n v="1.5E-3"/>
    <n v="8.3333333333333328E-4"/>
    <n v="-1.0833333333333334E-2"/>
  </r>
  <r>
    <s v="NIFTY 50"/>
    <s v="Long"/>
    <x v="150"/>
    <n v="14923.15"/>
    <x v="150"/>
    <n v="15691.4"/>
    <n v="5.1499999999999997E-2"/>
    <n v="31"/>
    <n v="1.5E-3"/>
    <n v="5.1666666666666675E-3"/>
    <n v="4.4833333333333329E-2"/>
  </r>
  <r>
    <s v="NIFTY 50"/>
    <s v="Long"/>
    <x v="151"/>
    <n v="15790.45"/>
    <x v="151"/>
    <n v="15680"/>
    <n v="-7.0000000000000001E-3"/>
    <n v="7"/>
    <n v="1.5E-3"/>
    <n v="1.1666666666666668E-3"/>
    <n v="-9.6666666666666672E-3"/>
  </r>
  <r>
    <s v="NIFTY 50"/>
    <s v="Long"/>
    <x v="152"/>
    <n v="15834.35"/>
    <x v="152"/>
    <n v="15727.9"/>
    <n v="-6.7000000000000002E-3"/>
    <n v="3"/>
    <n v="1.5E-3"/>
    <n v="5.0000000000000001E-4"/>
    <n v="-8.6999999999999994E-3"/>
  </r>
  <r>
    <s v="NIFTY 50"/>
    <s v="Long"/>
    <x v="153"/>
    <n v="15812.35"/>
    <x v="153"/>
    <n v="15752.4"/>
    <n v="-3.8E-3"/>
    <n v="6"/>
    <n v="1.5E-3"/>
    <n v="1E-3"/>
    <n v="-6.3E-3"/>
  </r>
  <r>
    <s v="NIFTY 50"/>
    <s v="Long"/>
    <x v="154"/>
    <n v="15824.05"/>
    <x v="154"/>
    <n v="16450.5"/>
    <n v="3.9600000000000003E-2"/>
    <n v="29"/>
    <n v="1.5E-3"/>
    <n v="4.8333333333333336E-3"/>
    <n v="3.3266666666666667E-2"/>
  </r>
  <r>
    <s v="NIFTY 50"/>
    <s v="Long"/>
    <x v="155"/>
    <n v="16624.599999999999"/>
    <x v="155"/>
    <n v="17396.900000000001"/>
    <n v="4.65E-2"/>
    <n v="27"/>
    <n v="1.5E-3"/>
    <n v="4.5000000000000005E-3"/>
    <n v="4.0500000000000001E-2"/>
  </r>
  <r>
    <s v="NIFTY 50"/>
    <s v="Long"/>
    <x v="156"/>
    <n v="17822.95"/>
    <x v="156"/>
    <n v="17618.150000000001"/>
    <n v="-1.15E-2"/>
    <n v="7"/>
    <n v="1.5E-3"/>
    <n v="1.1666666666666668E-3"/>
    <n v="-1.4166666666666668E-2"/>
  </r>
  <r>
    <s v="NIFTY 50"/>
    <s v="Long"/>
    <x v="157"/>
    <n v="17822.3"/>
    <x v="157"/>
    <n v="18266.599999999999"/>
    <n v="2.4899999999999999E-2"/>
    <n v="15"/>
    <n v="1.5E-3"/>
    <n v="2.5000000000000001E-3"/>
    <n v="2.0899999999999998E-2"/>
  </r>
  <r>
    <s v="NIFTY 50"/>
    <s v="Long"/>
    <x v="158"/>
    <n v="18068.55"/>
    <x v="158"/>
    <n v="17898.650000000001"/>
    <n v="-9.4000000000000004E-3"/>
    <n v="9"/>
    <n v="1.5E-3"/>
    <n v="1.5E-3"/>
    <n v="-1.2400000000000001E-2"/>
  </r>
  <r>
    <s v="NIFTY 50"/>
    <s v="Long"/>
    <x v="159"/>
    <n v="15699.25"/>
    <x v="159"/>
    <n v="15966.65"/>
    <n v="1.7000000000000001E-2"/>
    <n v="19"/>
    <n v="1.5E-3"/>
    <n v="3.1666666666666666E-3"/>
    <n v="1.2333333333333335E-2"/>
  </r>
  <r>
    <s v="NIFTY 50"/>
    <s v="Long"/>
    <x v="160"/>
    <n v="16278.5"/>
    <x v="160"/>
    <n v="16483.849999999999"/>
    <n v="1.26E-2"/>
    <n v="8"/>
    <n v="1.5E-3"/>
    <n v="1.3333333333333333E-3"/>
    <n v="9.7666666666666666E-3"/>
  </r>
  <r>
    <s v="NIFTY 50"/>
    <s v="Long"/>
    <x v="161"/>
    <n v="16929.599999999999"/>
    <x v="161"/>
    <n v="17758.45"/>
    <n v="4.9000000000000002E-2"/>
    <n v="22"/>
    <n v="1.5E-3"/>
    <n v="3.6666666666666666E-3"/>
    <n v="4.3833333333333335E-2"/>
  </r>
  <r>
    <s v="NIFTY 50"/>
    <s v="Long"/>
    <x v="162"/>
    <n v="17759.3"/>
    <x v="162"/>
    <n v="17877.400000000001"/>
    <n v="6.7000000000000002E-3"/>
    <n v="16"/>
    <n v="1.5E-3"/>
    <n v="2.6666666666666666E-3"/>
    <n v="2.5333333333333336E-3"/>
  </r>
  <r>
    <s v="NIFTY 50"/>
    <s v="Long"/>
    <x v="163"/>
    <n v="17816.25"/>
    <x v="163"/>
    <n v="17327.349999999999"/>
    <n v="-2.7400000000000001E-2"/>
    <n v="3"/>
    <n v="1.5E-3"/>
    <n v="5.0000000000000001E-4"/>
    <n v="-2.9400000000000003E-2"/>
  </r>
  <r>
    <s v="NIFTY 50"/>
    <s v="Long"/>
    <x v="164"/>
    <n v="17274.3"/>
    <x v="164"/>
    <n v="16983.55"/>
    <n v="-1.6799999999999999E-2"/>
    <n v="7"/>
    <n v="1.5E-3"/>
    <n v="1.1666666666666668E-3"/>
    <n v="-1.9466666666666667E-2"/>
  </r>
  <r>
    <s v="NIFTY 50"/>
    <s v="Long"/>
    <x v="165"/>
    <n v="17311.8"/>
    <x v="165"/>
    <n v="18028.2"/>
    <n v="4.1399999999999999E-2"/>
    <n v="24"/>
    <n v="1.5E-3"/>
    <n v="4.0000000000000001E-3"/>
    <n v="3.5900000000000001E-2"/>
  </r>
  <r>
    <s v="NIFTY 50"/>
    <s v="Long"/>
    <x v="166"/>
    <n v="18349.7"/>
    <x v="166"/>
    <n v="18159.95"/>
    <n v="-1.03E-2"/>
    <n v="10"/>
    <n v="1.5E-3"/>
    <n v="1.6666666666666666E-3"/>
    <n v="-1.3466666666666667E-2"/>
  </r>
  <r>
    <s v="NIFTY 50"/>
    <s v="Long"/>
    <x v="167"/>
    <n v="18484.099999999999"/>
    <x v="167"/>
    <n v="18642.75"/>
    <n v="8.6E-3"/>
    <n v="12"/>
    <n v="1.5E-3"/>
    <n v="2E-3"/>
    <n v="5.1000000000000004E-3"/>
  </r>
  <r>
    <s v="NIFTY 50"/>
    <s v="Long"/>
    <x v="168"/>
    <n v="18608"/>
    <x v="168"/>
    <n v="18414.900000000001"/>
    <n v="-1.04E-2"/>
    <n v="2"/>
    <n v="1.5E-3"/>
    <n v="3.3333333333333332E-4"/>
    <n v="-1.2233333333333332E-2"/>
  </r>
  <r>
    <s v="NIFTY 50"/>
    <s v="Long"/>
    <x v="169"/>
    <n v="17554.3"/>
    <x v="169"/>
    <n v="17465.8"/>
    <n v="-5.0000000000000001E-3"/>
    <n v="2"/>
    <n v="1.5E-3"/>
    <n v="3.3333333333333332E-4"/>
    <n v="-6.8333333333333336E-3"/>
  </r>
  <r>
    <s v="NIFTY 50"/>
    <s v="Long"/>
    <x v="170"/>
    <n v="17594.349999999999"/>
    <x v="170"/>
    <n v="17412.900000000001"/>
    <n v="-1.03E-2"/>
    <n v="7"/>
    <n v="1.5E-3"/>
    <n v="1.1666666666666668E-3"/>
    <n v="-1.2966666666666668E-2"/>
  </r>
  <r>
    <s v="NIFTY 50"/>
    <s v="Long"/>
    <x v="171"/>
    <n v="17359.75"/>
    <x v="171"/>
    <n v="17660.150000000001"/>
    <n v="1.7299999999999999E-2"/>
    <n v="18"/>
    <n v="1.5E-3"/>
    <n v="3.0000000000000001E-3"/>
    <n v="1.2799999999999999E-2"/>
  </r>
  <r>
    <s v="NIFTY 50"/>
    <s v="Long"/>
    <x v="172"/>
    <n v="17769.25"/>
    <x v="172"/>
    <n v="18181.75"/>
    <n v="2.3199999999999998E-2"/>
    <n v="22"/>
    <n v="1.5E-3"/>
    <n v="3.6666666666666666E-3"/>
    <n v="1.8033333333333332E-2"/>
  </r>
  <r>
    <s v="NIFTY 50"/>
    <s v="Long"/>
    <x v="173"/>
    <n v="18348"/>
    <x v="173"/>
    <n v="18563.400000000001"/>
    <n v="1.17E-2"/>
    <n v="17"/>
    <n v="1.5E-3"/>
    <n v="2.8333333333333331E-3"/>
    <n v="7.3666666666666672E-3"/>
  </r>
  <r>
    <s v="NIFTY 50"/>
    <s v="Long"/>
    <x v="174"/>
    <n v="18716.150000000001"/>
    <x v="174"/>
    <n v="18665.5"/>
    <n v="-2.7000000000000001E-3"/>
    <n v="10"/>
    <n v="1.5E-3"/>
    <n v="1.6666666666666666E-3"/>
    <n v="-5.8666666666666667E-3"/>
  </r>
  <r>
    <s v="NIFTY 50"/>
    <s v="Long"/>
    <x v="175"/>
    <n v="18817.400000000001"/>
    <x v="175"/>
    <n v="19672.349999999999"/>
    <n v="4.5400000000000003E-2"/>
    <n v="27"/>
    <n v="1.5E-3"/>
    <n v="4.5000000000000005E-3"/>
    <n v="3.9400000000000004E-2"/>
  </r>
  <r>
    <s v="NIFTY 50"/>
    <s v="Long"/>
    <x v="176"/>
    <n v="19632.55"/>
    <x v="176"/>
    <n v="19365.25"/>
    <n v="-1.3599999999999999E-2"/>
    <n v="8"/>
    <n v="1.5E-3"/>
    <n v="1.3333333333333333E-3"/>
    <n v="-1.6433333333333335E-2"/>
  </r>
  <r>
    <s v="NIFTY 50"/>
    <s v="Long"/>
    <x v="177"/>
    <n v="19435.3"/>
    <x v="177"/>
    <n v="19901.400000000001"/>
    <n v="2.4E-2"/>
    <n v="19"/>
    <n v="1.5E-3"/>
    <n v="3.1666666666666666E-3"/>
    <n v="1.9333333333333334E-2"/>
  </r>
  <r>
    <s v="NIFTY 50"/>
    <s v="Long"/>
    <x v="178"/>
    <n v="19653.5"/>
    <x v="178"/>
    <n v="19671.099999999999"/>
    <n v="8.9999999999999998E-4"/>
    <n v="12"/>
    <n v="1.5E-3"/>
    <n v="2E-3"/>
    <n v="-2.5999999999999999E-3"/>
  </r>
  <r>
    <s v="NIFTY 50"/>
    <s v="Long"/>
    <x v="179"/>
    <n v="19230.599999999999"/>
    <x v="179"/>
    <n v="21150.15"/>
    <n v="9.98E-2"/>
    <n v="47"/>
    <n v="1.5E-3"/>
    <n v="7.8333333333333328E-3"/>
    <n v="9.0466666666666667E-2"/>
  </r>
  <r>
    <s v="NIFTY 50"/>
    <s v="Long"/>
    <x v="180"/>
    <n v="21441.35"/>
    <x v="180"/>
    <n v="21517.35"/>
    <n v="3.5000000000000001E-3"/>
    <n v="8"/>
    <n v="1.5E-3"/>
    <n v="1.3333333333333333E-3"/>
    <n v="6.6666666666666654E-4"/>
  </r>
  <r>
    <s v="NIFTY 50"/>
    <s v="Long"/>
    <x v="181"/>
    <n v="21894.55"/>
    <x v="181"/>
    <n v="21571.95"/>
    <n v="-1.47E-2"/>
    <n v="5"/>
    <n v="1.5E-3"/>
    <n v="8.3333333333333328E-4"/>
    <n v="-1.7033333333333331E-2"/>
  </r>
  <r>
    <s v="NIFTY 50"/>
    <s v="Long"/>
    <x v="182"/>
    <n v="21737.599999999999"/>
    <x v="182"/>
    <n v="21616.05"/>
    <n v="-5.5999999999999999E-3"/>
    <n v="14"/>
    <n v="1.5E-3"/>
    <n v="2.3333333333333335E-3"/>
    <n v="-9.4333333333333335E-3"/>
  </r>
  <r>
    <s v="NIFTY 50"/>
    <s v="Long"/>
    <x v="183"/>
    <n v="21910.75"/>
    <x v="183"/>
    <n v="21951.15"/>
    <n v="1.8E-3"/>
    <n v="13"/>
    <n v="1.5E-3"/>
    <n v="2.166666666666667E-3"/>
    <n v="-1.8666666666666671E-3"/>
  </r>
  <r>
    <s v="NIFTY 50"/>
    <s v="Long"/>
    <x v="184"/>
    <n v="22338.75"/>
    <x v="184"/>
    <n v="22332.65"/>
    <n v="-2.9999999999999997E-4"/>
    <n v="10"/>
    <n v="1.5E-3"/>
    <n v="1.6666666666666666E-3"/>
    <n v="-3.4666666666666665E-3"/>
  </r>
  <r>
    <s v="NIFTY 50"/>
    <s v="Long"/>
    <x v="185"/>
    <n v="22096.75"/>
    <x v="185"/>
    <n v="22519.4"/>
    <n v="1.9099999999999999E-2"/>
    <n v="21"/>
    <n v="1.5E-3"/>
    <n v="3.4999999999999996E-3"/>
    <n v="1.41E-2"/>
  </r>
  <r>
    <s v="NIFTY 50"/>
    <s v="Long"/>
    <x v="186"/>
    <n v="22336.400000000001"/>
    <x v="186"/>
    <n v="22442.7"/>
    <n v="4.7999999999999996E-3"/>
    <n v="14"/>
    <n v="1.5E-3"/>
    <n v="2.3333333333333335E-3"/>
    <n v="9.6666666666666602E-4"/>
  </r>
  <r>
    <s v="NIFTY 50"/>
    <s v="Long"/>
    <x v="187"/>
    <n v="22403.85"/>
    <x v="187"/>
    <n v="22704.7"/>
    <n v="1.34E-2"/>
    <n v="13"/>
    <n v="1.5E-3"/>
    <n v="2.166666666666667E-3"/>
    <n v="9.7333333333333334E-3"/>
  </r>
  <r>
    <s v="NIFTY 50"/>
    <s v="Long"/>
    <x v="188"/>
    <n v="23263.9"/>
    <x v="188"/>
    <n v="21884.5"/>
    <n v="-5.9299999999999999E-2"/>
    <n v="1"/>
    <n v="1.5E-3"/>
    <n v="1.6666666666666666E-4"/>
    <n v="-6.0966666666666662E-2"/>
  </r>
  <r>
    <s v="NIFTY 50"/>
    <s v="Long"/>
    <x v="189"/>
    <n v="23290.15"/>
    <x v="189"/>
    <n v="24413.5"/>
    <n v="4.82E-2"/>
    <n v="47"/>
    <n v="1.5E-3"/>
    <n v="7.8333333333333328E-3"/>
    <n v="3.8866666666666667E-2"/>
  </r>
  <r>
    <s v="NIFTY 50"/>
    <s v="Long"/>
    <x v="190"/>
    <n v="24834.85"/>
    <x v="190"/>
    <n v="24717.7"/>
    <n v="-4.7000000000000002E-3"/>
    <n v="7"/>
    <n v="1.5E-3"/>
    <n v="1.1666666666666668E-3"/>
    <n v="-7.3666666666666672E-3"/>
  </r>
  <r>
    <s v="NIFTY 50"/>
    <s v="Long"/>
    <x v="191"/>
    <n v="24541.15"/>
    <x v="191"/>
    <n v="25145.1"/>
    <n v="2.46E-2"/>
    <n v="20"/>
    <n v="1.5E-3"/>
    <n v="3.3333333333333331E-3"/>
    <n v="1.9766666666666668E-2"/>
  </r>
  <r>
    <s v="NIFTY 50"/>
    <s v="Long"/>
    <x v="192"/>
    <n v="25388.9"/>
    <x v="192"/>
    <n v="25810.85"/>
    <n v="1.66E-2"/>
    <n v="18"/>
    <n v="1.5E-3"/>
    <n v="3.0000000000000001E-3"/>
    <n v="1.21E-2"/>
  </r>
  <r>
    <s v="NIFTY 50"/>
    <s v="Long"/>
    <x v="193"/>
    <n v="22795.9"/>
    <x v="193"/>
    <n v="22553.35"/>
    <n v="-1.06E-2"/>
    <n v="3"/>
    <n v="1.5E-3"/>
    <n v="5.0000000000000001E-4"/>
    <n v="-1.26E-2"/>
  </r>
  <r>
    <s v="NIFTY 50"/>
    <s v="Long"/>
    <x v="194"/>
    <n v="22337.3"/>
    <x v="194"/>
    <n v="23165.7"/>
    <n v="3.7100000000000001E-2"/>
    <n v="27"/>
    <n v="1.5E-3"/>
    <n v="4.5000000000000005E-3"/>
    <n v="3.1100000000000003E-2"/>
  </r>
  <r>
    <s v="NIFTY 50"/>
    <s v="Long"/>
    <x v="195"/>
    <n v="22535.85"/>
    <x v="195"/>
    <n v="24008"/>
    <n v="6.5299999999999997E-2"/>
    <n v="31"/>
    <n v="1.5E-3"/>
    <n v="5.1666666666666675E-3"/>
    <n v="5.8633333333333329E-2"/>
  </r>
  <r>
    <s v="NIFTY 50"/>
    <s v="Long"/>
    <x v="196"/>
    <n v="24924.7"/>
    <x v="196"/>
    <n v="24609.7"/>
    <n v="-1.26E-2"/>
    <n v="10"/>
    <n v="1.5E-3"/>
    <n v="1.6666666666666666E-3"/>
    <n v="-1.5766666666666665E-2"/>
  </r>
  <r>
    <s v="NIFTY 50"/>
    <s v="Long"/>
    <x v="197"/>
    <n v="24853.15"/>
    <x v="197"/>
    <n v="24542.5"/>
    <n v="-1.2500000000000001E-2"/>
    <n v="11"/>
    <n v="1.5E-3"/>
    <n v="1.8333333333333333E-3"/>
    <n v="-1.5833333333333335E-2"/>
  </r>
  <r>
    <s v="NIFTY 50"/>
    <s v="Long"/>
    <x v="198"/>
    <n v="25003.05"/>
    <x v="198"/>
    <n v="24888.2"/>
    <n v="-4.5999999999999999E-3"/>
    <n v="6"/>
    <n v="1.5E-3"/>
    <n v="1E-3"/>
    <n v="-7.1000000000000004E-3"/>
  </r>
  <r>
    <s v="NIFTY 50"/>
    <s v="Long"/>
    <x v="199"/>
    <n v="24946.5"/>
    <x v="199"/>
    <n v="25355.25"/>
    <n v="1.6400000000000001E-2"/>
    <n v="24"/>
    <n v="1.5E-3"/>
    <n v="4.0000000000000001E-3"/>
    <n v="1.0900000000000002E-2"/>
  </r>
  <r>
    <s v="NIFTY 50"/>
    <s v="Long"/>
    <x v="200"/>
    <n v="25219.9"/>
    <x v="200"/>
    <n v="24837"/>
    <n v="-1.52E-2"/>
    <n v="2"/>
    <n v="1.5E-3"/>
    <n v="3.3333333333333332E-4"/>
    <n v="-1.7033333333333334E-2"/>
  </r>
  <r>
    <s v="NIFTY 50"/>
    <s v="Long"/>
    <x v="201"/>
    <n v="24876.95"/>
    <x v="201"/>
    <n v="24870.1"/>
    <n v="-2.9999999999999997E-4"/>
    <n v="4"/>
    <n v="1.5E-3"/>
    <n v="6.6666666666666664E-4"/>
    <n v="-2.4666666666666665E-3"/>
  </r>
  <r>
    <s v="NIFTY 50"/>
    <s v="Long"/>
    <x v="202"/>
    <n v="24715.05"/>
    <x v="202"/>
    <n v="25202.35"/>
    <n v="1.9699999999999999E-2"/>
    <n v="19"/>
    <n v="1.5E-3"/>
    <n v="3.1666666666666666E-3"/>
    <n v="1.5033333333333333E-2"/>
  </r>
  <r>
    <s v="NIFTY 50"/>
    <s v="Long"/>
    <x v="203"/>
    <n v="24894.25"/>
    <x v="203"/>
    <n v="25722.1"/>
    <n v="3.3300000000000003E-2"/>
    <n v="28"/>
    <n v="1.5E-3"/>
    <n v="4.6666666666666671E-3"/>
    <n v="2.7133333333333336E-2"/>
  </r>
  <r>
    <s v="NIFTY 50"/>
    <s v="Long"/>
    <x v="204"/>
    <n v="25694.95"/>
    <x v="204"/>
    <n v="25959.5"/>
    <n v="1.03E-2"/>
    <n v="13"/>
    <n v="1.5E-3"/>
    <n v="2.166666666666667E-3"/>
    <n v="6.6333333333333331E-3"/>
  </r>
  <r>
    <s v="NIFTY 50"/>
    <s v="Long"/>
    <x v="205"/>
    <n v="26205.3"/>
    <x v="205"/>
    <n v="25986"/>
    <n v="-8.3999999999999995E-3"/>
    <n v="7"/>
    <n v="1.5E-3"/>
    <n v="1.1666666666666668E-3"/>
    <n v="-1.1066666666666666E-2"/>
  </r>
  <r>
    <s v="NIFTY 50"/>
    <s v="Long"/>
    <x v="206"/>
    <n v="26186.45"/>
    <x v="206"/>
    <n v="25839.65"/>
    <n v="-1.32E-2"/>
    <n v="4"/>
    <n v="1.5E-3"/>
    <n v="6.6666666666666664E-4"/>
    <n v="-1.5366666666666667E-2"/>
  </r>
  <r>
    <s v="NIFTY 50"/>
    <s v="Long"/>
    <x v="207"/>
    <n v="26046.95"/>
    <x v="207"/>
    <n v="25942.1"/>
    <n v="-4.0000000000000001E-3"/>
    <n v="17"/>
    <n v="1.5E-3"/>
    <n v="2.8333333333333331E-3"/>
    <n v="-8.3333333333333332E-3"/>
  </r>
  <r>
    <s v="NIFTY 50"/>
    <s v="Long"/>
    <x v="208"/>
    <n v="26129.599999999999"/>
    <x v="208"/>
    <n v="25876.85"/>
    <n v="-9.7000000000000003E-3"/>
    <n v="8"/>
    <n v="1.5E-3"/>
    <n v="1.3333333333333333E-3"/>
    <n v="-1.2533333333333334E-2"/>
  </r>
  <r>
    <m/>
    <m/>
    <x v="209"/>
    <m/>
    <x v="209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0">
  <r>
    <s v="NIFTY 50"/>
    <s v="Long"/>
    <x v="0"/>
    <n v="2693.45"/>
    <d v="2008-12-26T00:00:00"/>
    <n v="2857.25"/>
    <n v="6.08E-2"/>
    <n v="35"/>
    <n v="1.5E-3"/>
    <n v="5.8333333333333336E-3"/>
    <n v="5.3466666666666662E-2"/>
  </r>
  <r>
    <s v="NIFTY 50"/>
    <s v="Long"/>
    <x v="1"/>
    <n v="3121.45"/>
    <d v="2009-01-12T00:00:00"/>
    <n v="2773.1"/>
    <n v="-0.1116"/>
    <n v="7"/>
    <n v="1.5E-3"/>
    <n v="1.1666666666666668E-3"/>
    <n v="-0.11426666666666667"/>
  </r>
  <r>
    <s v="NIFTY 50"/>
    <s v="Long"/>
    <x v="2"/>
    <n v="2919.9"/>
    <d v="2009-02-17T00:00:00"/>
    <n v="2770.5"/>
    <n v="-5.1200000000000002E-2"/>
    <n v="8"/>
    <n v="1.5E-3"/>
    <n v="1.3333333333333333E-3"/>
    <n v="-5.4033333333333336E-2"/>
  </r>
  <r>
    <s v="NIFTY 50"/>
    <s v="Long"/>
    <x v="3"/>
    <n v="2777.25"/>
    <d v="2009-07-06T00:00:00"/>
    <n v="4165.7"/>
    <n v="0.49990000000000001"/>
    <n v="112"/>
    <n v="1.5E-3"/>
    <n v="1.8666666666666668E-2"/>
    <n v="0.47973333333333334"/>
  </r>
  <r>
    <s v="NIFTY 50"/>
    <s v="Long"/>
    <x v="4"/>
    <n v="4233.5"/>
    <d v="2009-10-27T00:00:00"/>
    <n v="4846.7"/>
    <n v="0.14480000000000001"/>
    <n v="104"/>
    <n v="1.5E-3"/>
    <n v="1.7333333333333336E-2"/>
    <n v="0.12596666666666667"/>
  </r>
  <r>
    <s v="NIFTY 50"/>
    <s v="Long"/>
    <x v="5"/>
    <n v="5003.95"/>
    <d v="2009-11-27T00:00:00"/>
    <n v="4941.75"/>
    <n v="-1.24E-2"/>
    <n v="16"/>
    <n v="1.5E-3"/>
    <n v="2.6666666666666666E-3"/>
    <n v="-1.6566666666666667E-2"/>
  </r>
  <r>
    <s v="NIFTY 50"/>
    <s v="Long"/>
    <x v="6"/>
    <n v="5122"/>
    <d v="2010-01-22T00:00:00"/>
    <n v="5036"/>
    <n v="-1.6799999999999999E-2"/>
    <n v="52"/>
    <n v="1.5E-3"/>
    <n v="8.666666666666668E-3"/>
    <n v="-2.6966666666666667E-2"/>
  </r>
  <r>
    <s v="NIFTY 50"/>
    <s v="Long"/>
    <x v="7"/>
    <n v="5017"/>
    <d v="2010-05-05T00:00:00"/>
    <n v="5124.8999999999996"/>
    <n v="2.1499999999999998E-2"/>
    <n v="64"/>
    <n v="1.5E-3"/>
    <n v="1.0666666666666666E-2"/>
    <n v="9.3333333333333324E-3"/>
  </r>
  <r>
    <s v="NIFTY 50"/>
    <s v="Long"/>
    <x v="8"/>
    <n v="5110.5"/>
    <d v="2010-11-16T00:00:00"/>
    <n v="5988.7"/>
    <n v="0.17180000000000001"/>
    <n v="166"/>
    <n v="1.5E-3"/>
    <n v="2.7666666666666666E-2"/>
    <n v="0.14263333333333333"/>
  </r>
  <r>
    <s v="NIFTY 50"/>
    <s v="Long"/>
    <x v="9"/>
    <n v="6060.35"/>
    <d v="2010-12-31T00:00:00"/>
    <n v="6134.5"/>
    <n v="1.2200000000000001E-2"/>
    <n v="2"/>
    <n v="1.5E-3"/>
    <n v="3.3333333333333332E-4"/>
    <n v="1.0366666666666668E-2"/>
  </r>
  <r>
    <s v="NIFTY 50"/>
    <s v="Long"/>
    <x v="10"/>
    <n v="4835.3999999999996"/>
    <d v="2011-11-17T00:00:00"/>
    <n v="4934.75"/>
    <n v="2.0500000000000001E-2"/>
    <n v="52"/>
    <n v="1.5E-3"/>
    <n v="8.666666666666668E-3"/>
    <n v="1.0333333333333333E-2"/>
  </r>
  <r>
    <s v="NIFTY 50"/>
    <s v="Long"/>
    <x v="11"/>
    <n v="4921.3999999999996"/>
    <d v="2012-06-01T00:00:00"/>
    <n v="4841.6000000000004"/>
    <n v="-1.6199999999999999E-2"/>
    <n v="8"/>
    <n v="1.5E-3"/>
    <n v="1.3333333333333333E-3"/>
    <n v="-1.9033333333333333E-2"/>
  </r>
  <r>
    <s v="NIFTY 50"/>
    <s v="Long"/>
    <x v="12"/>
    <n v="4997.1000000000004"/>
    <d v="2012-07-23T00:00:00"/>
    <n v="5117.95"/>
    <n v="2.4199999999999999E-2"/>
    <n v="47"/>
    <n v="1.5E-3"/>
    <n v="7.8333333333333328E-3"/>
    <n v="1.4866666666666667E-2"/>
  </r>
  <r>
    <s v="NIFTY 50"/>
    <s v="Long"/>
    <x v="13"/>
    <n v="5229"/>
    <d v="2012-09-05T00:00:00"/>
    <n v="5225.7"/>
    <n v="-5.9999999999999995E-4"/>
    <n v="36"/>
    <n v="1.5E-3"/>
    <n v="6.0000000000000001E-3"/>
    <n v="-8.0999999999999996E-3"/>
  </r>
  <r>
    <s v="NIFTY 50"/>
    <s v="Long"/>
    <x v="14"/>
    <n v="5358.7"/>
    <d v="2013-02-21T00:00:00"/>
    <n v="5852.25"/>
    <n v="9.2100000000000001E-2"/>
    <n v="166"/>
    <n v="1.5E-3"/>
    <n v="2.7666666666666666E-2"/>
    <n v="6.2933333333333341E-2"/>
  </r>
  <r>
    <s v="NIFTY 50"/>
    <s v="Long"/>
    <x v="15"/>
    <n v="5471.75"/>
    <d v="2013-11-12T00:00:00"/>
    <n v="6018.05"/>
    <n v="9.98E-2"/>
    <n v="81"/>
    <n v="1.5E-3"/>
    <n v="1.3500000000000002E-2"/>
    <n v="8.48E-2"/>
  </r>
  <r>
    <s v="NIFTY 50"/>
    <s v="Long"/>
    <x v="16"/>
    <n v="6189"/>
    <d v="2013-11-21T00:00:00"/>
    <n v="5999.05"/>
    <n v="-3.0700000000000002E-2"/>
    <n v="3"/>
    <n v="1.5E-3"/>
    <n v="5.0000000000000001E-4"/>
    <n v="-3.27E-2"/>
  </r>
  <r>
    <s v="NIFTY 50"/>
    <s v="Long"/>
    <x v="17"/>
    <n v="6217.85"/>
    <d v="2014-01-27T00:00:00"/>
    <n v="6135.85"/>
    <n v="-1.32E-2"/>
    <n v="56"/>
    <n v="1.5E-3"/>
    <n v="9.3333333333333341E-3"/>
    <n v="-2.4033333333333334E-2"/>
  </r>
  <r>
    <s v="NIFTY 50"/>
    <s v="Long"/>
    <x v="18"/>
    <n v="6127.1"/>
    <d v="2014-07-11T00:00:00"/>
    <n v="7459.6"/>
    <n v="0.2175"/>
    <n v="143"/>
    <n v="1.5E-3"/>
    <n v="2.3833333333333335E-2"/>
    <n v="0.19216666666666665"/>
  </r>
  <r>
    <s v="NIFTY 50"/>
    <s v="Long"/>
    <x v="19"/>
    <n v="7767.85"/>
    <d v="2014-08-01T00:00:00"/>
    <n v="7602.6"/>
    <n v="-2.1299999999999999E-2"/>
    <n v="10"/>
    <n v="1.5E-3"/>
    <n v="1.6666666666666666E-3"/>
    <n v="-2.4466666666666664E-2"/>
  </r>
  <r>
    <s v="NIFTY 50"/>
    <s v="Long"/>
    <x v="20"/>
    <n v="7791.7"/>
    <d v="2014-10-07T00:00:00"/>
    <n v="7852.3990000000003"/>
    <n v="7.7999999999999996E-3"/>
    <n v="54"/>
    <n v="1.5E-3"/>
    <n v="9.0000000000000011E-3"/>
    <n v="-2.700000000000001E-3"/>
  </r>
  <r>
    <s v="NIFTY 50"/>
    <s v="Long"/>
    <x v="21"/>
    <n v="7995.9"/>
    <d v="2014-12-12T00:00:00"/>
    <n v="8224.1"/>
    <n v="2.8500000000000001E-2"/>
    <n v="51"/>
    <n v="1.5E-3"/>
    <n v="8.5000000000000006E-3"/>
    <n v="1.8500000000000003E-2"/>
  </r>
  <r>
    <s v="NIFTY 50"/>
    <s v="Long"/>
    <x v="22"/>
    <n v="8324"/>
    <d v="2015-01-06T00:00:00"/>
    <n v="8127.3509999999997"/>
    <n v="-2.3599999999999999E-2"/>
    <n v="15"/>
    <n v="1.5E-3"/>
    <n v="2.5000000000000001E-3"/>
    <n v="-2.76E-2"/>
  </r>
  <r>
    <s v="NIFTY 50"/>
    <s v="Long"/>
    <x v="23"/>
    <n v="8494.15"/>
    <d v="2015-02-09T00:00:00"/>
    <n v="8526.35"/>
    <n v="3.8E-3"/>
    <n v="25"/>
    <n v="1.5E-3"/>
    <n v="4.1666666666666666E-3"/>
    <n v="-1.8666666666666671E-3"/>
  </r>
  <r>
    <s v="NIFTY 50"/>
    <s v="Long"/>
    <x v="24"/>
    <n v="8805.5"/>
    <d v="2015-03-11T00:00:00"/>
    <n v="8699.9500000000007"/>
    <n v="-1.2E-2"/>
    <n v="26"/>
    <n v="1.5E-3"/>
    <n v="4.333333333333334E-3"/>
    <n v="-1.7833333333333333E-2"/>
  </r>
  <r>
    <s v="NIFTY 50"/>
    <s v="Long"/>
    <x v="25"/>
    <n v="8586.25"/>
    <d v="2015-04-20T00:00:00"/>
    <n v="8448.1"/>
    <n v="-1.61E-2"/>
    <n v="19"/>
    <n v="1.5E-3"/>
    <n v="3.1666666666666666E-3"/>
    <n v="-2.0766666666666666E-2"/>
  </r>
  <r>
    <s v="NIFTY 50"/>
    <s v="Long"/>
    <x v="26"/>
    <n v="8373.65"/>
    <d v="2015-06-02T00:00:00"/>
    <n v="8236.4500000000007"/>
    <n v="-1.6400000000000001E-2"/>
    <n v="15"/>
    <n v="1.5E-3"/>
    <n v="2.5000000000000001E-3"/>
    <n v="-2.0400000000000001E-2"/>
  </r>
  <r>
    <s v="NIFTY 50"/>
    <s v="Long"/>
    <x v="27"/>
    <n v="8224.9500000000007"/>
    <d v="2015-08-21T00:00:00"/>
    <n v="8299.9500000000007"/>
    <n v="9.1000000000000004E-3"/>
    <n v="63"/>
    <n v="1.5E-3"/>
    <n v="1.0500000000000001E-2"/>
    <n v="-2.8999999999999998E-3"/>
  </r>
  <r>
    <s v="NIFTY 50"/>
    <s v="Long"/>
    <x v="28"/>
    <n v="7109.55"/>
    <d v="2016-09-29T00:00:00"/>
    <n v="8591.25"/>
    <n v="0.2084"/>
    <n v="219"/>
    <n v="1.5E-3"/>
    <n v="3.6499999999999998E-2"/>
    <n v="0.1704"/>
  </r>
  <r>
    <s v="NIFTY 50"/>
    <s v="Long"/>
    <x v="29"/>
    <n v="7985.75"/>
    <d v="2017-08-11T00:00:00"/>
    <n v="9710.7999999999993"/>
    <n v="0.216"/>
    <n v="231"/>
    <n v="1.5E-3"/>
    <n v="3.85E-2"/>
    <n v="0.17599999999999999"/>
  </r>
  <r>
    <s v="NIFTY 50"/>
    <s v="Long"/>
    <x v="30"/>
    <n v="9974.4"/>
    <d v="2017-09-25T00:00:00"/>
    <n v="9872.6"/>
    <n v="-1.0200000000000001E-2"/>
    <n v="24"/>
    <n v="1.5E-3"/>
    <n v="4.0000000000000001E-3"/>
    <n v="-1.5699999999999999E-2"/>
  </r>
  <r>
    <s v="NIFTY 50"/>
    <s v="Long"/>
    <x v="31"/>
    <n v="10096.4"/>
    <d v="2017-11-15T00:00:00"/>
    <n v="10118.049999999999"/>
    <n v="2.0999999999999999E-3"/>
    <n v="34"/>
    <n v="1.5E-3"/>
    <n v="5.6666666666666662E-3"/>
    <n v="-5.0666666666666672E-3"/>
  </r>
  <r>
    <s v="NIFTY 50"/>
    <s v="Long"/>
    <x v="32"/>
    <n v="10326.9"/>
    <d v="2017-11-30T00:00:00"/>
    <n v="10226.549999999999"/>
    <n v="-9.7000000000000003E-3"/>
    <n v="9"/>
    <n v="1.5E-3"/>
    <n v="1.5E-3"/>
    <n v="-1.2699999999999999E-2"/>
  </r>
  <r>
    <s v="NIFTY 50"/>
    <s v="Long"/>
    <x v="33"/>
    <n v="10322.25"/>
    <d v="2018-02-05T00:00:00"/>
    <n v="10666.55"/>
    <n v="3.3399999999999999E-2"/>
    <n v="56"/>
    <n v="1.5E-3"/>
    <n v="9.3333333333333341E-3"/>
    <n v="2.2566666666666665E-2"/>
  </r>
  <r>
    <s v="NIFTY 50"/>
    <s v="Long"/>
    <x v="34"/>
    <n v="10791.65"/>
    <d v="2019-05-08T00:00:00"/>
    <n v="11359.45"/>
    <n v="5.2600000000000001E-2"/>
    <n v="75"/>
    <n v="1.5E-3"/>
    <n v="1.2500000000000001E-2"/>
    <n v="3.8600000000000002E-2"/>
  </r>
  <r>
    <s v="NIFTY 50"/>
    <s v="Long"/>
    <x v="35"/>
    <n v="10829.35"/>
    <d v="2019-09-17T00:00:00"/>
    <n v="10817.6"/>
    <n v="-1.1000000000000001E-3"/>
    <n v="25"/>
    <n v="1.5E-3"/>
    <n v="4.1666666666666666E-3"/>
    <n v="-6.7666666666666674E-3"/>
  </r>
  <r>
    <s v="NIFTY 50"/>
    <s v="Long"/>
    <x v="36"/>
    <n v="11274.2"/>
    <d v="2020-01-28T00:00:00"/>
    <n v="12055.8"/>
    <n v="6.93E-2"/>
    <n v="130"/>
    <n v="1.5E-3"/>
    <n v="2.1666666666666664E-2"/>
    <n v="4.6133333333333332E-2"/>
  </r>
  <r>
    <s v="NIFTY 50"/>
    <s v="Long"/>
    <x v="37"/>
    <n v="12089.15"/>
    <d v="2020-02-24T00:00:00"/>
    <n v="11829.4"/>
    <n v="-2.1499999999999998E-2"/>
    <n v="19"/>
    <n v="1.5E-3"/>
    <n v="3.1666666666666666E-3"/>
    <n v="-2.6166666666666664E-2"/>
  </r>
  <r>
    <s v="NIFTY 50"/>
    <s v="Long"/>
    <x v="38"/>
    <n v="7801.05"/>
    <d v="2020-05-04T00:00:00"/>
    <n v="9293.5"/>
    <n v="0.1913"/>
    <n v="41"/>
    <n v="1.5E-3"/>
    <n v="6.8333333333333336E-3"/>
    <n v="0.18296666666666667"/>
  </r>
  <r>
    <s v="NIFTY 50"/>
    <s v="Long"/>
    <x v="39"/>
    <n v="9490.1"/>
    <d v="2020-09-22T00:00:00"/>
    <n v="11153.65"/>
    <n v="0.17530000000000001"/>
    <n v="117"/>
    <n v="1.5E-3"/>
    <n v="1.95E-2"/>
    <n v="0.15430000000000002"/>
  </r>
  <r>
    <s v="NIFTY 50"/>
    <s v="Long"/>
    <x v="40"/>
    <n v="11416.95"/>
    <d v="2021-01-28T00:00:00"/>
    <n v="13817.55"/>
    <n v="0.21029999999999999"/>
    <n v="119"/>
    <n v="1.5E-3"/>
    <n v="1.9833333333333335E-2"/>
    <n v="0.18896666666666664"/>
  </r>
  <r>
    <s v="NIFTY 50"/>
    <s v="Long"/>
    <x v="41"/>
    <n v="14647.85"/>
    <d v="2021-02-26T00:00:00"/>
    <n v="14529.15"/>
    <n v="-8.0999999999999996E-3"/>
    <n v="24"/>
    <n v="1.5E-3"/>
    <n v="4.0000000000000001E-3"/>
    <n v="-1.3599999999999999E-2"/>
  </r>
  <r>
    <s v="NIFTY 50"/>
    <s v="Long"/>
    <x v="42"/>
    <n v="15245.6"/>
    <d v="2021-03-17T00:00:00"/>
    <n v="14721.3"/>
    <n v="-3.44E-2"/>
    <n v="14"/>
    <n v="1.5E-3"/>
    <n v="2.3333333333333335E-3"/>
    <n v="-3.8233333333333334E-2"/>
  </r>
  <r>
    <s v="NIFTY 50"/>
    <s v="Long"/>
    <x v="43"/>
    <n v="14864.55"/>
    <d v="2021-05-04T00:00:00"/>
    <n v="14496.5"/>
    <n v="-2.4799999999999999E-2"/>
    <n v="6"/>
    <n v="1.5E-3"/>
    <n v="1E-3"/>
    <n v="-2.7299999999999998E-2"/>
  </r>
  <r>
    <s v="NIFTY 50"/>
    <s v="Long"/>
    <x v="44"/>
    <n v="15108.1"/>
    <d v="2021-10-29T00:00:00"/>
    <n v="17671.650000000001"/>
    <n v="0.16969999999999999"/>
    <n v="164"/>
    <n v="1.5E-3"/>
    <n v="2.7333333333333334E-2"/>
    <n v="0.14086666666666664"/>
  </r>
  <r>
    <s v="NIFTY 50"/>
    <s v="Long"/>
    <x v="45"/>
    <n v="15699.25"/>
    <d v="2022-08-29T00:00:00"/>
    <n v="17312.900000000001"/>
    <n v="0.1028"/>
    <n v="66"/>
    <n v="1.5E-3"/>
    <n v="1.1000000000000001E-2"/>
    <n v="9.0300000000000005E-2"/>
  </r>
  <r>
    <s v="NIFTY 50"/>
    <s v="Long"/>
    <x v="46"/>
    <n v="17759.3"/>
    <d v="2022-09-16T00:00:00"/>
    <n v="17530.849999999999"/>
    <n v="-1.29E-2"/>
    <n v="17"/>
    <n v="1.5E-3"/>
    <n v="2.8333333333333331E-3"/>
    <n v="-1.7233333333333333E-2"/>
  </r>
  <r>
    <s v="NIFTY 50"/>
    <s v="Long"/>
    <x v="47"/>
    <n v="17486.95"/>
    <d v="2022-12-22T00:00:00"/>
    <n v="18127.349999999999"/>
    <n v="3.6600000000000001E-2"/>
    <n v="65"/>
    <n v="1.5E-3"/>
    <n v="1.0833333333333332E-2"/>
    <n v="2.4266666666666669E-2"/>
  </r>
  <r>
    <s v="NIFTY 50"/>
    <s v="Long"/>
    <x v="48"/>
    <n v="17554.3"/>
    <d v="2023-03-13T00:00:00"/>
    <n v="17154.3"/>
    <n v="-2.2800000000000001E-2"/>
    <n v="19"/>
    <n v="1.5E-3"/>
    <n v="3.1666666666666666E-3"/>
    <n v="-2.7466666666666667E-2"/>
  </r>
  <r>
    <s v="NIFTY 50"/>
    <s v="Long"/>
    <x v="49"/>
    <n v="17359.75"/>
    <d v="2023-09-28T00:00:00"/>
    <n v="19523.55"/>
    <n v="0.1246"/>
    <n v="181"/>
    <n v="1.5E-3"/>
    <n v="3.0166666666666668E-2"/>
    <n v="9.293333333333334E-2"/>
  </r>
  <r>
    <s v="NIFTY 50"/>
    <s v="Long"/>
    <x v="50"/>
    <n v="19811.349999999999"/>
    <d v="2023-10-20T00:00:00"/>
    <n v="19542.650000000001"/>
    <n v="-1.3599999999999999E-2"/>
    <n v="9"/>
    <n v="1.5E-3"/>
    <n v="1.5E-3"/>
    <n v="-1.66E-2"/>
  </r>
  <r>
    <s v="NIFTY 50"/>
    <s v="Long"/>
    <x v="51"/>
    <n v="19411.75"/>
    <d v="2024-01-23T00:00:00"/>
    <n v="21238.799999999999"/>
    <n v="9.4100000000000003E-2"/>
    <n v="78"/>
    <n v="1.5E-3"/>
    <n v="1.3000000000000001E-2"/>
    <n v="7.9600000000000004E-2"/>
  </r>
  <r>
    <s v="NIFTY 50"/>
    <s v="Long"/>
    <x v="52"/>
    <n v="22040.7"/>
    <d v="2024-03-13T00:00:00"/>
    <n v="21997.7"/>
    <n v="-2E-3"/>
    <n v="26"/>
    <n v="1.5E-3"/>
    <n v="4.333333333333334E-3"/>
    <n v="-7.8333333333333345E-3"/>
  </r>
  <r>
    <s v="NIFTY 50"/>
    <s v="Long"/>
    <x v="53"/>
    <n v="22326.9"/>
    <d v="2024-04-18T00:00:00"/>
    <n v="21995.85"/>
    <n v="-1.4800000000000001E-2"/>
    <n v="21"/>
    <n v="1.5E-3"/>
    <n v="3.4999999999999996E-3"/>
    <n v="-1.9799999999999998E-2"/>
  </r>
  <r>
    <s v="NIFTY 50"/>
    <s v="Long"/>
    <x v="54"/>
    <n v="22570.35"/>
    <d v="2024-05-09T00:00:00"/>
    <n v="21957.5"/>
    <n v="-2.7199999999999998E-2"/>
    <n v="14"/>
    <n v="1.5E-3"/>
    <n v="2.3333333333333335E-3"/>
    <n v="-3.1033333333333333E-2"/>
  </r>
  <r>
    <s v="NIFTY 50"/>
    <s v="Long"/>
    <x v="55"/>
    <n v="22529.05"/>
    <d v="2024-05-30T00:00:00"/>
    <n v="22488.65"/>
    <n v="-1.8E-3"/>
    <n v="9"/>
    <n v="1.5E-3"/>
    <n v="1.5E-3"/>
    <n v="-4.8000000000000004E-3"/>
  </r>
  <r>
    <s v="NIFTY 50"/>
    <s v="Long"/>
    <x v="56"/>
    <n v="23263.9"/>
    <d v="2024-06-04T00:00:00"/>
    <n v="21884.5"/>
    <n v="-5.9299999999999999E-2"/>
    <n v="1"/>
    <n v="1.5E-3"/>
    <n v="1.6666666666666666E-4"/>
    <n v="-6.0966666666666662E-2"/>
  </r>
  <r>
    <s v="NIFTY 50"/>
    <s v="Long"/>
    <x v="57"/>
    <n v="23721.3"/>
    <d v="2024-08-05T00:00:00"/>
    <n v="24055.599999999999"/>
    <n v="1.41E-2"/>
    <n v="41"/>
    <n v="1.5E-3"/>
    <n v="6.8333333333333336E-3"/>
    <n v="5.7666666666666665E-3"/>
  </r>
  <r>
    <s v="NIFTY 50"/>
    <s v="Long"/>
    <x v="58"/>
    <n v="24698.85"/>
    <d v="2024-10-03T00:00:00"/>
    <n v="25250.1"/>
    <n v="2.23E-2"/>
    <n v="44"/>
    <n v="1.5E-3"/>
    <n v="7.3333333333333332E-3"/>
    <n v="1.3466666666666667E-2"/>
  </r>
  <r>
    <s v="NIFTY 50"/>
    <s v="Long"/>
    <x v="59"/>
    <n v="22795.9"/>
    <d v="2025-02-28T00:00:00"/>
    <n v="22124.7"/>
    <n v="-2.9399999999999999E-2"/>
    <n v="7"/>
    <n v="1.5E-3"/>
    <n v="1.1666666666666668E-3"/>
    <n v="-3.2066666666666667E-2"/>
  </r>
  <r>
    <s v="NIFTY 50"/>
    <s v="Long"/>
    <x v="60"/>
    <n v="22544.7"/>
    <d v="2025-04-07T00:00:00"/>
    <n v="22161.599999999999"/>
    <n v="-1.7000000000000001E-2"/>
    <n v="32"/>
    <n v="1.5E-3"/>
    <n v="5.3333333333333332E-3"/>
    <n v="-2.3833333333333335E-2"/>
  </r>
  <r>
    <s v="NIFTY 50"/>
    <s v="Long"/>
    <x v="61"/>
    <n v="23328.55"/>
    <d v="2025-07-25T00:00:00"/>
    <n v="24837"/>
    <n v="6.4699999999999994E-2"/>
    <n v="101"/>
    <n v="1.5E-3"/>
    <n v="1.6833333333333336E-2"/>
    <n v="4.6366666666666653E-2"/>
  </r>
  <r>
    <s v="NIFTY 50"/>
    <s v="Long"/>
    <x v="62"/>
    <n v="24876.95"/>
    <d v="2025-08-26T00:00:00"/>
    <n v="24712.05"/>
    <n v="-6.6E-3"/>
    <n v="8"/>
    <n v="1.5E-3"/>
    <n v="1.3333333333333333E-3"/>
    <n v="-9.4333333333333335E-3"/>
  </r>
  <r>
    <s v="NIFTY 50"/>
    <s v="Long"/>
    <x v="63"/>
    <n v="24973.1"/>
    <d v="2025-09-26T00:00:00"/>
    <n v="24654.7"/>
    <n v="-1.2699999999999999E-2"/>
    <n v="16"/>
    <n v="1.5E-3"/>
    <n v="2.6666666666666666E-3"/>
    <n v="-1.6866666666666665E-2"/>
  </r>
  <r>
    <s v="NIFTY 50"/>
    <s v="Long"/>
    <x v="64"/>
    <n v="25077.65"/>
    <d v="2026-01-19T00:00:00"/>
    <n v="25585.5"/>
    <n v="2.0299999999999999E-2"/>
    <n v="105"/>
    <n v="1.5E-3"/>
    <n v="1.7500000000000002E-2"/>
    <n v="1.2999999999999956E-3"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  <r>
    <m/>
    <m/>
    <x v="65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0">
  <r>
    <s v="NIFTY 50"/>
    <s v="Long"/>
    <x v="0"/>
    <n v="2693.45"/>
    <d v="2008-12-24T00:00:00"/>
    <n v="2916.85"/>
    <n v="8.2900000000000001E-2"/>
    <n v="33"/>
    <n v="1.5E-3"/>
    <n v="5.5000000000000005E-3"/>
    <n v="7.5899999999999995E-2"/>
  </r>
  <r>
    <s v="NIFTY 50"/>
    <s v="Long"/>
    <x v="1"/>
    <n v="2979.5"/>
    <d v="2009-01-12T00:00:00"/>
    <n v="2773.1"/>
    <n v="-6.93E-2"/>
    <n v="13"/>
    <n v="1.5E-3"/>
    <n v="2.166666666666667E-3"/>
    <n v="-7.2966666666666666E-2"/>
  </r>
  <r>
    <s v="NIFTY 50"/>
    <s v="Long"/>
    <x v="2"/>
    <n v="2849.5"/>
    <d v="2009-02-16T00:00:00"/>
    <n v="2848.5"/>
    <n v="-4.0000000000000002E-4"/>
    <n v="19"/>
    <n v="1.5E-3"/>
    <n v="3.1666666666666666E-3"/>
    <n v="-5.0666666666666664E-3"/>
  </r>
  <r>
    <s v="NIFTY 50"/>
    <s v="Long"/>
    <x v="3"/>
    <n v="2785.65"/>
    <d v="2009-03-02T00:00:00"/>
    <n v="2674.6"/>
    <n v="-3.9899999999999998E-2"/>
    <n v="4"/>
    <n v="1.5E-3"/>
    <n v="6.6666666666666664E-4"/>
    <n v="-4.2066666666666662E-2"/>
  </r>
  <r>
    <s v="NIFTY 50"/>
    <s v="Long"/>
    <x v="4"/>
    <n v="2719.25"/>
    <d v="2009-07-06T00:00:00"/>
    <n v="4165.7"/>
    <n v="0.53190000000000004"/>
    <n v="115"/>
    <n v="1.5E-3"/>
    <n v="1.9166666666666669E-2"/>
    <n v="0.51123333333333332"/>
  </r>
  <r>
    <s v="NIFTY 50"/>
    <s v="Long"/>
    <x v="5"/>
    <n v="4111.3999999999996"/>
    <d v="2009-10-27T00:00:00"/>
    <n v="4846.7"/>
    <n v="0.17879999999999999"/>
    <n v="105"/>
    <n v="1.5E-3"/>
    <n v="1.7500000000000002E-2"/>
    <n v="0.1598"/>
  </r>
  <r>
    <s v="NIFTY 50"/>
    <s v="Long"/>
    <x v="6"/>
    <n v="4796.1499999999996"/>
    <d v="2009-11-19T00:00:00"/>
    <n v="4989"/>
    <n v="4.02E-2"/>
    <n v="13"/>
    <n v="1.5E-3"/>
    <n v="2.166666666666667E-3"/>
    <n v="3.6533333333333334E-2"/>
  </r>
  <r>
    <s v="NIFTY 50"/>
    <s v="Long"/>
    <x v="7"/>
    <n v="5103.55"/>
    <d v="2009-11-26T00:00:00"/>
    <n v="5005.55"/>
    <n v="-1.9199999999999998E-2"/>
    <n v="3"/>
    <n v="1.5E-3"/>
    <n v="5.0000000000000001E-4"/>
    <n v="-2.1199999999999997E-2"/>
  </r>
  <r>
    <s v="NIFTY 50"/>
    <s v="Long"/>
    <x v="8"/>
    <n v="5032.7"/>
    <d v="2010-01-22T00:00:00"/>
    <n v="5036"/>
    <n v="6.9999999999999999E-4"/>
    <n v="53"/>
    <n v="1.5E-3"/>
    <n v="8.8333333333333337E-3"/>
    <n v="-9.633333333333334E-3"/>
  </r>
  <r>
    <s v="NIFTY 50"/>
    <s v="Long"/>
    <x v="9"/>
    <n v="4855.75"/>
    <d v="2010-05-05T00:00:00"/>
    <n v="5124.8999999999996"/>
    <n v="5.5399999999999998E-2"/>
    <n v="78"/>
    <n v="1.5E-3"/>
    <n v="1.3000000000000001E-2"/>
    <n v="4.0899999999999999E-2"/>
  </r>
  <r>
    <s v="NIFTY 50"/>
    <s v="Long"/>
    <x v="10"/>
    <n v="5193.6000000000004"/>
    <d v="2010-05-17T00:00:00"/>
    <n v="5059.8999999999996"/>
    <n v="-2.5700000000000001E-2"/>
    <n v="7"/>
    <n v="1.5E-3"/>
    <n v="1.1666666666666668E-3"/>
    <n v="-2.8366666666666669E-2"/>
  </r>
  <r>
    <s v="NIFTY 50"/>
    <s v="Long"/>
    <x v="11"/>
    <n v="5003.1000000000004"/>
    <d v="2010-06-07T00:00:00"/>
    <n v="5034"/>
    <n v="6.1999999999999998E-3"/>
    <n v="11"/>
    <n v="1.5E-3"/>
    <n v="1.8333333333333333E-3"/>
    <n v="2.8666666666666667E-3"/>
  </r>
  <r>
    <s v="NIFTY 50"/>
    <s v="Long"/>
    <x v="12"/>
    <n v="5119.3500000000004"/>
    <d v="2010-11-16T00:00:00"/>
    <n v="5988.7"/>
    <n v="0.16980000000000001"/>
    <n v="158"/>
    <n v="1.5E-3"/>
    <n v="2.6333333333333334E-2"/>
    <n v="0.14196666666666669"/>
  </r>
  <r>
    <s v="NIFTY 50"/>
    <s v="Long"/>
    <x v="13"/>
    <n v="5960.9"/>
    <d v="2010-12-08T00:00:00"/>
    <n v="5903.7"/>
    <n v="-9.5999999999999992E-3"/>
    <n v="7"/>
    <n v="1.5E-3"/>
    <n v="1.1666666666666668E-3"/>
    <n v="-1.2266666666666665E-2"/>
  </r>
  <r>
    <s v="NIFTY 50"/>
    <s v="Long"/>
    <x v="14"/>
    <n v="5944.1"/>
    <d v="2010-12-31T00:00:00"/>
    <n v="6134.5"/>
    <n v="3.2000000000000001E-2"/>
    <n v="17"/>
    <n v="1.5E-3"/>
    <n v="2.8333333333333331E-3"/>
    <n v="2.7666666666666666E-2"/>
  </r>
  <r>
    <s v="NIFTY 50"/>
    <s v="Long"/>
    <x v="15"/>
    <n v="4835.3999999999996"/>
    <d v="2011-10-03T00:00:00"/>
    <n v="4849.5"/>
    <n v="2.8999999999999998E-3"/>
    <n v="7"/>
    <n v="1.5E-3"/>
    <n v="1.1666666666666668E-3"/>
    <n v="2.3333333333333279E-4"/>
  </r>
  <r>
    <s v="NIFTY 50"/>
    <s v="Long"/>
    <x v="16"/>
    <n v="4979.6000000000004"/>
    <d v="2011-11-17T00:00:00"/>
    <n v="4934.75"/>
    <n v="-8.9999999999999993E-3"/>
    <n v="38"/>
    <n v="1.5E-3"/>
    <n v="6.3333333333333332E-3"/>
    <n v="-1.6833333333333332E-2"/>
  </r>
  <r>
    <s v="NIFTY 50"/>
    <s v="Long"/>
    <x v="17"/>
    <n v="4921.3999999999996"/>
    <d v="2012-05-31T00:00:00"/>
    <n v="4924.25"/>
    <n v="5.9999999999999995E-4"/>
    <n v="7"/>
    <n v="1.5E-3"/>
    <n v="1.1666666666666668E-3"/>
    <n v="-2.0666666666666672E-3"/>
  </r>
  <r>
    <s v="NIFTY 50"/>
    <s v="Long"/>
    <x v="18"/>
    <n v="4997.1000000000004"/>
    <d v="2012-07-23T00:00:00"/>
    <n v="5117.95"/>
    <n v="2.4199999999999999E-2"/>
    <n v="47"/>
    <n v="1.5E-3"/>
    <n v="7.8333333333333328E-3"/>
    <n v="1.4866666666666667E-2"/>
  </r>
  <r>
    <s v="NIFTY 50"/>
    <s v="Long"/>
    <x v="19"/>
    <n v="5199.8"/>
    <d v="2012-09-05T00:00:00"/>
    <n v="5225.7"/>
    <n v="5.0000000000000001E-3"/>
    <n v="37"/>
    <n v="1.5E-3"/>
    <n v="6.1666666666666675E-3"/>
    <n v="-2.666666666666667E-3"/>
  </r>
  <r>
    <s v="NIFTY 50"/>
    <s v="Long"/>
    <x v="20"/>
    <n v="5342.1"/>
    <d v="2013-02-21T00:00:00"/>
    <n v="5852.25"/>
    <n v="9.5500000000000002E-2"/>
    <n v="167"/>
    <n v="1.5E-3"/>
    <n v="2.7833333333333331E-2"/>
    <n v="6.6166666666666665E-2"/>
  </r>
  <r>
    <s v="NIFTY 50"/>
    <s v="Long"/>
    <x v="21"/>
    <n v="5471.75"/>
    <d v="2013-08-27T00:00:00"/>
    <n v="5287.45"/>
    <n v="-3.3700000000000001E-2"/>
    <n v="4"/>
    <n v="1.5E-3"/>
    <n v="6.6666666666666664E-4"/>
    <n v="-3.5866666666666665E-2"/>
  </r>
  <r>
    <s v="NIFTY 50"/>
    <s v="Long"/>
    <x v="22"/>
    <n v="5409.05"/>
    <d v="2013-09-03T00:00:00"/>
    <n v="5341.45"/>
    <n v="-1.2500000000000001E-2"/>
    <n v="5"/>
    <n v="1.5E-3"/>
    <n v="8.3333333333333328E-4"/>
    <n v="-1.4833333333333334E-2"/>
  </r>
  <r>
    <s v="NIFTY 50"/>
    <s v="Long"/>
    <x v="23"/>
    <n v="5592.95"/>
    <d v="2013-11-12T00:00:00"/>
    <n v="6018.05"/>
    <n v="7.5999999999999998E-2"/>
    <n v="68"/>
    <n v="1.5E-3"/>
    <n v="1.1333333333333332E-2"/>
    <n v="6.3166666666666663E-2"/>
  </r>
  <r>
    <s v="NIFTY 50"/>
    <s v="Long"/>
    <x v="24"/>
    <n v="6189"/>
    <d v="2013-11-21T00:00:00"/>
    <n v="5999.05"/>
    <n v="-3.0700000000000002E-2"/>
    <n v="3"/>
    <n v="1.5E-3"/>
    <n v="5.0000000000000001E-4"/>
    <n v="-3.27E-2"/>
  </r>
  <r>
    <s v="NIFTY 50"/>
    <s v="Long"/>
    <x v="25"/>
    <n v="6115.35"/>
    <d v="2014-01-27T00:00:00"/>
    <n v="6135.85"/>
    <n v="3.3999999999999998E-3"/>
    <n v="63"/>
    <n v="1.5E-3"/>
    <n v="1.0500000000000001E-2"/>
    <n v="-8.6E-3"/>
  </r>
  <r>
    <s v="NIFTY 50"/>
    <s v="Long"/>
    <x v="26"/>
    <n v="6063.2"/>
    <d v="2014-02-13T00:00:00"/>
    <n v="6001.1"/>
    <n v="-1.0200000000000001E-2"/>
    <n v="6"/>
    <n v="1.5E-3"/>
    <n v="1E-3"/>
    <n v="-1.2700000000000001E-2"/>
  </r>
  <r>
    <s v="NIFTY 50"/>
    <s v="Long"/>
    <x v="27"/>
    <n v="6127.1"/>
    <d v="2014-07-11T00:00:00"/>
    <n v="7459.6"/>
    <n v="0.2175"/>
    <n v="143"/>
    <n v="1.5E-3"/>
    <n v="2.3833333333333335E-2"/>
    <n v="0.19216666666666665"/>
  </r>
  <r>
    <s v="NIFTY 50"/>
    <s v="Long"/>
    <x v="28"/>
    <n v="7624.4"/>
    <d v="2014-07-31T00:00:00"/>
    <n v="7721.299"/>
    <n v="1.2699999999999999E-2"/>
    <n v="15"/>
    <n v="1.5E-3"/>
    <n v="2.5000000000000001E-3"/>
    <n v="8.6999999999999994E-3"/>
  </r>
  <r>
    <s v="NIFTY 50"/>
    <s v="Long"/>
    <x v="29"/>
    <n v="7727.05"/>
    <d v="2014-10-07T00:00:00"/>
    <n v="7852.4"/>
    <n v="1.6199999999999999E-2"/>
    <n v="56"/>
    <n v="1.5E-3"/>
    <n v="9.3333333333333341E-3"/>
    <n v="5.3666666666666654E-3"/>
  </r>
  <r>
    <s v="NIFTY 50"/>
    <s v="Long"/>
    <x v="30"/>
    <n v="7960.55"/>
    <d v="2014-10-16T00:00:00"/>
    <n v="7748.201"/>
    <n v="-2.6700000000000002E-2"/>
    <n v="7"/>
    <n v="1.5E-3"/>
    <n v="1.1666666666666668E-3"/>
    <n v="-2.9366666666666669E-2"/>
  </r>
  <r>
    <s v="NIFTY 50"/>
    <s v="Long"/>
    <x v="31"/>
    <n v="7927.75"/>
    <d v="2014-12-12T00:00:00"/>
    <n v="8224.1"/>
    <n v="3.7400000000000003E-2"/>
    <n v="52"/>
    <n v="1.5E-3"/>
    <n v="8.666666666666668E-3"/>
    <n v="2.7233333333333335E-2"/>
  </r>
  <r>
    <s v="NIFTY 50"/>
    <s v="Long"/>
    <x v="32"/>
    <n v="8159.3"/>
    <d v="2014-12-24T00:00:00"/>
    <n v="8174.1"/>
    <n v="1.8E-3"/>
    <n v="6"/>
    <n v="1.5E-3"/>
    <n v="1E-3"/>
    <n v="-7.000000000000001E-4"/>
  </r>
  <r>
    <s v="NIFTY 50"/>
    <s v="Long"/>
    <x v="33"/>
    <n v="8395.4500000000007"/>
    <d v="2015-01-06T00:00:00"/>
    <n v="8127.35"/>
    <n v="-3.1899999999999998E-2"/>
    <n v="4"/>
    <n v="1.5E-3"/>
    <n v="6.6666666666666664E-4"/>
    <n v="-3.4066666666666662E-2"/>
  </r>
  <r>
    <s v="NIFTY 50"/>
    <s v="Long"/>
    <x v="34"/>
    <n v="8234.6"/>
    <d v="2015-02-09T00:00:00"/>
    <n v="8526.35"/>
    <n v="3.5400000000000001E-2"/>
    <n v="32"/>
    <n v="1.5E-3"/>
    <n v="5.3333333333333332E-3"/>
    <n v="2.8566666666666667E-2"/>
  </r>
  <r>
    <s v="NIFTY 50"/>
    <s v="Long"/>
    <x v="35"/>
    <n v="8711.5499999999993"/>
    <d v="2015-02-23T00:00:00"/>
    <n v="8754.9500000000007"/>
    <n v="5.0000000000000001E-3"/>
    <n v="11"/>
    <n v="1.5E-3"/>
    <n v="1.8333333333333333E-3"/>
    <n v="1.666666666666667E-3"/>
  </r>
  <r>
    <s v="NIFTY 50"/>
    <s v="Long"/>
    <x v="36"/>
    <n v="8844.6"/>
    <d v="2015-03-09T00:00:00"/>
    <n v="8756.75"/>
    <n v="-9.9000000000000008E-3"/>
    <n v="10"/>
    <n v="1.5E-3"/>
    <n v="1.6666666666666666E-3"/>
    <n v="-1.3066666666666667E-2"/>
  </r>
  <r>
    <s v="NIFTY 50"/>
    <s v="Long"/>
    <x v="37"/>
    <n v="8492.2999999999993"/>
    <d v="2015-04-20T00:00:00"/>
    <n v="8448.1"/>
    <n v="-5.1999999999999998E-3"/>
    <n v="21"/>
    <n v="1.5E-3"/>
    <n v="3.4999999999999996E-3"/>
    <n v="-1.0199999999999999E-2"/>
  </r>
  <r>
    <s v="NIFTY 50"/>
    <s v="Long"/>
    <x v="38"/>
    <n v="8331.9500000000007"/>
    <d v="2015-05-06T00:00:00"/>
    <n v="8097"/>
    <n v="-2.8199999999999999E-2"/>
    <n v="2"/>
    <n v="1.5E-3"/>
    <n v="3.3333333333333332E-4"/>
    <n v="-3.0033333333333332E-2"/>
  </r>
  <r>
    <s v="NIFTY 50"/>
    <s v="Long"/>
    <x v="39"/>
    <n v="8325.25"/>
    <d v="2015-05-12T00:00:00"/>
    <n v="8126.95"/>
    <n v="-2.3800000000000002E-2"/>
    <n v="1"/>
    <n v="1.5E-3"/>
    <n v="1.6666666666666666E-4"/>
    <n v="-2.5466666666666669E-2"/>
  </r>
  <r>
    <s v="NIFTY 50"/>
    <s v="Long"/>
    <x v="40"/>
    <n v="8373.65"/>
    <d v="2015-05-25T00:00:00"/>
    <n v="8370.25"/>
    <n v="-4.0000000000000002E-4"/>
    <n v="7"/>
    <n v="1.5E-3"/>
    <n v="1.1666666666666668E-3"/>
    <n v="-3.0666666666666672E-3"/>
  </r>
  <r>
    <s v="NIFTY 50"/>
    <s v="Long"/>
    <x v="41"/>
    <n v="8433.65"/>
    <d v="2015-06-02T00:00:00"/>
    <n v="8236.4500000000007"/>
    <n v="-2.3400000000000001E-2"/>
    <n v="4"/>
    <n v="1.5E-3"/>
    <n v="6.6666666666666664E-4"/>
    <n v="-2.5566666666666668E-2"/>
  </r>
  <r>
    <s v="NIFTY 50"/>
    <s v="Long"/>
    <x v="42"/>
    <n v="8091.55"/>
    <d v="2015-08-21T00:00:00"/>
    <n v="8299.9500000000007"/>
    <n v="2.58E-2"/>
    <n v="65"/>
    <n v="1.5E-3"/>
    <n v="1.0833333333333332E-2"/>
    <n v="1.3466666666666668E-2"/>
  </r>
  <r>
    <s v="NIFTY 50"/>
    <s v="Long"/>
    <x v="43"/>
    <n v="7109.55"/>
    <d v="2016-02-24T00:00:00"/>
    <n v="7018.7"/>
    <n v="-1.2800000000000001E-2"/>
    <n v="1"/>
    <n v="1.5E-3"/>
    <n v="1.6666666666666666E-4"/>
    <n v="-1.4466666666666668E-2"/>
  </r>
  <r>
    <s v="NIFTY 50"/>
    <s v="Long"/>
    <x v="44"/>
    <n v="7222.3"/>
    <d v="2016-09-29T00:00:00"/>
    <n v="8591.25"/>
    <n v="0.1895"/>
    <n v="212"/>
    <n v="1.5E-3"/>
    <n v="3.5333333333333335E-2"/>
    <n v="0.15266666666666667"/>
  </r>
  <r>
    <s v="NIFTY 50"/>
    <s v="Long"/>
    <x v="45"/>
    <n v="8738.1"/>
    <d v="2016-10-13T00:00:00"/>
    <n v="8573.35"/>
    <n v="-1.89E-2"/>
    <n v="10"/>
    <n v="1.5E-3"/>
    <n v="1.6666666666666666E-3"/>
    <n v="-2.2066666666666665E-2"/>
  </r>
  <r>
    <s v="NIFTY 50"/>
    <s v="Long"/>
    <x v="46"/>
    <n v="8677.9"/>
    <d v="2016-10-26T00:00:00"/>
    <n v="8615.25"/>
    <n v="-7.1999999999999998E-3"/>
    <n v="8"/>
    <n v="1.5E-3"/>
    <n v="1.3333333333333333E-3"/>
    <n v="-1.0033333333333333E-2"/>
  </r>
  <r>
    <s v="NIFTY 50"/>
    <s v="Long"/>
    <x v="47"/>
    <n v="8543.5499999999993"/>
    <d v="2016-11-11T00:00:00"/>
    <n v="8296.2999999999993"/>
    <n v="-2.8899999999999999E-2"/>
    <n v="3"/>
    <n v="1.5E-3"/>
    <n v="5.0000000000000001E-4"/>
    <n v="-3.0899999999999997E-2"/>
  </r>
  <r>
    <s v="NIFTY 50"/>
    <s v="Long"/>
    <x v="48"/>
    <n v="7985.75"/>
    <d v="2016-12-26T00:00:00"/>
    <n v="7908.25"/>
    <n v="-9.7000000000000003E-3"/>
    <n v="3"/>
    <n v="1.5E-3"/>
    <n v="5.0000000000000001E-4"/>
    <n v="-1.17E-2"/>
  </r>
  <r>
    <s v="NIFTY 50"/>
    <s v="Long"/>
    <x v="49"/>
    <n v="8032.85"/>
    <d v="2017-08-11T00:00:00"/>
    <n v="9710.7999999999993"/>
    <n v="0.2089"/>
    <n v="227"/>
    <n v="1.5E-3"/>
    <n v="3.783333333333333E-2"/>
    <n v="0.16956666666666667"/>
  </r>
  <r>
    <s v="NIFTY 50"/>
    <s v="Long"/>
    <x v="50"/>
    <n v="9897.2999999999993"/>
    <d v="2017-08-21T00:00:00"/>
    <n v="9754.35"/>
    <n v="-1.44E-2"/>
    <n v="5"/>
    <n v="1.5E-3"/>
    <n v="8.3333333333333328E-4"/>
    <n v="-1.6733333333333333E-2"/>
  </r>
  <r>
    <s v="NIFTY 50"/>
    <s v="Long"/>
    <x v="51"/>
    <n v="9912.7999999999993"/>
    <d v="2017-08-29T00:00:00"/>
    <n v="9796.0499999999993"/>
    <n v="-1.18E-2"/>
    <n v="1"/>
    <n v="1.5E-3"/>
    <n v="1.6666666666666666E-4"/>
    <n v="-1.3466666666666667E-2"/>
  </r>
  <r>
    <s v="NIFTY 50"/>
    <s v="Long"/>
    <x v="52"/>
    <n v="9917.9"/>
    <d v="2017-09-25T00:00:00"/>
    <n v="9872.6"/>
    <n v="-4.5999999999999999E-3"/>
    <n v="25"/>
    <n v="1.5E-3"/>
    <n v="4.1666666666666666E-3"/>
    <n v="-1.0266666666666667E-2"/>
  </r>
  <r>
    <s v="NIFTY 50"/>
    <s v="Long"/>
    <x v="53"/>
    <n v="9914.9"/>
    <d v="2017-11-15T00:00:00"/>
    <n v="10118.049999999999"/>
    <n v="2.0500000000000001E-2"/>
    <n v="42"/>
    <n v="1.5E-3"/>
    <n v="6.9999999999999993E-3"/>
    <n v="1.2000000000000002E-2"/>
  </r>
  <r>
    <s v="NIFTY 50"/>
    <s v="Long"/>
    <x v="54"/>
    <n v="10283.6"/>
    <d v="2017-11-30T00:00:00"/>
    <n v="10226.549999999999"/>
    <n v="-5.4999999999999997E-3"/>
    <n v="13"/>
    <n v="1.5E-3"/>
    <n v="2.166666666666667E-3"/>
    <n v="-9.1666666666666667E-3"/>
  </r>
  <r>
    <s v="NIFTY 50"/>
    <s v="Long"/>
    <x v="55"/>
    <n v="10265.65"/>
    <d v="2017-12-13T00:00:00"/>
    <n v="10192.950000000001"/>
    <n v="-7.1000000000000004E-3"/>
    <n v="5"/>
    <n v="1.5E-3"/>
    <n v="8.3333333333333328E-4"/>
    <n v="-9.4333333333333335E-3"/>
  </r>
  <r>
    <s v="NIFTY 50"/>
    <s v="Long"/>
    <x v="56"/>
    <n v="10333.25"/>
    <d v="2018-02-05T00:00:00"/>
    <n v="10666.55"/>
    <n v="3.2300000000000002E-2"/>
    <n v="52"/>
    <n v="1.5E-3"/>
    <n v="8.666666666666668E-3"/>
    <n v="2.2133333333333335E-2"/>
  </r>
  <r>
    <s v="NIFTY 50"/>
    <s v="Long"/>
    <x v="57"/>
    <n v="10791.65"/>
    <d v="2019-05-08T00:00:00"/>
    <n v="11359.45"/>
    <n v="5.2600000000000001E-2"/>
    <n v="75"/>
    <n v="1.5E-3"/>
    <n v="1.2500000000000001E-2"/>
    <n v="3.8600000000000002E-2"/>
  </r>
  <r>
    <s v="NIFTY 50"/>
    <s v="Long"/>
    <x v="58"/>
    <n v="10829.35"/>
    <d v="2019-09-03T00:00:00"/>
    <n v="10797.9"/>
    <n v="-2.8999999999999998E-3"/>
    <n v="11"/>
    <n v="1.5E-3"/>
    <n v="1.8333333333333333E-3"/>
    <n v="-6.2333333333333329E-3"/>
  </r>
  <r>
    <s v="NIFTY 50"/>
    <s v="Long"/>
    <x v="59"/>
    <n v="11003.05"/>
    <d v="2019-09-17T00:00:00"/>
    <n v="10817.6"/>
    <n v="-1.6899999999999998E-2"/>
    <n v="8"/>
    <n v="1.5E-3"/>
    <n v="1.3333333333333333E-3"/>
    <n v="-1.9733333333333332E-2"/>
  </r>
  <r>
    <s v="NIFTY 50"/>
    <s v="Long"/>
    <x v="60"/>
    <n v="11274.2"/>
    <d v="2020-01-28T00:00:00"/>
    <n v="12055.8"/>
    <n v="6.93E-2"/>
    <n v="130"/>
    <n v="1.5E-3"/>
    <n v="2.1666666666666664E-2"/>
    <n v="4.6133333333333332E-2"/>
  </r>
  <r>
    <s v="NIFTY 50"/>
    <s v="Long"/>
    <x v="61"/>
    <n v="11979.65"/>
    <d v="2020-02-17T00:00:00"/>
    <n v="12045.8"/>
    <n v="5.4999999999999997E-3"/>
    <n v="13"/>
    <n v="1.5E-3"/>
    <n v="2.166666666666667E-3"/>
    <n v="1.8333333333333326E-3"/>
  </r>
  <r>
    <s v="NIFTY 50"/>
    <s v="Long"/>
    <x v="62"/>
    <n v="12125.9"/>
    <d v="2020-02-24T00:00:00"/>
    <n v="11829.4"/>
    <n v="-2.4500000000000001E-2"/>
    <n v="5"/>
    <n v="1.5E-3"/>
    <n v="8.3333333333333328E-4"/>
    <n v="-2.6833333333333334E-2"/>
  </r>
  <r>
    <s v="NIFTY 50"/>
    <s v="Long"/>
    <x v="63"/>
    <n v="7801.05"/>
    <d v="2020-04-03T00:00:00"/>
    <n v="8083.8"/>
    <n v="3.6200000000000003E-2"/>
    <n v="10"/>
    <n v="1.5E-3"/>
    <n v="1.6666666666666666E-3"/>
    <n v="3.3033333333333338E-2"/>
  </r>
  <r>
    <s v="NIFTY 50"/>
    <s v="Long"/>
    <x v="64"/>
    <n v="8792.2000000000007"/>
    <d v="2020-04-21T00:00:00"/>
    <n v="8981.4500000000007"/>
    <n v="2.1499999999999998E-2"/>
    <n v="14"/>
    <n v="1.5E-3"/>
    <n v="2.3333333333333335E-3"/>
    <n v="1.7666666666666664E-2"/>
  </r>
  <r>
    <s v="NIFTY 50"/>
    <s v="Long"/>
    <x v="65"/>
    <n v="9313.9"/>
    <d v="2020-05-18T00:00:00"/>
    <n v="8823.25"/>
    <n v="-5.2699999999999997E-2"/>
    <n v="25"/>
    <n v="1.5E-3"/>
    <n v="4.1666666666666666E-3"/>
    <n v="-5.8366666666666664E-2"/>
  </r>
  <r>
    <s v="NIFTY 50"/>
    <s v="Long"/>
    <x v="66"/>
    <n v="9314.9500000000007"/>
    <d v="2020-09-22T00:00:00"/>
    <n v="11153.65"/>
    <n v="0.19739999999999999"/>
    <n v="118"/>
    <n v="1.5E-3"/>
    <n v="1.9666666666666666E-2"/>
    <n v="0.17623333333333333"/>
  </r>
  <r>
    <s v="NIFTY 50"/>
    <s v="Long"/>
    <x v="67"/>
    <n v="11227.55"/>
    <d v="2021-01-28T00:00:00"/>
    <n v="13817.55"/>
    <n v="0.23069999999999999"/>
    <n v="122"/>
    <n v="1.5E-3"/>
    <n v="2.0333333333333332E-2"/>
    <n v="0.20886666666666664"/>
  </r>
  <r>
    <s v="NIFTY 50"/>
    <s v="Long"/>
    <x v="68"/>
    <n v="14281.2"/>
    <d v="2021-02-26T00:00:00"/>
    <n v="14529.15"/>
    <n v="1.7399999999999999E-2"/>
    <n v="25"/>
    <n v="1.5E-3"/>
    <n v="4.1666666666666666E-3"/>
    <n v="1.1733333333333332E-2"/>
  </r>
  <r>
    <s v="NIFTY 50"/>
    <s v="Long"/>
    <x v="69"/>
    <n v="15245.6"/>
    <d v="2021-03-15T00:00:00"/>
    <n v="14929.5"/>
    <n v="-2.07E-2"/>
    <n v="12"/>
    <n v="1.5E-3"/>
    <n v="2E-3"/>
    <n v="-2.4199999999999999E-2"/>
  </r>
  <r>
    <s v="NIFTY 50"/>
    <s v="Long"/>
    <x v="70"/>
    <n v="14845.1"/>
    <d v="2021-04-12T00:00:00"/>
    <n v="14310.8"/>
    <n v="-3.5999999999999997E-2"/>
    <n v="13"/>
    <n v="1.5E-3"/>
    <n v="2.166666666666667E-3"/>
    <n v="-3.9666666666666663E-2"/>
  </r>
  <r>
    <s v="NIFTY 50"/>
    <s v="Long"/>
    <x v="71"/>
    <n v="14653.05"/>
    <d v="2021-04-30T00:00:00"/>
    <n v="14631.1"/>
    <n v="-1.5E-3"/>
    <n v="3"/>
    <n v="1.5E-3"/>
    <n v="5.0000000000000001E-4"/>
    <n v="-3.5000000000000001E-3"/>
  </r>
  <r>
    <s v="NIFTY 50"/>
    <s v="Long"/>
    <x v="72"/>
    <n v="14823.15"/>
    <d v="2021-05-12T00:00:00"/>
    <n v="14696.5"/>
    <n v="-8.5000000000000006E-3"/>
    <n v="5"/>
    <n v="1.5E-3"/>
    <n v="8.3333333333333328E-4"/>
    <n v="-1.0833333333333334E-2"/>
  </r>
  <r>
    <s v="NIFTY 50"/>
    <s v="Long"/>
    <x v="73"/>
    <n v="14923.15"/>
    <d v="2021-10-29T00:00:00"/>
    <n v="17671.650000000001"/>
    <n v="0.1842"/>
    <n v="165"/>
    <n v="1.5E-3"/>
    <n v="2.75E-2"/>
    <n v="0.1552"/>
  </r>
  <r>
    <s v="NIFTY 50"/>
    <s v="Long"/>
    <x v="74"/>
    <n v="18068.55"/>
    <d v="2021-11-17T00:00:00"/>
    <n v="17898.650000000001"/>
    <n v="-9.4000000000000004E-3"/>
    <n v="9"/>
    <n v="1.5E-3"/>
    <n v="1.5E-3"/>
    <n v="-1.2400000000000001E-2"/>
  </r>
  <r>
    <s v="NIFTY 50"/>
    <s v="Long"/>
    <x v="75"/>
    <n v="15699.25"/>
    <d v="2022-07-13T00:00:00"/>
    <n v="15966.65"/>
    <n v="1.7000000000000001E-2"/>
    <n v="19"/>
    <n v="1.5E-3"/>
    <n v="3.1666666666666666E-3"/>
    <n v="1.2333333333333335E-2"/>
  </r>
  <r>
    <s v="NIFTY 50"/>
    <s v="Long"/>
    <x v="76"/>
    <n v="16278.5"/>
    <d v="2022-08-29T00:00:00"/>
    <n v="17312.900000000001"/>
    <n v="6.3500000000000001E-2"/>
    <n v="42"/>
    <n v="1.5E-3"/>
    <n v="6.9999999999999993E-3"/>
    <n v="5.5E-2"/>
  </r>
  <r>
    <s v="NIFTY 50"/>
    <s v="Long"/>
    <x v="77"/>
    <n v="17759.3"/>
    <d v="2022-09-15T00:00:00"/>
    <n v="17877.400000000001"/>
    <n v="6.7000000000000002E-3"/>
    <n v="16"/>
    <n v="1.5E-3"/>
    <n v="2.6666666666666666E-3"/>
    <n v="2.5333333333333336E-3"/>
  </r>
  <r>
    <s v="NIFTY 50"/>
    <s v="Long"/>
    <x v="78"/>
    <n v="17816.25"/>
    <d v="2022-09-23T00:00:00"/>
    <n v="17327.349999999999"/>
    <n v="-2.7400000000000001E-2"/>
    <n v="3"/>
    <n v="1.5E-3"/>
    <n v="5.0000000000000001E-4"/>
    <n v="-2.9400000000000003E-2"/>
  </r>
  <r>
    <s v="NIFTY 50"/>
    <s v="Long"/>
    <x v="79"/>
    <n v="17274.3"/>
    <d v="2022-10-11T00:00:00"/>
    <n v="16983.55"/>
    <n v="-1.6799999999999999E-2"/>
    <n v="7"/>
    <n v="1.5E-3"/>
    <n v="1.1666666666666668E-3"/>
    <n v="-1.9466666666666667E-2"/>
  </r>
  <r>
    <s v="NIFTY 50"/>
    <s v="Long"/>
    <x v="80"/>
    <n v="17311.8"/>
    <d v="2022-12-22T00:00:00"/>
    <n v="18127.349999999999"/>
    <n v="4.7100000000000003E-2"/>
    <n v="66"/>
    <n v="1.5E-3"/>
    <n v="1.1000000000000001E-2"/>
    <n v="3.4600000000000006E-2"/>
  </r>
  <r>
    <s v="NIFTY 50"/>
    <s v="Long"/>
    <x v="81"/>
    <n v="17554.3"/>
    <d v="2023-02-24T00:00:00"/>
    <n v="17465.8"/>
    <n v="-5.0000000000000001E-3"/>
    <n v="2"/>
    <n v="1.5E-3"/>
    <n v="3.3333333333333332E-4"/>
    <n v="-6.8333333333333336E-3"/>
  </r>
  <r>
    <s v="NIFTY 50"/>
    <s v="Long"/>
    <x v="82"/>
    <n v="17594.349999999999"/>
    <d v="2023-03-10T00:00:00"/>
    <n v="17412.900000000001"/>
    <n v="-1.03E-2"/>
    <n v="7"/>
    <n v="1.5E-3"/>
    <n v="1.1666666666666668E-3"/>
    <n v="-1.2966666666666668E-2"/>
  </r>
  <r>
    <s v="NIFTY 50"/>
    <s v="Long"/>
    <x v="83"/>
    <n v="17359.75"/>
    <d v="2023-09-28T00:00:00"/>
    <n v="19523.55"/>
    <n v="0.1246"/>
    <n v="181"/>
    <n v="1.5E-3"/>
    <n v="3.0166666666666668E-2"/>
    <n v="9.293333333333334E-2"/>
  </r>
  <r>
    <s v="NIFTY 50"/>
    <s v="Long"/>
    <x v="84"/>
    <n v="19653.5"/>
    <d v="2023-10-18T00:00:00"/>
    <n v="19671.099999999999"/>
    <n v="8.9999999999999998E-4"/>
    <n v="12"/>
    <n v="1.5E-3"/>
    <n v="2E-3"/>
    <n v="-2.5999999999999999E-3"/>
  </r>
  <r>
    <s v="NIFTY 50"/>
    <s v="Long"/>
    <x v="85"/>
    <n v="19230.599999999999"/>
    <d v="2024-01-23T00:00:00"/>
    <n v="21238.799999999999"/>
    <n v="0.10440000000000001"/>
    <n v="81"/>
    <n v="1.5E-3"/>
    <n v="1.3500000000000002E-2"/>
    <n v="8.9400000000000007E-2"/>
  </r>
  <r>
    <s v="NIFTY 50"/>
    <s v="Long"/>
    <x v="86"/>
    <n v="21737.599999999999"/>
    <d v="2024-02-12T00:00:00"/>
    <n v="21616.05"/>
    <n v="-5.5999999999999999E-3"/>
    <n v="14"/>
    <n v="1.5E-3"/>
    <n v="2.3333333333333335E-3"/>
    <n v="-9.4333333333333335E-3"/>
  </r>
  <r>
    <s v="NIFTY 50"/>
    <s v="Long"/>
    <x v="87"/>
    <n v="21910.75"/>
    <d v="2024-02-28T00:00:00"/>
    <n v="21951.15"/>
    <n v="1.8E-3"/>
    <n v="13"/>
    <n v="1.5E-3"/>
    <n v="2.166666666666667E-3"/>
    <n v="-1.8666666666666671E-3"/>
  </r>
  <r>
    <s v="NIFTY 50"/>
    <s v="Long"/>
    <x v="88"/>
    <n v="22338.75"/>
    <d v="2024-03-11T00:00:00"/>
    <n v="22332.65"/>
    <n v="-2.9999999999999997E-4"/>
    <n v="10"/>
    <n v="1.5E-3"/>
    <n v="1.6666666666666666E-3"/>
    <n v="-3.4666666666666665E-3"/>
  </r>
  <r>
    <s v="NIFTY 50"/>
    <s v="Long"/>
    <x v="89"/>
    <n v="22096.75"/>
    <d v="2024-04-18T00:00:00"/>
    <n v="21995.85"/>
    <n v="-4.5999999999999999E-3"/>
    <n v="27"/>
    <n v="1.5E-3"/>
    <n v="4.5000000000000005E-3"/>
    <n v="-1.06E-2"/>
  </r>
  <r>
    <s v="NIFTY 50"/>
    <s v="Long"/>
    <x v="90"/>
    <n v="22336.400000000001"/>
    <d v="2024-05-06T00:00:00"/>
    <n v="22442.7"/>
    <n v="4.7999999999999996E-3"/>
    <n v="14"/>
    <n v="1.5E-3"/>
    <n v="2.3333333333333335E-3"/>
    <n v="9.6666666666666602E-4"/>
  </r>
  <r>
    <s v="NIFTY 50"/>
    <s v="Long"/>
    <x v="91"/>
    <n v="22403.85"/>
    <d v="2024-05-29T00:00:00"/>
    <n v="22704.7"/>
    <n v="1.34E-2"/>
    <n v="13"/>
    <n v="1.5E-3"/>
    <n v="2.166666666666667E-3"/>
    <n v="9.7333333333333334E-3"/>
  </r>
  <r>
    <s v="NIFTY 50"/>
    <s v="Long"/>
    <x v="92"/>
    <n v="23263.9"/>
    <d v="2024-06-04T00:00:00"/>
    <n v="21884.5"/>
    <n v="-5.9299999999999999E-2"/>
    <n v="1"/>
    <n v="1.5E-3"/>
    <n v="1.6666666666666666E-4"/>
    <n v="-6.0966666666666662E-2"/>
  </r>
  <r>
    <s v="NIFTY 50"/>
    <s v="Long"/>
    <x v="93"/>
    <n v="23290.15"/>
    <d v="2024-08-05T00:00:00"/>
    <n v="24055.599999999999"/>
    <n v="3.2899999999999999E-2"/>
    <n v="59"/>
    <n v="1.5E-3"/>
    <n v="9.8333333333333328E-3"/>
    <n v="2.1566666666666665E-2"/>
  </r>
  <r>
    <s v="NIFTY 50"/>
    <s v="Long"/>
    <x v="94"/>
    <n v="24541.15"/>
    <d v="2024-10-03T00:00:00"/>
    <n v="25250.1"/>
    <n v="2.8899999999999999E-2"/>
    <n v="48"/>
    <n v="1.5E-3"/>
    <n v="8.0000000000000002E-3"/>
    <n v="1.9400000000000001E-2"/>
  </r>
  <r>
    <s v="NIFTY 50"/>
    <s v="Long"/>
    <x v="95"/>
    <n v="22795.9"/>
    <d v="2025-02-24T00:00:00"/>
    <n v="22553.35"/>
    <n v="-1.06E-2"/>
    <n v="3"/>
    <n v="1.5E-3"/>
    <n v="5.0000000000000001E-4"/>
    <n v="-1.26E-2"/>
  </r>
  <r>
    <s v="NIFTY 50"/>
    <s v="Long"/>
    <x v="96"/>
    <n v="22337.3"/>
    <d v="2025-04-07T00:00:00"/>
    <n v="22161.599999999999"/>
    <n v="-7.9000000000000008E-3"/>
    <n v="33"/>
    <n v="1.5E-3"/>
    <n v="5.5000000000000005E-3"/>
    <n v="-1.4900000000000002E-2"/>
  </r>
  <r>
    <s v="NIFTY 50"/>
    <s v="Long"/>
    <x v="97"/>
    <n v="22535.85"/>
    <d v="2025-07-25T00:00:00"/>
    <n v="24837"/>
    <n v="0.1021"/>
    <n v="108"/>
    <n v="1.5E-3"/>
    <n v="1.8000000000000002E-2"/>
    <n v="8.2599999999999993E-2"/>
  </r>
  <r>
    <s v="NIFTY 50"/>
    <s v="Long"/>
    <x v="98"/>
    <n v="24876.95"/>
    <d v="2025-08-22T00:00:00"/>
    <n v="24870.1"/>
    <n v="-2.9999999999999997E-4"/>
    <n v="4"/>
    <n v="1.5E-3"/>
    <n v="6.6666666666666664E-4"/>
    <n v="-2.4666666666666665E-3"/>
  </r>
  <r>
    <s v="NIFTY 50"/>
    <s v="Long"/>
    <x v="99"/>
    <n v="24715.05"/>
    <d v="2025-09-26T00:00:00"/>
    <n v="24654.7"/>
    <n v="-2.3999999999999998E-3"/>
    <n v="23"/>
    <n v="1.5E-3"/>
    <n v="3.8333333333333336E-3"/>
    <n v="-7.7333333333333334E-3"/>
  </r>
  <r>
    <s v="NIFTY 50"/>
    <s v="Long"/>
    <x v="100"/>
    <n v="24894.25"/>
    <d v="2026-01-19T00:00:00"/>
    <n v="25585.5"/>
    <n v="2.7799999999999998E-2"/>
    <n v="108"/>
    <n v="1.5E-3"/>
    <n v="1.8000000000000002E-2"/>
    <n v="8.2999999999999949E-3"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  <r>
    <m/>
    <m/>
    <x v="101"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1">
  <r>
    <s v="NIFTY 50"/>
    <s v="Long"/>
    <x v="0"/>
    <n v="2693.45"/>
    <d v="2008-12-26T00:00:00"/>
    <n v="2857.25"/>
    <n v="6.08E-2"/>
    <n v="35"/>
    <n v="1.5E-3"/>
    <n v="5.8333333333333336E-3"/>
    <n v="5.3466666666666662E-2"/>
  </r>
  <r>
    <s v="NIFTY 50"/>
    <s v="Long"/>
    <x v="1"/>
    <n v="3121.45"/>
    <d v="2009-01-07T00:00:00"/>
    <n v="2920.4"/>
    <n v="-6.4399999999999999E-2"/>
    <n v="2"/>
    <n v="1.5E-3"/>
    <n v="3.3333333333333332E-4"/>
    <n v="-6.6233333333333338E-2"/>
  </r>
  <r>
    <s v="NIFTY 50"/>
    <s v="Long"/>
    <x v="2"/>
    <n v="2919.9"/>
    <d v="2009-02-17T00:00:00"/>
    <n v="2770.5"/>
    <n v="-5.1200000000000002E-2"/>
    <n v="8"/>
    <n v="1.5E-3"/>
    <n v="1.3333333333333333E-3"/>
    <n v="-5.4033333333333336E-2"/>
  </r>
  <r>
    <s v="NIFTY 50"/>
    <s v="Long"/>
    <x v="3"/>
    <n v="2777.25"/>
    <d v="2009-06-17T00:00:00"/>
    <n v="4356.1499999999996"/>
    <n v="0.56850000000000001"/>
    <n v="93"/>
    <n v="1.5E-3"/>
    <n v="1.5500000000000002E-2"/>
    <n v="0.55149999999999999"/>
  </r>
  <r>
    <s v="NIFTY 50"/>
    <s v="Long"/>
    <x v="4"/>
    <n v="4233.5"/>
    <d v="2009-08-10T00:00:00"/>
    <n v="4437.6499999999996"/>
    <n v="4.82E-2"/>
    <n v="26"/>
    <n v="1.5E-3"/>
    <n v="4.333333333333334E-3"/>
    <n v="4.2366666666666664E-2"/>
  </r>
  <r>
    <s v="NIFTY 50"/>
    <s v="Long"/>
    <x v="5"/>
    <n v="4688.2"/>
    <d v="2009-10-22T00:00:00"/>
    <n v="4988.6000000000004"/>
    <n v="6.4100000000000004E-2"/>
    <n v="56"/>
    <n v="1.5E-3"/>
    <n v="9.3333333333333341E-3"/>
    <n v="5.326666666666667E-2"/>
  </r>
  <r>
    <s v="NIFTY 50"/>
    <s v="Long"/>
    <x v="6"/>
    <n v="5003.95"/>
    <d v="2009-11-27T00:00:00"/>
    <n v="4941.75"/>
    <n v="-1.24E-2"/>
    <n v="16"/>
    <n v="1.5E-3"/>
    <n v="2.6666666666666666E-3"/>
    <n v="-1.6566666666666667E-2"/>
  </r>
  <r>
    <s v="NIFTY 50"/>
    <s v="Long"/>
    <x v="7"/>
    <n v="5122"/>
    <d v="2009-12-21T00:00:00"/>
    <n v="4952.6000000000004"/>
    <n v="-3.3099999999999997E-2"/>
    <n v="20"/>
    <n v="1.5E-3"/>
    <n v="3.3333333333333331E-3"/>
    <n v="-3.7933333333333333E-2"/>
  </r>
  <r>
    <s v="NIFTY 50"/>
    <s v="Long"/>
    <x v="8"/>
    <n v="5144.6000000000004"/>
    <d v="2010-01-21T00:00:00"/>
    <n v="5094.1499999999996"/>
    <n v="-9.7999999999999997E-3"/>
    <n v="29"/>
    <n v="1.5E-3"/>
    <n v="4.8333333333333336E-3"/>
    <n v="-1.6133333333333333E-2"/>
  </r>
  <r>
    <s v="NIFTY 50"/>
    <s v="Long"/>
    <x v="9"/>
    <n v="5017"/>
    <d v="2010-04-19T00:00:00"/>
    <n v="5203.6499999999996"/>
    <n v="3.7199999999999997E-2"/>
    <n v="48"/>
    <n v="1.5E-3"/>
    <n v="8.0000000000000002E-3"/>
    <n v="2.7699999999999995E-2"/>
  </r>
  <r>
    <s v="NIFTY 50"/>
    <s v="Long"/>
    <x v="10"/>
    <n v="5110.5"/>
    <d v="2010-08-27T00:00:00"/>
    <n v="5408.7"/>
    <n v="5.8400000000000001E-2"/>
    <n v="85"/>
    <n v="1.5E-3"/>
    <n v="1.4166666666666668E-2"/>
    <n v="4.2733333333333332E-2"/>
  </r>
  <r>
    <s v="NIFTY 50"/>
    <s v="Long"/>
    <x v="11"/>
    <n v="5576.95"/>
    <d v="2010-10-20T00:00:00"/>
    <n v="5982.1"/>
    <n v="7.2599999999999998E-2"/>
    <n v="44"/>
    <n v="1.5E-3"/>
    <n v="7.3333333333333332E-3"/>
    <n v="6.3766666666666666E-2"/>
  </r>
  <r>
    <s v="NIFTY 50"/>
    <s v="Long"/>
    <x v="12"/>
    <n v="6160.5"/>
    <d v="2010-11-12T00:00:00"/>
    <n v="6071.65"/>
    <n v="-1.44E-2"/>
    <n v="9"/>
    <n v="1.5E-3"/>
    <n v="1.5E-3"/>
    <n v="-1.7399999999999999E-2"/>
  </r>
  <r>
    <s v="NIFTY 50"/>
    <s v="Long"/>
    <x v="13"/>
    <n v="6060.35"/>
    <d v="2010-12-31T00:00:00"/>
    <n v="6134.5"/>
    <n v="1.2200000000000001E-2"/>
    <n v="2"/>
    <n v="1.5E-3"/>
    <n v="3.3333333333333332E-4"/>
    <n v="1.0366666666666668E-2"/>
  </r>
  <r>
    <s v="NIFTY 50"/>
    <s v="Long"/>
    <x v="14"/>
    <n v="4835.3999999999996"/>
    <d v="2011-11-14T00:00:00"/>
    <n v="5148.3500000000004"/>
    <n v="6.4699999999999994E-2"/>
    <n v="49"/>
    <n v="1.5E-3"/>
    <n v="8.1666666666666658E-3"/>
    <n v="5.503333333333333E-2"/>
  </r>
  <r>
    <s v="NIFTY 50"/>
    <s v="Long"/>
    <x v="15"/>
    <n v="4921.3999999999996"/>
    <d v="2012-06-01T00:00:00"/>
    <n v="4841.6000000000004"/>
    <n v="-1.6199999999999999E-2"/>
    <n v="8"/>
    <n v="1.5E-3"/>
    <n v="1.3333333333333333E-3"/>
    <n v="-1.9033333333333333E-2"/>
  </r>
  <r>
    <s v="NIFTY 50"/>
    <s v="Long"/>
    <x v="16"/>
    <n v="4997.1000000000004"/>
    <d v="2012-07-16T00:00:00"/>
    <n v="5197.25"/>
    <n v="4.0099999999999997E-2"/>
    <n v="40"/>
    <n v="1.5E-3"/>
    <n v="6.6666666666666662E-3"/>
    <n v="3.1933333333333327E-2"/>
  </r>
  <r>
    <s v="NIFTY 50"/>
    <s v="Long"/>
    <x v="17"/>
    <n v="5229"/>
    <d v="2012-08-29T00:00:00"/>
    <n v="5287.8"/>
    <n v="1.12E-2"/>
    <n v="29"/>
    <n v="1.5E-3"/>
    <n v="4.8333333333333336E-3"/>
    <n v="4.8666666666666667E-3"/>
  </r>
  <r>
    <s v="NIFTY 50"/>
    <s v="Long"/>
    <x v="18"/>
    <n v="5358.7"/>
    <d v="2012-10-10T00:00:00"/>
    <n v="5652.1490000000003"/>
    <n v="5.4800000000000001E-2"/>
    <n v="32"/>
    <n v="1.5E-3"/>
    <n v="5.3333333333333332E-3"/>
    <n v="4.7966666666666671E-2"/>
  </r>
  <r>
    <s v="NIFTY 50"/>
    <s v="Long"/>
    <x v="19"/>
    <n v="5724.4"/>
    <d v="2012-11-15T00:00:00"/>
    <n v="5631"/>
    <n v="-1.6299999999999999E-2"/>
    <n v="9"/>
    <n v="1.5E-3"/>
    <n v="1.5E-3"/>
    <n v="-1.9299999999999998E-2"/>
  </r>
  <r>
    <s v="NIFTY 50"/>
    <s v="Long"/>
    <x v="20"/>
    <n v="5727.45"/>
    <d v="2013-02-05T00:00:00"/>
    <n v="5956.9"/>
    <n v="4.0099999999999997E-2"/>
    <n v="70"/>
    <n v="1.5E-3"/>
    <n v="1.1666666666666667E-2"/>
    <n v="2.693333333333333E-2"/>
  </r>
  <r>
    <s v="NIFTY 50"/>
    <s v="Long"/>
    <x v="21"/>
    <n v="5471.75"/>
    <d v="2013-09-27T00:00:00"/>
    <n v="5833.2"/>
    <n v="6.6100000000000006E-2"/>
    <n v="35"/>
    <n v="1.5E-3"/>
    <n v="5.8333333333333336E-3"/>
    <n v="5.8766666666666675E-2"/>
  </r>
  <r>
    <s v="NIFTY 50"/>
    <s v="Long"/>
    <x v="22"/>
    <n v="5928.4"/>
    <d v="2013-11-08T00:00:00"/>
    <n v="6140.75"/>
    <n v="3.5799999999999998E-2"/>
    <n v="31"/>
    <n v="1.5E-3"/>
    <n v="5.1666666666666675E-3"/>
    <n v="2.9133333333333331E-2"/>
  </r>
  <r>
    <s v="NIFTY 50"/>
    <s v="Long"/>
    <x v="23"/>
    <n v="6189"/>
    <d v="2013-11-21T00:00:00"/>
    <n v="5999.05"/>
    <n v="-3.0700000000000002E-2"/>
    <n v="3"/>
    <n v="1.5E-3"/>
    <n v="5.0000000000000001E-4"/>
    <n v="-3.27E-2"/>
  </r>
  <r>
    <s v="NIFTY 50"/>
    <s v="Long"/>
    <x v="24"/>
    <n v="6217.85"/>
    <d v="2013-12-13T00:00:00"/>
    <n v="6168.4"/>
    <n v="-8.0000000000000002E-3"/>
    <n v="11"/>
    <n v="1.5E-3"/>
    <n v="1.8333333333333333E-3"/>
    <n v="-1.1333333333333334E-2"/>
  </r>
  <r>
    <s v="NIFTY 50"/>
    <s v="Long"/>
    <x v="25"/>
    <n v="6284.5"/>
    <d v="2014-01-02T00:00:00"/>
    <n v="6221.15"/>
    <n v="-1.01E-2"/>
    <n v="10"/>
    <n v="1.5E-3"/>
    <n v="1.6666666666666666E-3"/>
    <n v="-1.3266666666666666E-2"/>
  </r>
  <r>
    <s v="NIFTY 50"/>
    <s v="Long"/>
    <x v="26"/>
    <n v="6272.75"/>
    <d v="2014-01-27T00:00:00"/>
    <n v="6135.85"/>
    <n v="-2.18E-2"/>
    <n v="14"/>
    <n v="1.5E-3"/>
    <n v="2.3333333333333335E-3"/>
    <n v="-2.5633333333333334E-2"/>
  </r>
  <r>
    <s v="NIFTY 50"/>
    <s v="Long"/>
    <x v="27"/>
    <n v="6127.1"/>
    <d v="2014-04-30T00:00:00"/>
    <n v="6696.4"/>
    <n v="9.2899999999999996E-2"/>
    <n v="71"/>
    <n v="1.5E-3"/>
    <n v="1.1833333333333335E-2"/>
    <n v="7.9566666666666661E-2"/>
  </r>
  <r>
    <s v="NIFTY 50"/>
    <s v="Long"/>
    <x v="28"/>
    <n v="6858.8"/>
    <d v="2014-07-08T00:00:00"/>
    <n v="7623.2"/>
    <n v="0.1114"/>
    <n v="60"/>
    <n v="1.5E-3"/>
    <n v="0.01"/>
    <n v="9.9900000000000003E-2"/>
  </r>
  <r>
    <s v="NIFTY 50"/>
    <s v="Long"/>
    <x v="29"/>
    <n v="7767.85"/>
    <d v="2014-08-01T00:00:00"/>
    <n v="7602.6"/>
    <n v="-2.1299999999999999E-2"/>
    <n v="10"/>
    <n v="1.5E-3"/>
    <n v="1.6666666666666666E-3"/>
    <n v="-2.4466666666666664E-2"/>
  </r>
  <r>
    <s v="NIFTY 50"/>
    <s v="Long"/>
    <x v="30"/>
    <n v="7791.7"/>
    <d v="2014-09-16T00:00:00"/>
    <n v="7932.8990000000003"/>
    <n v="1.8100000000000002E-2"/>
    <n v="33"/>
    <n v="1.5E-3"/>
    <n v="5.5000000000000005E-3"/>
    <n v="1.11E-2"/>
  </r>
  <r>
    <s v="NIFTY 50"/>
    <s v="Long"/>
    <x v="31"/>
    <n v="8114.75"/>
    <d v="2014-09-25T00:00:00"/>
    <n v="7911.85"/>
    <n v="-2.5000000000000001E-2"/>
    <n v="7"/>
    <n v="1.5E-3"/>
    <n v="1.1666666666666668E-3"/>
    <n v="-2.7666666666666669E-2"/>
  </r>
  <r>
    <s v="NIFTY 50"/>
    <s v="Long"/>
    <x v="32"/>
    <n v="7995.9"/>
    <d v="2014-12-09T00:00:00"/>
    <n v="8340.7000000000007"/>
    <n v="4.3099999999999999E-2"/>
    <n v="48"/>
    <n v="1.5E-3"/>
    <n v="8.0000000000000002E-3"/>
    <n v="3.3599999999999998E-2"/>
  </r>
  <r>
    <s v="NIFTY 50"/>
    <s v="Long"/>
    <x v="33"/>
    <n v="8324"/>
    <d v="2015-01-06T00:00:00"/>
    <n v="8127.35"/>
    <n v="-2.3599999999999999E-2"/>
    <n v="15"/>
    <n v="1.5E-3"/>
    <n v="2.5000000000000001E-3"/>
    <n v="-2.76E-2"/>
  </r>
  <r>
    <s v="NIFTY 50"/>
    <s v="Long"/>
    <x v="34"/>
    <n v="8494.15"/>
    <d v="2015-02-03T00:00:00"/>
    <n v="8756.5499999999993"/>
    <n v="3.09E-2"/>
    <n v="19"/>
    <n v="1.5E-3"/>
    <n v="3.1666666666666666E-3"/>
    <n v="2.6233333333333334E-2"/>
  </r>
  <r>
    <s v="NIFTY 50"/>
    <s v="Long"/>
    <x v="35"/>
    <n v="8805.5"/>
    <d v="2015-03-11T00:00:00"/>
    <n v="8699.9500000000007"/>
    <n v="-1.2E-2"/>
    <n v="26"/>
    <n v="1.5E-3"/>
    <n v="4.333333333333334E-3"/>
    <n v="-1.7833333333333333E-2"/>
  </r>
  <r>
    <s v="NIFTY 50"/>
    <s v="Long"/>
    <x v="36"/>
    <n v="8586.25"/>
    <d v="2015-04-17T00:00:00"/>
    <n v="8606"/>
    <n v="2.3E-3"/>
    <n v="16"/>
    <n v="1.5E-3"/>
    <n v="2.6666666666666666E-3"/>
    <n v="-1.8666666666666666E-3"/>
  </r>
  <r>
    <s v="NIFTY 50"/>
    <s v="Long"/>
    <x v="37"/>
    <n v="8373.65"/>
    <d v="2015-06-02T00:00:00"/>
    <n v="8236.4500000000007"/>
    <n v="-1.6400000000000001E-2"/>
    <n v="15"/>
    <n v="1.5E-3"/>
    <n v="2.5000000000000001E-3"/>
    <n v="-2.0400000000000001E-2"/>
  </r>
  <r>
    <s v="NIFTY 50"/>
    <s v="Long"/>
    <x v="38"/>
    <n v="8224.9500000000007"/>
    <d v="2015-07-09T00:00:00"/>
    <n v="8328.5499999999993"/>
    <n v="1.26E-2"/>
    <n v="20"/>
    <n v="1.5E-3"/>
    <n v="3.3333333333333331E-3"/>
    <n v="7.7666666666666665E-3"/>
  </r>
  <r>
    <s v="NIFTY 50"/>
    <s v="Long"/>
    <x v="39"/>
    <n v="8608.0499999999993"/>
    <d v="2015-07-27T00:00:00"/>
    <n v="8361"/>
    <n v="-2.87E-2"/>
    <n v="11"/>
    <n v="1.5E-3"/>
    <n v="1.8333333333333333E-3"/>
    <n v="-3.203333333333333E-2"/>
  </r>
  <r>
    <s v="NIFTY 50"/>
    <s v="Long"/>
    <x v="40"/>
    <n v="8543.0499999999993"/>
    <d v="2015-08-12T00:00:00"/>
    <n v="8349.4500000000007"/>
    <n v="-2.2700000000000001E-2"/>
    <n v="9"/>
    <n v="1.5E-3"/>
    <n v="1.5E-3"/>
    <n v="-2.5700000000000001E-2"/>
  </r>
  <r>
    <s v="NIFTY 50"/>
    <s v="Long"/>
    <x v="41"/>
    <n v="7109.55"/>
    <d v="2016-04-07T00:00:00"/>
    <n v="7546.45"/>
    <n v="6.1499999999999999E-2"/>
    <n v="44"/>
    <n v="1.5E-3"/>
    <n v="7.3333333333333332E-3"/>
    <n v="5.2666666666666667E-2"/>
  </r>
  <r>
    <s v="NIFTY 50"/>
    <s v="Long"/>
    <x v="42"/>
    <n v="7850.45"/>
    <d v="2016-05-03T00:00:00"/>
    <n v="7747"/>
    <n v="-1.32E-2"/>
    <n v="20"/>
    <n v="1.5E-3"/>
    <n v="3.3333333333333331E-3"/>
    <n v="-1.8033333333333332E-2"/>
  </r>
  <r>
    <s v="NIFTY 50"/>
    <s v="Long"/>
    <x v="43"/>
    <n v="7887.8"/>
    <d v="2016-06-13T00:00:00"/>
    <n v="8110.6"/>
    <n v="2.8199999999999999E-2"/>
    <n v="34"/>
    <n v="1.5E-3"/>
    <n v="5.6666666666666662E-3"/>
    <n v="2.1033333333333334E-2"/>
  </r>
  <r>
    <s v="NIFTY 50"/>
    <s v="Long"/>
    <x v="44"/>
    <n v="8270.4500000000007"/>
    <d v="2016-09-12T00:00:00"/>
    <n v="8715.6"/>
    <n v="5.3800000000000001E-2"/>
    <n v="81"/>
    <n v="1.5E-3"/>
    <n v="1.3500000000000002E-2"/>
    <n v="3.8800000000000001E-2"/>
  </r>
  <r>
    <s v="NIFTY 50"/>
    <s v="Long"/>
    <x v="45"/>
    <n v="7985.75"/>
    <d v="2017-04-18T00:00:00"/>
    <n v="9105.15"/>
    <n v="0.14019999999999999"/>
    <n v="116"/>
    <n v="1.5E-3"/>
    <n v="1.9333333333333334E-2"/>
    <n v="0.11936666666666665"/>
  </r>
  <r>
    <s v="NIFTY 50"/>
    <s v="Long"/>
    <x v="46"/>
    <n v="9306.6"/>
    <d v="2017-05-23T00:00:00"/>
    <n v="9386.15"/>
    <n v="8.5000000000000006E-3"/>
    <n v="28"/>
    <n v="1.5E-3"/>
    <n v="4.6666666666666671E-3"/>
    <n v="2.3333333333333331E-3"/>
  </r>
  <r>
    <s v="NIFTY 50"/>
    <s v="Long"/>
    <x v="47"/>
    <n v="9595.1"/>
    <d v="2017-06-27T00:00:00"/>
    <n v="9511.4"/>
    <n v="-8.6999999999999994E-3"/>
    <n v="32"/>
    <n v="1.5E-3"/>
    <n v="5.3333333333333332E-3"/>
    <n v="-1.5533333333333333E-2"/>
  </r>
  <r>
    <s v="NIFTY 50"/>
    <s v="Long"/>
    <x v="48"/>
    <n v="9674.5499999999993"/>
    <d v="2017-08-09T00:00:00"/>
    <n v="9908.0499999999993"/>
    <n v="2.41E-2"/>
    <n v="34"/>
    <n v="1.5E-3"/>
    <n v="5.6666666666666662E-3"/>
    <n v="1.6933333333333335E-2"/>
  </r>
  <r>
    <s v="NIFTY 50"/>
    <s v="Long"/>
    <x v="49"/>
    <n v="9974.4"/>
    <d v="2017-09-22T00:00:00"/>
    <n v="9964.4"/>
    <n v="-1E-3"/>
    <n v="21"/>
    <n v="1.5E-3"/>
    <n v="3.4999999999999996E-3"/>
    <n v="-5.9999999999999993E-3"/>
  </r>
  <r>
    <s v="NIFTY 50"/>
    <s v="Long"/>
    <x v="50"/>
    <n v="10096.4"/>
    <d v="2017-11-08T00:00:00"/>
    <n v="10303.15"/>
    <n v="2.0500000000000001E-2"/>
    <n v="27"/>
    <n v="1.5E-3"/>
    <n v="4.5000000000000005E-3"/>
    <n v="1.4500000000000001E-2"/>
  </r>
  <r>
    <s v="NIFTY 50"/>
    <s v="Long"/>
    <x v="51"/>
    <n v="10326.9"/>
    <d v="2017-11-30T00:00:00"/>
    <n v="10226.549999999999"/>
    <n v="-9.7000000000000003E-3"/>
    <n v="9"/>
    <n v="1.5E-3"/>
    <n v="1.5E-3"/>
    <n v="-1.2699999999999999E-2"/>
  </r>
  <r>
    <s v="NIFTY 50"/>
    <s v="Long"/>
    <x v="52"/>
    <n v="10322.25"/>
    <d v="2018-02-02T00:00:00"/>
    <n v="10760.6"/>
    <n v="4.2500000000000003E-2"/>
    <n v="53"/>
    <n v="1.5E-3"/>
    <n v="8.8333333333333337E-3"/>
    <n v="3.216666666666667E-2"/>
  </r>
  <r>
    <s v="NIFTY 50"/>
    <s v="Long"/>
    <x v="53"/>
    <n v="10791.65"/>
    <d v="2019-04-22T00:00:00"/>
    <n v="11594.45"/>
    <n v="7.4399999999999994E-2"/>
    <n v="59"/>
    <n v="1.5E-3"/>
    <n v="9.8333333333333328E-3"/>
    <n v="6.306666666666666E-2"/>
  </r>
  <r>
    <s v="NIFTY 50"/>
    <s v="Long"/>
    <x v="54"/>
    <n v="10829.35"/>
    <d v="2019-09-17T00:00:00"/>
    <n v="10817.6"/>
    <n v="-1.1000000000000001E-3"/>
    <n v="25"/>
    <n v="1.5E-3"/>
    <n v="4.1666666666666666E-3"/>
    <n v="-6.7666666666666674E-3"/>
  </r>
  <r>
    <s v="NIFTY 50"/>
    <s v="Long"/>
    <x v="55"/>
    <n v="11274.2"/>
    <d v="2019-10-04T00:00:00"/>
    <n v="11174.75"/>
    <n v="-8.8000000000000005E-3"/>
    <n v="14"/>
    <n v="1.5E-3"/>
    <n v="2.3333333333333335E-3"/>
    <n v="-1.2633333333333333E-2"/>
  </r>
  <r>
    <s v="NIFTY 50"/>
    <s v="Long"/>
    <x v="56"/>
    <n v="11586.35"/>
    <d v="2019-12-06T00:00:00"/>
    <n v="11921.5"/>
    <n v="2.8899999999999999E-2"/>
    <n v="50"/>
    <n v="1.5E-3"/>
    <n v="8.3333333333333332E-3"/>
    <n v="1.9066666666666666E-2"/>
  </r>
  <r>
    <s v="NIFTY 50"/>
    <s v="Long"/>
    <x v="57"/>
    <n v="12165"/>
    <d v="2020-01-06T00:00:00"/>
    <n v="11993.05"/>
    <n v="-1.41E-2"/>
    <n v="20"/>
    <n v="1.5E-3"/>
    <n v="3.3333333333333331E-3"/>
    <n v="-1.8933333333333333E-2"/>
  </r>
  <r>
    <s v="NIFTY 50"/>
    <s v="Long"/>
    <x v="58"/>
    <n v="12329.55"/>
    <d v="2020-01-21T00:00:00"/>
    <n v="12169.85"/>
    <n v="-1.2999999999999999E-2"/>
    <n v="8"/>
    <n v="1.5E-3"/>
    <n v="1.3333333333333333E-3"/>
    <n v="-1.5833333333333331E-2"/>
  </r>
  <r>
    <s v="NIFTY 50"/>
    <s v="Long"/>
    <x v="59"/>
    <n v="12089.15"/>
    <d v="2020-02-24T00:00:00"/>
    <n v="11829.4"/>
    <n v="-2.1499999999999998E-2"/>
    <n v="19"/>
    <n v="1.5E-3"/>
    <n v="3.1666666666666666E-3"/>
    <n v="-2.6166666666666664E-2"/>
  </r>
  <r>
    <s v="NIFTY 50"/>
    <s v="Long"/>
    <x v="60"/>
    <n v="7801.05"/>
    <d v="2020-05-04T00:00:00"/>
    <n v="9293.5"/>
    <n v="0.1913"/>
    <n v="41"/>
    <n v="1.5E-3"/>
    <n v="6.8333333333333336E-3"/>
    <n v="0.18296666666666667"/>
  </r>
  <r>
    <s v="NIFTY 50"/>
    <s v="Long"/>
    <x v="61"/>
    <n v="9490.1"/>
    <d v="2020-06-15T00:00:00"/>
    <n v="9813.7000000000007"/>
    <n v="3.4099999999999998E-2"/>
    <n v="18"/>
    <n v="1.5E-3"/>
    <n v="3.0000000000000001E-3"/>
    <n v="2.9599999999999998E-2"/>
  </r>
  <r>
    <s v="NIFTY 50"/>
    <s v="Long"/>
    <x v="62"/>
    <n v="10471"/>
    <d v="2020-08-03T00:00:00"/>
    <n v="10891.6"/>
    <n v="4.02E-2"/>
    <n v="41"/>
    <n v="1.5E-3"/>
    <n v="6.8333333333333336E-3"/>
    <n v="3.1866666666666668E-2"/>
  </r>
  <r>
    <s v="NIFTY 50"/>
    <s v="Long"/>
    <x v="63"/>
    <n v="11385.35"/>
    <d v="2020-08-31T00:00:00"/>
    <n v="11387.5"/>
    <n v="2.0000000000000001E-4"/>
    <n v="13"/>
    <n v="1.5E-3"/>
    <n v="2.166666666666667E-3"/>
    <n v="-3.4666666666666669E-3"/>
  </r>
  <r>
    <s v="NIFTY 50"/>
    <s v="Long"/>
    <x v="64"/>
    <n v="11604.55"/>
    <d v="2020-09-21T00:00:00"/>
    <n v="11250.55"/>
    <n v="-3.0499999999999999E-2"/>
    <n v="5"/>
    <n v="1.5E-3"/>
    <n v="8.3333333333333328E-4"/>
    <n v="-3.2833333333333332E-2"/>
  </r>
  <r>
    <s v="NIFTY 50"/>
    <s v="Long"/>
    <x v="65"/>
    <n v="11416.95"/>
    <d v="2020-10-30T00:00:00"/>
    <n v="11642.4"/>
    <n v="1.9699999999999999E-2"/>
    <n v="29"/>
    <n v="1.5E-3"/>
    <n v="4.8333333333333336E-3"/>
    <n v="1.3366666666666666E-2"/>
  </r>
  <r>
    <s v="NIFTY 50"/>
    <s v="Long"/>
    <x v="66"/>
    <n v="12120.3"/>
    <d v="2020-12-21T00:00:00"/>
    <n v="13328.4"/>
    <n v="9.9699999999999997E-2"/>
    <n v="46"/>
    <n v="1.5E-3"/>
    <n v="7.6666666666666671E-3"/>
    <n v="9.0533333333333327E-2"/>
  </r>
  <r>
    <s v="NIFTY 50"/>
    <s v="Long"/>
    <x v="67"/>
    <n v="13873.2"/>
    <d v="2021-01-27T00:00:00"/>
    <n v="13967.5"/>
    <n v="6.7999999999999996E-3"/>
    <n v="30"/>
    <n v="1.5E-3"/>
    <n v="5.0000000000000001E-3"/>
    <n v="2.9999999999999905E-4"/>
  </r>
  <r>
    <s v="NIFTY 50"/>
    <s v="Long"/>
    <x v="68"/>
    <n v="14647.85"/>
    <d v="2021-02-19T00:00:00"/>
    <n v="14981.75"/>
    <n v="2.2800000000000001E-2"/>
    <n v="17"/>
    <n v="1.5E-3"/>
    <n v="2.8333333333333331E-3"/>
    <n v="1.8466666666666666E-2"/>
  </r>
  <r>
    <s v="NIFTY 50"/>
    <s v="Long"/>
    <x v="69"/>
    <n v="15245.6"/>
    <d v="2021-03-17T00:00:00"/>
    <n v="14721.3"/>
    <n v="-3.44E-2"/>
    <n v="14"/>
    <n v="1.5E-3"/>
    <n v="2.3333333333333335E-3"/>
    <n v="-3.8233333333333334E-2"/>
  </r>
  <r>
    <s v="NIFTY 50"/>
    <s v="Long"/>
    <x v="70"/>
    <n v="14864.55"/>
    <d v="2021-05-04T00:00:00"/>
    <n v="14496.5"/>
    <n v="-2.4799999999999999E-2"/>
    <n v="6"/>
    <n v="1.5E-3"/>
    <n v="1E-3"/>
    <n v="-2.7299999999999998E-2"/>
  </r>
  <r>
    <s v="NIFTY 50"/>
    <s v="Long"/>
    <x v="71"/>
    <n v="15108.1"/>
    <d v="2021-07-20T00:00:00"/>
    <n v="15632.1"/>
    <n v="3.4700000000000002E-2"/>
    <n v="63"/>
    <n v="1.5E-3"/>
    <n v="1.0500000000000001E-2"/>
    <n v="2.2700000000000001E-2"/>
  </r>
  <r>
    <s v="NIFTY 50"/>
    <s v="Long"/>
    <x v="72"/>
    <n v="16130.75"/>
    <d v="2021-10-22T00:00:00"/>
    <n v="18114.900000000001"/>
    <n v="0.123"/>
    <n v="80"/>
    <n v="1.5E-3"/>
    <n v="1.3333333333333332E-2"/>
    <n v="0.10816666666666666"/>
  </r>
  <r>
    <s v="NIFTY 50"/>
    <s v="Long"/>
    <x v="73"/>
    <n v="15699.25"/>
    <d v="2022-08-22T00:00:00"/>
    <n v="17490.7"/>
    <n v="0.11409999999999999"/>
    <n v="59"/>
    <n v="1.5E-3"/>
    <n v="9.8333333333333328E-3"/>
    <n v="0.10276666666666666"/>
  </r>
  <r>
    <s v="NIFTY 50"/>
    <s v="Long"/>
    <x v="74"/>
    <n v="17759.3"/>
    <d v="2022-09-16T00:00:00"/>
    <n v="17530.849999999999"/>
    <n v="-1.29E-2"/>
    <n v="17"/>
    <n v="1.5E-3"/>
    <n v="2.8333333333333331E-3"/>
    <n v="-1.7233333333333333E-2"/>
  </r>
  <r>
    <s v="NIFTY 50"/>
    <s v="Long"/>
    <x v="75"/>
    <n v="17486.95"/>
    <d v="2022-12-09T00:00:00"/>
    <n v="18496.599999999999"/>
    <n v="5.7700000000000001E-2"/>
    <n v="52"/>
    <n v="1.5E-3"/>
    <n v="8.666666666666668E-3"/>
    <n v="4.753333333333333E-2"/>
  </r>
  <r>
    <s v="NIFTY 50"/>
    <s v="Long"/>
    <x v="76"/>
    <n v="17554.3"/>
    <d v="2023-03-13T00:00:00"/>
    <n v="17154.3"/>
    <n v="-2.2800000000000001E-2"/>
    <n v="19"/>
    <n v="1.5E-3"/>
    <n v="3.1666666666666666E-3"/>
    <n v="-2.7466666666666667E-2"/>
  </r>
  <r>
    <s v="NIFTY 50"/>
    <s v="Long"/>
    <x v="77"/>
    <n v="17359.75"/>
    <d v="2023-08-02T00:00:00"/>
    <n v="19526.55"/>
    <n v="0.12479999999999999"/>
    <n v="124"/>
    <n v="1.5E-3"/>
    <n v="2.066666666666667E-2"/>
    <n v="0.10263333333333333"/>
  </r>
  <r>
    <s v="NIFTY 50"/>
    <s v="Long"/>
    <x v="78"/>
    <n v="19574.900000000001"/>
    <d v="2023-09-21T00:00:00"/>
    <n v="19742.349999999999"/>
    <n v="8.6E-3"/>
    <n v="16"/>
    <n v="1.5E-3"/>
    <n v="2.6666666666666666E-3"/>
    <n v="4.4333333333333334E-3"/>
  </r>
  <r>
    <s v="NIFTY 50"/>
    <s v="Long"/>
    <x v="79"/>
    <n v="19811.349999999999"/>
    <d v="2023-10-20T00:00:00"/>
    <n v="19542.650000000001"/>
    <n v="-1.3599999999999999E-2"/>
    <n v="9"/>
    <n v="1.5E-3"/>
    <n v="1.5E-3"/>
    <n v="-1.66E-2"/>
  </r>
  <r>
    <s v="NIFTY 50"/>
    <s v="Long"/>
    <x v="80"/>
    <n v="19411.75"/>
    <d v="2024-01-17T00:00:00"/>
    <n v="21571.95"/>
    <n v="0.1113"/>
    <n v="72"/>
    <n v="1.5E-3"/>
    <n v="1.2E-2"/>
    <n v="9.7799999999999998E-2"/>
  </r>
  <r>
    <s v="NIFTY 50"/>
    <s v="Long"/>
    <x v="81"/>
    <n v="22040.7"/>
    <d v="2024-03-13T00:00:00"/>
    <n v="21997.7"/>
    <n v="-2E-3"/>
    <n v="26"/>
    <n v="1.5E-3"/>
    <n v="4.333333333333334E-3"/>
    <n v="-7.8333333333333345E-3"/>
  </r>
  <r>
    <s v="NIFTY 50"/>
    <s v="Long"/>
    <x v="82"/>
    <n v="22326.9"/>
    <d v="2024-04-15T00:00:00"/>
    <n v="22272.5"/>
    <n v="-2.3999999999999998E-3"/>
    <n v="18"/>
    <n v="1.5E-3"/>
    <n v="3.0000000000000001E-3"/>
    <n v="-6.8999999999999999E-3"/>
  </r>
  <r>
    <s v="NIFTY 50"/>
    <s v="Long"/>
    <x v="83"/>
    <n v="22570.35"/>
    <d v="2024-05-09T00:00:00"/>
    <n v="21957.5"/>
    <n v="-2.7199999999999998E-2"/>
    <n v="14"/>
    <n v="1.5E-3"/>
    <n v="2.3333333333333335E-3"/>
    <n v="-3.1033333333333333E-2"/>
  </r>
  <r>
    <s v="NIFTY 50"/>
    <s v="Long"/>
    <x v="84"/>
    <n v="22529.05"/>
    <d v="2024-05-30T00:00:00"/>
    <n v="22488.65"/>
    <n v="-1.8E-3"/>
    <n v="9"/>
    <n v="1.5E-3"/>
    <n v="1.5E-3"/>
    <n v="-4.8000000000000004E-3"/>
  </r>
  <r>
    <s v="NIFTY 50"/>
    <s v="Long"/>
    <x v="85"/>
    <n v="23263.9"/>
    <d v="2024-06-04T00:00:00"/>
    <n v="21884.5"/>
    <n v="-5.9299999999999999E-2"/>
    <n v="1"/>
    <n v="1.5E-3"/>
    <n v="1.6666666666666666E-4"/>
    <n v="-6.0966666666666662E-2"/>
  </r>
  <r>
    <s v="NIFTY 50"/>
    <s v="Long"/>
    <x v="86"/>
    <n v="23721.3"/>
    <d v="2024-08-05T00:00:00"/>
    <n v="24055.599999999999"/>
    <n v="1.41E-2"/>
    <n v="41"/>
    <n v="1.5E-3"/>
    <n v="6.8333333333333336E-3"/>
    <n v="5.7666666666666665E-3"/>
  </r>
  <r>
    <s v="NIFTY 50"/>
    <s v="Long"/>
    <x v="87"/>
    <n v="24698.85"/>
    <d v="2024-09-06T00:00:00"/>
    <n v="24852.15"/>
    <n v="6.1999999999999998E-3"/>
    <n v="17"/>
    <n v="1.5E-3"/>
    <n v="2.8333333333333331E-3"/>
    <n v="1.8666666666666666E-3"/>
  </r>
  <r>
    <s v="NIFTY 50"/>
    <s v="Long"/>
    <x v="88"/>
    <n v="25388.9"/>
    <d v="2024-09-30T00:00:00"/>
    <n v="25810.85"/>
    <n v="1.66E-2"/>
    <n v="18"/>
    <n v="1.5E-3"/>
    <n v="3.0000000000000001E-3"/>
    <n v="1.21E-2"/>
  </r>
  <r>
    <s v="NIFTY 50"/>
    <s v="Long"/>
    <x v="89"/>
    <n v="22795.9"/>
    <d v="2025-02-28T00:00:00"/>
    <n v="22124.7"/>
    <n v="-2.9399999999999999E-2"/>
    <n v="7"/>
    <n v="1.5E-3"/>
    <n v="1.1666666666666668E-3"/>
    <n v="-3.2066666666666667E-2"/>
  </r>
  <r>
    <s v="NIFTY 50"/>
    <s v="Long"/>
    <x v="90"/>
    <n v="22544.7"/>
    <d v="2025-04-01T00:00:00"/>
    <n v="23165.7"/>
    <n v="2.75E-2"/>
    <n v="26"/>
    <n v="1.5E-3"/>
    <n v="4.333333333333334E-3"/>
    <n v="2.1666666666666667E-2"/>
  </r>
  <r>
    <s v="NIFTY 50"/>
    <s v="Long"/>
    <x v="91"/>
    <n v="23328.55"/>
    <d v="2025-07-11T00:00:00"/>
    <n v="25149.85"/>
    <n v="7.8100000000000003E-2"/>
    <n v="87"/>
    <n v="1.5E-3"/>
    <n v="1.4499999999999999E-2"/>
    <n v="6.2100000000000002E-2"/>
  </r>
  <r>
    <s v="NIFTY 50"/>
    <s v="Long"/>
    <x v="92"/>
    <n v="24876.95"/>
    <d v="2025-08-26T00:00:00"/>
    <n v="24712.05"/>
    <n v="-6.6E-3"/>
    <n v="8"/>
    <n v="1.5E-3"/>
    <n v="1.3333333333333333E-3"/>
    <n v="-9.4333333333333335E-3"/>
  </r>
  <r>
    <s v="NIFTY 50"/>
    <s v="Long"/>
    <x v="93"/>
    <n v="24973.1"/>
    <d v="2025-09-24T00:00:00"/>
    <n v="25056.9"/>
    <n v="3.3999999999999998E-3"/>
    <n v="14"/>
    <n v="1.5E-3"/>
    <n v="2.3333333333333335E-3"/>
    <n v="-4.3333333333333375E-4"/>
  </r>
  <r>
    <s v="NIFTY 50"/>
    <s v="Long"/>
    <x v="94"/>
    <n v="25077.65"/>
    <d v="2025-11-04T00:00:00"/>
    <n v="25597.65"/>
    <n v="2.07E-2"/>
    <n v="29"/>
    <n v="1.5E-3"/>
    <n v="4.8333333333333336E-3"/>
    <n v="1.4366666666666666E-2"/>
  </r>
  <r>
    <s v="NIFTY 50"/>
    <s v="Long"/>
    <x v="95"/>
    <n v="25875.8"/>
    <d v="2025-12-10T00:00:00"/>
    <n v="25758"/>
    <n v="-4.5999999999999999E-3"/>
    <n v="28"/>
    <n v="1.5E-3"/>
    <n v="4.6666666666666671E-3"/>
    <n v="-1.0766666666666667E-2"/>
  </r>
  <r>
    <s v="NIFTY 50"/>
    <s v="Long"/>
    <x v="96"/>
    <n v="26172.400000000001"/>
    <d v="2026-01-08T00:00:00"/>
    <n v="25876.85"/>
    <n v="-1.1299999999999999E-2"/>
    <n v="17"/>
    <n v="1.5E-3"/>
    <n v="2.8333333333333331E-3"/>
    <n v="-1.5633333333333332E-2"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  <r>
    <m/>
    <m/>
    <x v="97"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82">
  <r>
    <s v="NIFTY 50"/>
    <s v="Long"/>
    <x v="0"/>
    <n v="2693.45"/>
    <d v="2008-12-26T00:00:00"/>
    <n v="2857.25"/>
    <n v="6.08E-2"/>
    <n v="35"/>
    <n v="1.5E-3"/>
    <n v="5.8333333333333336E-3"/>
    <n v="5.3466666666666662E-2"/>
  </r>
  <r>
    <s v="NIFTY 50"/>
    <s v="Long"/>
    <x v="1"/>
    <n v="2979.5"/>
    <d v="2009-01-07T00:00:00"/>
    <n v="2920.4"/>
    <n v="-1.9800000000000002E-2"/>
    <n v="8"/>
    <n v="1.5E-3"/>
    <n v="1.3333333333333333E-3"/>
    <n v="-2.2633333333333335E-2"/>
  </r>
  <r>
    <s v="NIFTY 50"/>
    <s v="Long"/>
    <x v="2"/>
    <n v="2849.5"/>
    <d v="2009-02-17T00:00:00"/>
    <n v="2770.5"/>
    <n v="-2.7699999999999999E-2"/>
    <n v="20"/>
    <n v="1.5E-3"/>
    <n v="3.3333333333333331E-3"/>
    <n v="-3.2533333333333331E-2"/>
  </r>
  <r>
    <s v="NIFTY 50"/>
    <s v="Long"/>
    <x v="3"/>
    <n v="2785.65"/>
    <d v="2009-03-02T00:00:00"/>
    <n v="2674.6"/>
    <n v="-3.9899999999999998E-2"/>
    <n v="4"/>
    <n v="1.5E-3"/>
    <n v="6.6666666666666664E-4"/>
    <n v="-4.2066666666666662E-2"/>
  </r>
  <r>
    <s v="NIFTY 50"/>
    <s v="Long"/>
    <x v="4"/>
    <n v="2719.25"/>
    <d v="2009-06-17T00:00:00"/>
    <n v="4356.1499999999996"/>
    <n v="0.60199999999999998"/>
    <n v="96"/>
    <n v="1.5E-3"/>
    <n v="1.6E-2"/>
    <n v="0.58450000000000002"/>
  </r>
  <r>
    <s v="NIFTY 50"/>
    <s v="Long"/>
    <x v="5"/>
    <n v="4375.5"/>
    <d v="2009-07-06T00:00:00"/>
    <n v="4165.7"/>
    <n v="-4.7899999999999998E-2"/>
    <n v="10"/>
    <n v="1.5E-3"/>
    <n v="1.6666666666666666E-3"/>
    <n v="-5.1066666666666663E-2"/>
  </r>
  <r>
    <s v="NIFTY 50"/>
    <s v="Long"/>
    <x v="6"/>
    <n v="4111.3999999999996"/>
    <d v="2009-08-10T00:00:00"/>
    <n v="4437.6499999999996"/>
    <n v="7.9399999999999998E-2"/>
    <n v="27"/>
    <n v="1.5E-3"/>
    <n v="4.5000000000000005E-3"/>
    <n v="7.3399999999999993E-2"/>
  </r>
  <r>
    <s v="NIFTY 50"/>
    <s v="Long"/>
    <x v="7"/>
    <n v="4605"/>
    <d v="2009-08-17T00:00:00"/>
    <n v="4387.8999999999996"/>
    <n v="-4.7100000000000003E-2"/>
    <n v="4"/>
    <n v="1.5E-3"/>
    <n v="6.6666666666666664E-4"/>
    <n v="-4.9266666666666667E-2"/>
  </r>
  <r>
    <s v="NIFTY 50"/>
    <s v="Long"/>
    <x v="8"/>
    <n v="4642.8"/>
    <d v="2009-10-22T00:00:00"/>
    <n v="4988.6000000000004"/>
    <n v="7.4499999999999997E-2"/>
    <n v="59"/>
    <n v="1.5E-3"/>
    <n v="9.8333333333333328E-3"/>
    <n v="6.3166666666666663E-2"/>
  </r>
  <r>
    <s v="NIFTY 50"/>
    <s v="Long"/>
    <x v="9"/>
    <n v="4796.1499999999996"/>
    <d v="2009-11-27T00:00:00"/>
    <n v="4941.75"/>
    <n v="3.04E-2"/>
    <n v="21"/>
    <n v="1.5E-3"/>
    <n v="3.4999999999999996E-3"/>
    <n v="2.5399999999999999E-2"/>
  </r>
  <r>
    <s v="NIFTY 50"/>
    <s v="Long"/>
    <x v="10"/>
    <n v="5032.7"/>
    <d v="2009-12-21T00:00:00"/>
    <n v="4952.6000000000004"/>
    <n v="-1.5900000000000001E-2"/>
    <n v="21"/>
    <n v="1.5E-3"/>
    <n v="3.4999999999999996E-3"/>
    <n v="-2.0900000000000002E-2"/>
  </r>
  <r>
    <s v="NIFTY 50"/>
    <s v="Long"/>
    <x v="11"/>
    <n v="5144.6000000000004"/>
    <d v="2010-01-21T00:00:00"/>
    <n v="5094.1499999999996"/>
    <n v="-9.7999999999999997E-3"/>
    <n v="29"/>
    <n v="1.5E-3"/>
    <n v="4.8333333333333336E-3"/>
    <n v="-1.6133333333333333E-2"/>
  </r>
  <r>
    <s v="NIFTY 50"/>
    <s v="Long"/>
    <x v="12"/>
    <n v="4855.75"/>
    <d v="2010-04-19T00:00:00"/>
    <n v="5203.6499999999996"/>
    <n v="7.1599999999999997E-2"/>
    <n v="62"/>
    <n v="1.5E-3"/>
    <n v="1.0333333333333335E-2"/>
    <n v="5.9766666666666662E-2"/>
  </r>
  <r>
    <s v="NIFTY 50"/>
    <s v="Long"/>
    <x v="13"/>
    <n v="5304.1"/>
    <d v="2010-04-28T00:00:00"/>
    <n v="5215.45"/>
    <n v="-1.67E-2"/>
    <n v="5"/>
    <n v="1.5E-3"/>
    <n v="8.3333333333333328E-4"/>
    <n v="-1.9033333333333333E-2"/>
  </r>
  <r>
    <s v="NIFTY 50"/>
    <s v="Long"/>
    <x v="14"/>
    <n v="5193.6000000000004"/>
    <d v="2010-05-17T00:00:00"/>
    <n v="5059.8999999999996"/>
    <n v="-2.5700000000000001E-2"/>
    <n v="7"/>
    <n v="1.5E-3"/>
    <n v="1.1666666666666668E-3"/>
    <n v="-2.8366666666666669E-2"/>
  </r>
  <r>
    <s v="NIFTY 50"/>
    <s v="Long"/>
    <x v="15"/>
    <n v="5003.1000000000004"/>
    <d v="2010-08-27T00:00:00"/>
    <n v="5408.7"/>
    <n v="8.1100000000000005E-2"/>
    <n v="92"/>
    <n v="1.5E-3"/>
    <n v="1.5333333333333334E-2"/>
    <n v="6.4266666666666666E-2"/>
  </r>
  <r>
    <s v="NIFTY 50"/>
    <s v="Long"/>
    <x v="16"/>
    <n v="5471.85"/>
    <d v="2010-10-20T00:00:00"/>
    <n v="5982.1"/>
    <n v="9.3200000000000005E-2"/>
    <n v="49"/>
    <n v="1.5E-3"/>
    <n v="8.1666666666666658E-3"/>
    <n v="8.3533333333333334E-2"/>
  </r>
  <r>
    <s v="NIFTY 50"/>
    <s v="Long"/>
    <x v="17"/>
    <n v="6117.55"/>
    <d v="2010-11-12T00:00:00"/>
    <n v="6071.65"/>
    <n v="-7.4999999999999997E-3"/>
    <n v="11"/>
    <n v="1.5E-3"/>
    <n v="1.8333333333333333E-3"/>
    <n v="-1.0833333333333334E-2"/>
  </r>
  <r>
    <s v="NIFTY 50"/>
    <s v="Long"/>
    <x v="18"/>
    <n v="5960.9"/>
    <d v="2010-12-08T00:00:00"/>
    <n v="5903.7"/>
    <n v="-9.5999999999999992E-3"/>
    <n v="7"/>
    <n v="1.5E-3"/>
    <n v="1.1666666666666668E-3"/>
    <n v="-1.2266666666666665E-2"/>
  </r>
  <r>
    <s v="NIFTY 50"/>
    <s v="Long"/>
    <x v="19"/>
    <n v="5944.1"/>
    <d v="2010-12-31T00:00:00"/>
    <n v="6134.5"/>
    <n v="3.2000000000000001E-2"/>
    <n v="17"/>
    <n v="1.5E-3"/>
    <n v="2.8333333333333331E-3"/>
    <n v="2.7666666666666666E-2"/>
  </r>
  <r>
    <s v="NIFTY 50"/>
    <s v="Long"/>
    <x v="20"/>
    <n v="4835.3999999999996"/>
    <d v="2011-10-03T00:00:00"/>
    <n v="4849.5"/>
    <n v="2.8999999999999998E-3"/>
    <n v="7"/>
    <n v="1.5E-3"/>
    <n v="1.1666666666666668E-3"/>
    <n v="2.3333333333333279E-4"/>
  </r>
  <r>
    <s v="NIFTY 50"/>
    <s v="Long"/>
    <x v="21"/>
    <n v="4979.6000000000004"/>
    <d v="2011-11-14T00:00:00"/>
    <n v="5148.3500000000004"/>
    <n v="3.39E-2"/>
    <n v="35"/>
    <n v="1.5E-3"/>
    <n v="5.8333333333333336E-3"/>
    <n v="2.6566666666666666E-2"/>
  </r>
  <r>
    <s v="NIFTY 50"/>
    <s v="Long"/>
    <x v="22"/>
    <n v="4921.3999999999996"/>
    <d v="2012-05-31T00:00:00"/>
    <n v="4924.25"/>
    <n v="5.9999999999999995E-4"/>
    <n v="7"/>
    <n v="1.5E-3"/>
    <n v="1.1666666666666668E-3"/>
    <n v="-2.0666666666666672E-3"/>
  </r>
  <r>
    <s v="NIFTY 50"/>
    <s v="Long"/>
    <x v="23"/>
    <n v="4997.1000000000004"/>
    <d v="2012-07-16T00:00:00"/>
    <n v="5197.25"/>
    <n v="4.0099999999999997E-2"/>
    <n v="40"/>
    <n v="1.5E-3"/>
    <n v="6.6666666666666662E-3"/>
    <n v="3.1933333333333327E-2"/>
  </r>
  <r>
    <s v="NIFTY 50"/>
    <s v="Long"/>
    <x v="24"/>
    <n v="5199.8"/>
    <d v="2012-08-29T00:00:00"/>
    <n v="5287.799"/>
    <n v="1.6899999999999998E-2"/>
    <n v="30"/>
    <n v="1.5E-3"/>
    <n v="5.0000000000000001E-3"/>
    <n v="1.0399999999999998E-2"/>
  </r>
  <r>
    <s v="NIFTY 50"/>
    <s v="Long"/>
    <x v="25"/>
    <n v="5342.1"/>
    <d v="2012-10-10T00:00:00"/>
    <n v="5652.15"/>
    <n v="5.8000000000000003E-2"/>
    <n v="33"/>
    <n v="1.5E-3"/>
    <n v="5.5000000000000005E-3"/>
    <n v="5.1000000000000004E-2"/>
  </r>
  <r>
    <s v="NIFTY 50"/>
    <s v="Long"/>
    <x v="26"/>
    <n v="5697.7"/>
    <d v="2012-11-15T00:00:00"/>
    <n v="5631"/>
    <n v="-1.17E-2"/>
    <n v="13"/>
    <n v="1.5E-3"/>
    <n v="2.166666666666667E-3"/>
    <n v="-1.5366666666666667E-2"/>
  </r>
  <r>
    <s v="NIFTY 50"/>
    <s v="Long"/>
    <x v="27"/>
    <n v="5635.9"/>
    <d v="2013-02-05T00:00:00"/>
    <n v="5956.8990000000003"/>
    <n v="5.7000000000000002E-2"/>
    <n v="71"/>
    <n v="1.5E-3"/>
    <n v="1.1833333333333335E-2"/>
    <n v="4.3666666666666666E-2"/>
  </r>
  <r>
    <s v="NIFTY 50"/>
    <s v="Long"/>
    <x v="28"/>
    <n v="5939.7"/>
    <d v="2013-02-21T00:00:00"/>
    <n v="5852.25"/>
    <n v="-1.47E-2"/>
    <n v="2"/>
    <n v="1.5E-3"/>
    <n v="3.3333333333333332E-4"/>
    <n v="-1.6533333333333334E-2"/>
  </r>
  <r>
    <s v="NIFTY 50"/>
    <s v="Long"/>
    <x v="29"/>
    <n v="5471.75"/>
    <d v="2013-08-27T00:00:00"/>
    <n v="5287.45"/>
    <n v="-3.3700000000000001E-2"/>
    <n v="4"/>
    <n v="1.5E-3"/>
    <n v="6.6666666666666664E-4"/>
    <n v="-3.5866666666666665E-2"/>
  </r>
  <r>
    <s v="NIFTY 50"/>
    <s v="Long"/>
    <x v="30"/>
    <n v="5409.05"/>
    <d v="2013-09-27T00:00:00"/>
    <n v="5833.2"/>
    <n v="7.8399999999999997E-2"/>
    <n v="29"/>
    <n v="1.5E-3"/>
    <n v="4.8333333333333336E-3"/>
    <n v="7.2066666666666668E-2"/>
  </r>
  <r>
    <s v="NIFTY 50"/>
    <s v="Long"/>
    <x v="31"/>
    <n v="5909.7"/>
    <d v="2013-11-08T00:00:00"/>
    <n v="6140.75"/>
    <n v="3.9100000000000003E-2"/>
    <n v="36"/>
    <n v="1.5E-3"/>
    <n v="6.0000000000000001E-3"/>
    <n v="3.1600000000000003E-2"/>
  </r>
  <r>
    <s v="NIFTY 50"/>
    <s v="Long"/>
    <x v="32"/>
    <n v="6189"/>
    <d v="2013-11-21T00:00:00"/>
    <n v="5999.05"/>
    <n v="-3.0700000000000002E-2"/>
    <n v="3"/>
    <n v="1.5E-3"/>
    <n v="5.0000000000000001E-4"/>
    <n v="-3.27E-2"/>
  </r>
  <r>
    <s v="NIFTY 50"/>
    <s v="Long"/>
    <x v="33"/>
    <n v="6115.35"/>
    <d v="2013-12-13T00:00:00"/>
    <n v="6168.4"/>
    <n v="8.6999999999999994E-3"/>
    <n v="18"/>
    <n v="1.5E-3"/>
    <n v="3.0000000000000001E-3"/>
    <n v="4.1999999999999989E-3"/>
  </r>
  <r>
    <s v="NIFTY 50"/>
    <s v="Long"/>
    <x v="34"/>
    <n v="6274.25"/>
    <d v="2014-01-02T00:00:00"/>
    <n v="6221.15"/>
    <n v="-8.5000000000000006E-3"/>
    <n v="13"/>
    <n v="1.5E-3"/>
    <n v="2.166666666666667E-3"/>
    <n v="-1.2166666666666668E-2"/>
  </r>
  <r>
    <s v="NIFTY 50"/>
    <s v="Long"/>
    <x v="35"/>
    <n v="6272.75"/>
    <d v="2014-01-27T00:00:00"/>
    <n v="6135.85"/>
    <n v="-2.18E-2"/>
    <n v="14"/>
    <n v="1.5E-3"/>
    <n v="2.3333333333333335E-3"/>
    <n v="-2.5633333333333334E-2"/>
  </r>
  <r>
    <s v="NIFTY 50"/>
    <s v="Long"/>
    <x v="36"/>
    <n v="6063.2"/>
    <d v="2014-02-13T00:00:00"/>
    <n v="6001.1"/>
    <n v="-1.0200000000000001E-2"/>
    <n v="6"/>
    <n v="1.5E-3"/>
    <n v="1E-3"/>
    <n v="-1.2700000000000001E-2"/>
  </r>
  <r>
    <s v="NIFTY 50"/>
    <s v="Long"/>
    <x v="37"/>
    <n v="6127.1"/>
    <d v="2014-04-30T00:00:00"/>
    <n v="6696.4"/>
    <n v="9.2899999999999996E-2"/>
    <n v="71"/>
    <n v="1.5E-3"/>
    <n v="1.1833333333333335E-2"/>
    <n v="7.9566666666666661E-2"/>
  </r>
  <r>
    <s v="NIFTY 50"/>
    <s v="Long"/>
    <x v="38"/>
    <n v="6858.8"/>
    <d v="2014-07-08T00:00:00"/>
    <n v="7623.2"/>
    <n v="0.1114"/>
    <n v="60"/>
    <n v="1.5E-3"/>
    <n v="0.01"/>
    <n v="9.9900000000000003E-2"/>
  </r>
  <r>
    <s v="NIFTY 50"/>
    <s v="Long"/>
    <x v="39"/>
    <n v="7624.4"/>
    <d v="2014-08-01T00:00:00"/>
    <n v="7602.6"/>
    <n v="-2.8999999999999998E-3"/>
    <n v="16"/>
    <n v="1.5E-3"/>
    <n v="2.6666666666666666E-3"/>
    <n v="-7.0666666666666664E-3"/>
  </r>
  <r>
    <s v="NIFTY 50"/>
    <s v="Long"/>
    <x v="40"/>
    <n v="7727.05"/>
    <d v="2014-09-16T00:00:00"/>
    <n v="7932.9"/>
    <n v="2.6599999999999999E-2"/>
    <n v="35"/>
    <n v="1.5E-3"/>
    <n v="5.8333333333333336E-3"/>
    <n v="1.9266666666666665E-2"/>
  </r>
  <r>
    <s v="NIFTY 50"/>
    <s v="Long"/>
    <x v="41"/>
    <n v="8114.75"/>
    <d v="2014-09-25T00:00:00"/>
    <n v="7911.8509999999997"/>
    <n v="-2.5000000000000001E-2"/>
    <n v="7"/>
    <n v="1.5E-3"/>
    <n v="1.1666666666666668E-3"/>
    <n v="-2.7666666666666669E-2"/>
  </r>
  <r>
    <s v="NIFTY 50"/>
    <s v="Long"/>
    <x v="42"/>
    <n v="7960.55"/>
    <d v="2014-10-16T00:00:00"/>
    <n v="7748.2"/>
    <n v="-2.6700000000000002E-2"/>
    <n v="7"/>
    <n v="1.5E-3"/>
    <n v="1.1666666666666668E-3"/>
    <n v="-2.9366666666666669E-2"/>
  </r>
  <r>
    <s v="NIFTY 50"/>
    <s v="Long"/>
    <x v="43"/>
    <n v="7927.75"/>
    <d v="2014-12-09T00:00:00"/>
    <n v="8340.7000000000007"/>
    <n v="5.21E-2"/>
    <n v="49"/>
    <n v="1.5E-3"/>
    <n v="8.1666666666666658E-3"/>
    <n v="4.2433333333333337E-2"/>
  </r>
  <r>
    <s v="NIFTY 50"/>
    <s v="Long"/>
    <x v="44"/>
    <n v="8159.3"/>
    <d v="2015-01-06T00:00:00"/>
    <n v="8127.35"/>
    <n v="-3.8999999999999998E-3"/>
    <n v="19"/>
    <n v="1.5E-3"/>
    <n v="3.1666666666666666E-3"/>
    <n v="-8.5666666666666669E-3"/>
  </r>
  <r>
    <s v="NIFTY 50"/>
    <s v="Long"/>
    <x v="45"/>
    <n v="8234.6"/>
    <d v="2015-02-03T00:00:00"/>
    <n v="8756.5499999999993"/>
    <n v="6.3399999999999998E-2"/>
    <n v="26"/>
    <n v="1.5E-3"/>
    <n v="4.333333333333334E-3"/>
    <n v="5.7566666666666662E-2"/>
  </r>
  <r>
    <s v="NIFTY 50"/>
    <s v="Long"/>
    <x v="46"/>
    <n v="8711.5499999999993"/>
    <d v="2015-03-11T00:00:00"/>
    <n v="8699.9500000000007"/>
    <n v="-1.2999999999999999E-3"/>
    <n v="27"/>
    <n v="1.5E-3"/>
    <n v="4.5000000000000005E-3"/>
    <n v="-7.3000000000000001E-3"/>
  </r>
  <r>
    <s v="NIFTY 50"/>
    <s v="Long"/>
    <x v="47"/>
    <n v="8492.2999999999993"/>
    <d v="2015-04-17T00:00:00"/>
    <n v="8606"/>
    <n v="1.34E-2"/>
    <n v="18"/>
    <n v="1.5E-3"/>
    <n v="3.0000000000000001E-3"/>
    <n v="8.8999999999999999E-3"/>
  </r>
  <r>
    <s v="NIFTY 50"/>
    <s v="Long"/>
    <x v="48"/>
    <n v="8331.9500000000007"/>
    <d v="2015-05-06T00:00:00"/>
    <n v="8097"/>
    <n v="-2.8199999999999999E-2"/>
    <n v="2"/>
    <n v="1.5E-3"/>
    <n v="3.3333333333333332E-4"/>
    <n v="-3.0033333333333332E-2"/>
  </r>
  <r>
    <s v="NIFTY 50"/>
    <s v="Long"/>
    <x v="49"/>
    <n v="8325.25"/>
    <d v="2015-05-12T00:00:00"/>
    <n v="8126.95"/>
    <n v="-2.3800000000000002E-2"/>
    <n v="1"/>
    <n v="1.5E-3"/>
    <n v="1.6666666666666666E-4"/>
    <n v="-2.5466666666666669E-2"/>
  </r>
  <r>
    <s v="NIFTY 50"/>
    <s v="Long"/>
    <x v="50"/>
    <n v="8373.65"/>
    <d v="2015-06-02T00:00:00"/>
    <n v="8236.4500000000007"/>
    <n v="-1.6400000000000001E-2"/>
    <n v="15"/>
    <n v="1.5E-3"/>
    <n v="2.5000000000000001E-3"/>
    <n v="-2.0400000000000001E-2"/>
  </r>
  <r>
    <s v="NIFTY 50"/>
    <s v="Long"/>
    <x v="51"/>
    <n v="8091.55"/>
    <d v="2015-07-09T00:00:00"/>
    <n v="8328.5499999999993"/>
    <n v="2.93E-2"/>
    <n v="22"/>
    <n v="1.5E-3"/>
    <n v="3.6666666666666666E-3"/>
    <n v="2.4133333333333333E-2"/>
  </r>
  <r>
    <s v="NIFTY 50"/>
    <s v="Long"/>
    <x v="52"/>
    <n v="8459.65"/>
    <d v="2015-07-27T00:00:00"/>
    <n v="8361"/>
    <n v="-1.17E-2"/>
    <n v="14"/>
    <n v="1.5E-3"/>
    <n v="2.3333333333333335E-3"/>
    <n v="-1.5533333333333333E-2"/>
  </r>
  <r>
    <s v="NIFTY 50"/>
    <s v="Long"/>
    <x v="53"/>
    <n v="8532.85"/>
    <d v="2015-08-12T00:00:00"/>
    <n v="8349.4500000000007"/>
    <n v="-2.1499999999999998E-2"/>
    <n v="12"/>
    <n v="1.5E-3"/>
    <n v="2E-3"/>
    <n v="-2.4999999999999998E-2"/>
  </r>
  <r>
    <s v="NIFTY 50"/>
    <s v="Long"/>
    <x v="54"/>
    <n v="8518.5499999999993"/>
    <d v="2015-08-21T00:00:00"/>
    <n v="8299.9500000000007"/>
    <n v="-2.5700000000000001E-2"/>
    <n v="7"/>
    <n v="1.5E-3"/>
    <n v="1.1666666666666668E-3"/>
    <n v="-2.8366666666666669E-2"/>
  </r>
  <r>
    <s v="NIFTY 50"/>
    <s v="Long"/>
    <x v="55"/>
    <n v="7109.55"/>
    <d v="2016-02-24T00:00:00"/>
    <n v="7018.7"/>
    <n v="-1.2800000000000001E-2"/>
    <n v="1"/>
    <n v="1.5E-3"/>
    <n v="1.6666666666666666E-4"/>
    <n v="-1.4466666666666668E-2"/>
  </r>
  <r>
    <s v="NIFTY 50"/>
    <s v="Long"/>
    <x v="56"/>
    <n v="7222.3"/>
    <d v="2016-04-07T00:00:00"/>
    <n v="7546.451"/>
    <n v="4.4900000000000002E-2"/>
    <n v="37"/>
    <n v="1.5E-3"/>
    <n v="6.1666666666666675E-3"/>
    <n v="3.7233333333333334E-2"/>
  </r>
  <r>
    <s v="NIFTY 50"/>
    <s v="Long"/>
    <x v="57"/>
    <n v="7671.4"/>
    <d v="2016-05-03T00:00:00"/>
    <n v="7747"/>
    <n v="9.9000000000000008E-3"/>
    <n v="22"/>
    <n v="1.5E-3"/>
    <n v="3.6666666666666666E-3"/>
    <n v="4.7333333333333342E-3"/>
  </r>
  <r>
    <s v="NIFTY 50"/>
    <s v="Long"/>
    <x v="58"/>
    <n v="7866.05"/>
    <d v="2016-06-13T00:00:00"/>
    <n v="8110.6009999999997"/>
    <n v="3.1099999999999999E-2"/>
    <n v="35"/>
    <n v="1.5E-3"/>
    <n v="5.8333333333333336E-3"/>
    <n v="2.3766666666666665E-2"/>
  </r>
  <r>
    <s v="NIFTY 50"/>
    <s v="Long"/>
    <x v="59"/>
    <n v="8206.6"/>
    <d v="2016-09-12T00:00:00"/>
    <n v="8715.6"/>
    <n v="6.2E-2"/>
    <n v="89"/>
    <n v="1.5E-3"/>
    <n v="1.4833333333333334E-2"/>
    <n v="4.5666666666666661E-2"/>
  </r>
  <r>
    <s v="NIFTY 50"/>
    <s v="Long"/>
    <x v="60"/>
    <n v="8808.4"/>
    <d v="2016-09-26T00:00:00"/>
    <n v="8723.0499999999993"/>
    <n v="-9.7000000000000003E-3"/>
    <n v="7"/>
    <n v="1.5E-3"/>
    <n v="1.1666666666666668E-3"/>
    <n v="-1.2366666666666668E-2"/>
  </r>
  <r>
    <s v="NIFTY 50"/>
    <s v="Long"/>
    <x v="61"/>
    <n v="8738.1"/>
    <d v="2016-10-13T00:00:00"/>
    <n v="8573.35"/>
    <n v="-1.89E-2"/>
    <n v="10"/>
    <n v="1.5E-3"/>
    <n v="1.6666666666666666E-3"/>
    <n v="-2.2066666666666665E-2"/>
  </r>
  <r>
    <s v="NIFTY 50"/>
    <s v="Long"/>
    <x v="62"/>
    <n v="8677.9"/>
    <d v="2016-10-26T00:00:00"/>
    <n v="8615.25"/>
    <n v="-7.1999999999999998E-3"/>
    <n v="8"/>
    <n v="1.5E-3"/>
    <n v="1.3333333333333333E-3"/>
    <n v="-1.0033333333333333E-2"/>
  </r>
  <r>
    <s v="NIFTY 50"/>
    <s v="Long"/>
    <x v="63"/>
    <n v="8543.5499999999993"/>
    <d v="2016-11-11T00:00:00"/>
    <n v="8296.2999999999993"/>
    <n v="-2.8899999999999999E-2"/>
    <n v="3"/>
    <n v="1.5E-3"/>
    <n v="5.0000000000000001E-4"/>
    <n v="-3.0899999999999997E-2"/>
  </r>
  <r>
    <s v="NIFTY 50"/>
    <s v="Long"/>
    <x v="64"/>
    <n v="7985.75"/>
    <d v="2016-12-26T00:00:00"/>
    <n v="7908.25"/>
    <n v="-9.7000000000000003E-3"/>
    <n v="3"/>
    <n v="1.5E-3"/>
    <n v="5.0000000000000001E-4"/>
    <n v="-1.17E-2"/>
  </r>
  <r>
    <s v="NIFTY 50"/>
    <s v="Long"/>
    <x v="65"/>
    <n v="8032.85"/>
    <d v="2017-04-18T00:00:00"/>
    <n v="9105.15"/>
    <n v="0.13350000000000001"/>
    <n v="112"/>
    <n v="1.5E-3"/>
    <n v="1.8666666666666668E-2"/>
    <n v="0.11333333333333334"/>
  </r>
  <r>
    <s v="NIFTY 50"/>
    <s v="Long"/>
    <x v="66"/>
    <n v="9217.9500000000007"/>
    <d v="2017-05-23T00:00:00"/>
    <n v="9386.15"/>
    <n v="1.8200000000000001E-2"/>
    <n v="29"/>
    <n v="1.5E-3"/>
    <n v="4.8333333333333336E-3"/>
    <n v="1.1866666666666668E-2"/>
  </r>
  <r>
    <s v="NIFTY 50"/>
    <s v="Long"/>
    <x v="67"/>
    <n v="9509.75"/>
    <d v="2017-06-27T00:00:00"/>
    <n v="9511.4"/>
    <n v="2.0000000000000001E-4"/>
    <n v="33"/>
    <n v="1.5E-3"/>
    <n v="5.5000000000000005E-3"/>
    <n v="-6.8000000000000014E-3"/>
  </r>
  <r>
    <s v="NIFTY 50"/>
    <s v="Long"/>
    <x v="68"/>
    <n v="9615"/>
    <d v="2017-08-09T00:00:00"/>
    <n v="9908.0499999999993"/>
    <n v="3.0499999999999999E-2"/>
    <n v="37"/>
    <n v="1.5E-3"/>
    <n v="6.1666666666666675E-3"/>
    <n v="2.283333333333333E-2"/>
  </r>
  <r>
    <s v="NIFTY 50"/>
    <s v="Long"/>
    <x v="69"/>
    <n v="9897.2999999999993"/>
    <d v="2017-08-21T00:00:00"/>
    <n v="9754.35"/>
    <n v="-1.44E-2"/>
    <n v="5"/>
    <n v="1.5E-3"/>
    <n v="8.3333333333333328E-4"/>
    <n v="-1.6733333333333333E-2"/>
  </r>
  <r>
    <s v="NIFTY 50"/>
    <s v="Long"/>
    <x v="70"/>
    <n v="9912.7999999999993"/>
    <d v="2017-08-29T00:00:00"/>
    <n v="9796.0499999999993"/>
    <n v="-1.18E-2"/>
    <n v="1"/>
    <n v="1.5E-3"/>
    <n v="1.6666666666666666E-4"/>
    <n v="-1.3466666666666667E-2"/>
  </r>
  <r>
    <s v="NIFTY 50"/>
    <s v="Long"/>
    <x v="71"/>
    <n v="9917.9"/>
    <d v="2017-09-22T00:00:00"/>
    <n v="9964.4"/>
    <n v="4.7000000000000002E-3"/>
    <n v="22"/>
    <n v="1.5E-3"/>
    <n v="3.6666666666666666E-3"/>
    <n v="-4.6666666666666645E-4"/>
  </r>
  <r>
    <s v="NIFTY 50"/>
    <s v="Long"/>
    <x v="72"/>
    <n v="9914.9"/>
    <d v="2017-11-08T00:00:00"/>
    <n v="10303.15"/>
    <n v="3.9199999999999999E-2"/>
    <n v="35"/>
    <n v="1.5E-3"/>
    <n v="5.8333333333333336E-3"/>
    <n v="3.1866666666666668E-2"/>
  </r>
  <r>
    <s v="NIFTY 50"/>
    <s v="Long"/>
    <x v="73"/>
    <n v="10283.6"/>
    <d v="2017-11-30T00:00:00"/>
    <n v="10226.549999999999"/>
    <n v="-5.4999999999999997E-3"/>
    <n v="13"/>
    <n v="1.5E-3"/>
    <n v="2.166666666666667E-3"/>
    <n v="-9.1666666666666667E-3"/>
  </r>
  <r>
    <s v="NIFTY 50"/>
    <s v="Long"/>
    <x v="74"/>
    <n v="10265.65"/>
    <d v="2018-02-02T00:00:00"/>
    <n v="10760.6"/>
    <n v="4.82E-2"/>
    <n v="56"/>
    <n v="1.5E-3"/>
    <n v="9.3333333333333341E-3"/>
    <n v="3.7366666666666666E-2"/>
  </r>
  <r>
    <s v="NIFTY 50"/>
    <s v="Long"/>
    <x v="75"/>
    <n v="10791.65"/>
    <d v="2019-04-22T00:00:00"/>
    <n v="11594.45"/>
    <n v="7.4399999999999994E-2"/>
    <n v="59"/>
    <n v="1.5E-3"/>
    <n v="9.8333333333333328E-3"/>
    <n v="6.306666666666666E-2"/>
  </r>
  <r>
    <s v="NIFTY 50"/>
    <s v="Long"/>
    <x v="76"/>
    <n v="11726.15"/>
    <d v="2019-05-06T00:00:00"/>
    <n v="11598.25"/>
    <n v="-1.09E-2"/>
    <n v="12"/>
    <n v="1.5E-3"/>
    <n v="2E-3"/>
    <n v="-1.44E-2"/>
  </r>
  <r>
    <s v="NIFTY 50"/>
    <s v="Long"/>
    <x v="77"/>
    <n v="10829.35"/>
    <d v="2019-09-17T00:00:00"/>
    <n v="10817.6"/>
    <n v="-1.1000000000000001E-3"/>
    <n v="25"/>
    <n v="1.5E-3"/>
    <n v="4.1666666666666666E-3"/>
    <n v="-6.7666666666666674E-3"/>
  </r>
  <r>
    <s v="NIFTY 50"/>
    <s v="Long"/>
    <x v="78"/>
    <n v="11274.2"/>
    <d v="2019-10-04T00:00:00"/>
    <n v="11174.75"/>
    <n v="-8.8000000000000005E-3"/>
    <n v="14"/>
    <n v="1.5E-3"/>
    <n v="2.3333333333333335E-3"/>
    <n v="-1.2633333333333333E-2"/>
  </r>
  <r>
    <s v="NIFTY 50"/>
    <s v="Long"/>
    <x v="79"/>
    <n v="11428.3"/>
    <d v="2019-12-06T00:00:00"/>
    <n v="11921.5"/>
    <n v="4.3200000000000002E-2"/>
    <n v="52"/>
    <n v="1.5E-3"/>
    <n v="8.666666666666668E-3"/>
    <n v="3.3033333333333331E-2"/>
  </r>
  <r>
    <s v="NIFTY 50"/>
    <s v="Long"/>
    <x v="80"/>
    <n v="12086.7"/>
    <d v="2020-01-06T00:00:00"/>
    <n v="11993.05"/>
    <n v="-7.7000000000000002E-3"/>
    <n v="24"/>
    <n v="1.5E-3"/>
    <n v="4.0000000000000001E-3"/>
    <n v="-1.32E-2"/>
  </r>
  <r>
    <s v="NIFTY 50"/>
    <s v="Long"/>
    <x v="81"/>
    <n v="12215.9"/>
    <d v="2020-01-21T00:00:00"/>
    <n v="12169.85"/>
    <n v="-3.8E-3"/>
    <n v="12"/>
    <n v="1.5E-3"/>
    <n v="2E-3"/>
    <n v="-7.3000000000000001E-3"/>
  </r>
  <r>
    <s v="NIFTY 50"/>
    <s v="Long"/>
    <x v="82"/>
    <n v="11979.65"/>
    <d v="2020-02-24T00:00:00"/>
    <n v="11829.4"/>
    <n v="-1.2500000000000001E-2"/>
    <n v="20"/>
    <n v="1.5E-3"/>
    <n v="3.3333333333333331E-3"/>
    <n v="-1.7333333333333333E-2"/>
  </r>
  <r>
    <s v="NIFTY 50"/>
    <s v="Long"/>
    <x v="83"/>
    <n v="7801.05"/>
    <d v="2020-04-03T00:00:00"/>
    <n v="8083.799"/>
    <n v="3.6200000000000003E-2"/>
    <n v="10"/>
    <n v="1.5E-3"/>
    <n v="1.6666666666666666E-3"/>
    <n v="3.3033333333333338E-2"/>
  </r>
  <r>
    <s v="NIFTY 50"/>
    <s v="Long"/>
    <x v="84"/>
    <n v="8792.2000000000007"/>
    <d v="2020-05-04T00:00:00"/>
    <n v="9293.5"/>
    <n v="5.7000000000000002E-2"/>
    <n v="27"/>
    <n v="1.5E-3"/>
    <n v="4.5000000000000005E-3"/>
    <n v="5.1000000000000004E-2"/>
  </r>
  <r>
    <s v="NIFTY 50"/>
    <s v="Long"/>
    <x v="85"/>
    <n v="9383.5499999999993"/>
    <d v="2020-05-14T00:00:00"/>
    <n v="9142.75"/>
    <n v="-2.5700000000000001E-2"/>
    <n v="1"/>
    <n v="1.5E-3"/>
    <n v="1.6666666666666666E-4"/>
    <n v="-2.7366666666666668E-2"/>
  </r>
  <r>
    <s v="NIFTY 50"/>
    <s v="Long"/>
    <x v="86"/>
    <n v="9314.9500000000007"/>
    <d v="2020-06-15T00:00:00"/>
    <n v="9813.7000000000007"/>
    <n v="5.3499999999999999E-2"/>
    <n v="19"/>
    <n v="1.5E-3"/>
    <n v="3.1666666666666666E-3"/>
    <n v="4.8833333333333333E-2"/>
  </r>
  <r>
    <s v="NIFTY 50"/>
    <s v="Long"/>
    <x v="87"/>
    <n v="10091.65"/>
    <d v="2020-08-03T00:00:00"/>
    <n v="10891.6"/>
    <n v="7.9299999999999995E-2"/>
    <n v="46"/>
    <n v="1.5E-3"/>
    <n v="7.6666666666666671E-3"/>
    <n v="7.0133333333333325E-2"/>
  </r>
  <r>
    <s v="NIFTY 50"/>
    <s v="Long"/>
    <x v="88"/>
    <n v="11200.15"/>
    <d v="2020-08-14T00:00:00"/>
    <n v="11178.4"/>
    <n v="-1.9E-3"/>
    <n v="8"/>
    <n v="1.5E-3"/>
    <n v="1.3333333333333333E-3"/>
    <n v="-4.7333333333333333E-3"/>
  </r>
  <r>
    <s v="NIFTY 50"/>
    <s v="Long"/>
    <x v="89"/>
    <n v="11385.35"/>
    <d v="2020-08-31T00:00:00"/>
    <n v="11387.5"/>
    <n v="2.0000000000000001E-4"/>
    <n v="13"/>
    <n v="1.5E-3"/>
    <n v="2.166666666666667E-3"/>
    <n v="-3.4666666666666669E-3"/>
  </r>
  <r>
    <s v="NIFTY 50"/>
    <s v="Long"/>
    <x v="90"/>
    <n v="11449.25"/>
    <d v="2020-09-21T00:00:00"/>
    <n v="11250.55"/>
    <n v="-1.7399999999999999E-2"/>
    <n v="11"/>
    <n v="1.5E-3"/>
    <n v="1.8333333333333333E-3"/>
    <n v="-2.0733333333333333E-2"/>
  </r>
  <r>
    <s v="NIFTY 50"/>
    <s v="Long"/>
    <x v="91"/>
    <n v="11227.55"/>
    <d v="2020-10-30T00:00:00"/>
    <n v="11642.4"/>
    <n v="3.6900000000000002E-2"/>
    <n v="32"/>
    <n v="1.5E-3"/>
    <n v="5.3333333333333332E-3"/>
    <n v="3.0066666666666669E-2"/>
  </r>
  <r>
    <s v="NIFTY 50"/>
    <s v="Long"/>
    <x v="92"/>
    <n v="11908.5"/>
    <d v="2020-12-21T00:00:00"/>
    <n v="13328.4"/>
    <n v="0.1192"/>
    <n v="47"/>
    <n v="1.5E-3"/>
    <n v="7.8333333333333328E-3"/>
    <n v="0.10986666666666667"/>
  </r>
  <r>
    <s v="NIFTY 50"/>
    <s v="Long"/>
    <x v="93"/>
    <n v="13601.1"/>
    <d v="2021-01-27T00:00:00"/>
    <n v="13967.5"/>
    <n v="2.69E-2"/>
    <n v="35"/>
    <n v="1.5E-3"/>
    <n v="5.8333333333333336E-3"/>
    <n v="1.9566666666666666E-2"/>
  </r>
  <r>
    <s v="NIFTY 50"/>
    <s v="Long"/>
    <x v="94"/>
    <n v="14281.2"/>
    <d v="2021-02-19T00:00:00"/>
    <n v="14981.75"/>
    <n v="4.9099999999999998E-2"/>
    <n v="18"/>
    <n v="1.5E-3"/>
    <n v="3.0000000000000001E-3"/>
    <n v="4.4600000000000001E-2"/>
  </r>
  <r>
    <s v="NIFTY 50"/>
    <s v="Long"/>
    <x v="95"/>
    <n v="14982"/>
    <d v="2021-02-26T00:00:00"/>
    <n v="14529.15"/>
    <n v="-3.0200000000000001E-2"/>
    <n v="2"/>
    <n v="1.5E-3"/>
    <n v="3.3333333333333332E-4"/>
    <n v="-3.2033333333333337E-2"/>
  </r>
  <r>
    <s v="NIFTY 50"/>
    <s v="Long"/>
    <x v="96"/>
    <n v="15245.6"/>
    <d v="2021-03-17T00:00:00"/>
    <n v="14721.3"/>
    <n v="-3.44E-2"/>
    <n v="14"/>
    <n v="1.5E-3"/>
    <n v="2.3333333333333335E-3"/>
    <n v="-3.8233333333333334E-2"/>
  </r>
  <r>
    <s v="NIFTY 50"/>
    <s v="Long"/>
    <x v="97"/>
    <n v="14845.1"/>
    <d v="2021-04-12T00:00:00"/>
    <n v="14310.8"/>
    <n v="-3.5999999999999997E-2"/>
    <n v="13"/>
    <n v="1.5E-3"/>
    <n v="2.166666666666667E-3"/>
    <n v="-3.9666666666666663E-2"/>
  </r>
  <r>
    <s v="NIFTY 50"/>
    <s v="Long"/>
    <x v="98"/>
    <n v="14653.05"/>
    <d v="2021-05-04T00:00:00"/>
    <n v="14496.5"/>
    <n v="-1.0699999999999999E-2"/>
    <n v="7"/>
    <n v="1.5E-3"/>
    <n v="1.1666666666666668E-3"/>
    <n v="-1.3366666666666666E-2"/>
  </r>
  <r>
    <s v="NIFTY 50"/>
    <s v="Long"/>
    <x v="99"/>
    <n v="14823.15"/>
    <d v="2021-05-12T00:00:00"/>
    <n v="14696.5"/>
    <n v="-8.5000000000000006E-3"/>
    <n v="5"/>
    <n v="1.5E-3"/>
    <n v="8.3333333333333328E-4"/>
    <n v="-1.0833333333333334E-2"/>
  </r>
  <r>
    <s v="NIFTY 50"/>
    <s v="Long"/>
    <x v="100"/>
    <n v="14923.15"/>
    <d v="2021-07-20T00:00:00"/>
    <n v="15632.1"/>
    <n v="4.7500000000000001E-2"/>
    <n v="64"/>
    <n v="1.5E-3"/>
    <n v="1.0666666666666666E-2"/>
    <n v="3.5333333333333335E-2"/>
  </r>
  <r>
    <s v="NIFTY 50"/>
    <s v="Long"/>
    <x v="101"/>
    <n v="15824.05"/>
    <d v="2021-10-22T00:00:00"/>
    <n v="18114.900000000001"/>
    <n v="0.14480000000000001"/>
    <n v="92"/>
    <n v="1.5E-3"/>
    <n v="1.5333333333333334E-2"/>
    <n v="0.12796666666666667"/>
  </r>
  <r>
    <s v="NIFTY 50"/>
    <s v="Long"/>
    <x v="102"/>
    <n v="18068.55"/>
    <d v="2021-11-17T00:00:00"/>
    <n v="17898.650000000001"/>
    <n v="-9.4000000000000004E-3"/>
    <n v="9"/>
    <n v="1.5E-3"/>
    <n v="1.5E-3"/>
    <n v="-1.2400000000000001E-2"/>
  </r>
  <r>
    <s v="NIFTY 50"/>
    <s v="Long"/>
    <x v="103"/>
    <n v="15699.25"/>
    <d v="2022-08-22T00:00:00"/>
    <n v="17490.7"/>
    <n v="0.11409999999999999"/>
    <n v="59"/>
    <n v="1.5E-3"/>
    <n v="9.8333333333333328E-3"/>
    <n v="0.10276666666666666"/>
  </r>
  <r>
    <s v="NIFTY 50"/>
    <s v="Long"/>
    <x v="104"/>
    <n v="17759.3"/>
    <d v="2022-09-16T00:00:00"/>
    <n v="17530.849999999999"/>
    <n v="-1.29E-2"/>
    <n v="17"/>
    <n v="1.5E-3"/>
    <n v="2.8333333333333331E-3"/>
    <n v="-1.7233333333333333E-2"/>
  </r>
  <r>
    <s v="NIFTY 50"/>
    <s v="Long"/>
    <x v="105"/>
    <n v="17816.25"/>
    <d v="2022-09-23T00:00:00"/>
    <n v="17327.349999999999"/>
    <n v="-2.7400000000000001E-2"/>
    <n v="3"/>
    <n v="1.5E-3"/>
    <n v="5.0000000000000001E-4"/>
    <n v="-2.9400000000000003E-2"/>
  </r>
  <r>
    <s v="NIFTY 50"/>
    <s v="Long"/>
    <x v="106"/>
    <n v="17274.3"/>
    <d v="2022-10-11T00:00:00"/>
    <n v="16983.55"/>
    <n v="-1.6799999999999999E-2"/>
    <n v="7"/>
    <n v="1.5E-3"/>
    <n v="1.1666666666666668E-3"/>
    <n v="-1.9466666666666667E-2"/>
  </r>
  <r>
    <s v="NIFTY 50"/>
    <s v="Long"/>
    <x v="107"/>
    <n v="17311.8"/>
    <d v="2022-12-09T00:00:00"/>
    <n v="18496.599999999999"/>
    <n v="6.8400000000000002E-2"/>
    <n v="53"/>
    <n v="1.5E-3"/>
    <n v="8.8333333333333337E-3"/>
    <n v="5.8066666666666669E-2"/>
  </r>
  <r>
    <s v="NIFTY 50"/>
    <s v="Long"/>
    <x v="108"/>
    <n v="18608"/>
    <d v="2022-12-15T00:00:00"/>
    <n v="18414.900000000001"/>
    <n v="-1.04E-2"/>
    <n v="2"/>
    <n v="1.5E-3"/>
    <n v="3.3333333333333332E-4"/>
    <n v="-1.2233333333333332E-2"/>
  </r>
  <r>
    <s v="NIFTY 50"/>
    <s v="Long"/>
    <x v="109"/>
    <n v="17554.3"/>
    <d v="2023-02-24T00:00:00"/>
    <n v="17465.8"/>
    <n v="-5.0000000000000001E-3"/>
    <n v="2"/>
    <n v="1.5E-3"/>
    <n v="3.3333333333333332E-4"/>
    <n v="-6.8333333333333336E-3"/>
  </r>
  <r>
    <s v="NIFTY 50"/>
    <s v="Long"/>
    <x v="110"/>
    <n v="17594.349999999999"/>
    <d v="2023-03-13T00:00:00"/>
    <n v="17154.3"/>
    <n v="-2.5000000000000001E-2"/>
    <n v="10"/>
    <n v="1.5E-3"/>
    <n v="1.6666666666666666E-3"/>
    <n v="-2.8166666666666666E-2"/>
  </r>
  <r>
    <s v="NIFTY 50"/>
    <s v="Long"/>
    <x v="111"/>
    <n v="17359.75"/>
    <d v="2023-08-02T00:00:00"/>
    <n v="19526.55"/>
    <n v="0.12479999999999999"/>
    <n v="124"/>
    <n v="1.5E-3"/>
    <n v="2.066666666666667E-2"/>
    <n v="0.10263333333333333"/>
  </r>
  <r>
    <s v="NIFTY 50"/>
    <s v="Long"/>
    <x v="112"/>
    <n v="19632.55"/>
    <d v="2023-08-17T00:00:00"/>
    <n v="19365.25"/>
    <n v="-1.3599999999999999E-2"/>
    <n v="8"/>
    <n v="1.5E-3"/>
    <n v="1.3333333333333333E-3"/>
    <n v="-1.6433333333333335E-2"/>
  </r>
  <r>
    <s v="NIFTY 50"/>
    <s v="Long"/>
    <x v="113"/>
    <n v="19435.3"/>
    <d v="2023-09-21T00:00:00"/>
    <n v="19742.349999999999"/>
    <n v="1.5800000000000002E-2"/>
    <n v="20"/>
    <n v="1.5E-3"/>
    <n v="3.3333333333333331E-3"/>
    <n v="1.0966666666666668E-2"/>
  </r>
  <r>
    <s v="NIFTY 50"/>
    <s v="Long"/>
    <x v="114"/>
    <n v="19653.5"/>
    <d v="2023-10-20T00:00:00"/>
    <n v="19542.650000000001"/>
    <n v="-5.5999999999999999E-3"/>
    <n v="14"/>
    <n v="1.5E-3"/>
    <n v="2.3333333333333335E-3"/>
    <n v="-9.4333333333333335E-3"/>
  </r>
  <r>
    <s v="NIFTY 50"/>
    <s v="Long"/>
    <x v="115"/>
    <n v="19230.599999999999"/>
    <d v="2024-01-17T00:00:00"/>
    <n v="21571.95"/>
    <n v="0.12180000000000001"/>
    <n v="75"/>
    <n v="1.5E-3"/>
    <n v="1.2500000000000001E-2"/>
    <n v="0.10780000000000001"/>
  </r>
  <r>
    <s v="NIFTY 50"/>
    <s v="Long"/>
    <x v="116"/>
    <n v="21737.599999999999"/>
    <d v="2024-02-12T00:00:00"/>
    <n v="21616.05"/>
    <n v="-5.5999999999999999E-3"/>
    <n v="14"/>
    <n v="1.5E-3"/>
    <n v="2.3333333333333335E-3"/>
    <n v="-9.4333333333333335E-3"/>
  </r>
  <r>
    <s v="NIFTY 50"/>
    <s v="Long"/>
    <x v="117"/>
    <n v="21910.75"/>
    <d v="2024-03-13T00:00:00"/>
    <n v="21997.7"/>
    <n v="4.0000000000000001E-3"/>
    <n v="27"/>
    <n v="1.5E-3"/>
    <n v="4.5000000000000005E-3"/>
    <n v="-2E-3"/>
  </r>
  <r>
    <s v="NIFTY 50"/>
    <s v="Long"/>
    <x v="118"/>
    <n v="22096.75"/>
    <d v="2024-04-15T00:00:00"/>
    <n v="22272.5"/>
    <n v="8.0000000000000002E-3"/>
    <n v="24"/>
    <n v="1.5E-3"/>
    <n v="4.0000000000000001E-3"/>
    <n v="2.5000000000000005E-3"/>
  </r>
  <r>
    <s v="NIFTY 50"/>
    <s v="Long"/>
    <x v="119"/>
    <n v="22336.400000000001"/>
    <d v="2024-05-09T00:00:00"/>
    <n v="21957.5"/>
    <n v="-1.7000000000000001E-2"/>
    <n v="17"/>
    <n v="1.5E-3"/>
    <n v="2.8333333333333331E-3"/>
    <n v="-2.1333333333333336E-2"/>
  </r>
  <r>
    <s v="NIFTY 50"/>
    <s v="Long"/>
    <x v="120"/>
    <n v="22403.85"/>
    <d v="2024-05-30T00:00:00"/>
    <n v="22488.65"/>
    <n v="3.8E-3"/>
    <n v="14"/>
    <n v="1.5E-3"/>
    <n v="2.3333333333333335E-3"/>
    <n v="-3.3333333333333565E-5"/>
  </r>
  <r>
    <s v="NIFTY 50"/>
    <s v="Long"/>
    <x v="121"/>
    <n v="23263.9"/>
    <d v="2024-06-04T00:00:00"/>
    <n v="21884.5"/>
    <n v="-5.9299999999999999E-2"/>
    <n v="1"/>
    <n v="1.5E-3"/>
    <n v="1.6666666666666666E-4"/>
    <n v="-6.0966666666666662E-2"/>
  </r>
  <r>
    <s v="NIFTY 50"/>
    <s v="Long"/>
    <x v="122"/>
    <n v="23290.15"/>
    <d v="2024-08-05T00:00:00"/>
    <n v="24055.599999999999"/>
    <n v="3.2899999999999999E-2"/>
    <n v="59"/>
    <n v="1.5E-3"/>
    <n v="9.8333333333333328E-3"/>
    <n v="2.1566666666666665E-2"/>
  </r>
  <r>
    <s v="NIFTY 50"/>
    <s v="Long"/>
    <x v="123"/>
    <n v="24541.15"/>
    <d v="2024-09-06T00:00:00"/>
    <n v="24852.15"/>
    <n v="1.2699999999999999E-2"/>
    <n v="21"/>
    <n v="1.5E-3"/>
    <n v="3.4999999999999996E-3"/>
    <n v="7.7000000000000002E-3"/>
  </r>
  <r>
    <s v="NIFTY 50"/>
    <s v="Long"/>
    <x v="124"/>
    <n v="25388.9"/>
    <d v="2024-09-30T00:00:00"/>
    <n v="25810.85"/>
    <n v="1.66E-2"/>
    <n v="18"/>
    <n v="1.5E-3"/>
    <n v="3.0000000000000001E-3"/>
    <n v="1.21E-2"/>
  </r>
  <r>
    <s v="NIFTY 50"/>
    <s v="Long"/>
    <x v="125"/>
    <n v="22795.9"/>
    <d v="2025-02-24T00:00:00"/>
    <n v="22553.35"/>
    <n v="-1.06E-2"/>
    <n v="3"/>
    <n v="1.5E-3"/>
    <n v="5.0000000000000001E-4"/>
    <n v="-1.26E-2"/>
  </r>
  <r>
    <s v="NIFTY 50"/>
    <s v="Long"/>
    <x v="126"/>
    <n v="22337.3"/>
    <d v="2025-04-01T00:00:00"/>
    <n v="23165.7"/>
    <n v="3.7100000000000001E-2"/>
    <n v="27"/>
    <n v="1.5E-3"/>
    <n v="4.5000000000000005E-3"/>
    <n v="3.1100000000000003E-2"/>
  </r>
  <r>
    <s v="NIFTY 50"/>
    <s v="Long"/>
    <x v="127"/>
    <n v="22535.85"/>
    <d v="2025-07-11T00:00:00"/>
    <n v="25149.85"/>
    <n v="0.11600000000000001"/>
    <n v="94"/>
    <n v="1.5E-3"/>
    <n v="1.5666666666666666E-2"/>
    <n v="9.8833333333333342E-2"/>
  </r>
  <r>
    <s v="NIFTY 50"/>
    <s v="Long"/>
    <x v="128"/>
    <n v="25219.9"/>
    <d v="2025-07-25T00:00:00"/>
    <n v="24837"/>
    <n v="-1.52E-2"/>
    <n v="2"/>
    <n v="1.5E-3"/>
    <n v="3.3333333333333332E-4"/>
    <n v="-1.7033333333333334E-2"/>
  </r>
  <r>
    <s v="NIFTY 50"/>
    <s v="Long"/>
    <x v="129"/>
    <n v="24876.95"/>
    <d v="2025-08-26T00:00:00"/>
    <n v="24712.05"/>
    <n v="-6.6E-3"/>
    <n v="8"/>
    <n v="1.5E-3"/>
    <n v="1.3333333333333333E-3"/>
    <n v="-9.4333333333333335E-3"/>
  </r>
  <r>
    <s v="NIFTY 50"/>
    <s v="Long"/>
    <x v="130"/>
    <n v="24715.05"/>
    <d v="2025-09-24T00:00:00"/>
    <n v="25056.9"/>
    <n v="1.38E-2"/>
    <n v="21"/>
    <n v="1.5E-3"/>
    <n v="3.4999999999999996E-3"/>
    <n v="8.8000000000000005E-3"/>
  </r>
  <r>
    <s v="NIFTY 50"/>
    <s v="Long"/>
    <x v="131"/>
    <n v="24894.25"/>
    <d v="2025-11-04T00:00:00"/>
    <n v="25597.65"/>
    <n v="2.8299999999999999E-2"/>
    <n v="32"/>
    <n v="1.5E-3"/>
    <n v="5.3333333333333332E-3"/>
    <n v="2.1466666666666665E-2"/>
  </r>
  <r>
    <s v="NIFTY 50"/>
    <s v="Long"/>
    <x v="132"/>
    <n v="25694.95"/>
    <d v="2025-12-10T00:00:00"/>
    <n v="25758"/>
    <n v="2.5000000000000001E-3"/>
    <n v="29"/>
    <n v="1.5E-3"/>
    <n v="4.8333333333333336E-3"/>
    <n v="-3.8333333333333331E-3"/>
  </r>
  <r>
    <s v="NIFTY 50"/>
    <s v="Long"/>
    <x v="133"/>
    <n v="26046.95"/>
    <d v="2026-01-08T00:00:00"/>
    <n v="25876.85"/>
    <n v="-6.4999999999999997E-3"/>
    <n v="27"/>
    <n v="1.5E-3"/>
    <n v="4.5000000000000005E-3"/>
    <n v="-1.2500000000000001E-2"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  <r>
    <m/>
    <m/>
    <x v="13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Y19:Z39" firstHeaderRow="1" firstDataRow="1" firstDataCol="1"/>
  <pivotFields count="14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21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h="1" sd="0" x="19"/>
        <item h="1" sd="0" x="20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</items>
    </pivotField>
  </pivotFields>
  <rowFields count="4">
    <field x="13"/>
    <field x="12"/>
    <field x="11"/>
    <field x="2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et Profit" fld="10" baseField="11" baseItem="1" numFmtId="164"/>
  </dataFields>
  <formats count="4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Y19:AL38" firstHeaderRow="1" firstDataRow="2" firstDataCol="1"/>
  <pivotFields count="12"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20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</items>
    </pivotField>
  </pivotFields>
  <rowFields count="1">
    <field x="1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0" baseField="11" baseItem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Y19:AL38" firstHeaderRow="1" firstDataRow="2" firstDataCol="1"/>
  <pivotFields count="12"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20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</items>
    </pivotField>
  </pivotFields>
  <rowFields count="1">
    <field x="1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0" baseField="11" baseItem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Y19:AL38" firstHeaderRow="1" firstDataRow="2" firstDataCol="1"/>
  <pivotFields count="12"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20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</items>
    </pivotField>
  </pivotFields>
  <rowFields count="1">
    <field x="1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0" baseField="11" baseItem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Y19:AL38" firstHeaderRow="1" firstDataRow="2" firstDataCol="1"/>
  <pivotFields count="12"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20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</items>
    </pivotField>
  </pivotFields>
  <rowFields count="1">
    <field x="1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0" baseField="11" baseItem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7"/>
  <sheetViews>
    <sheetView showGridLines="0" topLeftCell="C1" zoomScale="85" zoomScaleNormal="85" workbookViewId="0">
      <pane ySplit="3" topLeftCell="A4" activePane="bottomLeft" state="frozen"/>
      <selection pane="bottomLeft" activeCell="H30" sqref="H30"/>
    </sheetView>
  </sheetViews>
  <sheetFormatPr defaultRowHeight="15" x14ac:dyDescent="0.25"/>
  <cols>
    <col min="3" max="3" width="39.42578125" customWidth="1"/>
    <col min="5" max="5" width="12" bestFit="1" customWidth="1"/>
    <col min="14" max="14" width="11.42578125" customWidth="1"/>
    <col min="19" max="19" width="11" customWidth="1"/>
    <col min="20" max="20" width="11.7109375" bestFit="1" customWidth="1"/>
  </cols>
  <sheetData>
    <row r="1" spans="2:22" x14ac:dyDescent="0.25">
      <c r="C1" s="54"/>
      <c r="D1" s="55"/>
      <c r="E1" s="55"/>
    </row>
    <row r="2" spans="2:22" x14ac:dyDescent="0.25">
      <c r="C2" s="56"/>
      <c r="D2" s="57"/>
      <c r="E2" s="57"/>
    </row>
    <row r="3" spans="2:22" ht="45" x14ac:dyDescent="0.25">
      <c r="B3" s="58" t="s">
        <v>103</v>
      </c>
      <c r="C3" s="58" t="s">
        <v>104</v>
      </c>
      <c r="D3" s="58" t="s">
        <v>105</v>
      </c>
      <c r="E3" s="58" t="s">
        <v>106</v>
      </c>
      <c r="F3" s="58" t="s">
        <v>107</v>
      </c>
      <c r="G3" s="59" t="s">
        <v>108</v>
      </c>
      <c r="H3" s="58" t="s">
        <v>21</v>
      </c>
      <c r="I3" s="58" t="s">
        <v>23</v>
      </c>
      <c r="J3" s="58" t="s">
        <v>25</v>
      </c>
      <c r="K3" s="58" t="s">
        <v>27</v>
      </c>
      <c r="L3" s="58" t="s">
        <v>28</v>
      </c>
      <c r="M3" s="58" t="s">
        <v>29</v>
      </c>
      <c r="N3" s="58" t="s">
        <v>30</v>
      </c>
      <c r="O3" s="58" t="s">
        <v>31</v>
      </c>
      <c r="P3" s="58" t="s">
        <v>32</v>
      </c>
      <c r="Q3" s="58" t="s">
        <v>33</v>
      </c>
      <c r="R3" s="58" t="s">
        <v>34</v>
      </c>
      <c r="S3" s="58" t="s">
        <v>35</v>
      </c>
      <c r="T3" s="58" t="s">
        <v>109</v>
      </c>
      <c r="U3" s="58" t="s">
        <v>110</v>
      </c>
    </row>
    <row r="4" spans="2:22" x14ac:dyDescent="0.25">
      <c r="B4" s="19">
        <v>1</v>
      </c>
      <c r="C4" s="60" t="s">
        <v>89</v>
      </c>
      <c r="D4" s="61">
        <v>2008</v>
      </c>
      <c r="E4" s="62">
        <f ca="1">IF($C4="","",INDIRECT("'" &amp; $C4 &amp; "'!E3"))</f>
        <v>1.1919999999999999</v>
      </c>
      <c r="F4" s="62">
        <f ca="1">IF($C4="","",INDIRECT("'" &amp; $C4 &amp; "'!E4"))</f>
        <v>5.7033492822966504E-3</v>
      </c>
      <c r="G4" s="63">
        <f ca="1">IF($C4="","",INDIRECT("'" &amp; $C4 &amp; "'!F4"))</f>
        <v>13.909090909090908</v>
      </c>
      <c r="H4" s="63">
        <f ca="1">IF($C4="","",INDIRECT("'" &amp; $C4 &amp; "'!E5"))</f>
        <v>209</v>
      </c>
      <c r="I4" s="62">
        <f ca="1">IF($C4="","",INDIRECT("'" &amp; $C4 &amp; "'!E6"))</f>
        <v>0.45454545454545453</v>
      </c>
      <c r="J4" s="62">
        <f ca="1">IF($C4="","",INDIRECT("'" &amp; $C4 &amp; "'!E7"))</f>
        <v>3.1107017543859649E-2</v>
      </c>
      <c r="K4" s="62">
        <f ca="1">IF($C4="","",INDIRECT("'" &amp; $C4 &amp; "'!E8"))</f>
        <v>-1.5466374269005845E-2</v>
      </c>
      <c r="L4" s="62">
        <f ca="1">IF($C4="","",INDIRECT("'" &amp; $C4 &amp; "'!E9"))</f>
        <v>0.20496666666666666</v>
      </c>
      <c r="M4" s="62">
        <f ca="1">IF($C4="","",INDIRECT("'" &amp; $C4 &amp; "'!E10"))</f>
        <v>-6.0966666666666662E-2</v>
      </c>
      <c r="N4" s="64">
        <f ca="1">IF($C4="","",INDIRECT("'" &amp; $C4 &amp; "'!E11"))</f>
        <v>0.3687580025608197</v>
      </c>
      <c r="O4" s="62">
        <f ca="1">IF($C4="","",INDIRECT("'" &amp; $C4 &amp; "'!E12"))</f>
        <v>1.2301341589267286E-2</v>
      </c>
      <c r="P4" s="64">
        <f ca="1">IF($C4="","",INDIRECT("'" &amp; $C4 &amp; "'!E13"))</f>
        <v>2.0112676056338032</v>
      </c>
      <c r="Q4" s="62">
        <f ca="1">IF($C4="","",INDIRECT("'" &amp; $C4 &amp; "'!E14"))</f>
        <v>6.5466445116429295E-2</v>
      </c>
      <c r="R4" s="65">
        <f ca="1">IF($C4="","",INDIRECT("'" &amp; $C4 &amp; "'!E15"))</f>
        <v>-0.14305306599978454</v>
      </c>
      <c r="S4" s="64">
        <f ca="1">IF($C4="","",INDIRECT("'" &amp; $C4 &amp; "'!E16"))</f>
        <v>0.45763748339744004</v>
      </c>
      <c r="T4" s="66">
        <f ca="1">IF($C4="","",INDIRECT("'" &amp; $C4 &amp; "'!e17"))</f>
        <v>0</v>
      </c>
      <c r="U4" s="66">
        <f ca="1">IF($C5="","",INDIRECT("'" &amp; $C5 &amp; "'!e18"))</f>
        <v>0</v>
      </c>
    </row>
    <row r="5" spans="2:22" x14ac:dyDescent="0.25">
      <c r="B5" s="19"/>
      <c r="C5" s="60" t="str">
        <f>C4</f>
        <v>5,1_5,1</v>
      </c>
      <c r="D5" s="19">
        <v>2011</v>
      </c>
      <c r="E5" s="62">
        <f ca="1">IF($C5="","",INDIRECT("'" &amp; $C5 &amp; "'!L3"))</f>
        <v>0.75346666666666706</v>
      </c>
      <c r="F5" s="62">
        <f ca="1">IF($C5="","",INDIRECT("'" &amp; $C5 &amp; "'!L4"))</f>
        <v>4.2568738229755198E-3</v>
      </c>
      <c r="G5" s="63">
        <f ca="1">IF($C5="","",INDIRECT("'" &amp; $C5 &amp; "'!M4"))</f>
        <v>13.672316384180791</v>
      </c>
      <c r="H5" s="63">
        <f ca="1">IF($C5="","",INDIRECT("'" &amp; $C5 &amp; "'!L5"))</f>
        <v>177</v>
      </c>
      <c r="I5" s="62">
        <f ca="1">IF($C5="","",INDIRECT("'" &amp; $C5 &amp; "'!L6"))</f>
        <v>0.4519774011299435</v>
      </c>
      <c r="J5" s="62">
        <f ca="1">IF($C5="","",INDIRECT("'" &amp; $C5 &amp; "'!L7"))</f>
        <v>2.650333333333333E-2</v>
      </c>
      <c r="K5" s="62">
        <f ca="1">IF($C5="","",INDIRECT("'" &amp; $C5 &amp; "'!L8"))</f>
        <v>-1.4090721649484534E-2</v>
      </c>
      <c r="L5" s="62">
        <f ca="1">IF($C5="","",INDIRECT("'" &amp; $C5 &amp; "'!L9"))</f>
        <v>9.0466666666666667E-2</v>
      </c>
      <c r="M5" s="62">
        <f ca="1">IF($C5="","",INDIRECT("'" &amp; $C5 &amp; "'!L10"))</f>
        <v>-6.0966666666666662E-2</v>
      </c>
      <c r="N5" s="64">
        <f ca="1">IF($C5="","",INDIRECT("'" &amp; $C5 &amp; "'!L11"))</f>
        <v>0.30210474160713008</v>
      </c>
      <c r="O5" s="62">
        <f ca="1">IF($C5="","",INDIRECT("'" &amp; $C5 &amp; "'!L12"))</f>
        <v>9.340495867768599E-3</v>
      </c>
      <c r="P5" s="64">
        <f ca="1">IF($C5="","",INDIRECT("'" &amp; $C5 &amp; "'!L13"))</f>
        <v>1.8809067408057751</v>
      </c>
      <c r="Q5" s="62">
        <f ca="1">IF($C5="","",INDIRECT("'" &amp; $C5 &amp; "'!L14"))</f>
        <v>4.9826990848457875E-2</v>
      </c>
      <c r="R5" s="65">
        <f ca="1">IF($C5="","",INDIRECT("'" &amp; $C5 &amp; "'!L15"))</f>
        <v>-0.14305306599978454</v>
      </c>
      <c r="S5" s="64">
        <f ca="1">IF($C5="","",INDIRECT("'" &amp; $C5 &amp; "'!L16"))</f>
        <v>0.34831124030947314</v>
      </c>
      <c r="T5" s="66">
        <f ca="1">IF($C5="","",INDIRECT("'" &amp; $C5 &amp; "'!L17"))</f>
        <v>0</v>
      </c>
      <c r="U5" s="66">
        <f ca="1">IF($C5="","",INDIRECT("'" &amp; $C5 &amp; "'!L18"))</f>
        <v>0</v>
      </c>
    </row>
    <row r="6" spans="2:22" x14ac:dyDescent="0.25">
      <c r="B6" s="19">
        <v>2</v>
      </c>
      <c r="C6" s="60" t="s">
        <v>90</v>
      </c>
      <c r="D6" s="61">
        <v>2008</v>
      </c>
      <c r="E6" s="62">
        <f t="shared" ref="E6:E26" ca="1" si="0">IF($C6="","",INDIRECT("'" &amp; $C6 &amp; "'!E3"))</f>
        <v>1.7261666666666671</v>
      </c>
      <c r="F6" s="62">
        <f t="shared" ref="F6:F26" ca="1" si="1">IF($C6="","",INDIRECT("'" &amp; $C6 &amp; "'!E4"))</f>
        <v>1.7795532646048114E-2</v>
      </c>
      <c r="G6" s="63">
        <f ca="1">IF($C6="","",INDIRECT("'" &amp; $C6 &amp; "'!F4"))</f>
        <v>30.917525773195877</v>
      </c>
      <c r="H6" s="63">
        <f t="shared" ref="H6:H26" ca="1" si="2">IF($C6="","",INDIRECT("'" &amp; $C6 &amp; "'!E5"))</f>
        <v>97</v>
      </c>
      <c r="I6" s="62">
        <f t="shared" ref="I6:I26" ca="1" si="3">IF($C6="","",INDIRECT("'" &amp; $C6 &amp; "'!E6"))</f>
        <v>0.52577319587628868</v>
      </c>
      <c r="J6" s="62">
        <f t="shared" ref="J6:J26" ca="1" si="4">IF($C6="","",INDIRECT("'" &amp; $C6 &amp; "'!E7"))</f>
        <v>5.3115686274509799E-2</v>
      </c>
      <c r="K6" s="62">
        <f t="shared" ref="K6:K26" ca="1" si="5">IF($C6="","",INDIRECT("'" &amp; $C6 &amp; "'!E8"))</f>
        <v>-2.1363768115942032E-2</v>
      </c>
      <c r="L6" s="62">
        <f t="shared" ref="L6:L26" ca="1" si="6">IF($C6="","",INDIRECT("'" &amp; $C6 &amp; "'!E9"))</f>
        <v>0.55149999999999999</v>
      </c>
      <c r="M6" s="62">
        <f t="shared" ref="M6:M26" ca="1" si="7">IF($C6="","",INDIRECT("'" &amp; $C6 &amp; "'!E10"))</f>
        <v>-6.6233333333333338E-2</v>
      </c>
      <c r="N6" s="64">
        <f t="shared" ref="N6:N26" ca="1" si="8">IF($C6="","",INDIRECT("'" &amp; $C6 &amp; "'!E11"))</f>
        <v>0.83297724209844592</v>
      </c>
      <c r="O6" s="62">
        <f t="shared" ref="O6:O26" ca="1" si="9">IF($C6="","",INDIRECT("'" &amp; $C6 &amp; "'!E12"))</f>
        <v>1.7267422474158058E-2</v>
      </c>
      <c r="P6" s="64">
        <f t="shared" ref="P6:P26" ca="1" si="10">IF($C6="","",INDIRECT("'" &amp; $C6 &amp; "'!E13"))</f>
        <v>2.4862508330107698</v>
      </c>
      <c r="Q6" s="62">
        <f t="shared" ref="Q6:Q26" ca="1" si="11">IF($C6="","",INDIRECT("'" &amp; $C6 &amp; "'!E14"))</f>
        <v>9.2856487005400279E-2</v>
      </c>
      <c r="R6" s="65">
        <f t="shared" ref="R6:R26" ca="1" si="12">IF($C6="","",INDIRECT("'" &amp; $C6 &amp; "'!E15"))</f>
        <v>-0.11924754191761226</v>
      </c>
      <c r="S6" s="64">
        <f t="shared" ref="S6:S26" ca="1" si="13">IF($C6="","",INDIRECT("'" &amp; $C6 &amp; "'!E16"))</f>
        <v>0.77868680152379599</v>
      </c>
      <c r="T6" s="66">
        <f ca="1">IF($C6="","",INDIRECT("'" &amp; $C6 &amp; "'!e17"))</f>
        <v>0</v>
      </c>
      <c r="U6" s="66">
        <f ca="1">IF($C7="","",INDIRECT("'" &amp; $C7 &amp; "'!e18"))</f>
        <v>0</v>
      </c>
    </row>
    <row r="7" spans="2:22" x14ac:dyDescent="0.25">
      <c r="B7" s="19"/>
      <c r="C7" s="60" t="str">
        <f>C6</f>
        <v>5,2_5,2</v>
      </c>
      <c r="D7" s="19">
        <v>2011</v>
      </c>
      <c r="E7" s="62">
        <f t="shared" ref="E7:E27" ca="1" si="14">IF($C7="","",INDIRECT("'" &amp; $C7 &amp; "'!L3"))</f>
        <v>1.0893000000000004</v>
      </c>
      <c r="F7" s="62">
        <f t="shared" ref="F7:F27" ca="1" si="15">IF($C7="","",INDIRECT("'" &amp; $C7 &amp; "'!L4"))</f>
        <v>1.3124096385542173E-2</v>
      </c>
      <c r="G7" s="63">
        <f ca="1">IF($C7="","",INDIRECT("'" &amp; $C7 &amp; "'!M4"))</f>
        <v>30.433734939759034</v>
      </c>
      <c r="H7" s="63">
        <f t="shared" ref="H7:H27" ca="1" si="16">IF($C7="","",INDIRECT("'" &amp; $C7 &amp; "'!L5"))</f>
        <v>83</v>
      </c>
      <c r="I7" s="62">
        <f t="shared" ref="I7:I27" ca="1" si="17">IF($C7="","",INDIRECT("'" &amp; $C7 &amp; "'!L6"))</f>
        <v>0.51807228915662651</v>
      </c>
      <c r="J7" s="62">
        <f t="shared" ref="J7:J27" ca="1" si="18">IF($C7="","",INDIRECT("'" &amp; $C7 &amp; "'!L7"))</f>
        <v>4.334263565891474E-2</v>
      </c>
      <c r="K7" s="62">
        <f t="shared" ref="K7:K27" ca="1" si="19">IF($C7="","",INDIRECT("'" &amp; $C7 &amp; "'!L8"))</f>
        <v>-1.9360833333333334E-2</v>
      </c>
      <c r="L7" s="62">
        <f t="shared" ref="L7:L27" ca="1" si="20">IF($C7="","",INDIRECT("'" &amp; $C7 &amp; "'!L9"))</f>
        <v>0.18296666666666667</v>
      </c>
      <c r="M7" s="62">
        <f t="shared" ref="M7:M27" ca="1" si="21">IF($C7="","",INDIRECT("'" &amp; $C7 &amp; "'!L10"))</f>
        <v>-6.0966666666666662E-2</v>
      </c>
      <c r="N7" s="64">
        <f t="shared" ref="N7:N27" ca="1" si="22">IF($C7="","",INDIRECT("'" &amp; $C7 &amp; "'!L11"))</f>
        <v>0.67786836235744885</v>
      </c>
      <c r="O7" s="62">
        <f t="shared" ref="O7:O27" ca="1" si="23">IF($C7="","",INDIRECT("'" &amp; $C7 &amp; "'!L12"))</f>
        <v>1.2937054631828983E-2</v>
      </c>
      <c r="P7" s="64">
        <f t="shared" ref="P7:P27" ca="1" si="24">IF($C7="","",INDIRECT("'" &amp; $C7 &amp; "'!L13"))</f>
        <v>2.2386761412946106</v>
      </c>
      <c r="Q7" s="62">
        <f t="shared" ref="Q7:Q27" ca="1" si="25">IF($C7="","",INDIRECT("'" &amp; $C7 &amp; "'!L14"))</f>
        <v>7.3163021418312324E-2</v>
      </c>
      <c r="R7" s="65">
        <f t="shared" ref="R7:R27" ca="1" si="26">IF($C7="","",INDIRECT("'" &amp; $C7 &amp; "'!L15"))</f>
        <v>-0.11924754191761226</v>
      </c>
      <c r="S7" s="64">
        <f t="shared" ref="S7:S27" ca="1" si="27">IF($C7="","",INDIRECT("'" &amp; $C7 &amp; "'!L16"))</f>
        <v>0.61353903184738534</v>
      </c>
      <c r="T7" s="66">
        <f ca="1">IF($C7="","",INDIRECT("'" &amp; $C7 &amp; "'!L17"))</f>
        <v>0</v>
      </c>
      <c r="U7" s="66">
        <f ca="1">IF($C7="","",INDIRECT("'" &amp; $C7 &amp; "'!L18"))</f>
        <v>0</v>
      </c>
    </row>
    <row r="8" spans="2:22" x14ac:dyDescent="0.25">
      <c r="B8" s="19">
        <v>3</v>
      </c>
      <c r="C8" s="60" t="e">
        <f ca="1">INDIRECT("'"&amp;$C$3&amp;"'!B"&amp;ROW()+B8-4)</f>
        <v>#REF!</v>
      </c>
      <c r="D8" s="61">
        <v>2008</v>
      </c>
      <c r="E8" s="62" t="e">
        <f t="shared" ca="1" si="0"/>
        <v>#REF!</v>
      </c>
      <c r="F8" s="62" t="e">
        <f t="shared" ca="1" si="1"/>
        <v>#REF!</v>
      </c>
      <c r="G8" s="63" t="e">
        <f ca="1">IF($C8="","",INDIRECT("'" &amp; $C8 &amp; "'!F4"))</f>
        <v>#REF!</v>
      </c>
      <c r="H8" s="63" t="e">
        <f t="shared" ca="1" si="2"/>
        <v>#REF!</v>
      </c>
      <c r="I8" s="62" t="e">
        <f t="shared" ca="1" si="3"/>
        <v>#REF!</v>
      </c>
      <c r="J8" s="62" t="e">
        <f t="shared" ca="1" si="4"/>
        <v>#REF!</v>
      </c>
      <c r="K8" s="62" t="e">
        <f t="shared" ca="1" si="5"/>
        <v>#REF!</v>
      </c>
      <c r="L8" s="62" t="e">
        <f t="shared" ca="1" si="6"/>
        <v>#REF!</v>
      </c>
      <c r="M8" s="62" t="e">
        <f t="shared" ca="1" si="7"/>
        <v>#REF!</v>
      </c>
      <c r="N8" s="64" t="e">
        <f t="shared" ca="1" si="8"/>
        <v>#REF!</v>
      </c>
      <c r="O8" s="62" t="e">
        <f t="shared" ca="1" si="9"/>
        <v>#REF!</v>
      </c>
      <c r="P8" s="64" t="e">
        <f t="shared" ca="1" si="10"/>
        <v>#REF!</v>
      </c>
      <c r="Q8" s="62" t="e">
        <f t="shared" ca="1" si="11"/>
        <v>#REF!</v>
      </c>
      <c r="R8" s="65" t="e">
        <f t="shared" ca="1" si="12"/>
        <v>#REF!</v>
      </c>
      <c r="S8" s="64" t="e">
        <f t="shared" ca="1" si="13"/>
        <v>#REF!</v>
      </c>
      <c r="T8" s="66" t="e">
        <f ca="1">IF($C8="","",INDIRECT("'" &amp; $C8 &amp; "'!e17"))</f>
        <v>#REF!</v>
      </c>
      <c r="U8" s="66" t="e">
        <f ca="1">IF($C9="","",INDIRECT("'" &amp; $C9 &amp; "'!e18"))</f>
        <v>#REF!</v>
      </c>
    </row>
    <row r="9" spans="2:22" x14ac:dyDescent="0.25">
      <c r="B9" s="19"/>
      <c r="C9" s="60" t="e">
        <f ca="1">C8</f>
        <v>#REF!</v>
      </c>
      <c r="D9" s="19">
        <v>2011</v>
      </c>
      <c r="E9" s="62" t="e">
        <f t="shared" ca="1" si="14"/>
        <v>#REF!</v>
      </c>
      <c r="F9" s="62" t="e">
        <f t="shared" ca="1" si="15"/>
        <v>#REF!</v>
      </c>
      <c r="G9" s="63" t="e">
        <f ca="1">IF($C9="","",INDIRECT("'" &amp; $C9 &amp; "'!M4"))</f>
        <v>#REF!</v>
      </c>
      <c r="H9" s="63" t="e">
        <f t="shared" ca="1" si="16"/>
        <v>#REF!</v>
      </c>
      <c r="I9" s="62" t="e">
        <f t="shared" ca="1" si="17"/>
        <v>#REF!</v>
      </c>
      <c r="J9" s="62" t="e">
        <f t="shared" ca="1" si="18"/>
        <v>#REF!</v>
      </c>
      <c r="K9" s="62" t="e">
        <f t="shared" ca="1" si="19"/>
        <v>#REF!</v>
      </c>
      <c r="L9" s="62" t="e">
        <f t="shared" ca="1" si="20"/>
        <v>#REF!</v>
      </c>
      <c r="M9" s="62" t="e">
        <f t="shared" ca="1" si="21"/>
        <v>#REF!</v>
      </c>
      <c r="N9" s="64" t="e">
        <f t="shared" ca="1" si="22"/>
        <v>#REF!</v>
      </c>
      <c r="O9" s="62" t="e">
        <f t="shared" ca="1" si="23"/>
        <v>#REF!</v>
      </c>
      <c r="P9" s="64" t="e">
        <f t="shared" ca="1" si="24"/>
        <v>#REF!</v>
      </c>
      <c r="Q9" s="62" t="e">
        <f t="shared" ca="1" si="25"/>
        <v>#REF!</v>
      </c>
      <c r="R9" s="65" t="e">
        <f t="shared" ca="1" si="26"/>
        <v>#REF!</v>
      </c>
      <c r="S9" s="64" t="e">
        <f t="shared" ca="1" si="27"/>
        <v>#REF!</v>
      </c>
      <c r="T9" s="66" t="e">
        <f ca="1">IF($C9="","",INDIRECT("'" &amp; $C9 &amp; "'!L17"))</f>
        <v>#REF!</v>
      </c>
      <c r="U9" s="66" t="e">
        <f ca="1">IF($C9="","",INDIRECT("'" &amp; $C9 &amp; "'!L18"))</f>
        <v>#REF!</v>
      </c>
    </row>
    <row r="10" spans="2:22" x14ac:dyDescent="0.25">
      <c r="B10" s="19">
        <v>4</v>
      </c>
      <c r="C10" s="60" t="e">
        <f ca="1">INDIRECT("'"&amp;$C$3&amp;"'!B"&amp;ROW()+B10-6)</f>
        <v>#REF!</v>
      </c>
      <c r="D10" s="61">
        <v>2008</v>
      </c>
      <c r="E10" s="62" t="e">
        <f t="shared" ca="1" si="0"/>
        <v>#REF!</v>
      </c>
      <c r="F10" s="62" t="e">
        <f t="shared" ca="1" si="1"/>
        <v>#REF!</v>
      </c>
      <c r="G10" s="63" t="e">
        <f ca="1">IF($C10="","",INDIRECT("'" &amp; $C10 &amp; "'!F4"))</f>
        <v>#REF!</v>
      </c>
      <c r="H10" s="63" t="e">
        <f t="shared" ca="1" si="2"/>
        <v>#REF!</v>
      </c>
      <c r="I10" s="62" t="e">
        <f t="shared" ca="1" si="3"/>
        <v>#REF!</v>
      </c>
      <c r="J10" s="62" t="e">
        <f t="shared" ca="1" si="4"/>
        <v>#REF!</v>
      </c>
      <c r="K10" s="62" t="e">
        <f t="shared" ca="1" si="5"/>
        <v>#REF!</v>
      </c>
      <c r="L10" s="62" t="e">
        <f t="shared" ca="1" si="6"/>
        <v>#REF!</v>
      </c>
      <c r="M10" s="62" t="e">
        <f t="shared" ca="1" si="7"/>
        <v>#REF!</v>
      </c>
      <c r="N10" s="64" t="e">
        <f t="shared" ca="1" si="8"/>
        <v>#REF!</v>
      </c>
      <c r="O10" s="62" t="e">
        <f t="shared" ca="1" si="9"/>
        <v>#REF!</v>
      </c>
      <c r="P10" s="64" t="e">
        <f t="shared" ca="1" si="10"/>
        <v>#REF!</v>
      </c>
      <c r="Q10" s="62" t="e">
        <f t="shared" ca="1" si="11"/>
        <v>#REF!</v>
      </c>
      <c r="R10" s="65" t="e">
        <f t="shared" ca="1" si="12"/>
        <v>#REF!</v>
      </c>
      <c r="S10" s="64" t="e">
        <f t="shared" ca="1" si="13"/>
        <v>#REF!</v>
      </c>
      <c r="T10" s="66" t="e">
        <f ca="1">IF($C10="","",INDIRECT("'" &amp; $C10 &amp; "'!e17"))</f>
        <v>#REF!</v>
      </c>
      <c r="U10" s="66" t="e">
        <f ca="1">IF($C11="","",INDIRECT("'" &amp; $C11 &amp; "'!e18"))</f>
        <v>#REF!</v>
      </c>
    </row>
    <row r="11" spans="2:22" x14ac:dyDescent="0.25">
      <c r="B11" s="19"/>
      <c r="C11" s="60" t="e">
        <f ca="1">C10</f>
        <v>#REF!</v>
      </c>
      <c r="D11" s="19">
        <v>2011</v>
      </c>
      <c r="E11" s="62" t="e">
        <f t="shared" ca="1" si="14"/>
        <v>#REF!</v>
      </c>
      <c r="F11" s="62" t="e">
        <f t="shared" ca="1" si="15"/>
        <v>#REF!</v>
      </c>
      <c r="G11" s="63" t="e">
        <f ca="1">IF($C11="","",INDIRECT("'" &amp; $C11 &amp; "'!M4"))</f>
        <v>#REF!</v>
      </c>
      <c r="H11" s="63" t="e">
        <f t="shared" ca="1" si="16"/>
        <v>#REF!</v>
      </c>
      <c r="I11" s="62" t="e">
        <f t="shared" ca="1" si="17"/>
        <v>#REF!</v>
      </c>
      <c r="J11" s="62" t="e">
        <f t="shared" ca="1" si="18"/>
        <v>#REF!</v>
      </c>
      <c r="K11" s="62" t="e">
        <f t="shared" ca="1" si="19"/>
        <v>#REF!</v>
      </c>
      <c r="L11" s="62" t="e">
        <f t="shared" ca="1" si="20"/>
        <v>#REF!</v>
      </c>
      <c r="M11" s="62" t="e">
        <f t="shared" ca="1" si="21"/>
        <v>#REF!</v>
      </c>
      <c r="N11" s="64" t="e">
        <f t="shared" ca="1" si="22"/>
        <v>#REF!</v>
      </c>
      <c r="O11" s="62" t="e">
        <f t="shared" ca="1" si="23"/>
        <v>#REF!</v>
      </c>
      <c r="P11" s="64" t="e">
        <f t="shared" ca="1" si="24"/>
        <v>#REF!</v>
      </c>
      <c r="Q11" s="62" t="e">
        <f t="shared" ca="1" si="25"/>
        <v>#REF!</v>
      </c>
      <c r="R11" s="65" t="e">
        <f t="shared" ca="1" si="26"/>
        <v>#REF!</v>
      </c>
      <c r="S11" s="64" t="e">
        <f t="shared" ca="1" si="27"/>
        <v>#REF!</v>
      </c>
      <c r="T11" s="66" t="e">
        <f ca="1">IF($C11="","",INDIRECT("'" &amp; $C11 &amp; "'!L17"))</f>
        <v>#REF!</v>
      </c>
      <c r="U11" s="66" t="e">
        <f ca="1">IF($C11="","",INDIRECT("'" &amp; $C11 &amp; "'!L18"))</f>
        <v>#REF!</v>
      </c>
    </row>
    <row r="12" spans="2:22" ht="21" hidden="1" customHeight="1" x14ac:dyDescent="0.25">
      <c r="B12" s="19">
        <v>5</v>
      </c>
      <c r="C12" s="60" t="e">
        <f ca="1">INDIRECT("'"&amp;$C$3&amp;"'!B"&amp;ROW()+B12-8)</f>
        <v>#REF!</v>
      </c>
      <c r="D12" s="61">
        <v>2008</v>
      </c>
      <c r="E12" s="62" t="e">
        <f t="shared" ca="1" si="0"/>
        <v>#REF!</v>
      </c>
      <c r="F12" s="62" t="e">
        <f t="shared" ca="1" si="1"/>
        <v>#REF!</v>
      </c>
      <c r="G12" s="63" t="e">
        <f ca="1">IF($C12="","",INDIRECT("'" &amp; $C12 &amp; "'!F4"))</f>
        <v>#REF!</v>
      </c>
      <c r="H12" s="63" t="e">
        <f t="shared" ca="1" si="2"/>
        <v>#REF!</v>
      </c>
      <c r="I12" s="62" t="e">
        <f t="shared" ca="1" si="3"/>
        <v>#REF!</v>
      </c>
      <c r="J12" s="62" t="e">
        <f t="shared" ca="1" si="4"/>
        <v>#REF!</v>
      </c>
      <c r="K12" s="62" t="e">
        <f t="shared" ca="1" si="5"/>
        <v>#REF!</v>
      </c>
      <c r="L12" s="62" t="e">
        <f t="shared" ca="1" si="6"/>
        <v>#REF!</v>
      </c>
      <c r="M12" s="62" t="e">
        <f t="shared" ca="1" si="7"/>
        <v>#REF!</v>
      </c>
      <c r="N12" s="64" t="e">
        <f t="shared" ca="1" si="8"/>
        <v>#REF!</v>
      </c>
      <c r="O12" s="62" t="e">
        <f t="shared" ca="1" si="9"/>
        <v>#REF!</v>
      </c>
      <c r="P12" s="64" t="e">
        <f t="shared" ca="1" si="10"/>
        <v>#REF!</v>
      </c>
      <c r="Q12" s="62" t="e">
        <f t="shared" ca="1" si="11"/>
        <v>#REF!</v>
      </c>
      <c r="R12" s="65" t="e">
        <f t="shared" ca="1" si="12"/>
        <v>#REF!</v>
      </c>
      <c r="S12" s="64" t="e">
        <f t="shared" ca="1" si="13"/>
        <v>#REF!</v>
      </c>
      <c r="T12" s="66" t="e">
        <f ca="1">IF($C12="","",INDIRECT("'" &amp; $C12 &amp; "'!e17"))</f>
        <v>#REF!</v>
      </c>
      <c r="U12" s="66" t="e">
        <f ca="1">IF($C13="","",INDIRECT("'" &amp; $C13 &amp; "'!e18"))</f>
        <v>#REF!</v>
      </c>
      <c r="V12" s="48"/>
    </row>
    <row r="13" spans="2:22" ht="15" hidden="1" customHeight="1" x14ac:dyDescent="0.25">
      <c r="B13" s="19"/>
      <c r="C13" s="60" t="e">
        <f ca="1">C12</f>
        <v>#REF!</v>
      </c>
      <c r="D13" s="19">
        <v>2011</v>
      </c>
      <c r="E13" s="62" t="e">
        <f t="shared" ca="1" si="14"/>
        <v>#REF!</v>
      </c>
      <c r="F13" s="62" t="e">
        <f t="shared" ca="1" si="15"/>
        <v>#REF!</v>
      </c>
      <c r="G13" s="63" t="e">
        <f ca="1">IF($C13="","",INDIRECT("'" &amp; $C13 &amp; "'!M4"))</f>
        <v>#REF!</v>
      </c>
      <c r="H13" s="63" t="e">
        <f t="shared" ca="1" si="16"/>
        <v>#REF!</v>
      </c>
      <c r="I13" s="62" t="e">
        <f t="shared" ca="1" si="17"/>
        <v>#REF!</v>
      </c>
      <c r="J13" s="62" t="e">
        <f t="shared" ca="1" si="18"/>
        <v>#REF!</v>
      </c>
      <c r="K13" s="62" t="e">
        <f t="shared" ca="1" si="19"/>
        <v>#REF!</v>
      </c>
      <c r="L13" s="62" t="e">
        <f t="shared" ca="1" si="20"/>
        <v>#REF!</v>
      </c>
      <c r="M13" s="62" t="e">
        <f t="shared" ca="1" si="21"/>
        <v>#REF!</v>
      </c>
      <c r="N13" s="64" t="e">
        <f t="shared" ca="1" si="22"/>
        <v>#REF!</v>
      </c>
      <c r="O13" s="62" t="e">
        <f t="shared" ca="1" si="23"/>
        <v>#REF!</v>
      </c>
      <c r="P13" s="64" t="e">
        <f t="shared" ca="1" si="24"/>
        <v>#REF!</v>
      </c>
      <c r="Q13" s="62" t="e">
        <f t="shared" ca="1" si="25"/>
        <v>#REF!</v>
      </c>
      <c r="R13" s="65" t="e">
        <f t="shared" ca="1" si="26"/>
        <v>#REF!</v>
      </c>
      <c r="S13" s="64" t="e">
        <f t="shared" ca="1" si="27"/>
        <v>#REF!</v>
      </c>
      <c r="T13" s="66" t="e">
        <f ca="1">IF($C13="","",INDIRECT("'" &amp; $C13 &amp; "'!L17"))</f>
        <v>#REF!</v>
      </c>
      <c r="U13" s="66" t="e">
        <f ca="1">IF($C13="","",INDIRECT("'" &amp; $C13 &amp; "'!L18"))</f>
        <v>#REF!</v>
      </c>
      <c r="V13" s="48"/>
    </row>
    <row r="14" spans="2:22" hidden="1" x14ac:dyDescent="0.25">
      <c r="B14" s="19">
        <v>6</v>
      </c>
      <c r="C14" s="60" t="e">
        <f ca="1">INDIRECT("'"&amp;$C$3&amp;"'!B"&amp;ROW()+B14-10)</f>
        <v>#REF!</v>
      </c>
      <c r="D14" s="61">
        <v>2008</v>
      </c>
      <c r="E14" s="62" t="e">
        <f t="shared" ca="1" si="0"/>
        <v>#REF!</v>
      </c>
      <c r="F14" s="62" t="e">
        <f t="shared" ca="1" si="1"/>
        <v>#REF!</v>
      </c>
      <c r="G14" s="63" t="e">
        <f ca="1">IF($C14="","",INDIRECT("'" &amp; $C14 &amp; "'!F4"))</f>
        <v>#REF!</v>
      </c>
      <c r="H14" s="63" t="e">
        <f t="shared" ca="1" si="2"/>
        <v>#REF!</v>
      </c>
      <c r="I14" s="62" t="e">
        <f t="shared" ca="1" si="3"/>
        <v>#REF!</v>
      </c>
      <c r="J14" s="62" t="e">
        <f t="shared" ca="1" si="4"/>
        <v>#REF!</v>
      </c>
      <c r="K14" s="62" t="e">
        <f t="shared" ca="1" si="5"/>
        <v>#REF!</v>
      </c>
      <c r="L14" s="62" t="e">
        <f t="shared" ca="1" si="6"/>
        <v>#REF!</v>
      </c>
      <c r="M14" s="62" t="e">
        <f t="shared" ca="1" si="7"/>
        <v>#REF!</v>
      </c>
      <c r="N14" s="64" t="e">
        <f t="shared" ca="1" si="8"/>
        <v>#REF!</v>
      </c>
      <c r="O14" s="62" t="e">
        <f t="shared" ca="1" si="9"/>
        <v>#REF!</v>
      </c>
      <c r="P14" s="64" t="e">
        <f t="shared" ca="1" si="10"/>
        <v>#REF!</v>
      </c>
      <c r="Q14" s="62" t="e">
        <f t="shared" ca="1" si="11"/>
        <v>#REF!</v>
      </c>
      <c r="R14" s="65" t="e">
        <f t="shared" ca="1" si="12"/>
        <v>#REF!</v>
      </c>
      <c r="S14" s="64" t="e">
        <f t="shared" ca="1" si="13"/>
        <v>#REF!</v>
      </c>
      <c r="T14" s="66" t="e">
        <f ca="1">IF($C14="","",INDIRECT("'" &amp; $C14 &amp; "'!e17"))</f>
        <v>#REF!</v>
      </c>
      <c r="U14" s="66" t="e">
        <f ca="1">IF($C15="","",INDIRECT("'" &amp; $C15 &amp; "'!e18"))</f>
        <v>#REF!</v>
      </c>
      <c r="V14" s="48"/>
    </row>
    <row r="15" spans="2:22" hidden="1" x14ac:dyDescent="0.25">
      <c r="B15" s="19"/>
      <c r="C15" s="60" t="e">
        <f ca="1">C14</f>
        <v>#REF!</v>
      </c>
      <c r="D15" s="19">
        <v>2011</v>
      </c>
      <c r="E15" s="62" t="e">
        <f t="shared" ca="1" si="14"/>
        <v>#REF!</v>
      </c>
      <c r="F15" s="62" t="e">
        <f t="shared" ca="1" si="15"/>
        <v>#REF!</v>
      </c>
      <c r="G15" s="63" t="e">
        <f ca="1">IF($C15="","",INDIRECT("'" &amp; $C15 &amp; "'!M4"))</f>
        <v>#REF!</v>
      </c>
      <c r="H15" s="63" t="e">
        <f t="shared" ca="1" si="16"/>
        <v>#REF!</v>
      </c>
      <c r="I15" s="62" t="e">
        <f t="shared" ca="1" si="17"/>
        <v>#REF!</v>
      </c>
      <c r="J15" s="62" t="e">
        <f t="shared" ca="1" si="18"/>
        <v>#REF!</v>
      </c>
      <c r="K15" s="62" t="e">
        <f t="shared" ca="1" si="19"/>
        <v>#REF!</v>
      </c>
      <c r="L15" s="62" t="e">
        <f t="shared" ca="1" si="20"/>
        <v>#REF!</v>
      </c>
      <c r="M15" s="62" t="e">
        <f t="shared" ca="1" si="21"/>
        <v>#REF!</v>
      </c>
      <c r="N15" s="64" t="e">
        <f t="shared" ca="1" si="22"/>
        <v>#REF!</v>
      </c>
      <c r="O15" s="62" t="e">
        <f t="shared" ca="1" si="23"/>
        <v>#REF!</v>
      </c>
      <c r="P15" s="64" t="e">
        <f t="shared" ca="1" si="24"/>
        <v>#REF!</v>
      </c>
      <c r="Q15" s="62" t="e">
        <f t="shared" ca="1" si="25"/>
        <v>#REF!</v>
      </c>
      <c r="R15" s="65" t="e">
        <f t="shared" ca="1" si="26"/>
        <v>#REF!</v>
      </c>
      <c r="S15" s="64" t="e">
        <f t="shared" ca="1" si="27"/>
        <v>#REF!</v>
      </c>
      <c r="T15" s="66" t="e">
        <f ca="1">IF($C15="","",INDIRECT("'" &amp; $C15 &amp; "'!L17"))</f>
        <v>#REF!</v>
      </c>
      <c r="U15" s="66" t="e">
        <f ca="1">IF($C15="","",INDIRECT("'" &amp; $C15 &amp; "'!L18"))</f>
        <v>#REF!</v>
      </c>
      <c r="V15" s="48"/>
    </row>
    <row r="16" spans="2:22" hidden="1" x14ac:dyDescent="0.25">
      <c r="B16" s="19">
        <v>7</v>
      </c>
      <c r="C16" s="60" t="e">
        <f ca="1">INDIRECT("'"&amp;$C$3&amp;"'!B"&amp;ROW()+B16-12)</f>
        <v>#REF!</v>
      </c>
      <c r="D16" s="61">
        <v>2008</v>
      </c>
      <c r="E16" s="62" t="e">
        <f t="shared" ca="1" si="0"/>
        <v>#REF!</v>
      </c>
      <c r="F16" s="62" t="e">
        <f t="shared" ca="1" si="1"/>
        <v>#REF!</v>
      </c>
      <c r="G16" s="63" t="e">
        <f ca="1">IF($C16="","",INDIRECT("'" &amp; $C16 &amp; "'!F4"))</f>
        <v>#REF!</v>
      </c>
      <c r="H16" s="63" t="e">
        <f t="shared" ca="1" si="2"/>
        <v>#REF!</v>
      </c>
      <c r="I16" s="62" t="e">
        <f t="shared" ca="1" si="3"/>
        <v>#REF!</v>
      </c>
      <c r="J16" s="62" t="e">
        <f t="shared" ca="1" si="4"/>
        <v>#REF!</v>
      </c>
      <c r="K16" s="62" t="e">
        <f t="shared" ca="1" si="5"/>
        <v>#REF!</v>
      </c>
      <c r="L16" s="62" t="e">
        <f t="shared" ca="1" si="6"/>
        <v>#REF!</v>
      </c>
      <c r="M16" s="62" t="e">
        <f t="shared" ca="1" si="7"/>
        <v>#REF!</v>
      </c>
      <c r="N16" s="64" t="e">
        <f t="shared" ca="1" si="8"/>
        <v>#REF!</v>
      </c>
      <c r="O16" s="62" t="e">
        <f t="shared" ca="1" si="9"/>
        <v>#REF!</v>
      </c>
      <c r="P16" s="64" t="e">
        <f t="shared" ca="1" si="10"/>
        <v>#REF!</v>
      </c>
      <c r="Q16" s="62" t="e">
        <f t="shared" ca="1" si="11"/>
        <v>#REF!</v>
      </c>
      <c r="R16" s="65" t="e">
        <f t="shared" ca="1" si="12"/>
        <v>#REF!</v>
      </c>
      <c r="S16" s="64" t="e">
        <f t="shared" ca="1" si="13"/>
        <v>#REF!</v>
      </c>
      <c r="T16" s="66" t="e">
        <f ca="1">IF($C16="","",INDIRECT("'" &amp; $C16 &amp; "'!e17"))</f>
        <v>#REF!</v>
      </c>
      <c r="U16" s="66" t="e">
        <f ca="1">IF($C17="","",INDIRECT("'" &amp; $C17 &amp; "'!e18"))</f>
        <v>#REF!</v>
      </c>
    </row>
    <row r="17" spans="2:21" hidden="1" x14ac:dyDescent="0.25">
      <c r="B17" s="19"/>
      <c r="C17" s="60" t="e">
        <f ca="1">C16</f>
        <v>#REF!</v>
      </c>
      <c r="D17" s="19">
        <v>2011</v>
      </c>
      <c r="E17" s="62" t="e">
        <f t="shared" ca="1" si="14"/>
        <v>#REF!</v>
      </c>
      <c r="F17" s="62" t="e">
        <f t="shared" ca="1" si="15"/>
        <v>#REF!</v>
      </c>
      <c r="G17" s="63" t="e">
        <f ca="1">IF($C17="","",INDIRECT("'" &amp; $C17 &amp; "'!M4"))</f>
        <v>#REF!</v>
      </c>
      <c r="H17" s="63" t="e">
        <f t="shared" ca="1" si="16"/>
        <v>#REF!</v>
      </c>
      <c r="I17" s="62" t="e">
        <f t="shared" ca="1" si="17"/>
        <v>#REF!</v>
      </c>
      <c r="J17" s="62" t="e">
        <f t="shared" ca="1" si="18"/>
        <v>#REF!</v>
      </c>
      <c r="K17" s="62" t="e">
        <f t="shared" ca="1" si="19"/>
        <v>#REF!</v>
      </c>
      <c r="L17" s="62" t="e">
        <f t="shared" ca="1" si="20"/>
        <v>#REF!</v>
      </c>
      <c r="M17" s="62" t="e">
        <f t="shared" ca="1" si="21"/>
        <v>#REF!</v>
      </c>
      <c r="N17" s="64" t="e">
        <f t="shared" ca="1" si="22"/>
        <v>#REF!</v>
      </c>
      <c r="O17" s="62" t="e">
        <f t="shared" ca="1" si="23"/>
        <v>#REF!</v>
      </c>
      <c r="P17" s="64" t="e">
        <f t="shared" ca="1" si="24"/>
        <v>#REF!</v>
      </c>
      <c r="Q17" s="62" t="e">
        <f t="shared" ca="1" si="25"/>
        <v>#REF!</v>
      </c>
      <c r="R17" s="65" t="e">
        <f t="shared" ca="1" si="26"/>
        <v>#REF!</v>
      </c>
      <c r="S17" s="64" t="e">
        <f t="shared" ca="1" si="27"/>
        <v>#REF!</v>
      </c>
      <c r="T17" s="66" t="e">
        <f ca="1">IF($C17="","",INDIRECT("'" &amp; $C17 &amp; "'!L17"))</f>
        <v>#REF!</v>
      </c>
      <c r="U17" s="66" t="e">
        <f ca="1">IF($C17="","",INDIRECT("'" &amp; $C17 &amp; "'!L18"))</f>
        <v>#REF!</v>
      </c>
    </row>
    <row r="18" spans="2:21" hidden="1" x14ac:dyDescent="0.25">
      <c r="B18" s="19">
        <v>8</v>
      </c>
      <c r="C18" s="60" t="e">
        <f ca="1">INDIRECT("'"&amp;$C$3&amp;"'!B"&amp;ROW()+B18-14)</f>
        <v>#REF!</v>
      </c>
      <c r="D18" s="61">
        <v>2008</v>
      </c>
      <c r="E18" s="62" t="e">
        <f t="shared" ca="1" si="0"/>
        <v>#REF!</v>
      </c>
      <c r="F18" s="62" t="e">
        <f t="shared" ca="1" si="1"/>
        <v>#REF!</v>
      </c>
      <c r="G18" s="63" t="e">
        <f ca="1">IF($C18="","",INDIRECT("'" &amp; $C18 &amp; "'!F4"))</f>
        <v>#REF!</v>
      </c>
      <c r="H18" s="63" t="e">
        <f t="shared" ca="1" si="2"/>
        <v>#REF!</v>
      </c>
      <c r="I18" s="62" t="e">
        <f t="shared" ca="1" si="3"/>
        <v>#REF!</v>
      </c>
      <c r="J18" s="62" t="e">
        <f t="shared" ca="1" si="4"/>
        <v>#REF!</v>
      </c>
      <c r="K18" s="62" t="e">
        <f t="shared" ca="1" si="5"/>
        <v>#REF!</v>
      </c>
      <c r="L18" s="62" t="e">
        <f t="shared" ca="1" si="6"/>
        <v>#REF!</v>
      </c>
      <c r="M18" s="62" t="e">
        <f t="shared" ca="1" si="7"/>
        <v>#REF!</v>
      </c>
      <c r="N18" s="64" t="e">
        <f t="shared" ca="1" si="8"/>
        <v>#REF!</v>
      </c>
      <c r="O18" s="62" t="e">
        <f t="shared" ca="1" si="9"/>
        <v>#REF!</v>
      </c>
      <c r="P18" s="64" t="e">
        <f t="shared" ca="1" si="10"/>
        <v>#REF!</v>
      </c>
      <c r="Q18" s="62" t="e">
        <f t="shared" ca="1" si="11"/>
        <v>#REF!</v>
      </c>
      <c r="R18" s="65" t="e">
        <f t="shared" ca="1" si="12"/>
        <v>#REF!</v>
      </c>
      <c r="S18" s="64" t="e">
        <f t="shared" ca="1" si="13"/>
        <v>#REF!</v>
      </c>
      <c r="T18" s="66" t="e">
        <f ca="1">IF($C18="","",INDIRECT("'" &amp; $C18 &amp; "'!e17"))</f>
        <v>#REF!</v>
      </c>
      <c r="U18" s="66" t="e">
        <f ca="1">IF($C19="","",INDIRECT("'" &amp; $C19 &amp; "'!e18"))</f>
        <v>#REF!</v>
      </c>
    </row>
    <row r="19" spans="2:21" hidden="1" x14ac:dyDescent="0.25">
      <c r="B19" s="19"/>
      <c r="C19" s="60" t="e">
        <f ca="1">C18</f>
        <v>#REF!</v>
      </c>
      <c r="D19" s="19">
        <v>2011</v>
      </c>
      <c r="E19" s="62" t="e">
        <f t="shared" ca="1" si="14"/>
        <v>#REF!</v>
      </c>
      <c r="F19" s="62" t="e">
        <f t="shared" ca="1" si="15"/>
        <v>#REF!</v>
      </c>
      <c r="G19" s="63" t="e">
        <f ca="1">IF($C19="","",INDIRECT("'" &amp; $C19 &amp; "'!M4"))</f>
        <v>#REF!</v>
      </c>
      <c r="H19" s="63" t="e">
        <f t="shared" ca="1" si="16"/>
        <v>#REF!</v>
      </c>
      <c r="I19" s="62" t="e">
        <f t="shared" ca="1" si="17"/>
        <v>#REF!</v>
      </c>
      <c r="J19" s="62" t="e">
        <f t="shared" ca="1" si="18"/>
        <v>#REF!</v>
      </c>
      <c r="K19" s="62" t="e">
        <f t="shared" ca="1" si="19"/>
        <v>#REF!</v>
      </c>
      <c r="L19" s="62" t="e">
        <f t="shared" ca="1" si="20"/>
        <v>#REF!</v>
      </c>
      <c r="M19" s="62" t="e">
        <f t="shared" ca="1" si="21"/>
        <v>#REF!</v>
      </c>
      <c r="N19" s="64" t="e">
        <f t="shared" ca="1" si="22"/>
        <v>#REF!</v>
      </c>
      <c r="O19" s="62" t="e">
        <f t="shared" ca="1" si="23"/>
        <v>#REF!</v>
      </c>
      <c r="P19" s="64" t="e">
        <f t="shared" ca="1" si="24"/>
        <v>#REF!</v>
      </c>
      <c r="Q19" s="62" t="e">
        <f t="shared" ca="1" si="25"/>
        <v>#REF!</v>
      </c>
      <c r="R19" s="65" t="e">
        <f t="shared" ca="1" si="26"/>
        <v>#REF!</v>
      </c>
      <c r="S19" s="64" t="e">
        <f t="shared" ca="1" si="27"/>
        <v>#REF!</v>
      </c>
      <c r="T19" s="66" t="e">
        <f ca="1">IF($C19="","",INDIRECT("'" &amp; $C19 &amp; "'!L17"))</f>
        <v>#REF!</v>
      </c>
      <c r="U19" s="66" t="e">
        <f ca="1">IF($C19="","",INDIRECT("'" &amp; $C19 &amp; "'!L18"))</f>
        <v>#REF!</v>
      </c>
    </row>
    <row r="20" spans="2:21" s="43" customFormat="1" hidden="1" x14ac:dyDescent="0.25">
      <c r="B20" s="67">
        <v>9</v>
      </c>
      <c r="C20" s="60" t="e">
        <f ca="1">INDIRECT("'"&amp;$C$3&amp;"'!B"&amp;ROW()+B20-16)</f>
        <v>#REF!</v>
      </c>
      <c r="D20" s="67">
        <v>2008</v>
      </c>
      <c r="E20" s="68" t="e">
        <f t="shared" ca="1" si="0"/>
        <v>#REF!</v>
      </c>
      <c r="F20" s="68" t="e">
        <f t="shared" ca="1" si="1"/>
        <v>#REF!</v>
      </c>
      <c r="G20" s="69" t="e">
        <f ca="1">IF($C20="","",INDIRECT("'" &amp; $C20 &amp; "'!F4"))</f>
        <v>#REF!</v>
      </c>
      <c r="H20" s="69" t="e">
        <f t="shared" ca="1" si="2"/>
        <v>#REF!</v>
      </c>
      <c r="I20" s="68" t="e">
        <f t="shared" ca="1" si="3"/>
        <v>#REF!</v>
      </c>
      <c r="J20" s="68" t="e">
        <f t="shared" ca="1" si="4"/>
        <v>#REF!</v>
      </c>
      <c r="K20" s="68" t="e">
        <f t="shared" ca="1" si="5"/>
        <v>#REF!</v>
      </c>
      <c r="L20" s="68" t="e">
        <f t="shared" ca="1" si="6"/>
        <v>#REF!</v>
      </c>
      <c r="M20" s="68" t="e">
        <f t="shared" ca="1" si="7"/>
        <v>#REF!</v>
      </c>
      <c r="N20" s="70" t="e">
        <f t="shared" ca="1" si="8"/>
        <v>#REF!</v>
      </c>
      <c r="O20" s="68" t="e">
        <f t="shared" ca="1" si="9"/>
        <v>#REF!</v>
      </c>
      <c r="P20" s="70" t="e">
        <f t="shared" ca="1" si="10"/>
        <v>#REF!</v>
      </c>
      <c r="Q20" s="68" t="e">
        <f t="shared" ca="1" si="11"/>
        <v>#REF!</v>
      </c>
      <c r="R20" s="71" t="e">
        <f t="shared" ca="1" si="12"/>
        <v>#REF!</v>
      </c>
      <c r="S20" s="70" t="e">
        <f t="shared" ca="1" si="13"/>
        <v>#REF!</v>
      </c>
      <c r="T20" s="72" t="e">
        <f ca="1">IF($C20="","",INDIRECT("'" &amp; $C20 &amp; "'!e17"))</f>
        <v>#REF!</v>
      </c>
      <c r="U20" s="72" t="e">
        <f ca="1">IF($C21="","",INDIRECT("'" &amp; $C21 &amp; "'!e18"))</f>
        <v>#REF!</v>
      </c>
    </row>
    <row r="21" spans="2:21" hidden="1" x14ac:dyDescent="0.25">
      <c r="B21" s="19"/>
      <c r="C21" s="60" t="e">
        <f ca="1">C20</f>
        <v>#REF!</v>
      </c>
      <c r="D21" s="19">
        <v>2011</v>
      </c>
      <c r="E21" s="62" t="e">
        <f t="shared" ca="1" si="14"/>
        <v>#REF!</v>
      </c>
      <c r="F21" s="62" t="e">
        <f t="shared" ca="1" si="15"/>
        <v>#REF!</v>
      </c>
      <c r="G21" s="63" t="e">
        <f ca="1">IF($C21="","",INDIRECT("'" &amp; $C21 &amp; "'!M4"))</f>
        <v>#REF!</v>
      </c>
      <c r="H21" s="63" t="e">
        <f t="shared" ca="1" si="16"/>
        <v>#REF!</v>
      </c>
      <c r="I21" s="62" t="e">
        <f t="shared" ca="1" si="17"/>
        <v>#REF!</v>
      </c>
      <c r="J21" s="62" t="e">
        <f t="shared" ca="1" si="18"/>
        <v>#REF!</v>
      </c>
      <c r="K21" s="62" t="e">
        <f t="shared" ca="1" si="19"/>
        <v>#REF!</v>
      </c>
      <c r="L21" s="62" t="e">
        <f t="shared" ca="1" si="20"/>
        <v>#REF!</v>
      </c>
      <c r="M21" s="62" t="e">
        <f t="shared" ca="1" si="21"/>
        <v>#REF!</v>
      </c>
      <c r="N21" s="64" t="e">
        <f t="shared" ca="1" si="22"/>
        <v>#REF!</v>
      </c>
      <c r="O21" s="62" t="e">
        <f t="shared" ca="1" si="23"/>
        <v>#REF!</v>
      </c>
      <c r="P21" s="64" t="e">
        <f t="shared" ca="1" si="24"/>
        <v>#REF!</v>
      </c>
      <c r="Q21" s="62" t="e">
        <f t="shared" ca="1" si="25"/>
        <v>#REF!</v>
      </c>
      <c r="R21" s="65" t="e">
        <f t="shared" ca="1" si="26"/>
        <v>#REF!</v>
      </c>
      <c r="S21" s="64" t="e">
        <f t="shared" ca="1" si="27"/>
        <v>#REF!</v>
      </c>
      <c r="T21" s="66" t="e">
        <f ca="1">IF($C21="","",INDIRECT("'" &amp; $C21 &amp; "'!L17"))</f>
        <v>#REF!</v>
      </c>
      <c r="U21" s="66" t="e">
        <f ca="1">IF($C21="","",INDIRECT("'" &amp; $C21 &amp; "'!L18"))</f>
        <v>#REF!</v>
      </c>
    </row>
    <row r="22" spans="2:21" hidden="1" x14ac:dyDescent="0.25">
      <c r="B22" s="19">
        <v>10</v>
      </c>
      <c r="C22" s="60" t="e">
        <f ca="1">C21</f>
        <v>#REF!</v>
      </c>
      <c r="D22" s="61">
        <v>2008</v>
      </c>
      <c r="E22" s="62" t="e">
        <f t="shared" ca="1" si="0"/>
        <v>#REF!</v>
      </c>
      <c r="F22" s="62" t="e">
        <f t="shared" ca="1" si="1"/>
        <v>#REF!</v>
      </c>
      <c r="G22" s="63" t="e">
        <f ca="1">IF($C22="","",INDIRECT("'" &amp; $C22 &amp; "'!F4"))</f>
        <v>#REF!</v>
      </c>
      <c r="H22" s="63" t="e">
        <f t="shared" ca="1" si="2"/>
        <v>#REF!</v>
      </c>
      <c r="I22" s="62" t="e">
        <f t="shared" ca="1" si="3"/>
        <v>#REF!</v>
      </c>
      <c r="J22" s="62" t="e">
        <f t="shared" ca="1" si="4"/>
        <v>#REF!</v>
      </c>
      <c r="K22" s="62" t="e">
        <f t="shared" ca="1" si="5"/>
        <v>#REF!</v>
      </c>
      <c r="L22" s="62" t="e">
        <f t="shared" ca="1" si="6"/>
        <v>#REF!</v>
      </c>
      <c r="M22" s="62" t="e">
        <f t="shared" ca="1" si="7"/>
        <v>#REF!</v>
      </c>
      <c r="N22" s="64" t="e">
        <f t="shared" ca="1" si="8"/>
        <v>#REF!</v>
      </c>
      <c r="O22" s="62" t="e">
        <f t="shared" ca="1" si="9"/>
        <v>#REF!</v>
      </c>
      <c r="P22" s="64" t="e">
        <f t="shared" ca="1" si="10"/>
        <v>#REF!</v>
      </c>
      <c r="Q22" s="62" t="e">
        <f t="shared" ca="1" si="11"/>
        <v>#REF!</v>
      </c>
      <c r="R22" s="65" t="e">
        <f t="shared" ca="1" si="12"/>
        <v>#REF!</v>
      </c>
      <c r="S22" s="64" t="e">
        <f t="shared" ca="1" si="13"/>
        <v>#REF!</v>
      </c>
      <c r="T22" s="66" t="e">
        <f ca="1">IF($C22="","",INDIRECT("'" &amp; $C22 &amp; "'!e17"))</f>
        <v>#REF!</v>
      </c>
      <c r="U22" s="66" t="e">
        <f ca="1">IF($C23="","",INDIRECT("'" &amp; $C23 &amp; "'!e18"))</f>
        <v>#REF!</v>
      </c>
    </row>
    <row r="23" spans="2:21" hidden="1" x14ac:dyDescent="0.25">
      <c r="B23" s="19"/>
      <c r="C23" s="60" t="e">
        <f ca="1">C22</f>
        <v>#REF!</v>
      </c>
      <c r="D23" s="19">
        <v>2011</v>
      </c>
      <c r="E23" s="62" t="e">
        <f t="shared" ca="1" si="14"/>
        <v>#REF!</v>
      </c>
      <c r="F23" s="62" t="e">
        <f t="shared" ca="1" si="15"/>
        <v>#REF!</v>
      </c>
      <c r="G23" s="63" t="e">
        <f ca="1">IF($C23="","",INDIRECT("'" &amp; $C23 &amp; "'!M4"))</f>
        <v>#REF!</v>
      </c>
      <c r="H23" s="63" t="e">
        <f t="shared" ca="1" si="16"/>
        <v>#REF!</v>
      </c>
      <c r="I23" s="62" t="e">
        <f t="shared" ca="1" si="17"/>
        <v>#REF!</v>
      </c>
      <c r="J23" s="62" t="e">
        <f t="shared" ca="1" si="18"/>
        <v>#REF!</v>
      </c>
      <c r="K23" s="62" t="e">
        <f t="shared" ca="1" si="19"/>
        <v>#REF!</v>
      </c>
      <c r="L23" s="62" t="e">
        <f t="shared" ca="1" si="20"/>
        <v>#REF!</v>
      </c>
      <c r="M23" s="62" t="e">
        <f t="shared" ca="1" si="21"/>
        <v>#REF!</v>
      </c>
      <c r="N23" s="64" t="e">
        <f t="shared" ca="1" si="22"/>
        <v>#REF!</v>
      </c>
      <c r="O23" s="62" t="e">
        <f t="shared" ca="1" si="23"/>
        <v>#REF!</v>
      </c>
      <c r="P23" s="64" t="e">
        <f t="shared" ca="1" si="24"/>
        <v>#REF!</v>
      </c>
      <c r="Q23" s="62" t="e">
        <f t="shared" ca="1" si="25"/>
        <v>#REF!</v>
      </c>
      <c r="R23" s="65" t="e">
        <f t="shared" ca="1" si="26"/>
        <v>#REF!</v>
      </c>
      <c r="S23" s="64" t="e">
        <f t="shared" ca="1" si="27"/>
        <v>#REF!</v>
      </c>
      <c r="T23" s="66" t="e">
        <f ca="1">IF($C23="","",INDIRECT("'" &amp; $C23 &amp; "'!L17"))</f>
        <v>#REF!</v>
      </c>
      <c r="U23" s="66" t="e">
        <f ca="1">IF($C23="","",INDIRECT("'" &amp; $C23 &amp; "'!L18"))</f>
        <v>#REF!</v>
      </c>
    </row>
    <row r="24" spans="2:21" hidden="1" x14ac:dyDescent="0.25">
      <c r="B24" s="19">
        <v>11</v>
      </c>
      <c r="C24" s="60" t="e">
        <f ca="1">INDIRECT("'"&amp;$C$3&amp;"'!B"&amp;ROW()+B24-2)</f>
        <v>#REF!</v>
      </c>
      <c r="D24" s="61">
        <v>2008</v>
      </c>
      <c r="E24" s="62" t="e">
        <f t="shared" ca="1" si="0"/>
        <v>#REF!</v>
      </c>
      <c r="F24" s="62" t="e">
        <f t="shared" ca="1" si="1"/>
        <v>#REF!</v>
      </c>
      <c r="G24" s="63" t="e">
        <f ca="1">IF($C24="","",INDIRECT("'" &amp; $C24 &amp; "'!F4"))</f>
        <v>#REF!</v>
      </c>
      <c r="H24" s="63" t="e">
        <f t="shared" ca="1" si="2"/>
        <v>#REF!</v>
      </c>
      <c r="I24" s="62" t="e">
        <f t="shared" ca="1" si="3"/>
        <v>#REF!</v>
      </c>
      <c r="J24" s="62" t="e">
        <f t="shared" ca="1" si="4"/>
        <v>#REF!</v>
      </c>
      <c r="K24" s="62" t="e">
        <f t="shared" ca="1" si="5"/>
        <v>#REF!</v>
      </c>
      <c r="L24" s="62" t="e">
        <f t="shared" ca="1" si="6"/>
        <v>#REF!</v>
      </c>
      <c r="M24" s="62" t="e">
        <f t="shared" ca="1" si="7"/>
        <v>#REF!</v>
      </c>
      <c r="N24" s="64" t="e">
        <f t="shared" ca="1" si="8"/>
        <v>#REF!</v>
      </c>
      <c r="O24" s="62" t="e">
        <f t="shared" ca="1" si="9"/>
        <v>#REF!</v>
      </c>
      <c r="P24" s="64" t="e">
        <f t="shared" ca="1" si="10"/>
        <v>#REF!</v>
      </c>
      <c r="Q24" s="62" t="e">
        <f t="shared" ca="1" si="11"/>
        <v>#REF!</v>
      </c>
      <c r="R24" s="65" t="e">
        <f t="shared" ca="1" si="12"/>
        <v>#REF!</v>
      </c>
      <c r="S24" s="64" t="e">
        <f t="shared" ca="1" si="13"/>
        <v>#REF!</v>
      </c>
      <c r="T24" s="66" t="e">
        <f ca="1">IF($C24="","",INDIRECT("'" &amp; $C24 &amp; "'!e17"))</f>
        <v>#REF!</v>
      </c>
      <c r="U24" s="66" t="e">
        <f ca="1">IF($C25="","",INDIRECT("'" &amp; $C25 &amp; "'!e18"))</f>
        <v>#REF!</v>
      </c>
    </row>
    <row r="25" spans="2:21" hidden="1" x14ac:dyDescent="0.25">
      <c r="B25" s="19"/>
      <c r="C25" s="60" t="e">
        <f ca="1">C24</f>
        <v>#REF!</v>
      </c>
      <c r="D25" s="19">
        <v>2011</v>
      </c>
      <c r="E25" s="62" t="e">
        <f t="shared" ca="1" si="14"/>
        <v>#REF!</v>
      </c>
      <c r="F25" s="62" t="e">
        <f t="shared" ca="1" si="15"/>
        <v>#REF!</v>
      </c>
      <c r="G25" s="63" t="e">
        <f ca="1">IF($C25="","",INDIRECT("'" &amp; $C25 &amp; "'!M4"))</f>
        <v>#REF!</v>
      </c>
      <c r="H25" s="63" t="e">
        <f t="shared" ca="1" si="16"/>
        <v>#REF!</v>
      </c>
      <c r="I25" s="62" t="e">
        <f t="shared" ca="1" si="17"/>
        <v>#REF!</v>
      </c>
      <c r="J25" s="62" t="e">
        <f t="shared" ca="1" si="18"/>
        <v>#REF!</v>
      </c>
      <c r="K25" s="62" t="e">
        <f t="shared" ca="1" si="19"/>
        <v>#REF!</v>
      </c>
      <c r="L25" s="62" t="e">
        <f t="shared" ca="1" si="20"/>
        <v>#REF!</v>
      </c>
      <c r="M25" s="62" t="e">
        <f t="shared" ca="1" si="21"/>
        <v>#REF!</v>
      </c>
      <c r="N25" s="64" t="e">
        <f t="shared" ca="1" si="22"/>
        <v>#REF!</v>
      </c>
      <c r="O25" s="62" t="e">
        <f t="shared" ca="1" si="23"/>
        <v>#REF!</v>
      </c>
      <c r="P25" s="64" t="e">
        <f t="shared" ca="1" si="24"/>
        <v>#REF!</v>
      </c>
      <c r="Q25" s="62" t="e">
        <f t="shared" ca="1" si="25"/>
        <v>#REF!</v>
      </c>
      <c r="R25" s="65" t="e">
        <f t="shared" ca="1" si="26"/>
        <v>#REF!</v>
      </c>
      <c r="S25" s="64" t="e">
        <f t="shared" ca="1" si="27"/>
        <v>#REF!</v>
      </c>
      <c r="T25" s="66" t="e">
        <f ca="1">IF($C25="","",INDIRECT("'" &amp; $C25 &amp; "'!L17"))</f>
        <v>#REF!</v>
      </c>
      <c r="U25" s="66" t="e">
        <f ca="1">IF($C25="","",INDIRECT("'" &amp; $C25 &amp; "'!L18"))</f>
        <v>#REF!</v>
      </c>
    </row>
    <row r="26" spans="2:21" hidden="1" x14ac:dyDescent="0.25">
      <c r="B26" s="19">
        <v>12</v>
      </c>
      <c r="C26" s="60" t="e">
        <f ca="1">INDIRECT("'"&amp;$C$3&amp;"'!B"&amp;ROW()+B26-2)</f>
        <v>#REF!</v>
      </c>
      <c r="D26" s="61">
        <v>2008</v>
      </c>
      <c r="E26" s="62" t="e">
        <f t="shared" ca="1" si="0"/>
        <v>#REF!</v>
      </c>
      <c r="F26" s="62" t="e">
        <f t="shared" ca="1" si="1"/>
        <v>#REF!</v>
      </c>
      <c r="G26" s="63" t="e">
        <f ca="1">IF($C26="","",INDIRECT("'" &amp; $C26 &amp; "'!F4"))</f>
        <v>#REF!</v>
      </c>
      <c r="H26" s="63" t="e">
        <f t="shared" ca="1" si="2"/>
        <v>#REF!</v>
      </c>
      <c r="I26" s="62" t="e">
        <f t="shared" ca="1" si="3"/>
        <v>#REF!</v>
      </c>
      <c r="J26" s="62" t="e">
        <f t="shared" ca="1" si="4"/>
        <v>#REF!</v>
      </c>
      <c r="K26" s="62" t="e">
        <f t="shared" ca="1" si="5"/>
        <v>#REF!</v>
      </c>
      <c r="L26" s="62" t="e">
        <f t="shared" ca="1" si="6"/>
        <v>#REF!</v>
      </c>
      <c r="M26" s="62" t="e">
        <f t="shared" ca="1" si="7"/>
        <v>#REF!</v>
      </c>
      <c r="N26" s="64" t="e">
        <f t="shared" ca="1" si="8"/>
        <v>#REF!</v>
      </c>
      <c r="O26" s="62" t="e">
        <f t="shared" ca="1" si="9"/>
        <v>#REF!</v>
      </c>
      <c r="P26" s="64" t="e">
        <f t="shared" ca="1" si="10"/>
        <v>#REF!</v>
      </c>
      <c r="Q26" s="62" t="e">
        <f t="shared" ca="1" si="11"/>
        <v>#REF!</v>
      </c>
      <c r="R26" s="65" t="e">
        <f t="shared" ca="1" si="12"/>
        <v>#REF!</v>
      </c>
      <c r="S26" s="64" t="e">
        <f t="shared" ca="1" si="13"/>
        <v>#REF!</v>
      </c>
      <c r="T26" s="66" t="e">
        <f ca="1">IF($C26="","",INDIRECT("'" &amp; $C26 &amp; "'!e17"))</f>
        <v>#REF!</v>
      </c>
      <c r="U26" s="66" t="e">
        <f ca="1">IF($C27="","",INDIRECT("'" &amp; $C27 &amp; "'!e18"))</f>
        <v>#REF!</v>
      </c>
    </row>
    <row r="27" spans="2:21" hidden="1" x14ac:dyDescent="0.25">
      <c r="B27" s="19"/>
      <c r="C27" s="60" t="e">
        <f ca="1">C26</f>
        <v>#REF!</v>
      </c>
      <c r="D27" s="19">
        <v>2011</v>
      </c>
      <c r="E27" s="62" t="e">
        <f t="shared" ca="1" si="14"/>
        <v>#REF!</v>
      </c>
      <c r="F27" s="62" t="e">
        <f t="shared" ca="1" si="15"/>
        <v>#REF!</v>
      </c>
      <c r="G27" s="63" t="e">
        <f ca="1">IF($C27="","",INDIRECT("'" &amp; $C27 &amp; "'!M4"))</f>
        <v>#REF!</v>
      </c>
      <c r="H27" s="63" t="e">
        <f t="shared" ca="1" si="16"/>
        <v>#REF!</v>
      </c>
      <c r="I27" s="62" t="e">
        <f t="shared" ca="1" si="17"/>
        <v>#REF!</v>
      </c>
      <c r="J27" s="62" t="e">
        <f t="shared" ca="1" si="18"/>
        <v>#REF!</v>
      </c>
      <c r="K27" s="62" t="e">
        <f t="shared" ca="1" si="19"/>
        <v>#REF!</v>
      </c>
      <c r="L27" s="62" t="e">
        <f t="shared" ca="1" si="20"/>
        <v>#REF!</v>
      </c>
      <c r="M27" s="62" t="e">
        <f t="shared" ca="1" si="21"/>
        <v>#REF!</v>
      </c>
      <c r="N27" s="64" t="e">
        <f t="shared" ca="1" si="22"/>
        <v>#REF!</v>
      </c>
      <c r="O27" s="62" t="e">
        <f t="shared" ca="1" si="23"/>
        <v>#REF!</v>
      </c>
      <c r="P27" s="64" t="e">
        <f t="shared" ca="1" si="24"/>
        <v>#REF!</v>
      </c>
      <c r="Q27" s="62" t="e">
        <f t="shared" ca="1" si="25"/>
        <v>#REF!</v>
      </c>
      <c r="R27" s="65" t="e">
        <f t="shared" ca="1" si="26"/>
        <v>#REF!</v>
      </c>
      <c r="S27" s="64" t="e">
        <f t="shared" ca="1" si="27"/>
        <v>#REF!</v>
      </c>
      <c r="T27" s="66" t="e">
        <f ca="1">IF($C27="","",INDIRECT("'" &amp; $C27 &amp; "'!L17"))</f>
        <v>#REF!</v>
      </c>
      <c r="U27" s="66" t="e">
        <f ca="1">IF($C27="","",INDIRECT("'" &amp; $C27 &amp; "'!L18"))</f>
        <v>#REF!</v>
      </c>
    </row>
  </sheetData>
  <conditionalFormatting sqref="E4:E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E1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E1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E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E1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1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:S2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:S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:S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:S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E2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E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:S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E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:S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Q28"/>
  <sheetViews>
    <sheetView showGridLines="0" workbookViewId="0">
      <selection activeCell="C8" sqref="C8:D8"/>
    </sheetView>
  </sheetViews>
  <sheetFormatPr defaultRowHeight="15" x14ac:dyDescent="0.25"/>
  <sheetData>
    <row r="2" spans="2:17" ht="15.75" x14ac:dyDescent="0.25">
      <c r="B2" s="53" t="s">
        <v>96</v>
      </c>
      <c r="C2" s="53" t="s">
        <v>97</v>
      </c>
    </row>
    <row r="3" spans="2:17" ht="15.75" x14ac:dyDescent="0.25">
      <c r="B3" s="53"/>
      <c r="C3" s="53" t="s">
        <v>98</v>
      </c>
    </row>
    <row r="4" spans="2:17" ht="15.75" x14ac:dyDescent="0.25">
      <c r="B4" s="53" t="s">
        <v>100</v>
      </c>
      <c r="C4" s="53" t="s">
        <v>101</v>
      </c>
    </row>
    <row r="5" spans="2:17" ht="15.75" x14ac:dyDescent="0.25">
      <c r="B5" s="53"/>
      <c r="C5" s="53"/>
      <c r="Q5" s="75" t="s">
        <v>89</v>
      </c>
    </row>
    <row r="6" spans="2:17" x14ac:dyDescent="0.25">
      <c r="Q6" s="76"/>
    </row>
    <row r="7" spans="2:17" x14ac:dyDescent="0.25">
      <c r="B7" s="74" t="s">
        <v>88</v>
      </c>
      <c r="C7" s="74"/>
      <c r="D7" s="74"/>
      <c r="E7" s="74"/>
      <c r="F7" s="74"/>
      <c r="G7" s="74"/>
      <c r="H7" s="74"/>
      <c r="I7" s="74"/>
      <c r="J7" s="74"/>
      <c r="K7" s="74"/>
      <c r="L7" s="74"/>
      <c r="Q7" s="75" t="s">
        <v>90</v>
      </c>
    </row>
    <row r="8" spans="2:17" ht="39.75" customHeight="1" x14ac:dyDescent="0.25">
      <c r="B8" s="49"/>
      <c r="C8" s="75" t="s">
        <v>89</v>
      </c>
      <c r="D8" s="76"/>
      <c r="E8" s="75" t="s">
        <v>90</v>
      </c>
      <c r="F8" s="76" t="s">
        <v>90</v>
      </c>
      <c r="G8" s="75" t="s">
        <v>91</v>
      </c>
      <c r="H8" s="76" t="s">
        <v>91</v>
      </c>
      <c r="I8" s="75" t="s">
        <v>92</v>
      </c>
      <c r="J8" s="76" t="s">
        <v>92</v>
      </c>
      <c r="K8" s="75" t="s">
        <v>93</v>
      </c>
      <c r="L8" s="76" t="s">
        <v>93</v>
      </c>
      <c r="M8" s="73" t="s">
        <v>95</v>
      </c>
      <c r="N8" s="73"/>
      <c r="Q8" s="76" t="s">
        <v>90</v>
      </c>
    </row>
    <row r="9" spans="2:17" x14ac:dyDescent="0.25">
      <c r="B9" s="50"/>
      <c r="C9" s="49" t="s">
        <v>94</v>
      </c>
      <c r="D9" s="50" t="s">
        <v>87</v>
      </c>
      <c r="E9" s="49" t="s">
        <v>94</v>
      </c>
      <c r="F9" s="50" t="s">
        <v>87</v>
      </c>
      <c r="G9" s="49" t="s">
        <v>94</v>
      </c>
      <c r="H9" s="50" t="s">
        <v>87</v>
      </c>
      <c r="I9" s="49" t="s">
        <v>94</v>
      </c>
      <c r="J9" s="50" t="s">
        <v>87</v>
      </c>
      <c r="K9" s="49" t="s">
        <v>94</v>
      </c>
      <c r="L9" s="50" t="s">
        <v>87</v>
      </c>
      <c r="M9" s="49" t="s">
        <v>94</v>
      </c>
      <c r="N9" s="50" t="s">
        <v>87</v>
      </c>
      <c r="Q9" s="75" t="s">
        <v>91</v>
      </c>
    </row>
    <row r="10" spans="2:17" x14ac:dyDescent="0.25">
      <c r="B10" s="51">
        <v>2008</v>
      </c>
      <c r="C10" s="52">
        <v>6.3100000000000003E-2</v>
      </c>
      <c r="D10" s="47">
        <v>3.1550000000000002E-2</v>
      </c>
      <c r="E10" s="52">
        <v>6.08E-2</v>
      </c>
      <c r="F10" s="47">
        <v>6.08E-2</v>
      </c>
      <c r="G10" s="52">
        <v>6.08E-2</v>
      </c>
      <c r="H10" s="47">
        <v>6.08E-2</v>
      </c>
      <c r="I10" s="52">
        <v>4.0999999999999995E-2</v>
      </c>
      <c r="J10" s="47">
        <v>2.0499999999999997E-2</v>
      </c>
      <c r="K10" s="52">
        <v>1.3600000000000001E-2</v>
      </c>
      <c r="L10" s="47">
        <v>6.8000000000000005E-3</v>
      </c>
      <c r="M10" s="47">
        <v>7.2999999999999995E-2</v>
      </c>
      <c r="N10" s="47">
        <v>7.2999999999999995E-2</v>
      </c>
      <c r="Q10" s="76" t="s">
        <v>91</v>
      </c>
    </row>
    <row r="11" spans="2:17" x14ac:dyDescent="0.25">
      <c r="B11" s="51">
        <v>2009</v>
      </c>
      <c r="C11" s="52">
        <v>0.33440000000000003</v>
      </c>
      <c r="D11" s="47">
        <v>2.7866666666666668E-2</v>
      </c>
      <c r="E11" s="52">
        <v>0.50990000000000002</v>
      </c>
      <c r="F11" s="47">
        <v>7.284285714285714E-2</v>
      </c>
      <c r="G11" s="52">
        <v>0.45269999999999999</v>
      </c>
      <c r="H11" s="47">
        <v>7.5450000000000003E-2</v>
      </c>
      <c r="I11" s="52">
        <v>0.59799999999999986</v>
      </c>
      <c r="J11" s="47">
        <v>7.4749999999999983E-2</v>
      </c>
      <c r="K11" s="52">
        <v>0.69210000000000005</v>
      </c>
      <c r="L11" s="47">
        <v>0.13842000000000002</v>
      </c>
      <c r="M11" s="47">
        <v>0.62100000000000011</v>
      </c>
      <c r="N11" s="47">
        <v>5.1750000000000011E-2</v>
      </c>
      <c r="Q11" s="75" t="s">
        <v>92</v>
      </c>
    </row>
    <row r="12" spans="2:17" x14ac:dyDescent="0.25">
      <c r="B12" s="51">
        <v>2010</v>
      </c>
      <c r="C12" s="52">
        <v>0.17020000000000002</v>
      </c>
      <c r="D12" s="47">
        <v>1.5472727272727275E-2</v>
      </c>
      <c r="E12" s="52">
        <v>0.16599999999999998</v>
      </c>
      <c r="F12" s="47">
        <v>3.3199999999999993E-2</v>
      </c>
      <c r="G12" s="52">
        <v>0.20549999999999999</v>
      </c>
      <c r="H12" s="47">
        <v>6.8499999999999991E-2</v>
      </c>
      <c r="I12" s="52">
        <v>0.21840000000000001</v>
      </c>
      <c r="J12" s="47">
        <v>3.6400000000000002E-2</v>
      </c>
      <c r="K12" s="52">
        <v>0.2281</v>
      </c>
      <c r="L12" s="47">
        <v>5.7024999999999999E-2</v>
      </c>
      <c r="M12" s="47">
        <v>0.17599999999999999</v>
      </c>
      <c r="N12" s="47">
        <v>1.4666666666666666E-2</v>
      </c>
      <c r="Q12" s="76" t="s">
        <v>92</v>
      </c>
    </row>
    <row r="13" spans="2:17" x14ac:dyDescent="0.25">
      <c r="B13" s="51">
        <v>2011</v>
      </c>
      <c r="C13" s="52">
        <v>5.1400000000000001E-2</v>
      </c>
      <c r="D13" s="47">
        <v>2.5700000000000001E-2</v>
      </c>
      <c r="E13" s="52">
        <v>6.4699999999999994E-2</v>
      </c>
      <c r="F13" s="47">
        <v>6.4699999999999994E-2</v>
      </c>
      <c r="G13" s="52">
        <v>2.0500000000000001E-2</v>
      </c>
      <c r="H13" s="47">
        <v>2.0500000000000001E-2</v>
      </c>
      <c r="I13" s="52">
        <v>3.6799999999999999E-2</v>
      </c>
      <c r="J13" s="47">
        <v>1.84E-2</v>
      </c>
      <c r="K13" s="52">
        <v>-6.0999999999999995E-3</v>
      </c>
      <c r="L13" s="47">
        <v>-3.0499999999999998E-3</v>
      </c>
      <c r="M13" s="47">
        <v>-1.4999999999999999E-2</v>
      </c>
      <c r="N13" s="47">
        <v>-7.4999999999999997E-3</v>
      </c>
      <c r="Q13" s="75" t="s">
        <v>93</v>
      </c>
    </row>
    <row r="14" spans="2:17" x14ac:dyDescent="0.25">
      <c r="B14" s="51">
        <v>2012</v>
      </c>
      <c r="C14" s="52">
        <v>0.1676</v>
      </c>
      <c r="D14" s="47">
        <v>2.7933333333333334E-2</v>
      </c>
      <c r="E14" s="52">
        <v>0.11370000000000001</v>
      </c>
      <c r="F14" s="47">
        <v>2.2740000000000003E-2</v>
      </c>
      <c r="G14" s="52">
        <v>9.9500000000000005E-2</v>
      </c>
      <c r="H14" s="47">
        <v>2.4875000000000001E-2</v>
      </c>
      <c r="I14" s="52">
        <v>0.16090000000000002</v>
      </c>
      <c r="J14" s="47">
        <v>3.218E-2</v>
      </c>
      <c r="K14" s="52">
        <v>0.12529999999999999</v>
      </c>
      <c r="L14" s="47">
        <v>3.1324999999999999E-2</v>
      </c>
      <c r="M14" s="47">
        <v>0.188</v>
      </c>
      <c r="N14" s="47">
        <v>2.6857142857142857E-2</v>
      </c>
      <c r="Q14" s="76" t="s">
        <v>93</v>
      </c>
    </row>
    <row r="15" spans="2:17" x14ac:dyDescent="0.25">
      <c r="B15" s="51">
        <v>2013</v>
      </c>
      <c r="C15" s="52">
        <v>4.3999999999999907E-3</v>
      </c>
      <c r="D15" s="47">
        <v>6.2857142857142723E-4</v>
      </c>
      <c r="E15" s="52">
        <v>5.3100000000000001E-2</v>
      </c>
      <c r="F15" s="47">
        <v>1.3275E-2</v>
      </c>
      <c r="G15" s="52">
        <v>5.5899999999999991E-2</v>
      </c>
      <c r="H15" s="47">
        <v>1.8633333333333332E-2</v>
      </c>
      <c r="I15" s="52">
        <v>3.8599999999999988E-2</v>
      </c>
      <c r="J15" s="47">
        <v>7.7199999999999977E-3</v>
      </c>
      <c r="K15" s="52">
        <v>2.4999999999999918E-3</v>
      </c>
      <c r="L15" s="47">
        <v>8.3333333333333057E-4</v>
      </c>
      <c r="M15" s="47">
        <v>0.112</v>
      </c>
      <c r="N15" s="47">
        <v>1.6E-2</v>
      </c>
    </row>
    <row r="16" spans="2:17" x14ac:dyDescent="0.25">
      <c r="B16" s="51">
        <v>2014</v>
      </c>
      <c r="C16" s="52">
        <v>0.21259999999999993</v>
      </c>
      <c r="D16" s="47">
        <v>2.1259999999999994E-2</v>
      </c>
      <c r="E16" s="52">
        <v>0.17380000000000001</v>
      </c>
      <c r="F16" s="47">
        <v>2.1725000000000001E-2</v>
      </c>
      <c r="G16" s="52">
        <v>0.20889999999999997</v>
      </c>
      <c r="H16" s="47">
        <v>4.1779999999999998E-2</v>
      </c>
      <c r="I16" s="52">
        <v>0.19250000000000003</v>
      </c>
      <c r="J16" s="47">
        <v>2.4062500000000004E-2</v>
      </c>
      <c r="K16" s="52">
        <v>0.24869999999999995</v>
      </c>
      <c r="L16" s="47">
        <v>4.9739999999999993E-2</v>
      </c>
      <c r="M16" s="47">
        <v>0.28300000000000003</v>
      </c>
      <c r="N16" s="47">
        <v>2.3583333333333335E-2</v>
      </c>
    </row>
    <row r="17" spans="2:14" x14ac:dyDescent="0.25">
      <c r="B17" s="51">
        <v>2015</v>
      </c>
      <c r="C17" s="52">
        <v>-9.8000000000000101E-3</v>
      </c>
      <c r="D17" s="47">
        <v>-1.4000000000000015E-3</v>
      </c>
      <c r="E17" s="52">
        <v>-3.4000000000000002E-2</v>
      </c>
      <c r="F17" s="47">
        <v>-4.8571428571428576E-3</v>
      </c>
      <c r="G17" s="52">
        <v>-3.1600000000000003E-2</v>
      </c>
      <c r="H17" s="47">
        <v>-6.320000000000001E-3</v>
      </c>
      <c r="I17" s="52">
        <v>-2.2500000000000006E-2</v>
      </c>
      <c r="J17" s="47">
        <v>-3.2142857142857151E-3</v>
      </c>
      <c r="K17" s="52">
        <v>-5.6599999999999998E-2</v>
      </c>
      <c r="L17" s="47">
        <v>-1.132E-2</v>
      </c>
      <c r="M17" s="47">
        <v>-3.1E-2</v>
      </c>
      <c r="N17" s="47">
        <v>-3.875E-3</v>
      </c>
    </row>
    <row r="18" spans="2:14" x14ac:dyDescent="0.25">
      <c r="B18" s="51">
        <v>2016</v>
      </c>
      <c r="C18" s="52">
        <v>3.549999999999999E-2</v>
      </c>
      <c r="D18" s="47">
        <v>3.5499999999999989E-3</v>
      </c>
      <c r="E18" s="52">
        <v>0.27049999999999996</v>
      </c>
      <c r="F18" s="47">
        <v>5.4099999999999995E-2</v>
      </c>
      <c r="G18" s="52">
        <v>0.4244</v>
      </c>
      <c r="H18" s="47">
        <v>0.2122</v>
      </c>
      <c r="I18" s="52">
        <v>0.19420000000000004</v>
      </c>
      <c r="J18" s="47">
        <v>2.1577777777777783E-2</v>
      </c>
      <c r="K18" s="52">
        <v>0.32090000000000002</v>
      </c>
      <c r="L18" s="47">
        <v>6.4180000000000001E-2</v>
      </c>
      <c r="M18" s="47">
        <v>0.17099999999999999</v>
      </c>
      <c r="N18" s="47">
        <v>1.9E-2</v>
      </c>
    </row>
    <row r="19" spans="2:14" x14ac:dyDescent="0.25">
      <c r="B19" s="51">
        <v>2017</v>
      </c>
      <c r="C19" s="52">
        <v>0.1106</v>
      </c>
      <c r="D19" s="47">
        <v>1.0054545454545455E-2</v>
      </c>
      <c r="E19" s="52">
        <v>7.6200000000000004E-2</v>
      </c>
      <c r="F19" s="47">
        <v>1.0885714285714287E-2</v>
      </c>
      <c r="G19" s="52">
        <v>1.5599999999999996E-2</v>
      </c>
      <c r="H19" s="47">
        <v>3.899999999999999E-3</v>
      </c>
      <c r="I19" s="52">
        <v>0.10929999999999999</v>
      </c>
      <c r="J19" s="47">
        <v>1.5614285714285714E-2</v>
      </c>
      <c r="K19" s="52">
        <v>9.3999999999999986E-3</v>
      </c>
      <c r="L19" s="47">
        <v>2.3499999999999997E-3</v>
      </c>
      <c r="M19" s="47">
        <v>0.25900000000000001</v>
      </c>
      <c r="N19" s="47">
        <v>2.1583333333333333E-2</v>
      </c>
    </row>
    <row r="20" spans="2:14" x14ac:dyDescent="0.25">
      <c r="B20" s="51">
        <v>2018</v>
      </c>
      <c r="C20" s="52">
        <v>4.4400000000000002E-2</v>
      </c>
      <c r="D20" s="47">
        <v>4.4400000000000002E-2</v>
      </c>
      <c r="E20" s="50"/>
      <c r="F20" s="50"/>
      <c r="G20" s="50"/>
      <c r="H20" s="50"/>
      <c r="I20" s="50"/>
      <c r="J20" s="50"/>
      <c r="K20" s="50"/>
      <c r="L20" s="50"/>
      <c r="M20" s="47">
        <v>-1.0000000000000009E-3</v>
      </c>
      <c r="N20" s="47">
        <v>-5.0000000000000044E-4</v>
      </c>
    </row>
    <row r="21" spans="2:14" x14ac:dyDescent="0.25">
      <c r="B21" s="51">
        <v>2019</v>
      </c>
      <c r="C21" s="52">
        <v>4.3900000000000008E-2</v>
      </c>
      <c r="D21" s="47">
        <v>5.4875000000000011E-3</v>
      </c>
      <c r="E21" s="52">
        <v>7.9299999999999982E-2</v>
      </c>
      <c r="F21" s="47">
        <v>1.5859999999999996E-2</v>
      </c>
      <c r="G21" s="52">
        <v>0.1208</v>
      </c>
      <c r="H21" s="47">
        <v>4.0266666666666666E-2</v>
      </c>
      <c r="I21" s="52">
        <v>8.9099999999999999E-2</v>
      </c>
      <c r="J21" s="47">
        <v>1.485E-2</v>
      </c>
      <c r="K21" s="52">
        <v>0.1021</v>
      </c>
      <c r="L21" s="47">
        <v>3.4033333333333332E-2</v>
      </c>
      <c r="M21" s="47">
        <v>0.20300000000000001</v>
      </c>
      <c r="N21" s="47">
        <v>2.9000000000000001E-2</v>
      </c>
    </row>
    <row r="22" spans="2:14" x14ac:dyDescent="0.25">
      <c r="B22" s="51">
        <v>2020</v>
      </c>
      <c r="C22" s="52">
        <v>0.29490000000000005</v>
      </c>
      <c r="D22" s="47">
        <v>2.4575000000000003E-2</v>
      </c>
      <c r="E22" s="52">
        <v>0.32699999999999996</v>
      </c>
      <c r="F22" s="47">
        <v>3.2699999999999993E-2</v>
      </c>
      <c r="G22" s="52">
        <v>0.5554</v>
      </c>
      <c r="H22" s="47">
        <v>0.13885</v>
      </c>
      <c r="I22" s="52">
        <v>0.34789999999999993</v>
      </c>
      <c r="J22" s="47">
        <v>3.4789999999999995E-2</v>
      </c>
      <c r="K22" s="52">
        <v>0.41410000000000002</v>
      </c>
      <c r="L22" s="47">
        <v>8.2820000000000005E-2</v>
      </c>
      <c r="M22" s="47">
        <v>0.43099999999999999</v>
      </c>
      <c r="N22" s="47">
        <v>3.9181818181818179E-2</v>
      </c>
    </row>
    <row r="23" spans="2:14" x14ac:dyDescent="0.25">
      <c r="B23" s="51">
        <v>2021</v>
      </c>
      <c r="C23" s="52">
        <v>6.7299999999999985E-2</v>
      </c>
      <c r="D23" s="47">
        <v>6.1181818181818169E-3</v>
      </c>
      <c r="E23" s="52">
        <v>0.12129999999999999</v>
      </c>
      <c r="F23" s="47">
        <v>2.4259999999999997E-2</v>
      </c>
      <c r="G23" s="52">
        <v>0.10239999999999999</v>
      </c>
      <c r="H23" s="47">
        <v>2.5599999999999998E-2</v>
      </c>
      <c r="I23" s="52">
        <v>0.11220000000000001</v>
      </c>
      <c r="J23" s="47">
        <v>1.8700000000000001E-2</v>
      </c>
      <c r="K23" s="52">
        <v>0.1255</v>
      </c>
      <c r="L23" s="47">
        <v>2.5100000000000001E-2</v>
      </c>
      <c r="M23" s="47">
        <v>0.20299999999999999</v>
      </c>
      <c r="N23" s="47">
        <v>1.8454545454545453E-2</v>
      </c>
    </row>
    <row r="24" spans="2:14" x14ac:dyDescent="0.25">
      <c r="B24" s="51">
        <v>2022</v>
      </c>
      <c r="C24" s="52">
        <v>7.0400000000000018E-2</v>
      </c>
      <c r="D24" s="47">
        <v>1.005714285714286E-2</v>
      </c>
      <c r="E24" s="52">
        <v>0.15889999999999999</v>
      </c>
      <c r="F24" s="47">
        <v>5.2966666666666662E-2</v>
      </c>
      <c r="G24" s="52">
        <v>0.1265</v>
      </c>
      <c r="H24" s="47">
        <v>4.2166666666666665E-2</v>
      </c>
      <c r="I24" s="52">
        <v>0.11500000000000002</v>
      </c>
      <c r="J24" s="47">
        <v>2.3000000000000003E-2</v>
      </c>
      <c r="K24" s="52">
        <v>9.01E-2</v>
      </c>
      <c r="L24" s="47">
        <v>1.8020000000000001E-2</v>
      </c>
      <c r="M24" s="47">
        <v>0.14499999999999999</v>
      </c>
      <c r="N24" s="47">
        <v>2.4166666666666666E-2</v>
      </c>
    </row>
    <row r="25" spans="2:14" x14ac:dyDescent="0.25">
      <c r="B25" s="51">
        <v>2023</v>
      </c>
      <c r="C25" s="52">
        <v>0.19419999999999998</v>
      </c>
      <c r="D25" s="47">
        <v>1.942E-2</v>
      </c>
      <c r="E25" s="52">
        <v>0.20829999999999999</v>
      </c>
      <c r="F25" s="47">
        <v>4.1659999999999996E-2</v>
      </c>
      <c r="G25" s="52">
        <v>0.18230000000000002</v>
      </c>
      <c r="H25" s="47">
        <v>4.5575000000000004E-2</v>
      </c>
      <c r="I25" s="52">
        <v>0.2132</v>
      </c>
      <c r="J25" s="47">
        <v>3.5533333333333333E-2</v>
      </c>
      <c r="K25" s="52">
        <v>0.21460000000000001</v>
      </c>
      <c r="L25" s="47">
        <v>5.3650000000000003E-2</v>
      </c>
      <c r="M25" s="47">
        <v>0.23499999999999999</v>
      </c>
      <c r="N25" s="47">
        <v>2.35E-2</v>
      </c>
    </row>
    <row r="26" spans="2:14" x14ac:dyDescent="0.25">
      <c r="B26" s="51">
        <v>2024</v>
      </c>
      <c r="C26" s="52">
        <v>4.3900000000000002E-2</v>
      </c>
      <c r="D26" s="47">
        <v>4.8777777777777778E-3</v>
      </c>
      <c r="E26" s="52">
        <v>-5.5800000000000002E-2</v>
      </c>
      <c r="F26" s="47">
        <v>-7.971428571428572E-3</v>
      </c>
      <c r="G26" s="52">
        <v>-6.8699999999999997E-2</v>
      </c>
      <c r="H26" s="47">
        <v>-1.145E-2</v>
      </c>
      <c r="I26" s="52">
        <v>-3.9000000000000007E-3</v>
      </c>
      <c r="J26" s="47">
        <v>-4.8750000000000009E-4</v>
      </c>
      <c r="K26" s="52">
        <v>1.2E-2</v>
      </c>
      <c r="L26" s="47">
        <v>1.7142857142857144E-3</v>
      </c>
      <c r="M26" s="47">
        <v>0.11400000000000002</v>
      </c>
      <c r="N26" s="47">
        <v>1.1400000000000002E-2</v>
      </c>
    </row>
    <row r="27" spans="2:14" x14ac:dyDescent="0.25">
      <c r="B27" s="51">
        <v>2025</v>
      </c>
      <c r="C27" s="52">
        <v>6.3299999999999995E-2</v>
      </c>
      <c r="D27" s="47">
        <v>1.0549999999999999E-2</v>
      </c>
      <c r="E27" s="52">
        <v>7.6200000000000004E-2</v>
      </c>
      <c r="F27" s="47">
        <v>2.5400000000000002E-2</v>
      </c>
      <c r="G27" s="52">
        <v>1.8299999999999997E-2</v>
      </c>
      <c r="H27" s="47">
        <v>6.0999999999999987E-3</v>
      </c>
      <c r="I27" s="52">
        <v>0.12730000000000002</v>
      </c>
      <c r="J27" s="47">
        <v>3.1825000000000006E-2</v>
      </c>
      <c r="K27" s="52">
        <v>8.3599999999999994E-2</v>
      </c>
      <c r="L27" s="47">
        <v>2.7866666666666665E-2</v>
      </c>
      <c r="M27" s="47">
        <v>0.10300000000000002</v>
      </c>
      <c r="N27" s="47">
        <v>1.716666666666667E-2</v>
      </c>
    </row>
    <row r="28" spans="2:14" x14ac:dyDescent="0.25">
      <c r="B28" s="50"/>
      <c r="C28" s="52">
        <v>1.9622999999999999</v>
      </c>
      <c r="D28" s="52">
        <v>0.10901666666666666</v>
      </c>
      <c r="E28" s="52">
        <v>2.3698999999999995</v>
      </c>
      <c r="F28" s="52">
        <v>0.13940588235294116</v>
      </c>
      <c r="G28" s="52">
        <v>2.5491999999999999</v>
      </c>
      <c r="H28" s="52">
        <v>0.14995294117647059</v>
      </c>
      <c r="I28" s="52">
        <v>2.5680000000000005</v>
      </c>
      <c r="J28" s="52">
        <v>0.1510588235294118</v>
      </c>
      <c r="K28" s="52">
        <v>2.6199000000000003</v>
      </c>
      <c r="L28" s="52">
        <v>0.15411176470588236</v>
      </c>
      <c r="M28" s="47">
        <f>SUM(M10:M27)</f>
        <v>3.27</v>
      </c>
      <c r="N28" s="47">
        <f>AVERAGE(M10:M27)</f>
        <v>0.18166666666666667</v>
      </c>
    </row>
  </sheetData>
  <mergeCells count="12">
    <mergeCell ref="Q5:Q6"/>
    <mergeCell ref="Q7:Q8"/>
    <mergeCell ref="Q9:Q10"/>
    <mergeCell ref="Q11:Q12"/>
    <mergeCell ref="Q13:Q14"/>
    <mergeCell ref="M8:N8"/>
    <mergeCell ref="B7:L7"/>
    <mergeCell ref="C8:D8"/>
    <mergeCell ref="E8:F8"/>
    <mergeCell ref="G8:H8"/>
    <mergeCell ref="I8:J8"/>
    <mergeCell ref="K8:L8"/>
  </mergeCells>
  <conditionalFormatting sqref="C10:L19 C20:D28 E21:L28">
    <cfRule type="cellIs" dxfId="16" priority="3" operator="greaterThan">
      <formula>0</formula>
    </cfRule>
  </conditionalFormatting>
  <conditionalFormatting sqref="M10:N27">
    <cfRule type="cellIs" dxfId="15" priority="2" operator="greaterThan">
      <formula>0</formula>
    </cfRule>
  </conditionalFormatting>
  <conditionalFormatting sqref="M28:N28">
    <cfRule type="cellIs" dxfId="14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229"/>
  <sheetViews>
    <sheetView tabSelected="1" zoomScale="85" zoomScaleNormal="85" workbookViewId="0">
      <selection activeCell="A20" sqref="A20"/>
    </sheetView>
  </sheetViews>
  <sheetFormatPr defaultRowHeight="15" x14ac:dyDescent="0.25"/>
  <cols>
    <col min="1" max="1" width="16.28515625" bestFit="1" customWidth="1"/>
    <col min="2" max="2" width="10" customWidth="1"/>
    <col min="3" max="3" width="11.5703125" bestFit="1" customWidth="1"/>
    <col min="4" max="4" width="12.85546875" bestFit="1" customWidth="1"/>
    <col min="5" max="5" width="11.28515625" bestFit="1" customWidth="1"/>
    <col min="6" max="6" width="9" bestFit="1" customWidth="1"/>
    <col min="7" max="7" width="7.140625" bestFit="1" customWidth="1"/>
    <col min="8" max="8" width="11" bestFit="1" customWidth="1"/>
    <col min="9" max="9" width="8" bestFit="1" customWidth="1"/>
    <col min="10" max="10" width="6.85546875" bestFit="1" customWidth="1"/>
    <col min="11" max="11" width="13.7109375" bestFit="1" customWidth="1"/>
    <col min="12" max="12" width="12" bestFit="1" customWidth="1"/>
    <col min="13" max="13" width="6.140625" bestFit="1" customWidth="1"/>
    <col min="14" max="14" width="10.7109375" bestFit="1" customWidth="1"/>
    <col min="15" max="15" width="6.85546875" bestFit="1" customWidth="1"/>
    <col min="16" max="16" width="7.140625" bestFit="1" customWidth="1"/>
    <col min="17" max="17" width="11.85546875" bestFit="1" customWidth="1"/>
    <col min="25" max="25" width="13.28515625" customWidth="1"/>
    <col min="26" max="26" width="16.42578125" bestFit="1" customWidth="1"/>
    <col min="27" max="27" width="5.85546875" customWidth="1"/>
    <col min="28" max="28" width="6.140625" customWidth="1"/>
    <col min="29" max="29" width="5.85546875" customWidth="1"/>
    <col min="30" max="30" width="6.140625" customWidth="1"/>
    <col min="31" max="31" width="5.85546875" customWidth="1"/>
    <col min="32" max="32" width="6.140625" customWidth="1"/>
    <col min="33" max="33" width="6.85546875" customWidth="1"/>
    <col min="34" max="36" width="6.140625" customWidth="1"/>
    <col min="37" max="37" width="5.85546875" customWidth="1"/>
    <col min="38" max="39" width="11.28515625" customWidth="1"/>
    <col min="40" max="40" width="7" customWidth="1"/>
    <col min="41" max="41" width="7.7109375" customWidth="1"/>
    <col min="42" max="42" width="7" customWidth="1"/>
    <col min="43" max="44" width="7.7109375" customWidth="1"/>
    <col min="45" max="46" width="7" customWidth="1"/>
    <col min="47" max="47" width="7.7109375" customWidth="1"/>
    <col min="48" max="48" width="7" customWidth="1"/>
    <col min="49" max="49" width="7.7109375" customWidth="1"/>
    <col min="50" max="58" width="7" customWidth="1"/>
    <col min="59" max="62" width="7.7109375" customWidth="1"/>
    <col min="63" max="64" width="7" customWidth="1"/>
    <col min="65" max="66" width="7.7109375" customWidth="1"/>
    <col min="67" max="67" width="6.85546875" customWidth="1"/>
    <col min="68" max="68" width="7" customWidth="1"/>
    <col min="69" max="69" width="7.7109375" customWidth="1"/>
    <col min="70" max="73" width="7" customWidth="1"/>
    <col min="74" max="74" width="6.7109375" customWidth="1"/>
    <col min="75" max="77" width="7" customWidth="1"/>
    <col min="78" max="78" width="7.7109375" customWidth="1"/>
    <col min="79" max="79" width="7" customWidth="1"/>
    <col min="80" max="80" width="7.7109375" customWidth="1"/>
    <col min="81" max="81" width="7" customWidth="1"/>
    <col min="82" max="82" width="3.42578125" customWidth="1"/>
    <col min="83" max="84" width="7.7109375" customWidth="1"/>
    <col min="85" max="88" width="7" customWidth="1"/>
    <col min="89" max="92" width="7.7109375" customWidth="1"/>
    <col min="93" max="98" width="7" customWidth="1"/>
    <col min="99" max="99" width="7.7109375" customWidth="1"/>
    <col min="100" max="100" width="6" customWidth="1"/>
    <col min="101" max="101" width="7.7109375" customWidth="1"/>
    <col min="102" max="102" width="7" customWidth="1"/>
    <col min="103" max="103" width="7.7109375" customWidth="1"/>
    <col min="104" max="107" width="7" customWidth="1"/>
    <col min="108" max="110" width="7.7109375" customWidth="1"/>
    <col min="111" max="111" width="7" customWidth="1"/>
    <col min="112" max="113" width="7.7109375" customWidth="1"/>
    <col min="114" max="114" width="7" customWidth="1"/>
    <col min="115" max="115" width="6.7109375" customWidth="1"/>
    <col min="116" max="120" width="7" customWidth="1"/>
    <col min="121" max="121" width="7.7109375" customWidth="1"/>
    <col min="122" max="122" width="7" customWidth="1"/>
    <col min="123" max="123" width="7.7109375" customWidth="1"/>
    <col min="124" max="125" width="7" customWidth="1"/>
    <col min="126" max="126" width="7.7109375" customWidth="1"/>
    <col min="127" max="127" width="7" customWidth="1"/>
    <col min="128" max="129" width="7.7109375" customWidth="1"/>
    <col min="130" max="130" width="6" customWidth="1"/>
    <col min="131" max="131" width="6.7109375" customWidth="1"/>
    <col min="132" max="133" width="7" customWidth="1"/>
    <col min="134" max="134" width="7.7109375" customWidth="1"/>
    <col min="135" max="135" width="7" customWidth="1"/>
    <col min="136" max="136" width="7.7109375" customWidth="1"/>
    <col min="137" max="137" width="6.85546875" customWidth="1"/>
    <col min="138" max="139" width="7" customWidth="1"/>
    <col min="140" max="140" width="7.7109375" customWidth="1"/>
    <col min="141" max="141" width="7" customWidth="1"/>
    <col min="142" max="143" width="7.7109375" customWidth="1"/>
    <col min="144" max="144" width="6.85546875" customWidth="1"/>
    <col min="145" max="145" width="6" customWidth="1"/>
    <col min="146" max="148" width="7" customWidth="1"/>
    <col min="149" max="149" width="7.7109375" customWidth="1"/>
    <col min="150" max="150" width="6" customWidth="1"/>
    <col min="151" max="153" width="7" customWidth="1"/>
    <col min="154" max="154" width="7.7109375" customWidth="1"/>
    <col min="155" max="158" width="7" customWidth="1"/>
    <col min="159" max="160" width="7.7109375" customWidth="1"/>
    <col min="161" max="162" width="7" customWidth="1"/>
    <col min="163" max="163" width="7.7109375" customWidth="1"/>
    <col min="164" max="165" width="7" customWidth="1"/>
    <col min="166" max="166" width="7.7109375" customWidth="1"/>
    <col min="167" max="167" width="7" customWidth="1"/>
    <col min="168" max="168" width="7.7109375" customWidth="1"/>
    <col min="169" max="169" width="11.28515625" customWidth="1"/>
    <col min="170" max="226" width="10.42578125" customWidth="1"/>
    <col min="227" max="227" width="7.28515625" customWidth="1"/>
    <col min="228" max="228" width="11.28515625" bestFit="1" customWidth="1"/>
  </cols>
  <sheetData>
    <row r="1" spans="1:26" x14ac:dyDescent="0.25">
      <c r="A1" s="1" t="s">
        <v>0</v>
      </c>
      <c r="B1" s="3"/>
      <c r="C1" s="4">
        <v>1.5E-3</v>
      </c>
      <c r="D1" s="4">
        <v>5.0000000000000001E-3</v>
      </c>
      <c r="E1" s="3"/>
      <c r="F1" s="3"/>
      <c r="G1" s="3"/>
      <c r="H1" s="5">
        <v>40544</v>
      </c>
      <c r="I1" s="3">
        <f>YEAR(H1)</f>
        <v>2011</v>
      </c>
      <c r="J1" s="5">
        <f>INDEX(C21:C1048576,MATCH(I1,V21:V1048575,0),1)</f>
        <v>40812</v>
      </c>
      <c r="K1" s="4"/>
      <c r="L1" s="5">
        <f>MAX(E21:E1048576)</f>
        <v>46030</v>
      </c>
      <c r="M1" s="3"/>
    </row>
    <row r="2" spans="1:26" ht="15.75" thickBot="1" x14ac:dyDescent="0.3">
      <c r="A2" s="3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  <c r="N2" s="2"/>
    </row>
    <row r="3" spans="1:26" ht="45" x14ac:dyDescent="0.25">
      <c r="A3" s="7" t="s">
        <v>6</v>
      </c>
      <c r="B3" s="8">
        <f>SUM(G21:G1048576)</f>
        <v>1.9900000000000011</v>
      </c>
      <c r="C3" s="8">
        <f>SUM(I21:I1048576)</f>
        <v>0.31350000000000022</v>
      </c>
      <c r="D3" s="8">
        <f>SUM(J21:J1048576)</f>
        <v>0.48450000000000032</v>
      </c>
      <c r="E3" s="8">
        <f>SUM(K21:K1048576)</f>
        <v>1.1919999999999999</v>
      </c>
      <c r="F3" s="9">
        <f>SUM(H21:H1048576)</f>
        <v>2907</v>
      </c>
      <c r="G3" s="3"/>
      <c r="H3" s="7" t="s">
        <v>6</v>
      </c>
      <c r="I3" s="8">
        <f t="array" ref="I3">SUM(IF(H$1&lt;=C21:C1048576,G21:G1048576,""))</f>
        <v>1.4223000000000001</v>
      </c>
      <c r="J3" s="8">
        <f t="array" ref="J3">SUM(IF(H$1&lt;=C21:C1048576,I21:I1048576,""))</f>
        <v>0.26550000000000018</v>
      </c>
      <c r="K3" s="8">
        <f t="array" ref="K3">SUM(IF(H$1&lt;=C21:C1048576,J21:J1048576,""))</f>
        <v>0.40333333333333349</v>
      </c>
      <c r="L3" s="8">
        <f t="array" ref="L3">SUM(IF(H$1&lt;=C21:C1048576,K21:K1048576,""))</f>
        <v>0.75346666666666706</v>
      </c>
      <c r="M3" s="10">
        <f t="array" ref="M3">SUM(IF(H$1&lt;=C21:C1048576,H21:H1048576,""))</f>
        <v>2420</v>
      </c>
      <c r="N3" s="2"/>
      <c r="O3" s="11" t="s">
        <v>7</v>
      </c>
      <c r="P3" s="12" t="s">
        <v>8</v>
      </c>
      <c r="Q3" s="12" t="s">
        <v>9</v>
      </c>
      <c r="R3" s="12" t="s">
        <v>10</v>
      </c>
      <c r="S3" s="13" t="s">
        <v>11</v>
      </c>
      <c r="T3" s="13" t="s">
        <v>12</v>
      </c>
      <c r="U3" s="13" t="s">
        <v>13</v>
      </c>
      <c r="V3" s="14" t="s">
        <v>14</v>
      </c>
      <c r="W3" s="14" t="s">
        <v>15</v>
      </c>
      <c r="X3" s="14" t="s">
        <v>16</v>
      </c>
      <c r="Y3" s="12" t="s">
        <v>17</v>
      </c>
      <c r="Z3" s="15" t="s">
        <v>18</v>
      </c>
    </row>
    <row r="4" spans="1:26" ht="15.75" x14ac:dyDescent="0.25">
      <c r="A4" s="7" t="s">
        <v>19</v>
      </c>
      <c r="B4" s="8">
        <f>AVERAGE(G21:G1048576)</f>
        <v>9.5215311004784742E-3</v>
      </c>
      <c r="C4" s="9"/>
      <c r="D4" s="9"/>
      <c r="E4" s="8">
        <f>AVERAGE(K21:K1048576)</f>
        <v>5.7033492822966504E-3</v>
      </c>
      <c r="F4" s="16">
        <f>AVERAGE(H21:H1048576)</f>
        <v>13.909090909090908</v>
      </c>
      <c r="G4" s="3"/>
      <c r="H4" s="7" t="s">
        <v>19</v>
      </c>
      <c r="I4" s="8">
        <f t="array" ref="I4">AVERAGE(IF(H$1&lt;=C21:C1048576,G21:G1048576,""))</f>
        <v>8.0355932203389838E-3</v>
      </c>
      <c r="J4" s="9"/>
      <c r="K4" s="9"/>
      <c r="L4" s="8">
        <f t="array" ref="L4">AVERAGE(IF(H$1&lt;=C21:C1048576,K21:K1048576,""))</f>
        <v>4.2568738229755198E-3</v>
      </c>
      <c r="M4" s="16">
        <f t="array" ref="M4">AVERAGE(IF(H$1&lt;=C21:C1048576,H21:H1048576,""))</f>
        <v>13.672316384180791</v>
      </c>
      <c r="N4" s="2"/>
      <c r="O4" s="17" t="s">
        <v>20</v>
      </c>
      <c r="P4" s="18">
        <v>39447</v>
      </c>
      <c r="Q4" s="18">
        <v>45869</v>
      </c>
      <c r="R4" s="19">
        <f t="array" ref="R4">COUNT(IF((P4&lt;=$C$21:$C$1048576)*(Q4&gt;=$E$21:$E$1048576),$G$21:$G$1048576,""))</f>
        <v>201</v>
      </c>
      <c r="S4" s="20">
        <f t="array" ref="S4">SUM(IF((P4&lt;=$C$21:$C$1048576)*(Q4&gt;=$E$21:$E$1048576),$G$21:$G$1048576,""))</f>
        <v>1.9623000000000008</v>
      </c>
      <c r="T4" s="20">
        <f t="array" ref="T4">AVERAGE(IF((P4&lt;=$C$21:$C$1048576)*(Q4&gt;=$E$21:$E$1048576),$G$21:$G$1048576,""))</f>
        <v>9.7626865671641833E-3</v>
      </c>
      <c r="U4" s="20">
        <f>T4/Z4</f>
        <v>2.1321749198432501E-2</v>
      </c>
      <c r="V4" s="20">
        <f t="array" ref="V4">SUM(IF((P4&lt;=$C$21:$C$1048576)*(Q4&gt;=$E$21:$E$1048576),$K$21:$K$1048576,""))</f>
        <v>1.1929666666666667</v>
      </c>
      <c r="W4" s="20">
        <f t="array" ref="W4">AVERAGE(IF((P4&lt;=$C$21:$C$1048576)*(Q4&gt;=$E$21:$E$1048576),$K$21:$K$1048576,""))</f>
        <v>5.9351575456053074E-3</v>
      </c>
      <c r="X4" s="20">
        <f>W4/Z4</f>
        <v>1.2962409452559082E-2</v>
      </c>
      <c r="Y4" s="21">
        <f t="array" ref="Y4">AVERAGE(IF((P4&lt;=$C$21:$C$1048576)*(Q4&gt;=$E$21:$E$1048576),$H$21:$H$1048576,""))</f>
        <v>13.965174129353233</v>
      </c>
      <c r="Z4" s="22">
        <f>Y4/30.5</f>
        <v>0.45787456161813878</v>
      </c>
    </row>
    <row r="5" spans="1:26" ht="15.75" x14ac:dyDescent="0.25">
      <c r="A5" s="3" t="s">
        <v>21</v>
      </c>
      <c r="B5" s="23">
        <f>COUNT(G21:G1048576)</f>
        <v>209</v>
      </c>
      <c r="C5" s="23"/>
      <c r="D5" s="23"/>
      <c r="E5" s="23">
        <f>COUNT(K21:K1048576)</f>
        <v>209</v>
      </c>
      <c r="F5" s="24">
        <f>F4/30.5</f>
        <v>0.4560357675111773</v>
      </c>
      <c r="G5" s="3"/>
      <c r="H5" s="3" t="s">
        <v>21</v>
      </c>
      <c r="I5" s="23">
        <f t="array" ref="I5">COUNT(IF(H$1&lt;=C21:C1048576,G21:G1048576,""))</f>
        <v>177</v>
      </c>
      <c r="J5" s="23"/>
      <c r="K5" s="23"/>
      <c r="L5" s="23">
        <f t="array" ref="L5">COUNT(IF(H$1&lt;=C21:C1048576,K21:K1048576,""))</f>
        <v>177</v>
      </c>
      <c r="M5" s="24">
        <f>M4/30.5</f>
        <v>0.44827266833379642</v>
      </c>
      <c r="N5" s="2"/>
      <c r="O5" s="17" t="s">
        <v>22</v>
      </c>
      <c r="P5" s="18">
        <v>39447</v>
      </c>
      <c r="Q5" s="18">
        <v>40543</v>
      </c>
      <c r="R5" s="19">
        <f t="array" ref="R5">COUNT(IF((P5&lt;=$C$21:$C$1048576)*(Q5&gt;=$E$21:$E$1048576),$G$21:$G$1048576,""))</f>
        <v>32</v>
      </c>
      <c r="S5" s="20">
        <f t="array" ref="S5">SUM(IF((P5&lt;=$C$21:$C$1048576)*(Q5&gt;=$E$21:$E$1048576),$G$21:$G$1048576,""))</f>
        <v>0.56769999999999998</v>
      </c>
      <c r="T5" s="20">
        <f t="array" ref="T5">AVERAGE(IF((P5&lt;=$C$21:$C$1048576)*(Q5&gt;=$E$21:$E$1048576),$G$21:$G$1048576,""))</f>
        <v>1.7740624999999999E-2</v>
      </c>
      <c r="U5" s="20">
        <f t="shared" ref="U5:U7" si="0">T5/Z5</f>
        <v>3.5554106776180698E-2</v>
      </c>
      <c r="V5" s="20">
        <f t="array" ref="V5">SUM(IF((P5&lt;=$C$21:$C$1048576)*(Q5&gt;=$E$21:$E$1048576),$K$21:$K$1048576,""))</f>
        <v>0.43853333333333344</v>
      </c>
      <c r="W5" s="20">
        <f t="array" ref="W5">AVERAGE(IF((P5&lt;=$C$21:$C$1048576)*(Q5&gt;=$E$21:$E$1048576),$K$21:$K$1048576,""))</f>
        <v>1.370416666666667E-2</v>
      </c>
      <c r="X5" s="20">
        <f t="shared" ref="X5:X7" si="1">W5/Z5</f>
        <v>2.7464613278576324E-2</v>
      </c>
      <c r="Y5" s="21">
        <f t="array" ref="Y5">AVERAGE(IF((P5&lt;=$C$21:$C$1048576)*(Q5&gt;=$E$21:$E$1048576),$H$21:$H$1048576,""))</f>
        <v>15.21875</v>
      </c>
      <c r="Z5" s="22">
        <f t="shared" ref="Z5:Z7" si="2">Y5/30.5</f>
        <v>0.49897540983606559</v>
      </c>
    </row>
    <row r="6" spans="1:26" ht="15.75" x14ac:dyDescent="0.25">
      <c r="A6" s="7" t="s">
        <v>23</v>
      </c>
      <c r="B6" s="25">
        <f>COUNTIF(G21:G1048576,"&gt;0")/B5</f>
        <v>0.51674641148325362</v>
      </c>
      <c r="C6" s="9"/>
      <c r="D6" s="9"/>
      <c r="E6" s="25">
        <f>COUNTIF(K21:K1048576,"&gt;0")/E5</f>
        <v>0.45454545454545453</v>
      </c>
      <c r="F6" s="9"/>
      <c r="G6" s="3"/>
      <c r="H6" s="7" t="s">
        <v>23</v>
      </c>
      <c r="I6" s="25">
        <f t="array" ref="I6">COUNT(IF((H$1&lt;=C21:C1048576)*(0&lt;G21:G1048576),G21:G1048576,""))/I5</f>
        <v>0.51977401129943501</v>
      </c>
      <c r="J6" s="9"/>
      <c r="K6" s="9"/>
      <c r="L6" s="25">
        <f t="array" ref="L6">COUNT(IF((H$1&lt;=C21:C1048576)*(0&lt;K21:K1048576),K21:K1048576,""))/L5</f>
        <v>0.4519774011299435</v>
      </c>
      <c r="M6" s="9"/>
      <c r="N6" s="2"/>
      <c r="O6" s="17" t="s">
        <v>24</v>
      </c>
      <c r="P6" s="18">
        <v>40543</v>
      </c>
      <c r="Q6" s="18">
        <v>43830</v>
      </c>
      <c r="R6" s="19">
        <f t="array" ref="R6">COUNT(IF((P6&lt;=$C$21:$C$1048576)*(Q6&gt;=$E$21:$E$1048576),$G$21:$G$1048576,""))</f>
        <v>92</v>
      </c>
      <c r="S6" s="20">
        <f t="array" ref="S6">SUM(IF((P6&lt;=$C$21:$C$1048576)*(Q6&gt;=$E$21:$E$1048576),$G$21:$G$1048576,""))</f>
        <v>0.68120000000000003</v>
      </c>
      <c r="T6" s="20">
        <f t="array" ref="T6">AVERAGE(IF((P6&lt;=$C$21:$C$1048576)*(Q6&gt;=$E$21:$E$1048576),$G$21:$G$1048576,""))</f>
        <v>7.404347826086957E-3</v>
      </c>
      <c r="U6" s="20">
        <f t="shared" si="0"/>
        <v>1.6437183544303798E-2</v>
      </c>
      <c r="V6" s="20">
        <f t="array" ref="V6">SUM(IF((P6&lt;=$C$21:$C$1048576)*(Q6&gt;=$E$21:$E$1048576),$K$21:$K$1048576,""))</f>
        <v>0.33253333333333313</v>
      </c>
      <c r="W6" s="20">
        <f t="array" ref="W6">AVERAGE(IF((P6&lt;=$C$21:$C$1048576)*(Q6&gt;=$E$21:$E$1048576),$K$21:$K$1048576,""))</f>
        <v>3.614492753623186E-3</v>
      </c>
      <c r="X6" s="20">
        <f t="shared" si="1"/>
        <v>8.0239451476793195E-3</v>
      </c>
      <c r="Y6" s="21">
        <f t="array" ref="Y6">AVERAGE(IF((P6&lt;=$C$21:$C$1048576)*(Q6&gt;=$E$21:$E$1048576),$H$21:$H$1048576,""))</f>
        <v>13.739130434782609</v>
      </c>
      <c r="Z6" s="22">
        <f t="shared" si="2"/>
        <v>0.45046329294369208</v>
      </c>
    </row>
    <row r="7" spans="1:26" ht="16.5" thickBot="1" x14ac:dyDescent="0.3">
      <c r="A7" s="3" t="s">
        <v>25</v>
      </c>
      <c r="B7" s="26">
        <f>AVERAGEIF(G21:G1048576,"&gt;0",G21:G1048576)</f>
        <v>3.2071296296296285E-2</v>
      </c>
      <c r="C7" s="23"/>
      <c r="D7" s="23"/>
      <c r="E7" s="26">
        <f>AVERAGEIF(K21:K1048576,"&gt;0",K21:K1048576)</f>
        <v>3.1107017543859649E-2</v>
      </c>
      <c r="F7" s="23"/>
      <c r="G7" s="3"/>
      <c r="H7" s="3" t="s">
        <v>25</v>
      </c>
      <c r="I7" s="26">
        <f t="array" ref="I7">AVERAGE(IF((H$1&lt;=C21:C1048576)*(0&lt;G21:G1048576),G21:G1048576,""))</f>
        <v>2.7670652173913041E-2</v>
      </c>
      <c r="J7" s="23"/>
      <c r="K7" s="23"/>
      <c r="L7" s="26">
        <f t="array" ref="L7">AVERAGE(IF((H$1&lt;=C21:C1048576)*(0&lt;K21:K1048576),K21:K1048576,""))</f>
        <v>2.650333333333333E-2</v>
      </c>
      <c r="M7" s="23"/>
      <c r="N7" s="2"/>
      <c r="O7" s="27" t="s">
        <v>26</v>
      </c>
      <c r="P7" s="28">
        <v>40543</v>
      </c>
      <c r="Q7" s="28">
        <v>45869</v>
      </c>
      <c r="R7" s="29">
        <f t="array" ref="R7">COUNT(IF((P7&lt;=$C$21:$C$1048576)*(Q7&gt;=$E$21:$E$1048576),$G$21:$G$1048576,""))</f>
        <v>169</v>
      </c>
      <c r="S7" s="30">
        <f t="array" ref="S7">SUM(IF((P7&lt;=$C$21:$C$1048576)*(Q7&gt;=$E$21:$E$1048576),$G$21:$G$1048576,""))</f>
        <v>1.3946000000000001</v>
      </c>
      <c r="T7" s="30">
        <f t="array" ref="T7">AVERAGE(IF((P7&lt;=$C$21:$C$1048576)*(Q7&gt;=$E$21:$E$1048576),$G$21:$G$1048576,""))</f>
        <v>8.2520710059171606E-3</v>
      </c>
      <c r="U7" s="30">
        <f t="shared" si="0"/>
        <v>1.8334181034482762E-2</v>
      </c>
      <c r="V7" s="30">
        <f t="array" ref="V7">SUM(IF((P7&lt;=$C$21:$C$1048576)*(Q7&gt;=$E$21:$E$1048576),$K$21:$K$1048576,""))</f>
        <v>0.75443333333333351</v>
      </c>
      <c r="W7" s="30">
        <f t="array" ref="W7">AVERAGE(IF((P7&lt;=$C$21:$C$1048576)*(Q7&gt;=$E$21:$E$1048576),$K$21:$K$1048576,""))</f>
        <v>4.4641025641025652E-3</v>
      </c>
      <c r="X7" s="30">
        <f t="shared" si="1"/>
        <v>9.918196839080462E-3</v>
      </c>
      <c r="Y7" s="31">
        <f t="array" ref="Y7">AVERAGE(IF((P7&lt;=$C$21:$C$1048576)*(Q7&gt;=$E$21:$E$1048576),$H$21:$H$1048576,""))</f>
        <v>13.727810650887575</v>
      </c>
      <c r="Z7" s="32">
        <f t="shared" si="2"/>
        <v>0.45009215248811718</v>
      </c>
    </row>
    <row r="8" spans="1:26" x14ac:dyDescent="0.25">
      <c r="A8" s="3" t="s">
        <v>27</v>
      </c>
      <c r="B8" s="26">
        <f>AVERAGEIF(G21:G1048576,"&lt;0",G21:G1048576)</f>
        <v>-1.4591089108910885E-2</v>
      </c>
      <c r="C8" s="23"/>
      <c r="D8" s="23"/>
      <c r="E8" s="26">
        <f>AVERAGEIF(K21:K1048576,"&lt;0",K21:K1048576)</f>
        <v>-1.5466374269005845E-2</v>
      </c>
      <c r="F8" s="23"/>
      <c r="G8" s="3"/>
      <c r="H8" s="3" t="s">
        <v>27</v>
      </c>
      <c r="I8" s="26">
        <f t="array" ref="I8">AVERAGE(IF((H$1&lt;=C21:C1048576)*(0&gt;G21:G1048576),G21:G1048576,""))</f>
        <v>-1.3216470588235291E-2</v>
      </c>
      <c r="J8" s="23"/>
      <c r="K8" s="23"/>
      <c r="L8" s="26">
        <f t="array" ref="L8">AVERAGE(IF((H$1&lt;=C21:C1048576)*(0&gt;K21:K1048576),K21:K1048576,""))</f>
        <v>-1.4090721649484534E-2</v>
      </c>
      <c r="M8" s="23"/>
      <c r="N8" s="2"/>
    </row>
    <row r="9" spans="1:26" x14ac:dyDescent="0.25">
      <c r="A9" s="3" t="s">
        <v>28</v>
      </c>
      <c r="B9" s="33">
        <f>MAX(G21:G1048576)</f>
        <v>0.21229999999999999</v>
      </c>
      <c r="C9" s="23"/>
      <c r="D9" s="23"/>
      <c r="E9" s="33">
        <f>MAX(K21:K501)</f>
        <v>0.20496666666666666</v>
      </c>
      <c r="F9" s="23"/>
      <c r="G9" s="3"/>
      <c r="H9" s="3" t="s">
        <v>28</v>
      </c>
      <c r="I9" s="33">
        <f t="array" ref="I9">MAX(IF(H$1&lt;=C21:C1048576,G21:G1048576,""))</f>
        <v>9.98E-2</v>
      </c>
      <c r="J9" s="23"/>
      <c r="K9" s="23"/>
      <c r="L9" s="33">
        <f t="array" ref="L9">MAX(IF(H$1&lt;=C21:C1048576,K21:K1048576,""))</f>
        <v>9.0466666666666667E-2</v>
      </c>
      <c r="M9" s="23"/>
      <c r="N9" s="2"/>
    </row>
    <row r="10" spans="1:26" x14ac:dyDescent="0.25">
      <c r="A10" s="3" t="s">
        <v>29</v>
      </c>
      <c r="B10" s="33">
        <f>MIN(G21:G1048576)</f>
        <v>-5.9299999999999999E-2</v>
      </c>
      <c r="C10" s="23"/>
      <c r="D10" s="23"/>
      <c r="E10" s="33">
        <f>MIN(K21:K501)</f>
        <v>-6.0966666666666662E-2</v>
      </c>
      <c r="F10" s="23"/>
      <c r="G10" s="3"/>
      <c r="H10" s="3" t="s">
        <v>29</v>
      </c>
      <c r="I10" s="33">
        <f t="array" ref="I10">MIN(IF(H$1&lt;=C21:C1048576,G21:G1048576,""))</f>
        <v>-5.9299999999999999E-2</v>
      </c>
      <c r="J10" s="23"/>
      <c r="K10" s="23"/>
      <c r="L10" s="33">
        <f t="array" ref="L10">MIN(IF(H$1&lt;=C21:C1048576,K21:K1048576,""))</f>
        <v>-6.0966666666666662E-2</v>
      </c>
      <c r="M10" s="23"/>
      <c r="N10" s="2"/>
    </row>
    <row r="11" spans="1:26" x14ac:dyDescent="0.25">
      <c r="A11" s="7" t="s">
        <v>30</v>
      </c>
      <c r="B11" s="16">
        <f>((B6*B7)-((1-B6)*ABS(B8)))/(ABS(B8))</f>
        <v>0.65255794337268469</v>
      </c>
      <c r="C11" s="9"/>
      <c r="D11" s="9"/>
      <c r="E11" s="16">
        <f>((E6*E7)-((1-E6)*ABS(E8)))/(ABS(E8))</f>
        <v>0.3687580025608197</v>
      </c>
      <c r="F11" s="9"/>
      <c r="G11" s="3"/>
      <c r="H11" s="7" t="s">
        <v>30</v>
      </c>
      <c r="I11" s="16">
        <f>((I6*I7)-((1-I6)*ABS(I8)))/(ABS(I8))</f>
        <v>0.6079984188435229</v>
      </c>
      <c r="J11" s="9"/>
      <c r="K11" s="9"/>
      <c r="L11" s="16">
        <f>((L6*L7)-((1-L6)*ABS(L8)))/(ABS(L8))</f>
        <v>0.30210474160713008</v>
      </c>
      <c r="M11" s="9"/>
      <c r="N11" s="2"/>
    </row>
    <row r="12" spans="1:26" x14ac:dyDescent="0.25">
      <c r="A12" s="3" t="s">
        <v>31</v>
      </c>
      <c r="B12" s="33">
        <f>B4/F4*30</f>
        <v>2.0536635706914358E-2</v>
      </c>
      <c r="C12" s="23"/>
      <c r="D12" s="23"/>
      <c r="E12" s="33">
        <f>E4/F4*30</f>
        <v>1.2301341589267286E-2</v>
      </c>
      <c r="F12" s="23"/>
      <c r="G12" s="3"/>
      <c r="H12" s="3" t="s">
        <v>31</v>
      </c>
      <c r="I12" s="33">
        <f>I4/M4*30</f>
        <v>1.7631818181818183E-2</v>
      </c>
      <c r="J12" s="23"/>
      <c r="K12" s="23"/>
      <c r="L12" s="33">
        <f>L4/M4*30</f>
        <v>9.340495867768599E-3</v>
      </c>
      <c r="M12" s="23"/>
      <c r="N12" s="2"/>
    </row>
    <row r="13" spans="1:26" x14ac:dyDescent="0.25">
      <c r="A13" s="3" t="s">
        <v>32</v>
      </c>
      <c r="B13" s="34">
        <f>ABS(B7/B8)</f>
        <v>2.1980056496749176</v>
      </c>
      <c r="C13" s="23"/>
      <c r="D13" s="23"/>
      <c r="E13" s="34">
        <f>ABS(E7/E8)</f>
        <v>2.0112676056338032</v>
      </c>
      <c r="F13" s="23"/>
      <c r="G13" s="3"/>
      <c r="H13" s="3" t="s">
        <v>32</v>
      </c>
      <c r="I13" s="34">
        <f>ABS(I7/I8)</f>
        <v>2.0936491319054733</v>
      </c>
      <c r="J13" s="23"/>
      <c r="K13" s="23"/>
      <c r="L13" s="34">
        <f>ABS(L7/L8)</f>
        <v>1.8809067408057751</v>
      </c>
      <c r="M13" s="23"/>
      <c r="N13" s="2"/>
    </row>
    <row r="14" spans="1:26" x14ac:dyDescent="0.25">
      <c r="A14" s="3" t="s">
        <v>33</v>
      </c>
      <c r="B14" s="35">
        <f>(INDEX($L$20:$L$1048576,MATCH(MAX($E$20:$E$1048576),$E$20:$E$1048576,0),1)/100)^(1/(((MAX(E20:E1048573)-MIN(C20:C1048576))/365)))-1</f>
        <v>0.11531339590115341</v>
      </c>
      <c r="C14" s="23"/>
      <c r="D14" s="23"/>
      <c r="E14" s="35">
        <f>(INDEX($Q$20:$Q$1048576,MATCH(MAX($E$20:$E$1048576),$E$20:$E$1048576,0),1)/100)^(1/(((MAX(E20:E1048576)-MIN(C20:C1048576))/365)))-1</f>
        <v>6.5466445116429295E-2</v>
      </c>
      <c r="F14" s="23"/>
      <c r="G14" s="3"/>
      <c r="H14" s="3" t="s">
        <v>33</v>
      </c>
      <c r="I14" s="35">
        <f>(INDEX(L20:L1048573,MATCH(L1,E20:E1048573,0),1)/INDEX(L20:L1048573,MATCH(J1,C20:C1048573,0)-1,1))^(1/(((MAX(E20:E1048573)-J1)/365)))-1</f>
        <v>9.9346120396902382E-2</v>
      </c>
      <c r="J14" s="23"/>
      <c r="K14" s="23"/>
      <c r="L14" s="35">
        <f>(INDEX(Q20:Q1048573,MATCH(L1,E20:E1048573,0),1)/INDEX(Q20:Q1048573,MATCH(J1,C20:C1048573,0)-1,1))^(1/(((MAX(E20:E1048573)-J1)/365)))-1</f>
        <v>4.9826990848457875E-2</v>
      </c>
      <c r="M14" s="23"/>
      <c r="N14" s="2"/>
    </row>
    <row r="15" spans="1:26" x14ac:dyDescent="0.25">
      <c r="A15" t="s">
        <v>34</v>
      </c>
      <c r="B15" s="35">
        <f>MIN($O$20:$O$1048576)</f>
        <v>-9.5301034191337231E-2</v>
      </c>
      <c r="E15" s="35">
        <f>MIN($T$20:$T$1048576)</f>
        <v>-0.14305306599978454</v>
      </c>
      <c r="H15" t="s">
        <v>34</v>
      </c>
      <c r="I15" s="35">
        <f t="array" ref="I15">MIN(IF(H$1&lt;=C21:C1048576,O21:O1048576,""))</f>
        <v>-9.5301034191337231E-2</v>
      </c>
      <c r="L15" s="35">
        <f t="array" ref="L15">MIN(IF(J$1&lt;=C21:C1048576,T20:T1048575,""))</f>
        <v>-0.14305306599978454</v>
      </c>
      <c r="N15" s="2"/>
    </row>
    <row r="16" spans="1:26" x14ac:dyDescent="0.25">
      <c r="A16" t="s">
        <v>35</v>
      </c>
      <c r="B16" s="36">
        <f>ABS(B14/B15)</f>
        <v>1.2099910234933766</v>
      </c>
      <c r="E16" s="36">
        <f>ABS(E14/E15)</f>
        <v>0.45763748339744004</v>
      </c>
      <c r="H16" t="s">
        <v>35</v>
      </c>
      <c r="I16" s="36">
        <f>ABS(I14/I15)</f>
        <v>1.0424453547633468</v>
      </c>
      <c r="L16" s="36">
        <f>ABS(L14/L15)</f>
        <v>0.34831124030947314</v>
      </c>
      <c r="N16" s="2"/>
    </row>
    <row r="17" spans="1:39" x14ac:dyDescent="0.25">
      <c r="C17" s="1"/>
      <c r="E17" s="1"/>
      <c r="G17" s="2"/>
      <c r="I17" s="2"/>
      <c r="O17" s="2"/>
      <c r="P17" s="2"/>
    </row>
    <row r="18" spans="1:39" x14ac:dyDescent="0.25">
      <c r="C18" s="1"/>
      <c r="E18" s="1"/>
      <c r="G18" s="2"/>
      <c r="M18" t="s">
        <v>36</v>
      </c>
      <c r="R18" t="s">
        <v>37</v>
      </c>
    </row>
    <row r="19" spans="1:39" x14ac:dyDescent="0.25">
      <c r="C19" s="1"/>
      <c r="E19" s="1"/>
      <c r="G19" s="2"/>
      <c r="L19" t="s">
        <v>38</v>
      </c>
      <c r="M19" t="s">
        <v>39</v>
      </c>
      <c r="N19" t="s">
        <v>34</v>
      </c>
      <c r="O19" t="s">
        <v>40</v>
      </c>
      <c r="Q19" t="s">
        <v>38</v>
      </c>
      <c r="R19" t="s">
        <v>39</v>
      </c>
      <c r="S19" t="s">
        <v>34</v>
      </c>
      <c r="T19" t="s">
        <v>40</v>
      </c>
      <c r="U19" t="s">
        <v>41</v>
      </c>
      <c r="V19" t="s">
        <v>42</v>
      </c>
      <c r="Y19" s="45" t="s">
        <v>86</v>
      </c>
      <c r="Z19" t="s">
        <v>99</v>
      </c>
    </row>
    <row r="20" spans="1:39" x14ac:dyDescent="0.25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s="37" t="s">
        <v>5</v>
      </c>
      <c r="I20" s="23" t="s">
        <v>43</v>
      </c>
      <c r="J20" s="38" t="s">
        <v>3</v>
      </c>
      <c r="K20" s="38" t="s">
        <v>44</v>
      </c>
      <c r="L20">
        <v>100</v>
      </c>
      <c r="M20">
        <f t="shared" ref="M20:M23" si="3">MAX(L20,M19)</f>
        <v>100</v>
      </c>
      <c r="N20" t="str">
        <f t="shared" ref="N20:N23" si="4">IF(M20&gt;L20,L20-M20,"")</f>
        <v/>
      </c>
      <c r="O20" s="39"/>
      <c r="Q20">
        <v>100</v>
      </c>
      <c r="R20">
        <f t="shared" ref="R20:R23" si="5">MAX(Q20,R19)</f>
        <v>100</v>
      </c>
      <c r="S20" t="str">
        <f t="shared" ref="S20:S23" si="6">IF(R20&gt;Q20,Q20-R20,"")</f>
        <v/>
      </c>
      <c r="T20" s="39"/>
      <c r="Y20" s="46" t="s">
        <v>56</v>
      </c>
      <c r="Z20" s="48">
        <v>7.5899999999999995E-2</v>
      </c>
      <c r="AM20" t="s">
        <v>87</v>
      </c>
    </row>
    <row r="21" spans="1:39" x14ac:dyDescent="0.25">
      <c r="A21" t="s">
        <v>52</v>
      </c>
      <c r="B21" t="s">
        <v>53</v>
      </c>
      <c r="C21" s="1">
        <v>39773</v>
      </c>
      <c r="D21">
        <v>2693.45</v>
      </c>
      <c r="E21" s="1">
        <v>39806</v>
      </c>
      <c r="F21">
        <v>2916.85</v>
      </c>
      <c r="G21" s="2">
        <v>8.2900000000000001E-2</v>
      </c>
      <c r="H21" s="41">
        <f t="shared" ref="H21:H23" si="7">E21-C21</f>
        <v>33</v>
      </c>
      <c r="I21" s="42">
        <f t="shared" ref="I21:I23" si="8">C$1</f>
        <v>1.5E-3</v>
      </c>
      <c r="J21" s="42">
        <f t="shared" ref="J21:J23" si="9">H21/30*D$1</f>
        <v>5.5000000000000005E-3</v>
      </c>
      <c r="K21" s="42">
        <f t="shared" ref="K21:K23" si="10">G21-SUM(I21,J21)</f>
        <v>7.5899999999999995E-2</v>
      </c>
      <c r="L21" s="43">
        <f t="shared" ref="L21:L23" si="11">L20*(1+G21)</f>
        <v>108.28999999999999</v>
      </c>
      <c r="M21" s="43">
        <f t="shared" si="3"/>
        <v>108.28999999999999</v>
      </c>
      <c r="N21" s="43" t="str">
        <f t="shared" si="4"/>
        <v/>
      </c>
      <c r="O21" s="44">
        <f t="shared" ref="O21:O23" si="12">IFERROR(N21/M21,0)</f>
        <v>0</v>
      </c>
      <c r="P21" s="43"/>
      <c r="Q21" s="43">
        <f t="shared" ref="Q21:Q23" si="13">Q20*(1+K21)</f>
        <v>107.59</v>
      </c>
      <c r="R21" s="43">
        <f t="shared" si="5"/>
        <v>107.59</v>
      </c>
      <c r="S21" s="43" t="str">
        <f t="shared" si="6"/>
        <v/>
      </c>
      <c r="T21" s="44">
        <f t="shared" ref="T21:T23" si="14">IFERROR(S21/R21,0)</f>
        <v>0</v>
      </c>
      <c r="U21" s="43">
        <f t="shared" ref="U21:U23" si="15">YEAR(E21)</f>
        <v>2008</v>
      </c>
      <c r="V21" s="43">
        <f t="shared" ref="V21:V23" si="16">YEAR(C21)</f>
        <v>2008</v>
      </c>
      <c r="Y21" s="46" t="s">
        <v>57</v>
      </c>
      <c r="Z21" s="48">
        <v>0.23996666666666663</v>
      </c>
      <c r="AM21" s="47">
        <f>AVERAGE(Z21:AK21)</f>
        <v>0.23996666666666663</v>
      </c>
    </row>
    <row r="22" spans="1:39" x14ac:dyDescent="0.25">
      <c r="A22" t="s">
        <v>52</v>
      </c>
      <c r="B22" t="s">
        <v>53</v>
      </c>
      <c r="C22" s="1">
        <v>39812</v>
      </c>
      <c r="D22">
        <v>2979.5</v>
      </c>
      <c r="E22" s="1">
        <v>39820</v>
      </c>
      <c r="F22">
        <v>2920.4</v>
      </c>
      <c r="G22" s="2">
        <v>-1.9800000000000002E-2</v>
      </c>
      <c r="H22" s="40">
        <f t="shared" si="7"/>
        <v>8</v>
      </c>
      <c r="I22" s="4">
        <f t="shared" si="8"/>
        <v>1.5E-3</v>
      </c>
      <c r="J22" s="4">
        <f t="shared" si="9"/>
        <v>1.3333333333333333E-3</v>
      </c>
      <c r="K22" s="4">
        <f t="shared" si="10"/>
        <v>-2.2633333333333335E-2</v>
      </c>
      <c r="L22">
        <f t="shared" si="11"/>
        <v>106.14585799999999</v>
      </c>
      <c r="M22">
        <f t="shared" si="3"/>
        <v>108.28999999999999</v>
      </c>
      <c r="N22">
        <f t="shared" si="4"/>
        <v>-2.1441420000000022</v>
      </c>
      <c r="O22" s="39">
        <f t="shared" si="12"/>
        <v>-1.9800000000000022E-2</v>
      </c>
      <c r="Q22">
        <f t="shared" si="13"/>
        <v>105.15487966666667</v>
      </c>
      <c r="R22">
        <f t="shared" si="5"/>
        <v>107.59</v>
      </c>
      <c r="S22">
        <f t="shared" si="6"/>
        <v>-2.4351203333333302</v>
      </c>
      <c r="T22" s="39">
        <f t="shared" si="14"/>
        <v>-2.2633333333333304E-2</v>
      </c>
      <c r="U22">
        <f t="shared" si="15"/>
        <v>2009</v>
      </c>
      <c r="V22">
        <f t="shared" si="16"/>
        <v>2008</v>
      </c>
      <c r="Y22" s="46" t="s">
        <v>58</v>
      </c>
      <c r="Z22" s="48">
        <v>0.12266666666666667</v>
      </c>
      <c r="AM22" s="47">
        <f t="shared" ref="AM22:AM38" si="17">AVERAGE(Z22:AK22)</f>
        <v>0.12266666666666667</v>
      </c>
    </row>
    <row r="23" spans="1:39" x14ac:dyDescent="0.25">
      <c r="A23" t="s">
        <v>52</v>
      </c>
      <c r="B23" t="s">
        <v>53</v>
      </c>
      <c r="C23" s="1">
        <v>39841</v>
      </c>
      <c r="D23">
        <v>2849.5</v>
      </c>
      <c r="E23" s="1">
        <v>39860</v>
      </c>
      <c r="F23">
        <v>2848.5</v>
      </c>
      <c r="G23" s="2">
        <v>-4.0000000000000002E-4</v>
      </c>
      <c r="H23" s="40">
        <f t="shared" si="7"/>
        <v>19</v>
      </c>
      <c r="I23" s="4">
        <f t="shared" si="8"/>
        <v>1.5E-3</v>
      </c>
      <c r="J23" s="4">
        <f t="shared" si="9"/>
        <v>3.1666666666666666E-3</v>
      </c>
      <c r="K23" s="4">
        <f t="shared" si="10"/>
        <v>-5.0666666666666664E-3</v>
      </c>
      <c r="L23">
        <f t="shared" si="11"/>
        <v>106.10339965679999</v>
      </c>
      <c r="M23">
        <f t="shared" si="3"/>
        <v>108.28999999999999</v>
      </c>
      <c r="N23">
        <f t="shared" si="4"/>
        <v>-2.1866003431999985</v>
      </c>
      <c r="O23" s="39">
        <f t="shared" si="12"/>
        <v>-2.0192079999999987E-2</v>
      </c>
      <c r="Q23">
        <f t="shared" si="13"/>
        <v>104.62209494302223</v>
      </c>
      <c r="R23">
        <f t="shared" si="5"/>
        <v>107.59</v>
      </c>
      <c r="S23">
        <f t="shared" si="6"/>
        <v>-2.9679050569777701</v>
      </c>
      <c r="T23" s="39">
        <f t="shared" si="14"/>
        <v>-2.7585324444444372E-2</v>
      </c>
      <c r="U23">
        <f t="shared" si="15"/>
        <v>2009</v>
      </c>
      <c r="V23">
        <f t="shared" si="16"/>
        <v>2009</v>
      </c>
      <c r="Y23" s="46" t="s">
        <v>59</v>
      </c>
      <c r="Z23" s="48">
        <v>4.2233333333333338E-2</v>
      </c>
      <c r="AM23" s="47">
        <f t="shared" si="17"/>
        <v>4.2233333333333338E-2</v>
      </c>
    </row>
    <row r="24" spans="1:39" x14ac:dyDescent="0.25">
      <c r="A24" t="s">
        <v>52</v>
      </c>
      <c r="B24" t="s">
        <v>53</v>
      </c>
      <c r="C24" s="1">
        <v>39870</v>
      </c>
      <c r="D24">
        <v>2785.65</v>
      </c>
      <c r="E24" s="1">
        <v>39874</v>
      </c>
      <c r="F24">
        <v>2674.6</v>
      </c>
      <c r="G24" s="2">
        <v>-3.9899999999999998E-2</v>
      </c>
      <c r="H24" s="40">
        <f t="shared" ref="H24:H87" si="18">E24-C24</f>
        <v>4</v>
      </c>
      <c r="I24" s="4">
        <f t="shared" ref="I24:I87" si="19">C$1</f>
        <v>1.5E-3</v>
      </c>
      <c r="J24" s="4">
        <f t="shared" ref="J24:J87" si="20">H24/30*D$1</f>
        <v>6.6666666666666664E-4</v>
      </c>
      <c r="K24" s="4">
        <f t="shared" ref="K24:K87" si="21">G24-SUM(I24,J24)</f>
        <v>-4.2066666666666662E-2</v>
      </c>
      <c r="L24">
        <f t="shared" ref="L24:L87" si="22">L23*(1+G24)</f>
        <v>101.86987401049367</v>
      </c>
      <c r="M24">
        <f t="shared" ref="M24:M87" si="23">MAX(L24,M23)</f>
        <v>108.28999999999999</v>
      </c>
      <c r="N24">
        <f t="shared" ref="N24:N87" si="24">IF(M24&gt;L24,L24-M24,"")</f>
        <v>-6.4201259895063174</v>
      </c>
      <c r="O24" s="39">
        <f t="shared" ref="O24:O87" si="25">IFERROR(N24/M24,0)</f>
        <v>-5.9286416007999977E-2</v>
      </c>
      <c r="Q24">
        <f t="shared" ref="Q24:Q87" si="26">Q23*(1+K24)</f>
        <v>100.22099214908576</v>
      </c>
      <c r="R24">
        <f t="shared" ref="R24:R87" si="27">MAX(Q24,R23)</f>
        <v>107.59</v>
      </c>
      <c r="S24">
        <f t="shared" ref="S24:S87" si="28">IF(R24&gt;Q24,Q24-R24,"")</f>
        <v>-7.3690078509142438</v>
      </c>
      <c r="T24" s="39">
        <f t="shared" ref="T24:T87" si="29">IFERROR(S24/R24,0)</f>
        <v>-6.8491568462814789E-2</v>
      </c>
      <c r="U24">
        <f t="shared" ref="U24:U87" si="30">YEAR(E24)</f>
        <v>2009</v>
      </c>
      <c r="V24">
        <f t="shared" ref="V24:V87" si="31">YEAR(C24)</f>
        <v>2009</v>
      </c>
      <c r="Y24" s="46" t="s">
        <v>60</v>
      </c>
      <c r="Z24" s="48">
        <v>0.1356</v>
      </c>
      <c r="AM24" s="47">
        <f t="shared" si="17"/>
        <v>0.1356</v>
      </c>
    </row>
    <row r="25" spans="1:39" x14ac:dyDescent="0.25">
      <c r="A25" t="s">
        <v>52</v>
      </c>
      <c r="B25" t="s">
        <v>53</v>
      </c>
      <c r="C25" s="1">
        <v>39885</v>
      </c>
      <c r="D25">
        <v>2719.25</v>
      </c>
      <c r="E25" s="1">
        <v>39902</v>
      </c>
      <c r="F25">
        <v>2978.15</v>
      </c>
      <c r="G25" s="2">
        <v>9.5200000000000007E-2</v>
      </c>
      <c r="H25" s="40">
        <f t="shared" si="18"/>
        <v>17</v>
      </c>
      <c r="I25" s="4">
        <f t="shared" si="19"/>
        <v>1.5E-3</v>
      </c>
      <c r="J25" s="4">
        <f t="shared" si="20"/>
        <v>2.8333333333333331E-3</v>
      </c>
      <c r="K25" s="4">
        <f t="shared" si="21"/>
        <v>9.0866666666666679E-2</v>
      </c>
      <c r="L25">
        <f t="shared" si="22"/>
        <v>111.56788601629266</v>
      </c>
      <c r="M25">
        <f t="shared" si="23"/>
        <v>111.56788601629266</v>
      </c>
      <c r="N25" t="str">
        <f t="shared" si="24"/>
        <v/>
      </c>
      <c r="O25" s="39">
        <f t="shared" si="25"/>
        <v>0</v>
      </c>
      <c r="Q25">
        <f t="shared" si="26"/>
        <v>109.32773963569934</v>
      </c>
      <c r="R25">
        <f t="shared" si="27"/>
        <v>109.32773963569934</v>
      </c>
      <c r="S25" t="str">
        <f t="shared" si="28"/>
        <v/>
      </c>
      <c r="T25" s="39">
        <f t="shared" si="29"/>
        <v>0</v>
      </c>
      <c r="U25">
        <f t="shared" si="30"/>
        <v>2009</v>
      </c>
      <c r="V25">
        <f t="shared" si="31"/>
        <v>2009</v>
      </c>
      <c r="Y25" s="46" t="s">
        <v>61</v>
      </c>
      <c r="Z25" s="48">
        <v>-1.8766666666666668E-2</v>
      </c>
      <c r="AM25" s="47">
        <f t="shared" si="17"/>
        <v>-1.8766666666666668E-2</v>
      </c>
    </row>
    <row r="26" spans="1:39" x14ac:dyDescent="0.25">
      <c r="A26" t="s">
        <v>52</v>
      </c>
      <c r="B26" t="s">
        <v>53</v>
      </c>
      <c r="C26" s="1">
        <v>39905</v>
      </c>
      <c r="D26">
        <v>3211.05</v>
      </c>
      <c r="E26" s="1">
        <v>39931</v>
      </c>
      <c r="F26">
        <v>3362.35</v>
      </c>
      <c r="G26" s="2">
        <v>4.7100000000000003E-2</v>
      </c>
      <c r="H26" s="40">
        <f t="shared" si="18"/>
        <v>26</v>
      </c>
      <c r="I26" s="4">
        <f t="shared" si="19"/>
        <v>1.5E-3</v>
      </c>
      <c r="J26" s="4">
        <f t="shared" si="20"/>
        <v>4.333333333333334E-3</v>
      </c>
      <c r="K26" s="4">
        <f t="shared" si="21"/>
        <v>4.1266666666666667E-2</v>
      </c>
      <c r="L26">
        <f t="shared" si="22"/>
        <v>116.82273344766004</v>
      </c>
      <c r="M26">
        <f t="shared" si="23"/>
        <v>116.82273344766004</v>
      </c>
      <c r="N26" t="str">
        <f t="shared" si="24"/>
        <v/>
      </c>
      <c r="O26" s="39">
        <f t="shared" si="25"/>
        <v>0</v>
      </c>
      <c r="Q26">
        <f t="shared" si="26"/>
        <v>113.83933102466585</v>
      </c>
      <c r="R26">
        <f t="shared" si="27"/>
        <v>113.83933102466585</v>
      </c>
      <c r="S26" t="str">
        <f t="shared" si="28"/>
        <v/>
      </c>
      <c r="T26" s="39">
        <f t="shared" si="29"/>
        <v>0</v>
      </c>
      <c r="U26">
        <f t="shared" si="30"/>
        <v>2009</v>
      </c>
      <c r="V26">
        <f t="shared" si="31"/>
        <v>2009</v>
      </c>
      <c r="Y26" s="46" t="s">
        <v>62</v>
      </c>
      <c r="Z26" s="48">
        <v>0.13826666666666662</v>
      </c>
      <c r="AM26" s="47">
        <f t="shared" si="17"/>
        <v>0.13826666666666662</v>
      </c>
    </row>
    <row r="27" spans="1:39" x14ac:dyDescent="0.25">
      <c r="A27" t="s">
        <v>52</v>
      </c>
      <c r="B27" t="s">
        <v>53</v>
      </c>
      <c r="C27" s="1">
        <v>39937</v>
      </c>
      <c r="D27">
        <v>3654</v>
      </c>
      <c r="E27" s="1">
        <v>39972</v>
      </c>
      <c r="F27">
        <v>4429.8999999999996</v>
      </c>
      <c r="G27" s="2">
        <v>0.21229999999999999</v>
      </c>
      <c r="H27" s="40">
        <f t="shared" si="18"/>
        <v>35</v>
      </c>
      <c r="I27" s="4">
        <f t="shared" si="19"/>
        <v>1.5E-3</v>
      </c>
      <c r="J27" s="4">
        <f t="shared" si="20"/>
        <v>5.8333333333333336E-3</v>
      </c>
      <c r="K27" s="4">
        <f t="shared" si="21"/>
        <v>0.20496666666666666</v>
      </c>
      <c r="L27">
        <f t="shared" si="22"/>
        <v>141.62419975859825</v>
      </c>
      <c r="M27">
        <f t="shared" si="23"/>
        <v>141.62419975859825</v>
      </c>
      <c r="N27" t="str">
        <f t="shared" si="24"/>
        <v/>
      </c>
      <c r="O27" s="39">
        <f t="shared" si="25"/>
        <v>0</v>
      </c>
      <c r="Q27">
        <f t="shared" si="26"/>
        <v>137.17259924035488</v>
      </c>
      <c r="R27">
        <f t="shared" si="27"/>
        <v>137.17259924035488</v>
      </c>
      <c r="S27" t="str">
        <f t="shared" si="28"/>
        <v/>
      </c>
      <c r="T27" s="39">
        <f t="shared" si="29"/>
        <v>0</v>
      </c>
      <c r="U27">
        <f t="shared" si="30"/>
        <v>2009</v>
      </c>
      <c r="V27">
        <f t="shared" si="31"/>
        <v>2009</v>
      </c>
      <c r="Y27" s="46" t="s">
        <v>63</v>
      </c>
      <c r="Z27" s="48">
        <v>-5.0133333333333335E-2</v>
      </c>
      <c r="AM27" s="47">
        <f t="shared" si="17"/>
        <v>-5.0133333333333335E-2</v>
      </c>
    </row>
    <row r="28" spans="1:39" x14ac:dyDescent="0.25">
      <c r="A28" t="s">
        <v>52</v>
      </c>
      <c r="B28" t="s">
        <v>53</v>
      </c>
      <c r="C28" s="1">
        <v>39974</v>
      </c>
      <c r="D28">
        <v>4655.25</v>
      </c>
      <c r="E28" s="1">
        <v>39979</v>
      </c>
      <c r="F28">
        <v>4484</v>
      </c>
      <c r="G28" s="2">
        <v>-3.6799999999999999E-2</v>
      </c>
      <c r="H28" s="40">
        <f t="shared" si="18"/>
        <v>5</v>
      </c>
      <c r="I28" s="4">
        <f t="shared" si="19"/>
        <v>1.5E-3</v>
      </c>
      <c r="J28" s="4">
        <f t="shared" si="20"/>
        <v>8.3333333333333328E-4</v>
      </c>
      <c r="K28" s="4">
        <f t="shared" si="21"/>
        <v>-3.9133333333333332E-2</v>
      </c>
      <c r="L28">
        <f t="shared" si="22"/>
        <v>136.41242920748184</v>
      </c>
      <c r="M28">
        <f t="shared" si="23"/>
        <v>141.62419975859825</v>
      </c>
      <c r="N28">
        <f t="shared" si="24"/>
        <v>-5.2117705511164161</v>
      </c>
      <c r="O28" s="39">
        <f t="shared" si="25"/>
        <v>-3.6800000000000006E-2</v>
      </c>
      <c r="Q28">
        <f t="shared" si="26"/>
        <v>131.80457819008234</v>
      </c>
      <c r="R28">
        <f t="shared" si="27"/>
        <v>137.17259924035488</v>
      </c>
      <c r="S28">
        <f t="shared" si="28"/>
        <v>-5.3680210502725458</v>
      </c>
      <c r="T28" s="39">
        <f t="shared" si="29"/>
        <v>-3.913333333333327E-2</v>
      </c>
      <c r="U28">
        <f t="shared" si="30"/>
        <v>2009</v>
      </c>
      <c r="V28">
        <f t="shared" si="31"/>
        <v>2009</v>
      </c>
      <c r="Y28" s="46" t="s">
        <v>64</v>
      </c>
      <c r="Z28" s="48">
        <v>-5.8399999999999994E-2</v>
      </c>
      <c r="AM28" s="47">
        <f t="shared" si="17"/>
        <v>-5.8399999999999994E-2</v>
      </c>
    </row>
    <row r="29" spans="1:39" x14ac:dyDescent="0.25">
      <c r="A29" t="s">
        <v>52</v>
      </c>
      <c r="B29" t="s">
        <v>53</v>
      </c>
      <c r="C29" s="1">
        <v>39990</v>
      </c>
      <c r="D29">
        <v>4375.5</v>
      </c>
      <c r="E29" s="1">
        <v>40000</v>
      </c>
      <c r="F29">
        <v>4165.7</v>
      </c>
      <c r="G29" s="2">
        <v>-4.7899999999999998E-2</v>
      </c>
      <c r="H29" s="40">
        <f t="shared" si="18"/>
        <v>10</v>
      </c>
      <c r="I29" s="4">
        <f t="shared" si="19"/>
        <v>1.5E-3</v>
      </c>
      <c r="J29" s="4">
        <f t="shared" si="20"/>
        <v>1.6666666666666666E-3</v>
      </c>
      <c r="K29" s="4">
        <f t="shared" si="21"/>
        <v>-5.1066666666666663E-2</v>
      </c>
      <c r="L29">
        <f t="shared" si="22"/>
        <v>129.87827384844346</v>
      </c>
      <c r="M29">
        <f t="shared" si="23"/>
        <v>141.62419975859825</v>
      </c>
      <c r="N29">
        <f t="shared" si="24"/>
        <v>-11.745925910154796</v>
      </c>
      <c r="O29" s="39">
        <f t="shared" si="25"/>
        <v>-8.2937280000000002E-2</v>
      </c>
      <c r="Q29">
        <f t="shared" si="26"/>
        <v>125.0737577305088</v>
      </c>
      <c r="R29">
        <f t="shared" si="27"/>
        <v>137.17259924035488</v>
      </c>
      <c r="S29">
        <f t="shared" si="28"/>
        <v>-12.098841509846082</v>
      </c>
      <c r="T29" s="39">
        <f t="shared" si="29"/>
        <v>-8.8201591111111033E-2</v>
      </c>
      <c r="U29">
        <f t="shared" si="30"/>
        <v>2009</v>
      </c>
      <c r="V29">
        <f t="shared" si="31"/>
        <v>2009</v>
      </c>
      <c r="Y29" s="46" t="s">
        <v>65</v>
      </c>
      <c r="Z29" s="48">
        <v>7.5433333333333352E-2</v>
      </c>
      <c r="AM29" s="47">
        <f t="shared" si="17"/>
        <v>7.5433333333333352E-2</v>
      </c>
    </row>
    <row r="30" spans="1:39" x14ac:dyDescent="0.25">
      <c r="A30" t="s">
        <v>52</v>
      </c>
      <c r="B30" t="s">
        <v>53</v>
      </c>
      <c r="C30" s="1">
        <v>40008</v>
      </c>
      <c r="D30">
        <v>4111.3999999999996</v>
      </c>
      <c r="E30" s="1">
        <v>40032</v>
      </c>
      <c r="F30">
        <v>4481.3999999999996</v>
      </c>
      <c r="G30" s="2">
        <v>0.09</v>
      </c>
      <c r="H30" s="40">
        <f t="shared" si="18"/>
        <v>24</v>
      </c>
      <c r="I30" s="4">
        <f t="shared" si="19"/>
        <v>1.5E-3</v>
      </c>
      <c r="J30" s="4">
        <f t="shared" si="20"/>
        <v>4.0000000000000001E-3</v>
      </c>
      <c r="K30" s="4">
        <f t="shared" si="21"/>
        <v>8.4499999999999992E-2</v>
      </c>
      <c r="L30">
        <f t="shared" si="22"/>
        <v>141.56731849480337</v>
      </c>
      <c r="M30">
        <f t="shared" si="23"/>
        <v>141.62419975859825</v>
      </c>
      <c r="N30">
        <f t="shared" si="24"/>
        <v>-5.6881263794878123E-2</v>
      </c>
      <c r="O30" s="39">
        <f t="shared" si="25"/>
        <v>-4.0163519999995454E-4</v>
      </c>
      <c r="Q30">
        <f t="shared" si="26"/>
        <v>135.64249025873679</v>
      </c>
      <c r="R30">
        <f t="shared" si="27"/>
        <v>137.17259924035488</v>
      </c>
      <c r="S30">
        <f t="shared" si="28"/>
        <v>-1.5301089816180991</v>
      </c>
      <c r="T30" s="39">
        <f t="shared" si="29"/>
        <v>-1.1154625559999999E-2</v>
      </c>
      <c r="U30">
        <f t="shared" si="30"/>
        <v>2009</v>
      </c>
      <c r="V30">
        <f t="shared" si="31"/>
        <v>2009</v>
      </c>
      <c r="Y30" s="46" t="s">
        <v>66</v>
      </c>
      <c r="Z30" s="48">
        <v>4.413333333333333E-2</v>
      </c>
      <c r="AM30" s="47">
        <f t="shared" si="17"/>
        <v>4.413333333333333E-2</v>
      </c>
    </row>
    <row r="31" spans="1:39" x14ac:dyDescent="0.25">
      <c r="A31" t="s">
        <v>52</v>
      </c>
      <c r="B31" t="s">
        <v>53</v>
      </c>
      <c r="C31" s="1">
        <v>40038</v>
      </c>
      <c r="D31">
        <v>4605</v>
      </c>
      <c r="E31" s="1">
        <v>40042</v>
      </c>
      <c r="F31">
        <v>4387.8999999999996</v>
      </c>
      <c r="G31" s="2">
        <v>-4.7100000000000003E-2</v>
      </c>
      <c r="H31" s="40">
        <f t="shared" si="18"/>
        <v>4</v>
      </c>
      <c r="I31" s="4">
        <f t="shared" si="19"/>
        <v>1.5E-3</v>
      </c>
      <c r="J31" s="4">
        <f t="shared" si="20"/>
        <v>6.6666666666666664E-4</v>
      </c>
      <c r="K31" s="4">
        <f t="shared" si="21"/>
        <v>-4.9266666666666667E-2</v>
      </c>
      <c r="L31">
        <f t="shared" si="22"/>
        <v>134.89949779369812</v>
      </c>
      <c r="M31">
        <f t="shared" si="23"/>
        <v>141.62419975859825</v>
      </c>
      <c r="N31">
        <f t="shared" si="24"/>
        <v>-6.7247019649001345</v>
      </c>
      <c r="O31" s="39">
        <f t="shared" si="25"/>
        <v>-4.748271818208008E-2</v>
      </c>
      <c r="Q31">
        <f t="shared" si="26"/>
        <v>128.95983690532302</v>
      </c>
      <c r="R31">
        <f t="shared" si="27"/>
        <v>137.17259924035488</v>
      </c>
      <c r="S31">
        <f t="shared" si="28"/>
        <v>-8.2127623350318686</v>
      </c>
      <c r="T31" s="39">
        <f t="shared" si="29"/>
        <v>-5.9871741007410696E-2</v>
      </c>
      <c r="U31">
        <f t="shared" si="30"/>
        <v>2009</v>
      </c>
      <c r="V31">
        <f t="shared" si="31"/>
        <v>2009</v>
      </c>
      <c r="Y31" s="46" t="s">
        <v>67</v>
      </c>
      <c r="Z31" s="48">
        <v>2.4166666666666663E-2</v>
      </c>
      <c r="AM31" s="47">
        <f t="shared" si="17"/>
        <v>2.4166666666666663E-2</v>
      </c>
    </row>
    <row r="32" spans="1:39" x14ac:dyDescent="0.25">
      <c r="A32" t="s">
        <v>52</v>
      </c>
      <c r="B32" t="s">
        <v>53</v>
      </c>
      <c r="C32" s="1">
        <v>40049</v>
      </c>
      <c r="D32">
        <v>4642.8</v>
      </c>
      <c r="E32" s="1">
        <v>40058</v>
      </c>
      <c r="F32">
        <v>4608.3500000000004</v>
      </c>
      <c r="G32" s="2">
        <v>-7.4000000000000003E-3</v>
      </c>
      <c r="H32" s="40">
        <f t="shared" si="18"/>
        <v>9</v>
      </c>
      <c r="I32" s="4">
        <f t="shared" si="19"/>
        <v>1.5E-3</v>
      </c>
      <c r="J32" s="4">
        <f t="shared" si="20"/>
        <v>1.5E-3</v>
      </c>
      <c r="K32" s="4">
        <f t="shared" si="21"/>
        <v>-1.04E-2</v>
      </c>
      <c r="L32">
        <f t="shared" si="22"/>
        <v>133.90124151002476</v>
      </c>
      <c r="M32">
        <f t="shared" si="23"/>
        <v>141.62419975859825</v>
      </c>
      <c r="N32">
        <f t="shared" si="24"/>
        <v>-7.7229582485734909</v>
      </c>
      <c r="O32" s="39">
        <f t="shared" si="25"/>
        <v>-5.453134606753262E-2</v>
      </c>
      <c r="Q32">
        <f t="shared" si="26"/>
        <v>127.61865460150766</v>
      </c>
      <c r="R32">
        <f t="shared" si="27"/>
        <v>137.17259924035488</v>
      </c>
      <c r="S32">
        <f t="shared" si="28"/>
        <v>-9.5539446388472271</v>
      </c>
      <c r="T32" s="39">
        <f t="shared" si="29"/>
        <v>-6.9649074900933611E-2</v>
      </c>
      <c r="U32">
        <f t="shared" si="30"/>
        <v>2009</v>
      </c>
      <c r="V32">
        <f t="shared" si="31"/>
        <v>2009</v>
      </c>
      <c r="Y32" s="46" t="s">
        <v>68</v>
      </c>
      <c r="Z32" s="48">
        <v>0.15979999999999997</v>
      </c>
      <c r="AM32" s="47">
        <f t="shared" si="17"/>
        <v>0.15979999999999997</v>
      </c>
    </row>
    <row r="33" spans="1:39" x14ac:dyDescent="0.25">
      <c r="A33" t="s">
        <v>52</v>
      </c>
      <c r="B33" t="s">
        <v>53</v>
      </c>
      <c r="C33" s="1">
        <v>40063</v>
      </c>
      <c r="D33">
        <v>4782.8999999999996</v>
      </c>
      <c r="E33" s="1">
        <v>40091</v>
      </c>
      <c r="F33">
        <v>5003.2</v>
      </c>
      <c r="G33" s="2">
        <v>4.6100000000000002E-2</v>
      </c>
      <c r="H33" s="40">
        <f t="shared" si="18"/>
        <v>28</v>
      </c>
      <c r="I33" s="4">
        <f t="shared" si="19"/>
        <v>1.5E-3</v>
      </c>
      <c r="J33" s="4">
        <f t="shared" si="20"/>
        <v>4.6666666666666671E-3</v>
      </c>
      <c r="K33" s="4">
        <f t="shared" si="21"/>
        <v>3.9933333333333335E-2</v>
      </c>
      <c r="L33">
        <f t="shared" si="22"/>
        <v>140.07408874363691</v>
      </c>
      <c r="M33">
        <f t="shared" si="23"/>
        <v>141.62419975859825</v>
      </c>
      <c r="N33">
        <f t="shared" si="24"/>
        <v>-1.5501110149613453</v>
      </c>
      <c r="O33" s="39">
        <f t="shared" si="25"/>
        <v>-1.0945241121245845E-2</v>
      </c>
      <c r="Q33">
        <f t="shared" si="26"/>
        <v>132.7148928752612</v>
      </c>
      <c r="R33">
        <f t="shared" si="27"/>
        <v>137.17259924035488</v>
      </c>
      <c r="S33">
        <f t="shared" si="28"/>
        <v>-4.457706365093685</v>
      </c>
      <c r="T33" s="39">
        <f t="shared" si="29"/>
        <v>-3.2497061291977547E-2</v>
      </c>
      <c r="U33">
        <f t="shared" si="30"/>
        <v>2009</v>
      </c>
      <c r="V33">
        <f t="shared" si="31"/>
        <v>2009</v>
      </c>
      <c r="Y33" s="46" t="s">
        <v>69</v>
      </c>
      <c r="Z33" s="48">
        <v>5.613333333333332E-2</v>
      </c>
      <c r="AM33" s="47">
        <f t="shared" si="17"/>
        <v>5.613333333333332E-2</v>
      </c>
    </row>
    <row r="34" spans="1:39" x14ac:dyDescent="0.25">
      <c r="A34" t="s">
        <v>52</v>
      </c>
      <c r="B34" t="s">
        <v>53</v>
      </c>
      <c r="C34" s="1">
        <v>40100</v>
      </c>
      <c r="D34">
        <v>5118.2</v>
      </c>
      <c r="E34" s="1">
        <v>40107</v>
      </c>
      <c r="F34">
        <v>5063.6000000000004</v>
      </c>
      <c r="G34" s="2">
        <v>-1.0699999999999999E-2</v>
      </c>
      <c r="H34" s="40">
        <f t="shared" si="18"/>
        <v>7</v>
      </c>
      <c r="I34" s="4">
        <f t="shared" si="19"/>
        <v>1.5E-3</v>
      </c>
      <c r="J34" s="4">
        <f t="shared" si="20"/>
        <v>1.1666666666666668E-3</v>
      </c>
      <c r="K34" s="4">
        <f t="shared" si="21"/>
        <v>-1.3366666666666666E-2</v>
      </c>
      <c r="L34">
        <f t="shared" si="22"/>
        <v>138.57529599407999</v>
      </c>
      <c r="M34">
        <f t="shared" si="23"/>
        <v>141.62419975859825</v>
      </c>
      <c r="N34">
        <f t="shared" si="24"/>
        <v>-3.0489037645182577</v>
      </c>
      <c r="O34" s="39">
        <f t="shared" si="25"/>
        <v>-2.1528127041248495E-2</v>
      </c>
      <c r="Q34">
        <f t="shared" si="26"/>
        <v>130.94093714049521</v>
      </c>
      <c r="R34">
        <f t="shared" si="27"/>
        <v>137.17259924035488</v>
      </c>
      <c r="S34">
        <f t="shared" si="28"/>
        <v>-6.2316620998596761</v>
      </c>
      <c r="T34" s="39">
        <f t="shared" si="29"/>
        <v>-4.542935057270811E-2</v>
      </c>
      <c r="U34">
        <f t="shared" si="30"/>
        <v>2009</v>
      </c>
      <c r="V34">
        <f t="shared" si="31"/>
        <v>2009</v>
      </c>
      <c r="Y34" s="46" t="s">
        <v>70</v>
      </c>
      <c r="Z34" s="48">
        <v>3.4900000000000007E-2</v>
      </c>
      <c r="AM34" s="47">
        <f t="shared" si="17"/>
        <v>3.4900000000000007E-2</v>
      </c>
    </row>
    <row r="35" spans="1:39" x14ac:dyDescent="0.25">
      <c r="A35" t="s">
        <v>52</v>
      </c>
      <c r="B35" t="s">
        <v>53</v>
      </c>
      <c r="C35" s="1">
        <v>40123</v>
      </c>
      <c r="D35">
        <v>4796.1499999999996</v>
      </c>
      <c r="E35" s="1">
        <v>40136</v>
      </c>
      <c r="F35">
        <v>4989</v>
      </c>
      <c r="G35" s="2">
        <v>4.02E-2</v>
      </c>
      <c r="H35" s="40">
        <f t="shared" si="18"/>
        <v>13</v>
      </c>
      <c r="I35" s="4">
        <f t="shared" si="19"/>
        <v>1.5E-3</v>
      </c>
      <c r="J35" s="4">
        <f t="shared" si="20"/>
        <v>2.166666666666667E-3</v>
      </c>
      <c r="K35" s="4">
        <f t="shared" si="21"/>
        <v>3.6533333333333334E-2</v>
      </c>
      <c r="L35">
        <f t="shared" si="22"/>
        <v>144.14602289304202</v>
      </c>
      <c r="M35">
        <f t="shared" si="23"/>
        <v>144.14602289304202</v>
      </c>
      <c r="N35" t="str">
        <f t="shared" si="24"/>
        <v/>
      </c>
      <c r="O35" s="39">
        <f t="shared" si="25"/>
        <v>0</v>
      </c>
      <c r="Q35">
        <f t="shared" si="26"/>
        <v>135.72464604402796</v>
      </c>
      <c r="R35">
        <f t="shared" si="27"/>
        <v>137.17259924035488</v>
      </c>
      <c r="S35">
        <f t="shared" si="28"/>
        <v>-1.447953196326921</v>
      </c>
      <c r="T35" s="39">
        <f t="shared" si="29"/>
        <v>-1.0555702846964402E-2</v>
      </c>
      <c r="U35">
        <f t="shared" si="30"/>
        <v>2009</v>
      </c>
      <c r="V35">
        <f t="shared" si="31"/>
        <v>2009</v>
      </c>
      <c r="Y35" s="46" t="s">
        <v>71</v>
      </c>
      <c r="Z35" s="48">
        <v>0.14269999999999999</v>
      </c>
      <c r="AM35" s="47">
        <f t="shared" si="17"/>
        <v>0.14269999999999999</v>
      </c>
    </row>
    <row r="36" spans="1:39" x14ac:dyDescent="0.25">
      <c r="A36" t="s">
        <v>52</v>
      </c>
      <c r="B36" t="s">
        <v>53</v>
      </c>
      <c r="C36" s="1">
        <v>40140</v>
      </c>
      <c r="D36">
        <v>5103.55</v>
      </c>
      <c r="E36" s="1">
        <v>40143</v>
      </c>
      <c r="F36">
        <v>5005.55</v>
      </c>
      <c r="G36" s="2">
        <v>-1.9199999999999998E-2</v>
      </c>
      <c r="H36" s="40">
        <f t="shared" si="18"/>
        <v>3</v>
      </c>
      <c r="I36" s="4">
        <f t="shared" si="19"/>
        <v>1.5E-3</v>
      </c>
      <c r="J36" s="4">
        <f t="shared" si="20"/>
        <v>5.0000000000000001E-4</v>
      </c>
      <c r="K36" s="4">
        <f t="shared" si="21"/>
        <v>-2.1199999999999997E-2</v>
      </c>
      <c r="L36">
        <f t="shared" si="22"/>
        <v>141.37841925349562</v>
      </c>
      <c r="M36">
        <f t="shared" si="23"/>
        <v>144.14602289304202</v>
      </c>
      <c r="N36">
        <f t="shared" si="24"/>
        <v>-2.7676036395463939</v>
      </c>
      <c r="O36" s="39">
        <f t="shared" si="25"/>
        <v>-1.9199999999999912E-2</v>
      </c>
      <c r="Q36">
        <f t="shared" si="26"/>
        <v>132.84728354789456</v>
      </c>
      <c r="R36">
        <f t="shared" si="27"/>
        <v>137.17259924035488</v>
      </c>
      <c r="S36">
        <f t="shared" si="28"/>
        <v>-4.3253156924603218</v>
      </c>
      <c r="T36" s="39">
        <f t="shared" si="29"/>
        <v>-3.1531921946608817E-2</v>
      </c>
      <c r="U36">
        <f t="shared" si="30"/>
        <v>2009</v>
      </c>
      <c r="V36">
        <f t="shared" si="31"/>
        <v>2009</v>
      </c>
      <c r="Y36" s="46" t="s">
        <v>72</v>
      </c>
      <c r="Z36" s="48">
        <v>-3.9333333333333304E-3</v>
      </c>
      <c r="AM36" s="47">
        <f t="shared" si="17"/>
        <v>-3.9333333333333304E-3</v>
      </c>
    </row>
    <row r="37" spans="1:39" x14ac:dyDescent="0.25">
      <c r="A37" t="s">
        <v>52</v>
      </c>
      <c r="B37" t="s">
        <v>53</v>
      </c>
      <c r="C37" s="1">
        <v>40147</v>
      </c>
      <c r="D37">
        <v>5032.7</v>
      </c>
      <c r="E37" s="1">
        <v>40162</v>
      </c>
      <c r="F37">
        <v>5033.05</v>
      </c>
      <c r="G37" s="2">
        <v>1E-4</v>
      </c>
      <c r="H37" s="40">
        <f t="shared" si="18"/>
        <v>15</v>
      </c>
      <c r="I37" s="4">
        <f t="shared" si="19"/>
        <v>1.5E-3</v>
      </c>
      <c r="J37" s="4">
        <f t="shared" si="20"/>
        <v>2.5000000000000001E-3</v>
      </c>
      <c r="K37" s="4">
        <f t="shared" si="21"/>
        <v>-3.9000000000000003E-3</v>
      </c>
      <c r="L37">
        <f t="shared" si="22"/>
        <v>141.39255709542098</v>
      </c>
      <c r="M37">
        <f t="shared" si="23"/>
        <v>144.14602289304202</v>
      </c>
      <c r="N37">
        <f t="shared" si="24"/>
        <v>-2.7534657976210326</v>
      </c>
      <c r="O37" s="39">
        <f t="shared" si="25"/>
        <v>-1.9101919999999831E-2</v>
      </c>
      <c r="Q37">
        <f t="shared" si="26"/>
        <v>132.32917914205777</v>
      </c>
      <c r="R37">
        <f t="shared" si="27"/>
        <v>137.17259924035488</v>
      </c>
      <c r="S37">
        <f t="shared" si="28"/>
        <v>-4.8434200982971163</v>
      </c>
      <c r="T37" s="39">
        <f t="shared" si="29"/>
        <v>-3.5308947451017085E-2</v>
      </c>
      <c r="U37">
        <f t="shared" si="30"/>
        <v>2009</v>
      </c>
      <c r="V37">
        <f t="shared" si="31"/>
        <v>2009</v>
      </c>
      <c r="Y37" s="46" t="s">
        <v>73</v>
      </c>
      <c r="Z37" s="48">
        <v>4.3866666666666679E-2</v>
      </c>
      <c r="AM37" s="47">
        <f t="shared" si="17"/>
        <v>4.3866666666666679E-2</v>
      </c>
    </row>
    <row r="38" spans="1:39" x14ac:dyDescent="0.25">
      <c r="A38" t="s">
        <v>52</v>
      </c>
      <c r="B38" t="s">
        <v>53</v>
      </c>
      <c r="C38" s="1">
        <v>40170</v>
      </c>
      <c r="D38">
        <v>5144.6000000000004</v>
      </c>
      <c r="E38" s="1">
        <v>40190</v>
      </c>
      <c r="F38">
        <v>5210.3999999999996</v>
      </c>
      <c r="G38" s="2">
        <v>1.2800000000000001E-2</v>
      </c>
      <c r="H38" s="40">
        <f t="shared" si="18"/>
        <v>20</v>
      </c>
      <c r="I38" s="4">
        <f t="shared" si="19"/>
        <v>1.5E-3</v>
      </c>
      <c r="J38" s="4">
        <f t="shared" si="20"/>
        <v>3.3333333333333331E-3</v>
      </c>
      <c r="K38" s="4">
        <f t="shared" si="21"/>
        <v>7.966666666666667E-3</v>
      </c>
      <c r="L38">
        <f t="shared" si="22"/>
        <v>143.20238182624237</v>
      </c>
      <c r="M38">
        <f t="shared" si="23"/>
        <v>144.14602289304202</v>
      </c>
      <c r="N38">
        <f t="shared" si="24"/>
        <v>-0.94364106679964266</v>
      </c>
      <c r="O38" s="39">
        <f t="shared" si="25"/>
        <v>-6.5464245759998185E-3</v>
      </c>
      <c r="Q38">
        <f t="shared" si="26"/>
        <v>133.38340160255618</v>
      </c>
      <c r="R38">
        <f t="shared" si="27"/>
        <v>137.17259924035488</v>
      </c>
      <c r="S38">
        <f t="shared" si="28"/>
        <v>-3.7891976377987078</v>
      </c>
      <c r="T38" s="39">
        <f t="shared" si="29"/>
        <v>-2.762357539904341E-2</v>
      </c>
      <c r="U38">
        <f t="shared" si="30"/>
        <v>2010</v>
      </c>
      <c r="V38">
        <f t="shared" si="31"/>
        <v>2009</v>
      </c>
      <c r="Y38" s="46" t="s">
        <v>102</v>
      </c>
      <c r="Z38" s="48">
        <v>-1.2533333333333334E-2</v>
      </c>
      <c r="AM38" s="47">
        <f t="shared" si="17"/>
        <v>-1.2533333333333334E-2</v>
      </c>
    </row>
    <row r="39" spans="1:39" x14ac:dyDescent="0.25">
      <c r="A39" t="s">
        <v>52</v>
      </c>
      <c r="B39" t="s">
        <v>53</v>
      </c>
      <c r="C39" s="1">
        <v>40196</v>
      </c>
      <c r="D39">
        <v>5274.85</v>
      </c>
      <c r="E39" s="1">
        <v>40199</v>
      </c>
      <c r="F39">
        <v>5094.1499999999996</v>
      </c>
      <c r="G39" s="2">
        <v>-3.4299999999999997E-2</v>
      </c>
      <c r="H39" s="40">
        <f t="shared" si="18"/>
        <v>3</v>
      </c>
      <c r="I39" s="4">
        <f t="shared" si="19"/>
        <v>1.5E-3</v>
      </c>
      <c r="J39" s="4">
        <f t="shared" si="20"/>
        <v>5.0000000000000001E-4</v>
      </c>
      <c r="K39" s="4">
        <f t="shared" si="21"/>
        <v>-3.6299999999999999E-2</v>
      </c>
      <c r="L39">
        <f t="shared" si="22"/>
        <v>138.29054012960225</v>
      </c>
      <c r="M39">
        <f t="shared" si="23"/>
        <v>144.14602289304202</v>
      </c>
      <c r="N39">
        <f t="shared" si="24"/>
        <v>-5.8554827634397668</v>
      </c>
      <c r="O39" s="39">
        <f t="shared" si="25"/>
        <v>-4.0621882213043102E-2</v>
      </c>
      <c r="Q39">
        <f t="shared" si="26"/>
        <v>128.54158412438338</v>
      </c>
      <c r="R39">
        <f t="shared" si="27"/>
        <v>137.17259924035488</v>
      </c>
      <c r="S39">
        <f t="shared" si="28"/>
        <v>-8.6310151159715076</v>
      </c>
      <c r="T39" s="39">
        <f t="shared" si="29"/>
        <v>-6.2920839612058216E-2</v>
      </c>
      <c r="U39">
        <f t="shared" si="30"/>
        <v>2010</v>
      </c>
      <c r="V39">
        <f t="shared" si="31"/>
        <v>2010</v>
      </c>
      <c r="Y39" s="46" t="s">
        <v>55</v>
      </c>
      <c r="Z39" s="48">
        <v>1.1920000000000002</v>
      </c>
      <c r="AM39" s="47"/>
    </row>
    <row r="40" spans="1:39" x14ac:dyDescent="0.25">
      <c r="A40" t="s">
        <v>52</v>
      </c>
      <c r="B40" t="s">
        <v>53</v>
      </c>
      <c r="C40" s="1">
        <v>40225</v>
      </c>
      <c r="D40">
        <v>4855.75</v>
      </c>
      <c r="E40" s="1">
        <v>40276</v>
      </c>
      <c r="F40">
        <v>5304.45</v>
      </c>
      <c r="G40" s="2">
        <v>9.2399999999999996E-2</v>
      </c>
      <c r="H40" s="40">
        <f t="shared" si="18"/>
        <v>51</v>
      </c>
      <c r="I40" s="4">
        <f t="shared" si="19"/>
        <v>1.5E-3</v>
      </c>
      <c r="J40" s="4">
        <f t="shared" si="20"/>
        <v>8.5000000000000006E-3</v>
      </c>
      <c r="K40" s="4">
        <f t="shared" si="21"/>
        <v>8.2400000000000001E-2</v>
      </c>
      <c r="L40">
        <f t="shared" si="22"/>
        <v>151.06858603757749</v>
      </c>
      <c r="M40">
        <f t="shared" si="23"/>
        <v>151.06858603757749</v>
      </c>
      <c r="N40" t="str">
        <f t="shared" si="24"/>
        <v/>
      </c>
      <c r="O40" s="39">
        <f t="shared" si="25"/>
        <v>0</v>
      </c>
      <c r="Q40">
        <f t="shared" si="26"/>
        <v>139.13341065623257</v>
      </c>
      <c r="R40">
        <f t="shared" si="27"/>
        <v>139.13341065623257</v>
      </c>
      <c r="S40" t="str">
        <f t="shared" si="28"/>
        <v/>
      </c>
      <c r="T40" s="39">
        <f t="shared" si="29"/>
        <v>0</v>
      </c>
      <c r="U40">
        <f t="shared" si="30"/>
        <v>2010</v>
      </c>
      <c r="V40">
        <f t="shared" si="31"/>
        <v>2010</v>
      </c>
    </row>
    <row r="41" spans="1:39" x14ac:dyDescent="0.25">
      <c r="A41" t="s">
        <v>52</v>
      </c>
      <c r="B41" t="s">
        <v>53</v>
      </c>
      <c r="C41" s="1">
        <v>40291</v>
      </c>
      <c r="D41">
        <v>5304.1</v>
      </c>
      <c r="E41" s="1">
        <v>40296</v>
      </c>
      <c r="F41">
        <v>5215.45</v>
      </c>
      <c r="G41" s="2">
        <v>-1.67E-2</v>
      </c>
      <c r="H41" s="40">
        <f t="shared" si="18"/>
        <v>5</v>
      </c>
      <c r="I41" s="4">
        <f t="shared" si="19"/>
        <v>1.5E-3</v>
      </c>
      <c r="J41" s="4">
        <f t="shared" si="20"/>
        <v>8.3333333333333328E-4</v>
      </c>
      <c r="K41" s="4">
        <f t="shared" si="21"/>
        <v>-1.9033333333333333E-2</v>
      </c>
      <c r="L41">
        <f t="shared" si="22"/>
        <v>148.54574065074993</v>
      </c>
      <c r="M41">
        <f t="shared" si="23"/>
        <v>151.06858603757749</v>
      </c>
      <c r="N41">
        <f t="shared" si="24"/>
        <v>-2.5228453868275551</v>
      </c>
      <c r="O41" s="39">
        <f t="shared" si="25"/>
        <v>-1.6700000000000072E-2</v>
      </c>
      <c r="Q41">
        <f t="shared" si="26"/>
        <v>136.48523807340894</v>
      </c>
      <c r="R41">
        <f t="shared" si="27"/>
        <v>139.13341065623257</v>
      </c>
      <c r="S41">
        <f t="shared" si="28"/>
        <v>-2.6481725828236335</v>
      </c>
      <c r="T41" s="39">
        <f t="shared" si="29"/>
        <v>-1.9033333333333385E-2</v>
      </c>
      <c r="U41">
        <f t="shared" si="30"/>
        <v>2010</v>
      </c>
      <c r="V41">
        <f t="shared" si="31"/>
        <v>2010</v>
      </c>
    </row>
    <row r="42" spans="1:39" x14ac:dyDescent="0.25">
      <c r="A42" t="s">
        <v>52</v>
      </c>
      <c r="B42" t="s">
        <v>53</v>
      </c>
      <c r="C42" s="1">
        <v>40308</v>
      </c>
      <c r="D42">
        <v>5193.6000000000004</v>
      </c>
      <c r="E42" s="1">
        <v>40315</v>
      </c>
      <c r="F42">
        <v>5059.8999999999996</v>
      </c>
      <c r="G42" s="2">
        <v>-2.5700000000000001E-2</v>
      </c>
      <c r="H42" s="40">
        <f t="shared" si="18"/>
        <v>7</v>
      </c>
      <c r="I42" s="4">
        <f t="shared" si="19"/>
        <v>1.5E-3</v>
      </c>
      <c r="J42" s="4">
        <f t="shared" si="20"/>
        <v>1.1666666666666668E-3</v>
      </c>
      <c r="K42" s="4">
        <f t="shared" si="21"/>
        <v>-2.8366666666666669E-2</v>
      </c>
      <c r="L42">
        <f t="shared" si="22"/>
        <v>144.72811511602566</v>
      </c>
      <c r="M42">
        <f t="shared" si="23"/>
        <v>151.06858603757749</v>
      </c>
      <c r="N42">
        <f t="shared" si="24"/>
        <v>-6.3404709215518267</v>
      </c>
      <c r="O42" s="39">
        <f t="shared" si="25"/>
        <v>-4.197081000000006E-2</v>
      </c>
      <c r="Q42">
        <f t="shared" si="26"/>
        <v>132.61360682005991</v>
      </c>
      <c r="R42">
        <f t="shared" si="27"/>
        <v>139.13341065623257</v>
      </c>
      <c r="S42">
        <f t="shared" si="28"/>
        <v>-6.519803836172656</v>
      </c>
      <c r="T42" s="39">
        <f t="shared" si="29"/>
        <v>-4.6860087777777747E-2</v>
      </c>
      <c r="U42">
        <f t="shared" si="30"/>
        <v>2010</v>
      </c>
      <c r="V42">
        <f t="shared" si="31"/>
        <v>2010</v>
      </c>
    </row>
    <row r="43" spans="1:39" x14ac:dyDescent="0.25">
      <c r="A43" t="s">
        <v>52</v>
      </c>
      <c r="B43" t="s">
        <v>53</v>
      </c>
      <c r="C43" s="1">
        <v>40325</v>
      </c>
      <c r="D43">
        <v>5003.1000000000004</v>
      </c>
      <c r="E43" s="1">
        <v>40336</v>
      </c>
      <c r="F43">
        <v>5034</v>
      </c>
      <c r="G43" s="2">
        <v>6.1999999999999998E-3</v>
      </c>
      <c r="H43" s="40">
        <f t="shared" si="18"/>
        <v>11</v>
      </c>
      <c r="I43" s="4">
        <f t="shared" si="19"/>
        <v>1.5E-3</v>
      </c>
      <c r="J43" s="4">
        <f t="shared" si="20"/>
        <v>1.8333333333333333E-3</v>
      </c>
      <c r="K43" s="4">
        <f t="shared" si="21"/>
        <v>2.8666666666666667E-3</v>
      </c>
      <c r="L43">
        <f t="shared" si="22"/>
        <v>145.62542942974503</v>
      </c>
      <c r="M43">
        <f t="shared" si="23"/>
        <v>151.06858603757749</v>
      </c>
      <c r="N43">
        <f t="shared" si="24"/>
        <v>-5.4431566078324636</v>
      </c>
      <c r="O43" s="39">
        <f t="shared" si="25"/>
        <v>-3.6031029022000033E-2</v>
      </c>
      <c r="Q43">
        <f t="shared" si="26"/>
        <v>132.99376582627741</v>
      </c>
      <c r="R43">
        <f t="shared" si="27"/>
        <v>139.13341065623257</v>
      </c>
      <c r="S43">
        <f t="shared" si="28"/>
        <v>-6.1396448299551594</v>
      </c>
      <c r="T43" s="39">
        <f t="shared" si="29"/>
        <v>-4.4127753362740774E-2</v>
      </c>
      <c r="U43">
        <f t="shared" si="30"/>
        <v>2010</v>
      </c>
      <c r="V43">
        <f t="shared" si="31"/>
        <v>2010</v>
      </c>
    </row>
    <row r="44" spans="1:39" x14ac:dyDescent="0.25">
      <c r="A44" t="s">
        <v>52</v>
      </c>
      <c r="B44" t="s">
        <v>53</v>
      </c>
      <c r="C44" s="1">
        <v>40340</v>
      </c>
      <c r="D44">
        <v>5119.3500000000004</v>
      </c>
      <c r="E44" s="1">
        <v>40358</v>
      </c>
      <c r="F44">
        <v>5256.15</v>
      </c>
      <c r="G44" s="2">
        <v>2.6700000000000002E-2</v>
      </c>
      <c r="H44" s="40">
        <f t="shared" si="18"/>
        <v>18</v>
      </c>
      <c r="I44" s="4">
        <f t="shared" si="19"/>
        <v>1.5E-3</v>
      </c>
      <c r="J44" s="4">
        <f t="shared" si="20"/>
        <v>3.0000000000000001E-3</v>
      </c>
      <c r="K44" s="4">
        <f t="shared" si="21"/>
        <v>2.2200000000000001E-2</v>
      </c>
      <c r="L44">
        <f t="shared" si="22"/>
        <v>149.51362839551922</v>
      </c>
      <c r="M44">
        <f t="shared" si="23"/>
        <v>151.06858603757749</v>
      </c>
      <c r="N44">
        <f t="shared" si="24"/>
        <v>-1.5549576420582696</v>
      </c>
      <c r="O44" s="39">
        <f t="shared" si="25"/>
        <v>-1.0293057496887423E-2</v>
      </c>
      <c r="Q44">
        <f t="shared" si="26"/>
        <v>135.94622742762076</v>
      </c>
      <c r="R44">
        <f t="shared" si="27"/>
        <v>139.13341065623257</v>
      </c>
      <c r="S44">
        <f t="shared" si="28"/>
        <v>-3.1871832286118149</v>
      </c>
      <c r="T44" s="39">
        <f t="shared" si="29"/>
        <v>-2.2907389487393716E-2</v>
      </c>
      <c r="U44">
        <f t="shared" si="30"/>
        <v>2010</v>
      </c>
      <c r="V44">
        <f t="shared" si="31"/>
        <v>2010</v>
      </c>
    </row>
    <row r="45" spans="1:39" x14ac:dyDescent="0.25">
      <c r="A45" t="s">
        <v>52</v>
      </c>
      <c r="B45" t="s">
        <v>53</v>
      </c>
      <c r="C45" s="1">
        <v>40368</v>
      </c>
      <c r="D45">
        <v>5352.45</v>
      </c>
      <c r="E45" s="1">
        <v>40387</v>
      </c>
      <c r="F45">
        <v>5397.55</v>
      </c>
      <c r="G45" s="2">
        <v>8.3999999999999995E-3</v>
      </c>
      <c r="H45" s="40">
        <f t="shared" si="18"/>
        <v>19</v>
      </c>
      <c r="I45" s="4">
        <f t="shared" si="19"/>
        <v>1.5E-3</v>
      </c>
      <c r="J45" s="4">
        <f t="shared" si="20"/>
        <v>3.1666666666666666E-3</v>
      </c>
      <c r="K45" s="4">
        <f t="shared" si="21"/>
        <v>3.7333333333333333E-3</v>
      </c>
      <c r="L45">
        <f t="shared" si="22"/>
        <v>150.76954287404158</v>
      </c>
      <c r="M45">
        <f t="shared" si="23"/>
        <v>151.06858603757749</v>
      </c>
      <c r="N45">
        <f t="shared" si="24"/>
        <v>-0.29904316353591298</v>
      </c>
      <c r="O45" s="39">
        <f t="shared" si="25"/>
        <v>-1.9795191798613089E-3</v>
      </c>
      <c r="Q45">
        <f t="shared" si="26"/>
        <v>136.45376001001722</v>
      </c>
      <c r="R45">
        <f t="shared" si="27"/>
        <v>139.13341065623257</v>
      </c>
      <c r="S45">
        <f t="shared" si="28"/>
        <v>-2.6796506462153502</v>
      </c>
      <c r="T45" s="39">
        <f t="shared" si="29"/>
        <v>-1.9259577074813222E-2</v>
      </c>
      <c r="U45">
        <f t="shared" si="30"/>
        <v>2010</v>
      </c>
      <c r="V45">
        <f t="shared" si="31"/>
        <v>2010</v>
      </c>
    </row>
    <row r="46" spans="1:39" x14ac:dyDescent="0.25">
      <c r="A46" t="s">
        <v>52</v>
      </c>
      <c r="B46" t="s">
        <v>53</v>
      </c>
      <c r="C46" s="1">
        <v>40393</v>
      </c>
      <c r="D46">
        <v>5439.55</v>
      </c>
      <c r="E46" s="1">
        <v>40402</v>
      </c>
      <c r="F46">
        <v>5416.45</v>
      </c>
      <c r="G46" s="2">
        <v>-4.1999999999999997E-3</v>
      </c>
      <c r="H46" s="40">
        <f t="shared" si="18"/>
        <v>9</v>
      </c>
      <c r="I46" s="4">
        <f t="shared" si="19"/>
        <v>1.5E-3</v>
      </c>
      <c r="J46" s="4">
        <f t="shared" si="20"/>
        <v>1.5E-3</v>
      </c>
      <c r="K46" s="4">
        <f t="shared" si="21"/>
        <v>-7.1999999999999998E-3</v>
      </c>
      <c r="L46">
        <f t="shared" si="22"/>
        <v>150.13631079397061</v>
      </c>
      <c r="M46">
        <f t="shared" si="23"/>
        <v>151.06858603757749</v>
      </c>
      <c r="N46">
        <f t="shared" si="24"/>
        <v>-0.93227524360688108</v>
      </c>
      <c r="O46" s="39">
        <f t="shared" si="25"/>
        <v>-6.1712051993058487E-3</v>
      </c>
      <c r="Q46">
        <f t="shared" si="26"/>
        <v>135.47129293794509</v>
      </c>
      <c r="R46">
        <f t="shared" si="27"/>
        <v>139.13341065623257</v>
      </c>
      <c r="S46">
        <f t="shared" si="28"/>
        <v>-3.662117718287476</v>
      </c>
      <c r="T46" s="39">
        <f t="shared" si="29"/>
        <v>-2.632090811987458E-2</v>
      </c>
      <c r="U46">
        <f t="shared" si="30"/>
        <v>2010</v>
      </c>
      <c r="V46">
        <f t="shared" si="31"/>
        <v>2010</v>
      </c>
    </row>
    <row r="47" spans="1:39" x14ac:dyDescent="0.25">
      <c r="A47" t="s">
        <v>52</v>
      </c>
      <c r="B47" t="s">
        <v>53</v>
      </c>
      <c r="C47" s="1">
        <v>40408</v>
      </c>
      <c r="D47">
        <v>5479.15</v>
      </c>
      <c r="E47" s="1">
        <v>40415</v>
      </c>
      <c r="F47">
        <v>5462.35</v>
      </c>
      <c r="G47" s="2">
        <v>-3.0999999999999999E-3</v>
      </c>
      <c r="H47" s="40">
        <f t="shared" si="18"/>
        <v>7</v>
      </c>
      <c r="I47" s="4">
        <f t="shared" si="19"/>
        <v>1.5E-3</v>
      </c>
      <c r="J47" s="4">
        <f t="shared" si="20"/>
        <v>1.1666666666666668E-3</v>
      </c>
      <c r="K47" s="4">
        <f t="shared" si="21"/>
        <v>-5.7666666666666665E-3</v>
      </c>
      <c r="L47">
        <f t="shared" si="22"/>
        <v>149.67088823050929</v>
      </c>
      <c r="M47">
        <f t="shared" si="23"/>
        <v>151.06858603757749</v>
      </c>
      <c r="N47">
        <f t="shared" si="24"/>
        <v>-1.397697807068198</v>
      </c>
      <c r="O47" s="39">
        <f t="shared" si="25"/>
        <v>-9.2520744631880529E-3</v>
      </c>
      <c r="Q47">
        <f t="shared" si="26"/>
        <v>134.69007514866959</v>
      </c>
      <c r="R47">
        <f t="shared" si="27"/>
        <v>139.13341065623257</v>
      </c>
      <c r="S47">
        <f t="shared" si="28"/>
        <v>-4.4433355075629777</v>
      </c>
      <c r="T47" s="39">
        <f t="shared" si="29"/>
        <v>-3.1935790883050097E-2</v>
      </c>
      <c r="U47">
        <f t="shared" si="30"/>
        <v>2010</v>
      </c>
      <c r="V47">
        <f t="shared" si="31"/>
        <v>2010</v>
      </c>
    </row>
    <row r="48" spans="1:39" x14ac:dyDescent="0.25">
      <c r="A48" t="s">
        <v>52</v>
      </c>
      <c r="B48" t="s">
        <v>53</v>
      </c>
      <c r="C48" s="1">
        <v>40422</v>
      </c>
      <c r="D48">
        <v>5471.85</v>
      </c>
      <c r="E48" s="1">
        <v>40463</v>
      </c>
      <c r="F48">
        <v>6090.9</v>
      </c>
      <c r="G48" s="2">
        <v>0.11310000000000001</v>
      </c>
      <c r="H48" s="40">
        <f t="shared" si="18"/>
        <v>41</v>
      </c>
      <c r="I48" s="4">
        <f t="shared" si="19"/>
        <v>1.5E-3</v>
      </c>
      <c r="J48" s="4">
        <f t="shared" si="20"/>
        <v>6.8333333333333336E-3</v>
      </c>
      <c r="K48" s="4">
        <f t="shared" si="21"/>
        <v>0.10476666666666667</v>
      </c>
      <c r="L48">
        <f t="shared" si="22"/>
        <v>166.59866568937989</v>
      </c>
      <c r="M48">
        <f t="shared" si="23"/>
        <v>166.59866568937989</v>
      </c>
      <c r="N48" t="str">
        <f t="shared" si="24"/>
        <v/>
      </c>
      <c r="O48" s="39">
        <f t="shared" si="25"/>
        <v>0</v>
      </c>
      <c r="Q48">
        <f t="shared" si="26"/>
        <v>148.80110535507853</v>
      </c>
      <c r="R48">
        <f t="shared" si="27"/>
        <v>148.80110535507853</v>
      </c>
      <c r="S48" t="str">
        <f t="shared" si="28"/>
        <v/>
      </c>
      <c r="T48" s="39">
        <f t="shared" si="29"/>
        <v>0</v>
      </c>
      <c r="U48">
        <f t="shared" si="30"/>
        <v>2010</v>
      </c>
      <c r="V48">
        <f t="shared" si="31"/>
        <v>2010</v>
      </c>
    </row>
    <row r="49" spans="1:22" x14ac:dyDescent="0.25">
      <c r="A49" t="s">
        <v>52</v>
      </c>
      <c r="B49" t="s">
        <v>53</v>
      </c>
      <c r="C49" s="1">
        <v>40464</v>
      </c>
      <c r="D49">
        <v>6233.9</v>
      </c>
      <c r="E49" s="1">
        <v>40466</v>
      </c>
      <c r="F49">
        <v>6062.65</v>
      </c>
      <c r="G49" s="2">
        <v>-2.75E-2</v>
      </c>
      <c r="H49" s="40">
        <f t="shared" si="18"/>
        <v>2</v>
      </c>
      <c r="I49" s="4">
        <f t="shared" si="19"/>
        <v>1.5E-3</v>
      </c>
      <c r="J49" s="4">
        <f t="shared" si="20"/>
        <v>3.3333333333333332E-4</v>
      </c>
      <c r="K49" s="4">
        <f t="shared" si="21"/>
        <v>-2.9333333333333333E-2</v>
      </c>
      <c r="L49">
        <f t="shared" si="22"/>
        <v>162.01720238292194</v>
      </c>
      <c r="M49">
        <f t="shared" si="23"/>
        <v>166.59866568937989</v>
      </c>
      <c r="N49">
        <f t="shared" si="24"/>
        <v>-4.5814633064579482</v>
      </c>
      <c r="O49" s="39">
        <f t="shared" si="25"/>
        <v>-2.7500000000000007E-2</v>
      </c>
      <c r="Q49">
        <f t="shared" si="26"/>
        <v>144.43627293132957</v>
      </c>
      <c r="R49">
        <f t="shared" si="27"/>
        <v>148.80110535507853</v>
      </c>
      <c r="S49">
        <f t="shared" si="28"/>
        <v>-4.3648324237489646</v>
      </c>
      <c r="T49" s="39">
        <f t="shared" si="29"/>
        <v>-2.9333333333333295E-2</v>
      </c>
      <c r="U49">
        <f t="shared" si="30"/>
        <v>2010</v>
      </c>
      <c r="V49">
        <f t="shared" si="31"/>
        <v>2010</v>
      </c>
    </row>
    <row r="50" spans="1:22" x14ac:dyDescent="0.25">
      <c r="A50" t="s">
        <v>52</v>
      </c>
      <c r="B50" t="s">
        <v>53</v>
      </c>
      <c r="C50" s="1">
        <v>40483</v>
      </c>
      <c r="D50">
        <v>6117.55</v>
      </c>
      <c r="E50" s="1">
        <v>40493</v>
      </c>
      <c r="F50">
        <v>6194.25</v>
      </c>
      <c r="G50" s="2">
        <v>1.2500000000000001E-2</v>
      </c>
      <c r="H50" s="40">
        <f t="shared" si="18"/>
        <v>10</v>
      </c>
      <c r="I50" s="4">
        <f t="shared" si="19"/>
        <v>1.5E-3</v>
      </c>
      <c r="J50" s="4">
        <f t="shared" si="20"/>
        <v>1.6666666666666666E-3</v>
      </c>
      <c r="K50" s="4">
        <f t="shared" si="21"/>
        <v>9.3333333333333341E-3</v>
      </c>
      <c r="L50">
        <f t="shared" si="22"/>
        <v>164.04241741270846</v>
      </c>
      <c r="M50">
        <f t="shared" si="23"/>
        <v>166.59866568937989</v>
      </c>
      <c r="N50">
        <f t="shared" si="24"/>
        <v>-2.5562482766714254</v>
      </c>
      <c r="O50" s="39">
        <f t="shared" si="25"/>
        <v>-1.5343750000000017E-2</v>
      </c>
      <c r="Q50">
        <f t="shared" si="26"/>
        <v>145.784344812022</v>
      </c>
      <c r="R50">
        <f t="shared" si="27"/>
        <v>148.80110535507853</v>
      </c>
      <c r="S50">
        <f t="shared" si="28"/>
        <v>-3.0167605430565345</v>
      </c>
      <c r="T50" s="39">
        <f t="shared" si="29"/>
        <v>-2.0273777777777599E-2</v>
      </c>
      <c r="U50">
        <f t="shared" si="30"/>
        <v>2010</v>
      </c>
      <c r="V50">
        <f t="shared" si="31"/>
        <v>2010</v>
      </c>
    </row>
    <row r="51" spans="1:22" x14ac:dyDescent="0.25">
      <c r="A51" t="s">
        <v>52</v>
      </c>
      <c r="B51" t="s">
        <v>53</v>
      </c>
      <c r="C51" s="1">
        <v>40513</v>
      </c>
      <c r="D51">
        <v>5960.9</v>
      </c>
      <c r="E51" s="1">
        <v>40520</v>
      </c>
      <c r="F51">
        <v>5903.7</v>
      </c>
      <c r="G51" s="2">
        <v>-9.5999999999999992E-3</v>
      </c>
      <c r="H51" s="40">
        <f t="shared" si="18"/>
        <v>7</v>
      </c>
      <c r="I51" s="4">
        <f t="shared" si="19"/>
        <v>1.5E-3</v>
      </c>
      <c r="J51" s="4">
        <f t="shared" si="20"/>
        <v>1.1666666666666668E-3</v>
      </c>
      <c r="K51" s="4">
        <f t="shared" si="21"/>
        <v>-1.2266666666666665E-2</v>
      </c>
      <c r="L51">
        <f t="shared" si="22"/>
        <v>162.46761020554646</v>
      </c>
      <c r="M51">
        <f t="shared" si="23"/>
        <v>166.59866568937989</v>
      </c>
      <c r="N51">
        <f t="shared" si="24"/>
        <v>-4.1310554838334212</v>
      </c>
      <c r="O51" s="39">
        <f t="shared" si="25"/>
        <v>-2.4796449999999984E-2</v>
      </c>
      <c r="Q51">
        <f t="shared" si="26"/>
        <v>143.99605684899453</v>
      </c>
      <c r="R51">
        <f t="shared" si="27"/>
        <v>148.80110535507853</v>
      </c>
      <c r="S51">
        <f t="shared" si="28"/>
        <v>-4.805048506084006</v>
      </c>
      <c r="T51" s="39">
        <f t="shared" si="29"/>
        <v>-3.2291752770370205E-2</v>
      </c>
      <c r="U51">
        <f t="shared" si="30"/>
        <v>2010</v>
      </c>
      <c r="V51">
        <f t="shared" si="31"/>
        <v>2010</v>
      </c>
    </row>
    <row r="52" spans="1:22" x14ac:dyDescent="0.25">
      <c r="A52" t="s">
        <v>52</v>
      </c>
      <c r="B52" t="s">
        <v>53</v>
      </c>
      <c r="C52" s="1">
        <v>40526</v>
      </c>
      <c r="D52">
        <v>5944.1</v>
      </c>
      <c r="E52" s="1">
        <v>40543</v>
      </c>
      <c r="F52">
        <v>6134.5</v>
      </c>
      <c r="G52" s="2">
        <v>3.2000000000000001E-2</v>
      </c>
      <c r="H52" s="40">
        <f t="shared" si="18"/>
        <v>17</v>
      </c>
      <c r="I52" s="4">
        <f t="shared" si="19"/>
        <v>1.5E-3</v>
      </c>
      <c r="J52" s="4">
        <f t="shared" si="20"/>
        <v>2.8333333333333331E-3</v>
      </c>
      <c r="K52" s="4">
        <f t="shared" si="21"/>
        <v>2.7666666666666666E-2</v>
      </c>
      <c r="L52">
        <f t="shared" si="22"/>
        <v>167.66657373212396</v>
      </c>
      <c r="M52">
        <f t="shared" si="23"/>
        <v>167.66657373212396</v>
      </c>
      <c r="N52" t="str">
        <f t="shared" si="24"/>
        <v/>
      </c>
      <c r="O52" s="39">
        <f t="shared" si="25"/>
        <v>0</v>
      </c>
      <c r="Q52">
        <f t="shared" si="26"/>
        <v>147.97994775515005</v>
      </c>
      <c r="R52">
        <f t="shared" si="27"/>
        <v>148.80110535507853</v>
      </c>
      <c r="S52">
        <f t="shared" si="28"/>
        <v>-0.82115759992848325</v>
      </c>
      <c r="T52" s="39">
        <f t="shared" si="29"/>
        <v>-5.5184912636837306E-3</v>
      </c>
      <c r="U52">
        <f t="shared" si="30"/>
        <v>2010</v>
      </c>
      <c r="V52">
        <f t="shared" si="31"/>
        <v>2010</v>
      </c>
    </row>
    <row r="53" spans="1:22" x14ac:dyDescent="0.25">
      <c r="A53" t="s">
        <v>52</v>
      </c>
      <c r="B53" t="s">
        <v>53</v>
      </c>
      <c r="C53" s="1">
        <v>40812</v>
      </c>
      <c r="D53">
        <v>4835.3999999999996</v>
      </c>
      <c r="E53" s="1">
        <v>40819</v>
      </c>
      <c r="F53">
        <v>4849.5</v>
      </c>
      <c r="G53" s="2">
        <v>2.8999999999999998E-3</v>
      </c>
      <c r="H53" s="40">
        <f t="shared" si="18"/>
        <v>7</v>
      </c>
      <c r="I53" s="4">
        <f t="shared" si="19"/>
        <v>1.5E-3</v>
      </c>
      <c r="J53" s="4">
        <f t="shared" si="20"/>
        <v>1.1666666666666668E-3</v>
      </c>
      <c r="K53" s="4">
        <f t="shared" si="21"/>
        <v>2.3333333333333279E-4</v>
      </c>
      <c r="L53">
        <f t="shared" si="22"/>
        <v>168.1528067959471</v>
      </c>
      <c r="M53">
        <f t="shared" si="23"/>
        <v>168.1528067959471</v>
      </c>
      <c r="N53" t="str">
        <f t="shared" si="24"/>
        <v/>
      </c>
      <c r="O53" s="39">
        <f t="shared" si="25"/>
        <v>0</v>
      </c>
      <c r="Q53">
        <f t="shared" si="26"/>
        <v>148.01447640962624</v>
      </c>
      <c r="R53">
        <f t="shared" si="27"/>
        <v>148.80110535507853</v>
      </c>
      <c r="S53">
        <f t="shared" si="28"/>
        <v>-0.78662894545229278</v>
      </c>
      <c r="T53" s="39">
        <f t="shared" si="29"/>
        <v>-5.2864455783119988E-3</v>
      </c>
      <c r="U53">
        <f t="shared" si="30"/>
        <v>2011</v>
      </c>
      <c r="V53">
        <f t="shared" si="31"/>
        <v>2011</v>
      </c>
    </row>
    <row r="54" spans="1:22" x14ac:dyDescent="0.25">
      <c r="A54" t="s">
        <v>52</v>
      </c>
      <c r="B54" t="s">
        <v>53</v>
      </c>
      <c r="C54" s="1">
        <v>40826</v>
      </c>
      <c r="D54">
        <v>4979.6000000000004</v>
      </c>
      <c r="E54" s="1">
        <v>40856</v>
      </c>
      <c r="F54">
        <v>5221.05</v>
      </c>
      <c r="G54" s="2">
        <v>4.8500000000000001E-2</v>
      </c>
      <c r="H54" s="40">
        <f t="shared" si="18"/>
        <v>30</v>
      </c>
      <c r="I54" s="4">
        <f t="shared" si="19"/>
        <v>1.5E-3</v>
      </c>
      <c r="J54" s="4">
        <f t="shared" si="20"/>
        <v>5.0000000000000001E-3</v>
      </c>
      <c r="K54" s="4">
        <f t="shared" si="21"/>
        <v>4.2000000000000003E-2</v>
      </c>
      <c r="L54">
        <f t="shared" si="22"/>
        <v>176.30821792555054</v>
      </c>
      <c r="M54">
        <f t="shared" si="23"/>
        <v>176.30821792555054</v>
      </c>
      <c r="N54" t="str">
        <f t="shared" si="24"/>
        <v/>
      </c>
      <c r="O54" s="39">
        <f t="shared" si="25"/>
        <v>0</v>
      </c>
      <c r="Q54">
        <f t="shared" si="26"/>
        <v>154.23108441883056</v>
      </c>
      <c r="R54">
        <f t="shared" si="27"/>
        <v>154.23108441883056</v>
      </c>
      <c r="S54" t="str">
        <f t="shared" si="28"/>
        <v/>
      </c>
      <c r="T54" s="39">
        <f t="shared" si="29"/>
        <v>0</v>
      </c>
      <c r="U54">
        <f t="shared" si="30"/>
        <v>2011</v>
      </c>
      <c r="V54">
        <f t="shared" si="31"/>
        <v>2011</v>
      </c>
    </row>
    <row r="55" spans="1:22" x14ac:dyDescent="0.25">
      <c r="A55" t="s">
        <v>52</v>
      </c>
      <c r="B55" t="s">
        <v>53</v>
      </c>
      <c r="C55" s="1">
        <v>41053</v>
      </c>
      <c r="D55">
        <v>4921.3999999999996</v>
      </c>
      <c r="E55" s="1">
        <v>41060</v>
      </c>
      <c r="F55">
        <v>4924.25</v>
      </c>
      <c r="G55" s="2">
        <v>5.9999999999999995E-4</v>
      </c>
      <c r="H55" s="40">
        <f t="shared" si="18"/>
        <v>7</v>
      </c>
      <c r="I55" s="4">
        <f t="shared" si="19"/>
        <v>1.5E-3</v>
      </c>
      <c r="J55" s="4">
        <f t="shared" si="20"/>
        <v>1.1666666666666668E-3</v>
      </c>
      <c r="K55" s="4">
        <f t="shared" si="21"/>
        <v>-2.0666666666666672E-3</v>
      </c>
      <c r="L55">
        <f t="shared" si="22"/>
        <v>176.41400285630584</v>
      </c>
      <c r="M55">
        <f t="shared" si="23"/>
        <v>176.41400285630584</v>
      </c>
      <c r="N55" t="str">
        <f t="shared" si="24"/>
        <v/>
      </c>
      <c r="O55" s="39">
        <f t="shared" si="25"/>
        <v>0</v>
      </c>
      <c r="Q55">
        <f t="shared" si="26"/>
        <v>153.91234017769833</v>
      </c>
      <c r="R55">
        <f t="shared" si="27"/>
        <v>154.23108441883056</v>
      </c>
      <c r="S55">
        <f t="shared" si="28"/>
        <v>-0.31874424113223654</v>
      </c>
      <c r="T55" s="39">
        <f t="shared" si="29"/>
        <v>-2.0666666666665804E-3</v>
      </c>
      <c r="U55">
        <f t="shared" si="30"/>
        <v>2012</v>
      </c>
      <c r="V55">
        <f t="shared" si="31"/>
        <v>2012</v>
      </c>
    </row>
    <row r="56" spans="1:22" x14ac:dyDescent="0.25">
      <c r="A56" t="s">
        <v>52</v>
      </c>
      <c r="B56" t="s">
        <v>53</v>
      </c>
      <c r="C56" s="1">
        <v>41066</v>
      </c>
      <c r="D56">
        <v>4997.1000000000004</v>
      </c>
      <c r="E56" s="1">
        <v>41102</v>
      </c>
      <c r="F56">
        <v>5235.25</v>
      </c>
      <c r="G56" s="2">
        <v>4.7699999999999999E-2</v>
      </c>
      <c r="H56" s="40">
        <f t="shared" si="18"/>
        <v>36</v>
      </c>
      <c r="I56" s="4">
        <f t="shared" si="19"/>
        <v>1.5E-3</v>
      </c>
      <c r="J56" s="4">
        <f t="shared" si="20"/>
        <v>6.0000000000000001E-3</v>
      </c>
      <c r="K56" s="4">
        <f t="shared" si="21"/>
        <v>4.02E-2</v>
      </c>
      <c r="L56">
        <f t="shared" si="22"/>
        <v>184.82895079255164</v>
      </c>
      <c r="M56">
        <f t="shared" si="23"/>
        <v>184.82895079255164</v>
      </c>
      <c r="N56" t="str">
        <f t="shared" si="24"/>
        <v/>
      </c>
      <c r="O56" s="39">
        <f t="shared" si="25"/>
        <v>0</v>
      </c>
      <c r="Q56">
        <f t="shared" si="26"/>
        <v>160.0996162528418</v>
      </c>
      <c r="R56">
        <f t="shared" si="27"/>
        <v>160.0996162528418</v>
      </c>
      <c r="S56" t="str">
        <f t="shared" si="28"/>
        <v/>
      </c>
      <c r="T56" s="39">
        <f t="shared" si="29"/>
        <v>0</v>
      </c>
      <c r="U56">
        <f t="shared" si="30"/>
        <v>2012</v>
      </c>
      <c r="V56">
        <f t="shared" si="31"/>
        <v>2012</v>
      </c>
    </row>
    <row r="57" spans="1:22" x14ac:dyDescent="0.25">
      <c r="A57" t="s">
        <v>52</v>
      </c>
      <c r="B57" t="s">
        <v>53</v>
      </c>
      <c r="C57" s="1">
        <v>41120</v>
      </c>
      <c r="D57">
        <v>5199.8</v>
      </c>
      <c r="E57" s="1">
        <v>41148</v>
      </c>
      <c r="F57">
        <v>5350.25</v>
      </c>
      <c r="G57" s="2">
        <v>2.8899999999999999E-2</v>
      </c>
      <c r="H57" s="40">
        <f t="shared" si="18"/>
        <v>28</v>
      </c>
      <c r="I57" s="4">
        <f t="shared" si="19"/>
        <v>1.5E-3</v>
      </c>
      <c r="J57" s="4">
        <f t="shared" si="20"/>
        <v>4.6666666666666671E-3</v>
      </c>
      <c r="K57" s="4">
        <f t="shared" si="21"/>
        <v>2.2733333333333331E-2</v>
      </c>
      <c r="L57">
        <f t="shared" si="22"/>
        <v>190.17050747045636</v>
      </c>
      <c r="M57">
        <f t="shared" si="23"/>
        <v>190.17050747045636</v>
      </c>
      <c r="N57" t="str">
        <f t="shared" si="24"/>
        <v/>
      </c>
      <c r="O57" s="39">
        <f t="shared" si="25"/>
        <v>0</v>
      </c>
      <c r="Q57">
        <f t="shared" si="26"/>
        <v>163.73921419565639</v>
      </c>
      <c r="R57">
        <f t="shared" si="27"/>
        <v>163.73921419565639</v>
      </c>
      <c r="S57" t="str">
        <f t="shared" si="28"/>
        <v/>
      </c>
      <c r="T57" s="39">
        <f t="shared" si="29"/>
        <v>0</v>
      </c>
      <c r="U57">
        <f t="shared" si="30"/>
        <v>2012</v>
      </c>
      <c r="V57">
        <f t="shared" si="31"/>
        <v>2012</v>
      </c>
    </row>
    <row r="58" spans="1:22" x14ac:dyDescent="0.25">
      <c r="A58" t="s">
        <v>52</v>
      </c>
      <c r="B58" t="s">
        <v>53</v>
      </c>
      <c r="C58" s="1">
        <v>41159</v>
      </c>
      <c r="D58">
        <v>5342.1</v>
      </c>
      <c r="E58" s="1">
        <v>41191</v>
      </c>
      <c r="F58">
        <v>5704.6</v>
      </c>
      <c r="G58" s="2">
        <v>6.7900000000000002E-2</v>
      </c>
      <c r="H58" s="40">
        <f t="shared" si="18"/>
        <v>32</v>
      </c>
      <c r="I58" s="4">
        <f t="shared" si="19"/>
        <v>1.5E-3</v>
      </c>
      <c r="J58" s="4">
        <f t="shared" si="20"/>
        <v>5.3333333333333332E-3</v>
      </c>
      <c r="K58" s="4">
        <f t="shared" si="21"/>
        <v>6.1066666666666672E-2</v>
      </c>
      <c r="L58">
        <f t="shared" si="22"/>
        <v>203.08308492770036</v>
      </c>
      <c r="M58">
        <f t="shared" si="23"/>
        <v>203.08308492770036</v>
      </c>
      <c r="N58" t="str">
        <f t="shared" si="24"/>
        <v/>
      </c>
      <c r="O58" s="39">
        <f t="shared" si="25"/>
        <v>0</v>
      </c>
      <c r="Q58">
        <f t="shared" si="26"/>
        <v>173.73822220920445</v>
      </c>
      <c r="R58">
        <f t="shared" si="27"/>
        <v>173.73822220920445</v>
      </c>
      <c r="S58" t="str">
        <f t="shared" si="28"/>
        <v/>
      </c>
      <c r="T58" s="39">
        <f t="shared" si="29"/>
        <v>0</v>
      </c>
      <c r="U58">
        <f t="shared" si="30"/>
        <v>2012</v>
      </c>
      <c r="V58">
        <f t="shared" si="31"/>
        <v>2012</v>
      </c>
    </row>
    <row r="59" spans="1:22" x14ac:dyDescent="0.25">
      <c r="A59" t="s">
        <v>52</v>
      </c>
      <c r="B59" t="s">
        <v>53</v>
      </c>
      <c r="C59" s="1">
        <v>41215</v>
      </c>
      <c r="D59">
        <v>5697.7</v>
      </c>
      <c r="E59" s="1">
        <v>41222</v>
      </c>
      <c r="F59">
        <v>5686.25</v>
      </c>
      <c r="G59" s="2">
        <v>-2E-3</v>
      </c>
      <c r="H59" s="40">
        <f t="shared" si="18"/>
        <v>7</v>
      </c>
      <c r="I59" s="4">
        <f t="shared" si="19"/>
        <v>1.5E-3</v>
      </c>
      <c r="J59" s="4">
        <f t="shared" si="20"/>
        <v>1.1666666666666668E-3</v>
      </c>
      <c r="K59" s="4">
        <f t="shared" si="21"/>
        <v>-4.6666666666666671E-3</v>
      </c>
      <c r="L59">
        <f t="shared" si="22"/>
        <v>202.67691875784496</v>
      </c>
      <c r="M59">
        <f t="shared" si="23"/>
        <v>203.08308492770036</v>
      </c>
      <c r="N59">
        <f t="shared" si="24"/>
        <v>-0.40616616985539622</v>
      </c>
      <c r="O59" s="39">
        <f t="shared" si="25"/>
        <v>-1.9999999999999779E-3</v>
      </c>
      <c r="Q59">
        <f t="shared" si="26"/>
        <v>172.92744383889482</v>
      </c>
      <c r="R59">
        <f t="shared" si="27"/>
        <v>173.73822220920445</v>
      </c>
      <c r="S59">
        <f t="shared" si="28"/>
        <v>-0.81077837030963451</v>
      </c>
      <c r="T59" s="39">
        <f t="shared" si="29"/>
        <v>-4.666666666666746E-3</v>
      </c>
      <c r="U59">
        <f t="shared" si="30"/>
        <v>2012</v>
      </c>
      <c r="V59">
        <f t="shared" si="31"/>
        <v>2012</v>
      </c>
    </row>
    <row r="60" spans="1:22" x14ac:dyDescent="0.25">
      <c r="A60" t="s">
        <v>52</v>
      </c>
      <c r="B60" t="s">
        <v>53</v>
      </c>
      <c r="C60" s="1">
        <v>41239</v>
      </c>
      <c r="D60">
        <v>5635.9</v>
      </c>
      <c r="E60" s="1">
        <v>41256</v>
      </c>
      <c r="F60">
        <v>5851.5</v>
      </c>
      <c r="G60" s="2">
        <v>3.8300000000000001E-2</v>
      </c>
      <c r="H60" s="40">
        <f t="shared" si="18"/>
        <v>17</v>
      </c>
      <c r="I60" s="4">
        <f t="shared" si="19"/>
        <v>1.5E-3</v>
      </c>
      <c r="J60" s="4">
        <f t="shared" si="20"/>
        <v>2.8333333333333331E-3</v>
      </c>
      <c r="K60" s="4">
        <f t="shared" si="21"/>
        <v>3.3966666666666666E-2</v>
      </c>
      <c r="L60">
        <f t="shared" si="22"/>
        <v>210.43944474627042</v>
      </c>
      <c r="M60">
        <f t="shared" si="23"/>
        <v>210.43944474627042</v>
      </c>
      <c r="N60" t="str">
        <f t="shared" si="24"/>
        <v/>
      </c>
      <c r="O60" s="39">
        <f t="shared" si="25"/>
        <v>0</v>
      </c>
      <c r="Q60">
        <f t="shared" si="26"/>
        <v>178.80121268128929</v>
      </c>
      <c r="R60">
        <f t="shared" si="27"/>
        <v>178.80121268128929</v>
      </c>
      <c r="S60" t="str">
        <f t="shared" si="28"/>
        <v/>
      </c>
      <c r="T60" s="39">
        <f t="shared" si="29"/>
        <v>0</v>
      </c>
      <c r="U60">
        <f t="shared" si="30"/>
        <v>2012</v>
      </c>
      <c r="V60">
        <f t="shared" si="31"/>
        <v>2012</v>
      </c>
    </row>
    <row r="61" spans="1:22" x14ac:dyDescent="0.25">
      <c r="A61" t="s">
        <v>52</v>
      </c>
      <c r="B61" t="s">
        <v>53</v>
      </c>
      <c r="C61" s="1">
        <v>41262</v>
      </c>
      <c r="D61">
        <v>5929.6</v>
      </c>
      <c r="E61" s="1">
        <v>41264</v>
      </c>
      <c r="F61">
        <v>5847.7</v>
      </c>
      <c r="G61" s="2">
        <v>-1.38E-2</v>
      </c>
      <c r="H61" s="40">
        <f t="shared" si="18"/>
        <v>2</v>
      </c>
      <c r="I61" s="4">
        <f t="shared" si="19"/>
        <v>1.5E-3</v>
      </c>
      <c r="J61" s="4">
        <f t="shared" si="20"/>
        <v>3.3333333333333332E-4</v>
      </c>
      <c r="K61" s="4">
        <f t="shared" si="21"/>
        <v>-1.5633333333333332E-2</v>
      </c>
      <c r="L61">
        <f t="shared" si="22"/>
        <v>207.53538040877189</v>
      </c>
      <c r="M61">
        <f t="shared" si="23"/>
        <v>210.43944474627042</v>
      </c>
      <c r="N61">
        <f t="shared" si="24"/>
        <v>-2.9040643374985393</v>
      </c>
      <c r="O61" s="39">
        <f t="shared" si="25"/>
        <v>-1.3800000000000036E-2</v>
      </c>
      <c r="Q61">
        <f t="shared" si="26"/>
        <v>176.00595372303846</v>
      </c>
      <c r="R61">
        <f t="shared" si="27"/>
        <v>178.80121268128929</v>
      </c>
      <c r="S61">
        <f t="shared" si="28"/>
        <v>-2.7952589582508267</v>
      </c>
      <c r="T61" s="39">
        <f t="shared" si="29"/>
        <v>-1.5633333333333357E-2</v>
      </c>
      <c r="U61">
        <f t="shared" si="30"/>
        <v>2012</v>
      </c>
      <c r="V61">
        <f t="shared" si="31"/>
        <v>2012</v>
      </c>
    </row>
    <row r="62" spans="1:22" x14ac:dyDescent="0.25">
      <c r="A62" t="s">
        <v>52</v>
      </c>
      <c r="B62" t="s">
        <v>53</v>
      </c>
      <c r="C62" s="1">
        <v>41275</v>
      </c>
      <c r="D62">
        <v>5950.85</v>
      </c>
      <c r="E62" s="1">
        <v>41285</v>
      </c>
      <c r="F62">
        <v>5951.3</v>
      </c>
      <c r="G62" s="2">
        <v>1E-4</v>
      </c>
      <c r="H62" s="40">
        <f t="shared" si="18"/>
        <v>10</v>
      </c>
      <c r="I62" s="4">
        <f t="shared" si="19"/>
        <v>1.5E-3</v>
      </c>
      <c r="J62" s="4">
        <f t="shared" si="20"/>
        <v>1.6666666666666666E-3</v>
      </c>
      <c r="K62" s="4">
        <f t="shared" si="21"/>
        <v>-3.0666666666666668E-3</v>
      </c>
      <c r="L62">
        <f t="shared" si="22"/>
        <v>207.55613394681276</v>
      </c>
      <c r="M62">
        <f t="shared" si="23"/>
        <v>210.43944474627042</v>
      </c>
      <c r="N62">
        <f t="shared" si="24"/>
        <v>-2.8833107994576608</v>
      </c>
      <c r="O62" s="39">
        <f t="shared" si="25"/>
        <v>-1.3701380000000029E-2</v>
      </c>
      <c r="Q62">
        <f t="shared" si="26"/>
        <v>175.46620213162115</v>
      </c>
      <c r="R62">
        <f t="shared" si="27"/>
        <v>178.80121268128929</v>
      </c>
      <c r="S62">
        <f t="shared" si="28"/>
        <v>-3.3350105496681408</v>
      </c>
      <c r="T62" s="39">
        <f t="shared" si="29"/>
        <v>-1.8652057777777779E-2</v>
      </c>
      <c r="U62">
        <f t="shared" si="30"/>
        <v>2013</v>
      </c>
      <c r="V62">
        <f t="shared" si="31"/>
        <v>2013</v>
      </c>
    </row>
    <row r="63" spans="1:22" x14ac:dyDescent="0.25">
      <c r="A63" t="s">
        <v>52</v>
      </c>
      <c r="B63" t="s">
        <v>53</v>
      </c>
      <c r="C63" s="1">
        <v>41289</v>
      </c>
      <c r="D63">
        <v>6056.6</v>
      </c>
      <c r="E63" s="1">
        <v>41298</v>
      </c>
      <c r="F63">
        <v>6019.35</v>
      </c>
      <c r="G63" s="2">
        <v>-6.1999999999999998E-3</v>
      </c>
      <c r="H63" s="40">
        <f t="shared" si="18"/>
        <v>9</v>
      </c>
      <c r="I63" s="4">
        <f t="shared" si="19"/>
        <v>1.5E-3</v>
      </c>
      <c r="J63" s="4">
        <f t="shared" si="20"/>
        <v>1.5E-3</v>
      </c>
      <c r="K63" s="4">
        <f t="shared" si="21"/>
        <v>-9.1999999999999998E-3</v>
      </c>
      <c r="L63">
        <f t="shared" si="22"/>
        <v>206.26928591634254</v>
      </c>
      <c r="M63">
        <f t="shared" si="23"/>
        <v>210.43944474627042</v>
      </c>
      <c r="N63">
        <f t="shared" si="24"/>
        <v>-4.1701588299278853</v>
      </c>
      <c r="O63" s="39">
        <f t="shared" si="25"/>
        <v>-1.9816431443999961E-2</v>
      </c>
      <c r="Q63">
        <f t="shared" si="26"/>
        <v>173.85191307201023</v>
      </c>
      <c r="R63">
        <f t="shared" si="27"/>
        <v>178.80121268128929</v>
      </c>
      <c r="S63">
        <f t="shared" si="28"/>
        <v>-4.949299609279052</v>
      </c>
      <c r="T63" s="39">
        <f t="shared" si="29"/>
        <v>-2.7680458846222205E-2</v>
      </c>
      <c r="U63">
        <f t="shared" si="30"/>
        <v>2013</v>
      </c>
      <c r="V63">
        <f t="shared" si="31"/>
        <v>2013</v>
      </c>
    </row>
    <row r="64" spans="1:22" x14ac:dyDescent="0.25">
      <c r="A64" t="s">
        <v>52</v>
      </c>
      <c r="B64" t="s">
        <v>53</v>
      </c>
      <c r="C64" s="1">
        <v>41324</v>
      </c>
      <c r="D64">
        <v>5939.7</v>
      </c>
      <c r="E64" s="1">
        <v>41326</v>
      </c>
      <c r="F64">
        <v>5852.25</v>
      </c>
      <c r="G64" s="2">
        <v>-1.47E-2</v>
      </c>
      <c r="H64" s="40">
        <f t="shared" si="18"/>
        <v>2</v>
      </c>
      <c r="I64" s="4">
        <f t="shared" si="19"/>
        <v>1.5E-3</v>
      </c>
      <c r="J64" s="4">
        <f t="shared" si="20"/>
        <v>3.3333333333333332E-4</v>
      </c>
      <c r="K64" s="4">
        <f t="shared" si="21"/>
        <v>-1.6533333333333334E-2</v>
      </c>
      <c r="L64">
        <f t="shared" si="22"/>
        <v>203.23712741337229</v>
      </c>
      <c r="M64">
        <f t="shared" si="23"/>
        <v>210.43944474627042</v>
      </c>
      <c r="N64">
        <f t="shared" si="24"/>
        <v>-7.2023173328981329</v>
      </c>
      <c r="O64" s="39">
        <f t="shared" si="25"/>
        <v>-3.4225129901773219E-2</v>
      </c>
      <c r="Q64">
        <f t="shared" si="26"/>
        <v>170.977561442553</v>
      </c>
      <c r="R64">
        <f t="shared" si="27"/>
        <v>178.80121268128929</v>
      </c>
      <c r="S64">
        <f t="shared" si="28"/>
        <v>-7.8236512387362893</v>
      </c>
      <c r="T64" s="39">
        <f t="shared" si="29"/>
        <v>-4.375614192663134E-2</v>
      </c>
      <c r="U64">
        <f t="shared" si="30"/>
        <v>2013</v>
      </c>
      <c r="V64">
        <f t="shared" si="31"/>
        <v>2013</v>
      </c>
    </row>
    <row r="65" spans="1:22" x14ac:dyDescent="0.25">
      <c r="A65" t="s">
        <v>52</v>
      </c>
      <c r="B65" t="s">
        <v>53</v>
      </c>
      <c r="C65" s="1">
        <v>41509</v>
      </c>
      <c r="D65">
        <v>5471.75</v>
      </c>
      <c r="E65" s="1">
        <v>41513</v>
      </c>
      <c r="F65">
        <v>5287.45</v>
      </c>
      <c r="G65" s="2">
        <v>-3.3700000000000001E-2</v>
      </c>
      <c r="H65" s="40">
        <f t="shared" si="18"/>
        <v>4</v>
      </c>
      <c r="I65" s="4">
        <f t="shared" si="19"/>
        <v>1.5E-3</v>
      </c>
      <c r="J65" s="4">
        <f t="shared" si="20"/>
        <v>6.6666666666666664E-4</v>
      </c>
      <c r="K65" s="4">
        <f t="shared" si="21"/>
        <v>-3.5866666666666665E-2</v>
      </c>
      <c r="L65">
        <f t="shared" si="22"/>
        <v>196.38803621954165</v>
      </c>
      <c r="M65">
        <f t="shared" si="23"/>
        <v>210.43944474627042</v>
      </c>
      <c r="N65">
        <f t="shared" si="24"/>
        <v>-14.051408526728778</v>
      </c>
      <c r="O65" s="39">
        <f t="shared" si="25"/>
        <v>-6.6771743024083452E-2</v>
      </c>
      <c r="Q65">
        <f t="shared" si="26"/>
        <v>164.84516623881342</v>
      </c>
      <c r="R65">
        <f t="shared" si="27"/>
        <v>178.80121268128929</v>
      </c>
      <c r="S65">
        <f t="shared" si="28"/>
        <v>-13.956046442475866</v>
      </c>
      <c r="T65" s="39">
        <f t="shared" si="29"/>
        <v>-7.8053421636196219E-2</v>
      </c>
      <c r="U65">
        <f t="shared" si="30"/>
        <v>2013</v>
      </c>
      <c r="V65">
        <f t="shared" si="31"/>
        <v>2013</v>
      </c>
    </row>
    <row r="66" spans="1:22" x14ac:dyDescent="0.25">
      <c r="A66" t="s">
        <v>52</v>
      </c>
      <c r="B66" t="s">
        <v>53</v>
      </c>
      <c r="C66" s="1">
        <v>41515</v>
      </c>
      <c r="D66">
        <v>5409.05</v>
      </c>
      <c r="E66" s="1">
        <v>41520</v>
      </c>
      <c r="F66">
        <v>5341.45</v>
      </c>
      <c r="G66" s="2">
        <v>-1.2500000000000001E-2</v>
      </c>
      <c r="H66" s="40">
        <f t="shared" si="18"/>
        <v>5</v>
      </c>
      <c r="I66" s="4">
        <f t="shared" si="19"/>
        <v>1.5E-3</v>
      </c>
      <c r="J66" s="4">
        <f t="shared" si="20"/>
        <v>8.3333333333333328E-4</v>
      </c>
      <c r="K66" s="4">
        <f t="shared" si="21"/>
        <v>-1.4833333333333334E-2</v>
      </c>
      <c r="L66">
        <f t="shared" si="22"/>
        <v>193.93318576679738</v>
      </c>
      <c r="M66">
        <f t="shared" si="23"/>
        <v>210.43944474627042</v>
      </c>
      <c r="N66">
        <f t="shared" si="24"/>
        <v>-16.506258979473046</v>
      </c>
      <c r="O66" s="39">
        <f t="shared" si="25"/>
        <v>-7.8437096236282394E-2</v>
      </c>
      <c r="Q66">
        <f t="shared" si="26"/>
        <v>162.39996293960434</v>
      </c>
      <c r="R66">
        <f t="shared" si="27"/>
        <v>178.80121268128929</v>
      </c>
      <c r="S66">
        <f t="shared" si="28"/>
        <v>-16.40124974168495</v>
      </c>
      <c r="T66" s="39">
        <f t="shared" si="29"/>
        <v>-9.1728962548592738E-2</v>
      </c>
      <c r="U66">
        <f t="shared" si="30"/>
        <v>2013</v>
      </c>
      <c r="V66">
        <f t="shared" si="31"/>
        <v>2013</v>
      </c>
    </row>
    <row r="67" spans="1:22" x14ac:dyDescent="0.25">
      <c r="A67" t="s">
        <v>52</v>
      </c>
      <c r="B67" t="s">
        <v>53</v>
      </c>
      <c r="C67" s="1">
        <v>41522</v>
      </c>
      <c r="D67">
        <v>5592.95</v>
      </c>
      <c r="E67" s="1">
        <v>41540</v>
      </c>
      <c r="F67">
        <v>5889.75</v>
      </c>
      <c r="G67" s="2">
        <v>5.3100000000000001E-2</v>
      </c>
      <c r="H67" s="40">
        <f t="shared" si="18"/>
        <v>18</v>
      </c>
      <c r="I67" s="4">
        <f t="shared" si="19"/>
        <v>1.5E-3</v>
      </c>
      <c r="J67" s="4">
        <f t="shared" si="20"/>
        <v>3.0000000000000001E-3</v>
      </c>
      <c r="K67" s="4">
        <f t="shared" si="21"/>
        <v>4.8600000000000004E-2</v>
      </c>
      <c r="L67">
        <f t="shared" si="22"/>
        <v>204.2310379310143</v>
      </c>
      <c r="M67">
        <f t="shared" si="23"/>
        <v>210.43944474627042</v>
      </c>
      <c r="N67">
        <f t="shared" si="24"/>
        <v>-6.2084068152561258</v>
      </c>
      <c r="O67" s="39">
        <f t="shared" si="25"/>
        <v>-2.9502106046429093E-2</v>
      </c>
      <c r="Q67">
        <f t="shared" si="26"/>
        <v>170.29260113846911</v>
      </c>
      <c r="R67">
        <f t="shared" si="27"/>
        <v>178.80121268128929</v>
      </c>
      <c r="S67">
        <f t="shared" si="28"/>
        <v>-8.5086115428201765</v>
      </c>
      <c r="T67" s="39">
        <f t="shared" si="29"/>
        <v>-4.7586990128454333E-2</v>
      </c>
      <c r="U67">
        <f t="shared" si="30"/>
        <v>2013</v>
      </c>
      <c r="V67">
        <f t="shared" si="31"/>
        <v>2013</v>
      </c>
    </row>
    <row r="68" spans="1:22" x14ac:dyDescent="0.25">
      <c r="A68" t="s">
        <v>52</v>
      </c>
      <c r="B68" t="s">
        <v>53</v>
      </c>
      <c r="C68" s="1">
        <v>41550</v>
      </c>
      <c r="D68">
        <v>5909.7</v>
      </c>
      <c r="E68" s="1">
        <v>41575</v>
      </c>
      <c r="F68">
        <v>6101.1</v>
      </c>
      <c r="G68" s="2">
        <v>3.2399999999999998E-2</v>
      </c>
      <c r="H68" s="40">
        <f t="shared" si="18"/>
        <v>25</v>
      </c>
      <c r="I68" s="4">
        <f t="shared" si="19"/>
        <v>1.5E-3</v>
      </c>
      <c r="J68" s="4">
        <f t="shared" si="20"/>
        <v>4.1666666666666666E-3</v>
      </c>
      <c r="K68" s="4">
        <f t="shared" si="21"/>
        <v>2.6733333333333331E-2</v>
      </c>
      <c r="L68">
        <f t="shared" si="22"/>
        <v>210.84812355997917</v>
      </c>
      <c r="M68">
        <f t="shared" si="23"/>
        <v>210.84812355997917</v>
      </c>
      <c r="N68" t="str">
        <f t="shared" si="24"/>
        <v/>
      </c>
      <c r="O68" s="39">
        <f t="shared" si="25"/>
        <v>0</v>
      </c>
      <c r="Q68">
        <f t="shared" si="26"/>
        <v>174.84509000890418</v>
      </c>
      <c r="R68">
        <f t="shared" si="27"/>
        <v>178.80121268128929</v>
      </c>
      <c r="S68">
        <f t="shared" si="28"/>
        <v>-3.9561226723851064</v>
      </c>
      <c r="T68" s="39">
        <f t="shared" si="29"/>
        <v>-2.2125815664555033E-2</v>
      </c>
      <c r="U68">
        <f t="shared" si="30"/>
        <v>2013</v>
      </c>
      <c r="V68">
        <f t="shared" si="31"/>
        <v>2013</v>
      </c>
    </row>
    <row r="69" spans="1:22" x14ac:dyDescent="0.25">
      <c r="A69" t="s">
        <v>52</v>
      </c>
      <c r="B69" t="s">
        <v>53</v>
      </c>
      <c r="C69" s="1">
        <v>41576</v>
      </c>
      <c r="D69">
        <v>6220.9</v>
      </c>
      <c r="E69" s="1">
        <v>41583</v>
      </c>
      <c r="F69">
        <v>6253.15</v>
      </c>
      <c r="G69" s="2">
        <v>5.1999999999999998E-3</v>
      </c>
      <c r="H69" s="40">
        <f t="shared" si="18"/>
        <v>7</v>
      </c>
      <c r="I69" s="4">
        <f t="shared" si="19"/>
        <v>1.5E-3</v>
      </c>
      <c r="J69" s="4">
        <f t="shared" si="20"/>
        <v>1.1666666666666668E-3</v>
      </c>
      <c r="K69" s="4">
        <f t="shared" si="21"/>
        <v>2.5333333333333328E-3</v>
      </c>
      <c r="L69">
        <f t="shared" si="22"/>
        <v>211.94453380249109</v>
      </c>
      <c r="M69">
        <f t="shared" si="23"/>
        <v>211.94453380249109</v>
      </c>
      <c r="N69" t="str">
        <f t="shared" si="24"/>
        <v/>
      </c>
      <c r="O69" s="39">
        <f t="shared" si="25"/>
        <v>0</v>
      </c>
      <c r="Q69">
        <f t="shared" si="26"/>
        <v>175.28803090359338</v>
      </c>
      <c r="R69">
        <f t="shared" si="27"/>
        <v>178.80121268128929</v>
      </c>
      <c r="S69">
        <f t="shared" si="28"/>
        <v>-3.5131817776959053</v>
      </c>
      <c r="T69" s="39">
        <f t="shared" si="29"/>
        <v>-1.9648534397572033E-2</v>
      </c>
      <c r="U69">
        <f t="shared" si="30"/>
        <v>2013</v>
      </c>
      <c r="V69">
        <f t="shared" si="31"/>
        <v>2013</v>
      </c>
    </row>
    <row r="70" spans="1:22" x14ac:dyDescent="0.25">
      <c r="A70" t="s">
        <v>52</v>
      </c>
      <c r="B70" t="s">
        <v>53</v>
      </c>
      <c r="C70" s="1">
        <v>41596</v>
      </c>
      <c r="D70">
        <v>6189</v>
      </c>
      <c r="E70" s="1">
        <v>41599</v>
      </c>
      <c r="F70">
        <v>5999.05</v>
      </c>
      <c r="G70" s="2">
        <v>-3.0700000000000002E-2</v>
      </c>
      <c r="H70" s="40">
        <f t="shared" si="18"/>
        <v>3</v>
      </c>
      <c r="I70" s="4">
        <f t="shared" si="19"/>
        <v>1.5E-3</v>
      </c>
      <c r="J70" s="4">
        <f t="shared" si="20"/>
        <v>5.0000000000000001E-4</v>
      </c>
      <c r="K70" s="4">
        <f t="shared" si="21"/>
        <v>-3.27E-2</v>
      </c>
      <c r="L70">
        <f t="shared" si="22"/>
        <v>205.43783661475462</v>
      </c>
      <c r="M70">
        <f t="shared" si="23"/>
        <v>211.94453380249109</v>
      </c>
      <c r="N70">
        <f t="shared" si="24"/>
        <v>-6.5066971877364779</v>
      </c>
      <c r="O70" s="39">
        <f t="shared" si="25"/>
        <v>-3.0700000000000005E-2</v>
      </c>
      <c r="Q70">
        <f t="shared" si="26"/>
        <v>169.55611229304589</v>
      </c>
      <c r="R70">
        <f t="shared" si="27"/>
        <v>178.80121268128929</v>
      </c>
      <c r="S70">
        <f t="shared" si="28"/>
        <v>-9.2451003882434009</v>
      </c>
      <c r="T70" s="39">
        <f t="shared" si="29"/>
        <v>-5.1706027322771381E-2</v>
      </c>
      <c r="U70">
        <f t="shared" si="30"/>
        <v>2013</v>
      </c>
      <c r="V70">
        <f t="shared" si="31"/>
        <v>2013</v>
      </c>
    </row>
    <row r="71" spans="1:22" x14ac:dyDescent="0.25">
      <c r="A71" t="s">
        <v>52</v>
      </c>
      <c r="B71" t="s">
        <v>53</v>
      </c>
      <c r="C71" s="1">
        <v>41603</v>
      </c>
      <c r="D71">
        <v>6115.35</v>
      </c>
      <c r="E71" s="1">
        <v>41620</v>
      </c>
      <c r="F71">
        <v>6237.05</v>
      </c>
      <c r="G71" s="2">
        <v>1.9900000000000001E-2</v>
      </c>
      <c r="H71" s="40">
        <f t="shared" si="18"/>
        <v>17</v>
      </c>
      <c r="I71" s="4">
        <f t="shared" si="19"/>
        <v>1.5E-3</v>
      </c>
      <c r="J71" s="4">
        <f t="shared" si="20"/>
        <v>2.8333333333333331E-3</v>
      </c>
      <c r="K71" s="4">
        <f t="shared" si="21"/>
        <v>1.5566666666666668E-2</v>
      </c>
      <c r="L71">
        <f t="shared" si="22"/>
        <v>209.52604956338823</v>
      </c>
      <c r="M71">
        <f t="shared" si="23"/>
        <v>211.94453380249109</v>
      </c>
      <c r="N71">
        <f t="shared" si="24"/>
        <v>-2.4184842391028667</v>
      </c>
      <c r="O71" s="39">
        <f t="shared" si="25"/>
        <v>-1.1410930000000033E-2</v>
      </c>
      <c r="Q71">
        <f t="shared" si="26"/>
        <v>172.19553577440763</v>
      </c>
      <c r="R71">
        <f t="shared" si="27"/>
        <v>178.80121268128929</v>
      </c>
      <c r="S71">
        <f t="shared" si="28"/>
        <v>-6.605676906881655</v>
      </c>
      <c r="T71" s="39">
        <f t="shared" si="29"/>
        <v>-3.6944251148095866E-2</v>
      </c>
      <c r="U71">
        <f t="shared" si="30"/>
        <v>2013</v>
      </c>
      <c r="V71">
        <f t="shared" si="31"/>
        <v>2013</v>
      </c>
    </row>
    <row r="72" spans="1:22" x14ac:dyDescent="0.25">
      <c r="A72" t="s">
        <v>52</v>
      </c>
      <c r="B72" t="s">
        <v>53</v>
      </c>
      <c r="C72" s="1">
        <v>41628</v>
      </c>
      <c r="D72">
        <v>6274.25</v>
      </c>
      <c r="E72" s="1">
        <v>41641</v>
      </c>
      <c r="F72">
        <v>6221.15</v>
      </c>
      <c r="G72" s="2">
        <v>-8.5000000000000006E-3</v>
      </c>
      <c r="H72" s="40">
        <f t="shared" si="18"/>
        <v>13</v>
      </c>
      <c r="I72" s="4">
        <f t="shared" si="19"/>
        <v>1.5E-3</v>
      </c>
      <c r="J72" s="4">
        <f t="shared" si="20"/>
        <v>2.166666666666667E-3</v>
      </c>
      <c r="K72" s="4">
        <f t="shared" si="21"/>
        <v>-1.2166666666666668E-2</v>
      </c>
      <c r="L72">
        <f t="shared" si="22"/>
        <v>207.74507814209943</v>
      </c>
      <c r="M72">
        <f t="shared" si="23"/>
        <v>211.94453380249109</v>
      </c>
      <c r="N72">
        <f t="shared" si="24"/>
        <v>-4.1994556603916635</v>
      </c>
      <c r="O72" s="39">
        <f t="shared" si="25"/>
        <v>-1.9813937095000018E-2</v>
      </c>
      <c r="Q72">
        <f t="shared" si="26"/>
        <v>170.10049008915234</v>
      </c>
      <c r="R72">
        <f t="shared" si="27"/>
        <v>178.80121268128929</v>
      </c>
      <c r="S72">
        <f t="shared" si="28"/>
        <v>-8.7007225921369411</v>
      </c>
      <c r="T72" s="39">
        <f t="shared" si="29"/>
        <v>-4.8661429425793996E-2</v>
      </c>
      <c r="U72">
        <f t="shared" si="30"/>
        <v>2014</v>
      </c>
      <c r="V72">
        <f t="shared" si="31"/>
        <v>2013</v>
      </c>
    </row>
    <row r="73" spans="1:22" x14ac:dyDescent="0.25">
      <c r="A73" t="s">
        <v>52</v>
      </c>
      <c r="B73" t="s">
        <v>53</v>
      </c>
      <c r="C73" s="1">
        <v>41652</v>
      </c>
      <c r="D73">
        <v>6272.75</v>
      </c>
      <c r="E73" s="1">
        <v>41663</v>
      </c>
      <c r="F73">
        <v>6266.75</v>
      </c>
      <c r="G73" s="2">
        <v>-1E-3</v>
      </c>
      <c r="H73" s="40">
        <f t="shared" si="18"/>
        <v>11</v>
      </c>
      <c r="I73" s="4">
        <f t="shared" si="19"/>
        <v>1.5E-3</v>
      </c>
      <c r="J73" s="4">
        <f t="shared" si="20"/>
        <v>1.8333333333333333E-3</v>
      </c>
      <c r="K73" s="4">
        <f t="shared" si="21"/>
        <v>-4.3333333333333331E-3</v>
      </c>
      <c r="L73">
        <f t="shared" si="22"/>
        <v>207.53733306395733</v>
      </c>
      <c r="M73">
        <f t="shared" si="23"/>
        <v>211.94453380249109</v>
      </c>
      <c r="N73">
        <f t="shared" si="24"/>
        <v>-4.4072007385337599</v>
      </c>
      <c r="O73" s="39">
        <f t="shared" si="25"/>
        <v>-2.0794123157905003E-2</v>
      </c>
      <c r="Q73">
        <f t="shared" si="26"/>
        <v>169.36338796543268</v>
      </c>
      <c r="R73">
        <f t="shared" si="27"/>
        <v>178.80121268128929</v>
      </c>
      <c r="S73">
        <f t="shared" si="28"/>
        <v>-9.4378247158566069</v>
      </c>
      <c r="T73" s="39">
        <f t="shared" si="29"/>
        <v>-5.2783896564948918E-2</v>
      </c>
      <c r="U73">
        <f t="shared" si="30"/>
        <v>2014</v>
      </c>
      <c r="V73">
        <f t="shared" si="31"/>
        <v>2014</v>
      </c>
    </row>
    <row r="74" spans="1:22" x14ac:dyDescent="0.25">
      <c r="A74" t="s">
        <v>52</v>
      </c>
      <c r="B74" t="s">
        <v>53</v>
      </c>
      <c r="C74" s="1">
        <v>41677</v>
      </c>
      <c r="D74">
        <v>6063.2</v>
      </c>
      <c r="E74" s="1">
        <v>41683</v>
      </c>
      <c r="F74">
        <v>6001.1</v>
      </c>
      <c r="G74" s="2">
        <v>-1.0200000000000001E-2</v>
      </c>
      <c r="H74" s="40">
        <f t="shared" si="18"/>
        <v>6</v>
      </c>
      <c r="I74" s="4">
        <f t="shared" si="19"/>
        <v>1.5E-3</v>
      </c>
      <c r="J74" s="4">
        <f t="shared" si="20"/>
        <v>1E-3</v>
      </c>
      <c r="K74" s="4">
        <f t="shared" si="21"/>
        <v>-1.2700000000000001E-2</v>
      </c>
      <c r="L74">
        <f t="shared" si="22"/>
        <v>205.42045226670498</v>
      </c>
      <c r="M74">
        <f t="shared" si="23"/>
        <v>211.94453380249109</v>
      </c>
      <c r="N74">
        <f t="shared" si="24"/>
        <v>-6.5240815357861095</v>
      </c>
      <c r="O74" s="39">
        <f t="shared" si="25"/>
        <v>-3.0782023101694301E-2</v>
      </c>
      <c r="Q74">
        <f t="shared" si="26"/>
        <v>167.21247293827167</v>
      </c>
      <c r="R74">
        <f t="shared" si="27"/>
        <v>178.80121268128929</v>
      </c>
      <c r="S74">
        <f t="shared" si="28"/>
        <v>-11.588739743017612</v>
      </c>
      <c r="T74" s="39">
        <f t="shared" si="29"/>
        <v>-6.4813541078574122E-2</v>
      </c>
      <c r="U74">
        <f t="shared" si="30"/>
        <v>2014</v>
      </c>
      <c r="V74">
        <f t="shared" si="31"/>
        <v>2014</v>
      </c>
    </row>
    <row r="75" spans="1:22" x14ac:dyDescent="0.25">
      <c r="A75" t="s">
        <v>52</v>
      </c>
      <c r="B75" t="s">
        <v>53</v>
      </c>
      <c r="C75" s="1">
        <v>41688</v>
      </c>
      <c r="D75">
        <v>6127.1</v>
      </c>
      <c r="E75" s="1">
        <v>41745</v>
      </c>
      <c r="F75">
        <v>6675.3</v>
      </c>
      <c r="G75" s="2">
        <v>8.9499999999999996E-2</v>
      </c>
      <c r="H75" s="40">
        <f t="shared" si="18"/>
        <v>57</v>
      </c>
      <c r="I75" s="4">
        <f t="shared" si="19"/>
        <v>1.5E-3</v>
      </c>
      <c r="J75" s="4">
        <f t="shared" si="20"/>
        <v>9.4999999999999998E-3</v>
      </c>
      <c r="K75" s="4">
        <f t="shared" si="21"/>
        <v>7.85E-2</v>
      </c>
      <c r="L75">
        <f t="shared" si="22"/>
        <v>223.80558274457508</v>
      </c>
      <c r="M75">
        <f t="shared" si="23"/>
        <v>223.80558274457508</v>
      </c>
      <c r="N75" t="str">
        <f t="shared" si="24"/>
        <v/>
      </c>
      <c r="O75" s="39">
        <f t="shared" si="25"/>
        <v>0</v>
      </c>
      <c r="Q75">
        <f t="shared" si="26"/>
        <v>180.33865206392599</v>
      </c>
      <c r="R75">
        <f t="shared" si="27"/>
        <v>180.33865206392599</v>
      </c>
      <c r="S75" t="str">
        <f t="shared" si="28"/>
        <v/>
      </c>
      <c r="T75" s="39">
        <f t="shared" si="29"/>
        <v>0</v>
      </c>
      <c r="U75">
        <f t="shared" si="30"/>
        <v>2014</v>
      </c>
      <c r="V75">
        <f t="shared" si="31"/>
        <v>2014</v>
      </c>
    </row>
    <row r="76" spans="1:22" x14ac:dyDescent="0.25">
      <c r="A76" t="s">
        <v>52</v>
      </c>
      <c r="B76" t="s">
        <v>53</v>
      </c>
      <c r="C76" s="1">
        <v>41750</v>
      </c>
      <c r="D76">
        <v>6817.65</v>
      </c>
      <c r="E76" s="1">
        <v>41757</v>
      </c>
      <c r="F76">
        <v>6761.25</v>
      </c>
      <c r="G76" s="2">
        <v>-8.3000000000000001E-3</v>
      </c>
      <c r="H76" s="40">
        <f t="shared" si="18"/>
        <v>7</v>
      </c>
      <c r="I76" s="4">
        <f t="shared" si="19"/>
        <v>1.5E-3</v>
      </c>
      <c r="J76" s="4">
        <f t="shared" si="20"/>
        <v>1.1666666666666668E-3</v>
      </c>
      <c r="K76" s="4">
        <f t="shared" si="21"/>
        <v>-1.0966666666666666E-2</v>
      </c>
      <c r="L76">
        <f t="shared" si="22"/>
        <v>221.9479964077951</v>
      </c>
      <c r="M76">
        <f t="shared" si="23"/>
        <v>223.80558274457508</v>
      </c>
      <c r="N76">
        <f t="shared" si="24"/>
        <v>-1.8575863367799741</v>
      </c>
      <c r="O76" s="39">
        <f t="shared" si="25"/>
        <v>-8.3000000000000036E-3</v>
      </c>
      <c r="Q76">
        <f t="shared" si="26"/>
        <v>178.36093817962492</v>
      </c>
      <c r="R76">
        <f t="shared" si="27"/>
        <v>180.33865206392599</v>
      </c>
      <c r="S76">
        <f t="shared" si="28"/>
        <v>-1.9777138843010675</v>
      </c>
      <c r="T76" s="39">
        <f t="shared" si="29"/>
        <v>-1.0966666666666736E-2</v>
      </c>
      <c r="U76">
        <f t="shared" si="30"/>
        <v>2014</v>
      </c>
      <c r="V76">
        <f t="shared" si="31"/>
        <v>2014</v>
      </c>
    </row>
    <row r="77" spans="1:22" x14ac:dyDescent="0.25">
      <c r="A77" t="s">
        <v>52</v>
      </c>
      <c r="B77" t="s">
        <v>53</v>
      </c>
      <c r="C77" s="1">
        <v>41768</v>
      </c>
      <c r="D77">
        <v>6858.8</v>
      </c>
      <c r="E77" s="1">
        <v>41788</v>
      </c>
      <c r="F77">
        <v>7235.65</v>
      </c>
      <c r="G77" s="2">
        <v>5.4899999999999997E-2</v>
      </c>
      <c r="H77" s="40">
        <f t="shared" si="18"/>
        <v>20</v>
      </c>
      <c r="I77" s="4">
        <f t="shared" si="19"/>
        <v>1.5E-3</v>
      </c>
      <c r="J77" s="4">
        <f t="shared" si="20"/>
        <v>3.3333333333333331E-3</v>
      </c>
      <c r="K77" s="4">
        <f t="shared" si="21"/>
        <v>5.0066666666666662E-2</v>
      </c>
      <c r="L77">
        <f t="shared" si="22"/>
        <v>234.13294141058304</v>
      </c>
      <c r="M77">
        <f t="shared" si="23"/>
        <v>234.13294141058304</v>
      </c>
      <c r="N77" t="str">
        <f t="shared" si="24"/>
        <v/>
      </c>
      <c r="O77" s="39">
        <f t="shared" si="25"/>
        <v>0</v>
      </c>
      <c r="Q77">
        <f t="shared" si="26"/>
        <v>187.29087581781815</v>
      </c>
      <c r="R77">
        <f t="shared" si="27"/>
        <v>187.29087581781815</v>
      </c>
      <c r="S77" t="str">
        <f t="shared" si="28"/>
        <v/>
      </c>
      <c r="T77" s="39">
        <f t="shared" si="29"/>
        <v>0</v>
      </c>
      <c r="U77">
        <f t="shared" si="30"/>
        <v>2014</v>
      </c>
      <c r="V77">
        <f t="shared" si="31"/>
        <v>2014</v>
      </c>
    </row>
    <row r="78" spans="1:22" x14ac:dyDescent="0.25">
      <c r="A78" t="s">
        <v>52</v>
      </c>
      <c r="B78" t="s">
        <v>53</v>
      </c>
      <c r="C78" s="1">
        <v>41792</v>
      </c>
      <c r="D78">
        <v>7362.5</v>
      </c>
      <c r="E78" s="1">
        <v>41806</v>
      </c>
      <c r="F78">
        <v>7533.55</v>
      </c>
      <c r="G78" s="2">
        <v>2.3199999999999998E-2</v>
      </c>
      <c r="H78" s="40">
        <f t="shared" si="18"/>
        <v>14</v>
      </c>
      <c r="I78" s="4">
        <f t="shared" si="19"/>
        <v>1.5E-3</v>
      </c>
      <c r="J78" s="4">
        <f t="shared" si="20"/>
        <v>2.3333333333333335E-3</v>
      </c>
      <c r="K78" s="4">
        <f t="shared" si="21"/>
        <v>1.9366666666666664E-2</v>
      </c>
      <c r="L78">
        <f t="shared" si="22"/>
        <v>239.56482565130861</v>
      </c>
      <c r="M78">
        <f t="shared" si="23"/>
        <v>239.56482565130861</v>
      </c>
      <c r="N78" t="str">
        <f t="shared" si="24"/>
        <v/>
      </c>
      <c r="O78" s="39">
        <f t="shared" si="25"/>
        <v>0</v>
      </c>
      <c r="Q78">
        <f t="shared" si="26"/>
        <v>190.9180757794899</v>
      </c>
      <c r="R78">
        <f t="shared" si="27"/>
        <v>190.9180757794899</v>
      </c>
      <c r="S78" t="str">
        <f t="shared" si="28"/>
        <v/>
      </c>
      <c r="T78" s="39">
        <f t="shared" si="29"/>
        <v>0</v>
      </c>
      <c r="U78">
        <f t="shared" si="30"/>
        <v>2014</v>
      </c>
      <c r="V78">
        <f t="shared" si="31"/>
        <v>2014</v>
      </c>
    </row>
    <row r="79" spans="1:22" x14ac:dyDescent="0.25">
      <c r="A79" t="s">
        <v>52</v>
      </c>
      <c r="B79" t="s">
        <v>53</v>
      </c>
      <c r="C79" s="1">
        <v>41807</v>
      </c>
      <c r="D79">
        <v>7631.7</v>
      </c>
      <c r="E79" s="1">
        <v>41816</v>
      </c>
      <c r="F79">
        <v>7493.201</v>
      </c>
      <c r="G79" s="2">
        <v>-1.8100000000000002E-2</v>
      </c>
      <c r="H79" s="40">
        <f t="shared" si="18"/>
        <v>9</v>
      </c>
      <c r="I79" s="4">
        <f t="shared" si="19"/>
        <v>1.5E-3</v>
      </c>
      <c r="J79" s="4">
        <f t="shared" si="20"/>
        <v>1.5E-3</v>
      </c>
      <c r="K79" s="4">
        <f t="shared" si="21"/>
        <v>-2.1100000000000001E-2</v>
      </c>
      <c r="L79">
        <f t="shared" si="22"/>
        <v>235.22870230701992</v>
      </c>
      <c r="M79">
        <f t="shared" si="23"/>
        <v>239.56482565130861</v>
      </c>
      <c r="N79">
        <f t="shared" si="24"/>
        <v>-4.3361233442886942</v>
      </c>
      <c r="O79" s="39">
        <f t="shared" si="25"/>
        <v>-1.8100000000000036E-2</v>
      </c>
      <c r="Q79">
        <f t="shared" si="26"/>
        <v>186.88970438054267</v>
      </c>
      <c r="R79">
        <f t="shared" si="27"/>
        <v>190.9180757794899</v>
      </c>
      <c r="S79">
        <f t="shared" si="28"/>
        <v>-4.028371398947229</v>
      </c>
      <c r="T79" s="39">
        <f t="shared" si="29"/>
        <v>-2.1099999999999959E-2</v>
      </c>
      <c r="U79">
        <f t="shared" si="30"/>
        <v>2014</v>
      </c>
      <c r="V79">
        <f t="shared" si="31"/>
        <v>2014</v>
      </c>
    </row>
    <row r="80" spans="1:22" x14ac:dyDescent="0.25">
      <c r="A80" t="s">
        <v>52</v>
      </c>
      <c r="B80" t="s">
        <v>53</v>
      </c>
      <c r="C80" s="1">
        <v>41820</v>
      </c>
      <c r="D80">
        <v>7611.35</v>
      </c>
      <c r="E80" s="1">
        <v>41828</v>
      </c>
      <c r="F80">
        <v>7623.201</v>
      </c>
      <c r="G80" s="2">
        <v>1.6000000000000001E-3</v>
      </c>
      <c r="H80" s="40">
        <f t="shared" si="18"/>
        <v>8</v>
      </c>
      <c r="I80" s="4">
        <f t="shared" si="19"/>
        <v>1.5E-3</v>
      </c>
      <c r="J80" s="4">
        <f t="shared" si="20"/>
        <v>1.3333333333333333E-3</v>
      </c>
      <c r="K80" s="4">
        <f t="shared" si="21"/>
        <v>-1.2333333333333335E-3</v>
      </c>
      <c r="L80">
        <f t="shared" si="22"/>
        <v>235.60506823071117</v>
      </c>
      <c r="M80">
        <f t="shared" si="23"/>
        <v>239.56482565130861</v>
      </c>
      <c r="N80">
        <f t="shared" si="24"/>
        <v>-3.9597574205974411</v>
      </c>
      <c r="O80" s="39">
        <f t="shared" si="25"/>
        <v>-1.6528959999999947E-2</v>
      </c>
      <c r="Q80">
        <f t="shared" si="26"/>
        <v>186.65920707847334</v>
      </c>
      <c r="R80">
        <f t="shared" si="27"/>
        <v>190.9180757794899</v>
      </c>
      <c r="S80">
        <f t="shared" si="28"/>
        <v>-4.2588687010165529</v>
      </c>
      <c r="T80" s="39">
        <f t="shared" si="29"/>
        <v>-2.2307309999999896E-2</v>
      </c>
      <c r="U80">
        <f t="shared" si="30"/>
        <v>2014</v>
      </c>
      <c r="V80">
        <f t="shared" si="31"/>
        <v>2014</v>
      </c>
    </row>
    <row r="81" spans="1:22" x14ac:dyDescent="0.25">
      <c r="A81" t="s">
        <v>52</v>
      </c>
      <c r="B81" t="s">
        <v>53</v>
      </c>
      <c r="C81" s="1">
        <v>41836</v>
      </c>
      <c r="D81">
        <v>7624.4</v>
      </c>
      <c r="E81" s="1">
        <v>41851</v>
      </c>
      <c r="F81">
        <v>7721.299</v>
      </c>
      <c r="G81" s="2">
        <v>1.2699999999999999E-2</v>
      </c>
      <c r="H81" s="40">
        <f t="shared" si="18"/>
        <v>15</v>
      </c>
      <c r="I81" s="4">
        <f t="shared" si="19"/>
        <v>1.5E-3</v>
      </c>
      <c r="J81" s="4">
        <f t="shared" si="20"/>
        <v>2.5000000000000001E-3</v>
      </c>
      <c r="K81" s="4">
        <f t="shared" si="21"/>
        <v>8.6999999999999994E-3</v>
      </c>
      <c r="L81">
        <f t="shared" si="22"/>
        <v>238.59725259724118</v>
      </c>
      <c r="M81">
        <f t="shared" si="23"/>
        <v>239.56482565130861</v>
      </c>
      <c r="N81">
        <f t="shared" si="24"/>
        <v>-0.96757305406742944</v>
      </c>
      <c r="O81" s="39">
        <f t="shared" si="25"/>
        <v>-4.0388777920000295E-3</v>
      </c>
      <c r="Q81">
        <f t="shared" si="26"/>
        <v>188.28314218005605</v>
      </c>
      <c r="R81">
        <f t="shared" si="27"/>
        <v>190.9180757794899</v>
      </c>
      <c r="S81">
        <f t="shared" si="28"/>
        <v>-2.6349335994338503</v>
      </c>
      <c r="T81" s="39">
        <f t="shared" si="29"/>
        <v>-1.3801383596999976E-2</v>
      </c>
      <c r="U81">
        <f t="shared" si="30"/>
        <v>2014</v>
      </c>
      <c r="V81">
        <f t="shared" si="31"/>
        <v>2014</v>
      </c>
    </row>
    <row r="82" spans="1:22" x14ac:dyDescent="0.25">
      <c r="A82" t="s">
        <v>52</v>
      </c>
      <c r="B82" t="s">
        <v>53</v>
      </c>
      <c r="C82" s="1">
        <v>41863</v>
      </c>
      <c r="D82">
        <v>7727.05</v>
      </c>
      <c r="E82" s="1">
        <v>41897</v>
      </c>
      <c r="F82">
        <v>8042</v>
      </c>
      <c r="G82" s="2">
        <v>4.0800000000000003E-2</v>
      </c>
      <c r="H82" s="40">
        <f t="shared" si="18"/>
        <v>34</v>
      </c>
      <c r="I82" s="4">
        <f t="shared" si="19"/>
        <v>1.5E-3</v>
      </c>
      <c r="J82" s="4">
        <f t="shared" si="20"/>
        <v>5.6666666666666662E-3</v>
      </c>
      <c r="K82" s="4">
        <f t="shared" si="21"/>
        <v>3.3633333333333335E-2</v>
      </c>
      <c r="L82">
        <f t="shared" si="22"/>
        <v>248.33202050320861</v>
      </c>
      <c r="M82">
        <f t="shared" si="23"/>
        <v>248.33202050320861</v>
      </c>
      <c r="N82" t="str">
        <f t="shared" si="24"/>
        <v/>
      </c>
      <c r="O82" s="39">
        <f t="shared" si="25"/>
        <v>0</v>
      </c>
      <c r="Q82">
        <f t="shared" si="26"/>
        <v>194.61573186204527</v>
      </c>
      <c r="R82">
        <f t="shared" si="27"/>
        <v>194.61573186204527</v>
      </c>
      <c r="S82" t="str">
        <f t="shared" si="28"/>
        <v/>
      </c>
      <c r="T82" s="39">
        <f t="shared" si="29"/>
        <v>0</v>
      </c>
      <c r="U82">
        <f t="shared" si="30"/>
        <v>2014</v>
      </c>
      <c r="V82">
        <f t="shared" si="31"/>
        <v>2014</v>
      </c>
    </row>
    <row r="83" spans="1:22" x14ac:dyDescent="0.25">
      <c r="A83" t="s">
        <v>52</v>
      </c>
      <c r="B83" t="s">
        <v>53</v>
      </c>
      <c r="C83" s="1">
        <v>41900</v>
      </c>
      <c r="D83">
        <v>8114.75</v>
      </c>
      <c r="E83" s="1">
        <v>41905</v>
      </c>
      <c r="F83">
        <v>8017.55</v>
      </c>
      <c r="G83" s="2">
        <v>-1.2E-2</v>
      </c>
      <c r="H83" s="40">
        <f t="shared" si="18"/>
        <v>5</v>
      </c>
      <c r="I83" s="4">
        <f t="shared" si="19"/>
        <v>1.5E-3</v>
      </c>
      <c r="J83" s="4">
        <f t="shared" si="20"/>
        <v>8.3333333333333328E-4</v>
      </c>
      <c r="K83" s="4">
        <f t="shared" si="21"/>
        <v>-1.4333333333333333E-2</v>
      </c>
      <c r="L83">
        <f t="shared" si="22"/>
        <v>245.35203625717011</v>
      </c>
      <c r="M83">
        <f t="shared" si="23"/>
        <v>248.33202050320861</v>
      </c>
      <c r="N83">
        <f t="shared" si="24"/>
        <v>-2.979984246038498</v>
      </c>
      <c r="O83" s="39">
        <f t="shared" si="25"/>
        <v>-1.1999999999999978E-2</v>
      </c>
      <c r="Q83">
        <f t="shared" si="26"/>
        <v>191.82623970535596</v>
      </c>
      <c r="R83">
        <f t="shared" si="27"/>
        <v>194.61573186204527</v>
      </c>
      <c r="S83">
        <f t="shared" si="28"/>
        <v>-2.7894921566893061</v>
      </c>
      <c r="T83" s="39">
        <f t="shared" si="29"/>
        <v>-1.4333333333333285E-2</v>
      </c>
      <c r="U83">
        <f t="shared" si="30"/>
        <v>2014</v>
      </c>
      <c r="V83">
        <f t="shared" si="31"/>
        <v>2014</v>
      </c>
    </row>
    <row r="84" spans="1:22" x14ac:dyDescent="0.25">
      <c r="A84" t="s">
        <v>52</v>
      </c>
      <c r="B84" t="s">
        <v>53</v>
      </c>
      <c r="C84" s="1">
        <v>41921</v>
      </c>
      <c r="D84">
        <v>7960.55</v>
      </c>
      <c r="E84" s="1">
        <v>41928</v>
      </c>
      <c r="F84">
        <v>7748.2</v>
      </c>
      <c r="G84" s="2">
        <v>-2.6700000000000002E-2</v>
      </c>
      <c r="H84" s="40">
        <f t="shared" si="18"/>
        <v>7</v>
      </c>
      <c r="I84" s="4">
        <f t="shared" si="19"/>
        <v>1.5E-3</v>
      </c>
      <c r="J84" s="4">
        <f t="shared" si="20"/>
        <v>1.1666666666666668E-3</v>
      </c>
      <c r="K84" s="4">
        <f t="shared" si="21"/>
        <v>-2.9366666666666669E-2</v>
      </c>
      <c r="L84">
        <f t="shared" si="22"/>
        <v>238.80113688910367</v>
      </c>
      <c r="M84">
        <f t="shared" si="23"/>
        <v>248.33202050320861</v>
      </c>
      <c r="N84">
        <f t="shared" si="24"/>
        <v>-9.5308836141049369</v>
      </c>
      <c r="O84" s="39">
        <f t="shared" si="25"/>
        <v>-3.8379599999999965E-2</v>
      </c>
      <c r="Q84">
        <f t="shared" si="26"/>
        <v>186.19294246600867</v>
      </c>
      <c r="R84">
        <f t="shared" si="27"/>
        <v>194.61573186204527</v>
      </c>
      <c r="S84">
        <f t="shared" si="28"/>
        <v>-8.4227893960365918</v>
      </c>
      <c r="T84" s="39">
        <f t="shared" si="29"/>
        <v>-4.3279077777777723E-2</v>
      </c>
      <c r="U84">
        <f t="shared" si="30"/>
        <v>2014</v>
      </c>
      <c r="V84">
        <f t="shared" si="31"/>
        <v>2014</v>
      </c>
    </row>
    <row r="85" spans="1:22" x14ac:dyDescent="0.25">
      <c r="A85" t="s">
        <v>52</v>
      </c>
      <c r="B85" t="s">
        <v>53</v>
      </c>
      <c r="C85" s="1">
        <v>41933</v>
      </c>
      <c r="D85">
        <v>7927.75</v>
      </c>
      <c r="E85" s="1">
        <v>41981</v>
      </c>
      <c r="F85">
        <v>8438.25</v>
      </c>
      <c r="G85" s="2">
        <v>6.4399999999999999E-2</v>
      </c>
      <c r="H85" s="40">
        <f t="shared" si="18"/>
        <v>48</v>
      </c>
      <c r="I85" s="4">
        <f t="shared" si="19"/>
        <v>1.5E-3</v>
      </c>
      <c r="J85" s="4">
        <f t="shared" si="20"/>
        <v>8.0000000000000002E-3</v>
      </c>
      <c r="K85" s="4">
        <f t="shared" si="21"/>
        <v>5.4899999999999997E-2</v>
      </c>
      <c r="L85">
        <f t="shared" si="22"/>
        <v>254.17993010476195</v>
      </c>
      <c r="M85">
        <f t="shared" si="23"/>
        <v>254.17993010476195</v>
      </c>
      <c r="N85" t="str">
        <f t="shared" si="24"/>
        <v/>
      </c>
      <c r="O85" s="39">
        <f t="shared" si="25"/>
        <v>0</v>
      </c>
      <c r="Q85">
        <f t="shared" si="26"/>
        <v>196.41493500739253</v>
      </c>
      <c r="R85">
        <f t="shared" si="27"/>
        <v>196.41493500739253</v>
      </c>
      <c r="S85" t="str">
        <f t="shared" si="28"/>
        <v/>
      </c>
      <c r="T85" s="39">
        <f t="shared" si="29"/>
        <v>0</v>
      </c>
      <c r="U85">
        <f t="shared" si="30"/>
        <v>2014</v>
      </c>
      <c r="V85">
        <f t="shared" si="31"/>
        <v>2014</v>
      </c>
    </row>
    <row r="86" spans="1:22" x14ac:dyDescent="0.25">
      <c r="A86" t="s">
        <v>52</v>
      </c>
      <c r="B86" t="s">
        <v>53</v>
      </c>
      <c r="C86" s="1">
        <v>41991</v>
      </c>
      <c r="D86">
        <v>8159.3</v>
      </c>
      <c r="E86" s="1">
        <v>41997</v>
      </c>
      <c r="F86">
        <v>8174.1009999999997</v>
      </c>
      <c r="G86" s="2">
        <v>1.8E-3</v>
      </c>
      <c r="H86" s="40">
        <f t="shared" si="18"/>
        <v>6</v>
      </c>
      <c r="I86" s="4">
        <f t="shared" si="19"/>
        <v>1.5E-3</v>
      </c>
      <c r="J86" s="4">
        <f t="shared" si="20"/>
        <v>1E-3</v>
      </c>
      <c r="K86" s="4">
        <f t="shared" si="21"/>
        <v>-7.000000000000001E-4</v>
      </c>
      <c r="L86">
        <f t="shared" si="22"/>
        <v>254.63745397895053</v>
      </c>
      <c r="M86">
        <f t="shared" si="23"/>
        <v>254.63745397895053</v>
      </c>
      <c r="N86" t="str">
        <f t="shared" si="24"/>
        <v/>
      </c>
      <c r="O86" s="39">
        <f t="shared" si="25"/>
        <v>0</v>
      </c>
      <c r="Q86">
        <f t="shared" si="26"/>
        <v>196.27744455288735</v>
      </c>
      <c r="R86">
        <f t="shared" si="27"/>
        <v>196.41493500739253</v>
      </c>
      <c r="S86">
        <f t="shared" si="28"/>
        <v>-0.13749045450518338</v>
      </c>
      <c r="T86" s="39">
        <f t="shared" si="29"/>
        <v>-7.0000000000004379E-4</v>
      </c>
      <c r="U86">
        <f t="shared" si="30"/>
        <v>2014</v>
      </c>
      <c r="V86">
        <f t="shared" si="31"/>
        <v>2014</v>
      </c>
    </row>
    <row r="87" spans="1:22" x14ac:dyDescent="0.25">
      <c r="A87" t="s">
        <v>52</v>
      </c>
      <c r="B87" t="s">
        <v>53</v>
      </c>
      <c r="C87" s="1">
        <v>42006</v>
      </c>
      <c r="D87">
        <v>8395.4500000000007</v>
      </c>
      <c r="E87" s="1">
        <v>42010</v>
      </c>
      <c r="F87">
        <v>8127.35</v>
      </c>
      <c r="G87" s="2">
        <v>-3.1899999999999998E-2</v>
      </c>
      <c r="H87" s="40">
        <f t="shared" si="18"/>
        <v>4</v>
      </c>
      <c r="I87" s="4">
        <f t="shared" si="19"/>
        <v>1.5E-3</v>
      </c>
      <c r="J87" s="4">
        <f t="shared" si="20"/>
        <v>6.6666666666666664E-4</v>
      </c>
      <c r="K87" s="4">
        <f t="shared" si="21"/>
        <v>-3.4066666666666662E-2</v>
      </c>
      <c r="L87">
        <f t="shared" si="22"/>
        <v>246.514519197022</v>
      </c>
      <c r="M87">
        <f t="shared" si="23"/>
        <v>254.63745397895053</v>
      </c>
      <c r="N87">
        <f t="shared" si="24"/>
        <v>-8.1229347819285351</v>
      </c>
      <c r="O87" s="39">
        <f t="shared" si="25"/>
        <v>-3.1900000000000053E-2</v>
      </c>
      <c r="Q87">
        <f t="shared" si="26"/>
        <v>189.59092627511899</v>
      </c>
      <c r="R87">
        <f t="shared" si="27"/>
        <v>196.41493500739253</v>
      </c>
      <c r="S87">
        <f t="shared" si="28"/>
        <v>-6.8240087322735405</v>
      </c>
      <c r="T87" s="39">
        <f t="shared" si="29"/>
        <v>-3.4742820000000015E-2</v>
      </c>
      <c r="U87">
        <f t="shared" si="30"/>
        <v>2015</v>
      </c>
      <c r="V87">
        <f t="shared" si="31"/>
        <v>2015</v>
      </c>
    </row>
    <row r="88" spans="1:22" x14ac:dyDescent="0.25">
      <c r="A88" t="s">
        <v>52</v>
      </c>
      <c r="B88" t="s">
        <v>53</v>
      </c>
      <c r="C88" s="1">
        <v>42012</v>
      </c>
      <c r="D88">
        <v>8234.6</v>
      </c>
      <c r="E88" s="1">
        <v>42034</v>
      </c>
      <c r="F88">
        <v>8808.9</v>
      </c>
      <c r="G88" s="2">
        <v>6.9699999999999998E-2</v>
      </c>
      <c r="H88" s="40">
        <f t="shared" ref="H88:H151" si="32">E88-C88</f>
        <v>22</v>
      </c>
      <c r="I88" s="4">
        <f t="shared" ref="I88:I151" si="33">C$1</f>
        <v>1.5E-3</v>
      </c>
      <c r="J88" s="4">
        <f t="shared" ref="J88:J151" si="34">H88/30*D$1</f>
        <v>3.6666666666666666E-3</v>
      </c>
      <c r="K88" s="4">
        <f t="shared" ref="K88:K151" si="35">G88-SUM(I88,J88)</f>
        <v>6.4533333333333331E-2</v>
      </c>
      <c r="L88">
        <f t="shared" ref="L88:L151" si="36">L87*(1+G88)</f>
        <v>263.69658118505447</v>
      </c>
      <c r="M88">
        <f t="shared" ref="M88:M151" si="37">MAX(L88,M87)</f>
        <v>263.69658118505447</v>
      </c>
      <c r="N88" t="str">
        <f t="shared" ref="N88:N151" si="38">IF(M88&gt;L88,L88-M88,"")</f>
        <v/>
      </c>
      <c r="O88" s="39">
        <f t="shared" ref="O88:O151" si="39">IFERROR(N88/M88,0)</f>
        <v>0</v>
      </c>
      <c r="Q88">
        <f t="shared" ref="Q88:Q151" si="40">Q87*(1+K88)</f>
        <v>201.82586071740667</v>
      </c>
      <c r="R88">
        <f t="shared" ref="R88:R151" si="41">MAX(Q88,R87)</f>
        <v>201.82586071740667</v>
      </c>
      <c r="S88" t="str">
        <f t="shared" ref="S88:S151" si="42">IF(R88&gt;Q88,Q88-R88,"")</f>
        <v/>
      </c>
      <c r="T88" s="39">
        <f t="shared" ref="T88:T151" si="43">IFERROR(S88/R88,0)</f>
        <v>0</v>
      </c>
      <c r="U88">
        <f t="shared" ref="U88:U151" si="44">YEAR(E88)</f>
        <v>2015</v>
      </c>
      <c r="V88">
        <f t="shared" ref="V88:V151" si="45">YEAR(C88)</f>
        <v>2015</v>
      </c>
    </row>
    <row r="89" spans="1:22" x14ac:dyDescent="0.25">
      <c r="A89" t="s">
        <v>52</v>
      </c>
      <c r="B89" t="s">
        <v>53</v>
      </c>
      <c r="C89" s="1">
        <v>42047</v>
      </c>
      <c r="D89">
        <v>8711.5499999999993</v>
      </c>
      <c r="E89" s="1">
        <v>42058</v>
      </c>
      <c r="F89">
        <v>8754.9500000000007</v>
      </c>
      <c r="G89" s="2">
        <v>5.0000000000000001E-3</v>
      </c>
      <c r="H89" s="40">
        <f t="shared" si="32"/>
        <v>11</v>
      </c>
      <c r="I89" s="4">
        <f t="shared" si="33"/>
        <v>1.5E-3</v>
      </c>
      <c r="J89" s="4">
        <f t="shared" si="34"/>
        <v>1.8333333333333333E-3</v>
      </c>
      <c r="K89" s="4">
        <f t="shared" si="35"/>
        <v>1.666666666666667E-3</v>
      </c>
      <c r="L89">
        <f t="shared" si="36"/>
        <v>265.01506409097971</v>
      </c>
      <c r="M89">
        <f t="shared" si="37"/>
        <v>265.01506409097971</v>
      </c>
      <c r="N89" t="str">
        <f t="shared" si="38"/>
        <v/>
      </c>
      <c r="O89" s="39">
        <f t="shared" si="39"/>
        <v>0</v>
      </c>
      <c r="Q89">
        <f t="shared" si="40"/>
        <v>202.1622371519357</v>
      </c>
      <c r="R89">
        <f t="shared" si="41"/>
        <v>202.1622371519357</v>
      </c>
      <c r="S89" t="str">
        <f t="shared" si="42"/>
        <v/>
      </c>
      <c r="T89" s="39">
        <f t="shared" si="43"/>
        <v>0</v>
      </c>
      <c r="U89">
        <f t="shared" si="44"/>
        <v>2015</v>
      </c>
      <c r="V89">
        <f t="shared" si="45"/>
        <v>2015</v>
      </c>
    </row>
    <row r="90" spans="1:22" x14ac:dyDescent="0.25">
      <c r="A90" t="s">
        <v>52</v>
      </c>
      <c r="B90" t="s">
        <v>53</v>
      </c>
      <c r="C90" s="1">
        <v>42062</v>
      </c>
      <c r="D90">
        <v>8844.6</v>
      </c>
      <c r="E90" s="1">
        <v>42072</v>
      </c>
      <c r="F90">
        <v>8756.75</v>
      </c>
      <c r="G90" s="2">
        <v>-9.9000000000000008E-3</v>
      </c>
      <c r="H90" s="40">
        <f t="shared" si="32"/>
        <v>10</v>
      </c>
      <c r="I90" s="4">
        <f t="shared" si="33"/>
        <v>1.5E-3</v>
      </c>
      <c r="J90" s="4">
        <f t="shared" si="34"/>
        <v>1.6666666666666666E-3</v>
      </c>
      <c r="K90" s="4">
        <f t="shared" si="35"/>
        <v>-1.3066666666666667E-2</v>
      </c>
      <c r="L90">
        <f t="shared" si="36"/>
        <v>262.39141495647903</v>
      </c>
      <c r="M90">
        <f t="shared" si="37"/>
        <v>265.01506409097971</v>
      </c>
      <c r="N90">
        <f t="shared" si="38"/>
        <v>-2.6236491345006812</v>
      </c>
      <c r="O90" s="39">
        <f t="shared" si="39"/>
        <v>-9.8999999999999332E-3</v>
      </c>
      <c r="Q90">
        <f t="shared" si="40"/>
        <v>199.52065058648373</v>
      </c>
      <c r="R90">
        <f t="shared" si="41"/>
        <v>202.1622371519357</v>
      </c>
      <c r="S90">
        <f t="shared" si="42"/>
        <v>-2.6415865654519735</v>
      </c>
      <c r="T90" s="39">
        <f t="shared" si="43"/>
        <v>-1.3066666666666735E-2</v>
      </c>
      <c r="U90">
        <f t="shared" si="44"/>
        <v>2015</v>
      </c>
      <c r="V90">
        <f t="shared" si="45"/>
        <v>2015</v>
      </c>
    </row>
    <row r="91" spans="1:22" x14ac:dyDescent="0.25">
      <c r="A91" t="s">
        <v>52</v>
      </c>
      <c r="B91" t="s">
        <v>53</v>
      </c>
      <c r="C91" s="1">
        <v>42093</v>
      </c>
      <c r="D91">
        <v>8492.2999999999993</v>
      </c>
      <c r="E91" s="1">
        <v>42110</v>
      </c>
      <c r="F91">
        <v>8706.7000000000007</v>
      </c>
      <c r="G91" s="2">
        <v>2.52E-2</v>
      </c>
      <c r="H91" s="40">
        <f t="shared" si="32"/>
        <v>17</v>
      </c>
      <c r="I91" s="4">
        <f t="shared" si="33"/>
        <v>1.5E-3</v>
      </c>
      <c r="J91" s="4">
        <f t="shared" si="34"/>
        <v>2.8333333333333331E-3</v>
      </c>
      <c r="K91" s="4">
        <f t="shared" si="35"/>
        <v>2.0866666666666665E-2</v>
      </c>
      <c r="L91">
        <f t="shared" si="36"/>
        <v>269.00367861338225</v>
      </c>
      <c r="M91">
        <f t="shared" si="37"/>
        <v>269.00367861338225</v>
      </c>
      <c r="N91" t="str">
        <f t="shared" si="38"/>
        <v/>
      </c>
      <c r="O91" s="39">
        <f t="shared" si="39"/>
        <v>0</v>
      </c>
      <c r="Q91">
        <f t="shared" si="40"/>
        <v>203.68398149538834</v>
      </c>
      <c r="R91">
        <f t="shared" si="41"/>
        <v>203.68398149538834</v>
      </c>
      <c r="S91" t="str">
        <f t="shared" si="42"/>
        <v/>
      </c>
      <c r="T91" s="39">
        <f t="shared" si="43"/>
        <v>0</v>
      </c>
      <c r="U91">
        <f t="shared" si="44"/>
        <v>2015</v>
      </c>
      <c r="V91">
        <f t="shared" si="45"/>
        <v>2015</v>
      </c>
    </row>
    <row r="92" spans="1:22" x14ac:dyDescent="0.25">
      <c r="A92" t="s">
        <v>52</v>
      </c>
      <c r="B92" t="s">
        <v>53</v>
      </c>
      <c r="C92" s="1">
        <v>42128</v>
      </c>
      <c r="D92">
        <v>8331.9500000000007</v>
      </c>
      <c r="E92" s="1">
        <v>42130</v>
      </c>
      <c r="F92">
        <v>8097</v>
      </c>
      <c r="G92" s="2">
        <v>-2.8199999999999999E-2</v>
      </c>
      <c r="H92" s="40">
        <f t="shared" si="32"/>
        <v>2</v>
      </c>
      <c r="I92" s="4">
        <f t="shared" si="33"/>
        <v>1.5E-3</v>
      </c>
      <c r="J92" s="4">
        <f t="shared" si="34"/>
        <v>3.3333333333333332E-4</v>
      </c>
      <c r="K92" s="4">
        <f t="shared" si="35"/>
        <v>-3.0033333333333332E-2</v>
      </c>
      <c r="L92">
        <f t="shared" si="36"/>
        <v>261.41777487648488</v>
      </c>
      <c r="M92">
        <f t="shared" si="37"/>
        <v>269.00367861338225</v>
      </c>
      <c r="N92">
        <f t="shared" si="38"/>
        <v>-7.5859037368973645</v>
      </c>
      <c r="O92" s="39">
        <f t="shared" si="39"/>
        <v>-2.8199999999999944E-2</v>
      </c>
      <c r="Q92">
        <f t="shared" si="40"/>
        <v>197.56667258447683</v>
      </c>
      <c r="R92">
        <f t="shared" si="41"/>
        <v>203.68398149538834</v>
      </c>
      <c r="S92">
        <f t="shared" si="42"/>
        <v>-6.117308910911504</v>
      </c>
      <c r="T92" s="39">
        <f t="shared" si="43"/>
        <v>-3.003333333333337E-2</v>
      </c>
      <c r="U92">
        <f t="shared" si="44"/>
        <v>2015</v>
      </c>
      <c r="V92">
        <f t="shared" si="45"/>
        <v>2015</v>
      </c>
    </row>
    <row r="93" spans="1:22" x14ac:dyDescent="0.25">
      <c r="A93" t="s">
        <v>52</v>
      </c>
      <c r="B93" t="s">
        <v>53</v>
      </c>
      <c r="C93" s="1">
        <v>42135</v>
      </c>
      <c r="D93">
        <v>8325.25</v>
      </c>
      <c r="E93" s="1">
        <v>42136</v>
      </c>
      <c r="F93">
        <v>8126.951</v>
      </c>
      <c r="G93" s="2">
        <v>-2.3800000000000002E-2</v>
      </c>
      <c r="H93" s="40">
        <f t="shared" si="32"/>
        <v>1</v>
      </c>
      <c r="I93" s="4">
        <f t="shared" si="33"/>
        <v>1.5E-3</v>
      </c>
      <c r="J93" s="4">
        <f t="shared" si="34"/>
        <v>1.6666666666666666E-4</v>
      </c>
      <c r="K93" s="4">
        <f t="shared" si="35"/>
        <v>-2.5466666666666669E-2</v>
      </c>
      <c r="L93">
        <f t="shared" si="36"/>
        <v>255.19603183442453</v>
      </c>
      <c r="M93">
        <f t="shared" si="37"/>
        <v>269.00367861338225</v>
      </c>
      <c r="N93">
        <f t="shared" si="38"/>
        <v>-13.807646778957718</v>
      </c>
      <c r="O93" s="39">
        <f t="shared" si="39"/>
        <v>-5.1328839999999994E-2</v>
      </c>
      <c r="Q93">
        <f t="shared" si="40"/>
        <v>192.5353079893255</v>
      </c>
      <c r="R93">
        <f t="shared" si="41"/>
        <v>203.68398149538834</v>
      </c>
      <c r="S93">
        <f t="shared" si="42"/>
        <v>-11.148673506062835</v>
      </c>
      <c r="T93" s="39">
        <f t="shared" si="43"/>
        <v>-5.4735151111111088E-2</v>
      </c>
      <c r="U93">
        <f t="shared" si="44"/>
        <v>2015</v>
      </c>
      <c r="V93">
        <f t="shared" si="45"/>
        <v>2015</v>
      </c>
    </row>
    <row r="94" spans="1:22" x14ac:dyDescent="0.25">
      <c r="A94" t="s">
        <v>52</v>
      </c>
      <c r="B94" t="s">
        <v>53</v>
      </c>
      <c r="C94" s="1">
        <v>42142</v>
      </c>
      <c r="D94">
        <v>8373.65</v>
      </c>
      <c r="E94" s="1">
        <v>42149</v>
      </c>
      <c r="F94">
        <v>8370.25</v>
      </c>
      <c r="G94" s="2">
        <v>-4.0000000000000002E-4</v>
      </c>
      <c r="H94" s="40">
        <f t="shared" si="32"/>
        <v>7</v>
      </c>
      <c r="I94" s="4">
        <f t="shared" si="33"/>
        <v>1.5E-3</v>
      </c>
      <c r="J94" s="4">
        <f t="shared" si="34"/>
        <v>1.1666666666666668E-3</v>
      </c>
      <c r="K94" s="4">
        <f t="shared" si="35"/>
        <v>-3.0666666666666672E-3</v>
      </c>
      <c r="L94">
        <f t="shared" si="36"/>
        <v>255.09395342169077</v>
      </c>
      <c r="M94">
        <f t="shared" si="37"/>
        <v>269.00367861338225</v>
      </c>
      <c r="N94">
        <f t="shared" si="38"/>
        <v>-13.909725191691479</v>
      </c>
      <c r="O94" s="39">
        <f t="shared" si="39"/>
        <v>-5.1708308463999958E-2</v>
      </c>
      <c r="Q94">
        <f t="shared" si="40"/>
        <v>191.94486637815825</v>
      </c>
      <c r="R94">
        <f t="shared" si="41"/>
        <v>203.68398149538834</v>
      </c>
      <c r="S94">
        <f t="shared" si="42"/>
        <v>-11.739115117230085</v>
      </c>
      <c r="T94" s="39">
        <f t="shared" si="43"/>
        <v>-5.7633963314370276E-2</v>
      </c>
      <c r="U94">
        <f t="shared" si="44"/>
        <v>2015</v>
      </c>
      <c r="V94">
        <f t="shared" si="45"/>
        <v>2015</v>
      </c>
    </row>
    <row r="95" spans="1:22" x14ac:dyDescent="0.25">
      <c r="A95" t="s">
        <v>52</v>
      </c>
      <c r="B95" t="s">
        <v>53</v>
      </c>
      <c r="C95" s="1">
        <v>42153</v>
      </c>
      <c r="D95">
        <v>8433.65</v>
      </c>
      <c r="E95" s="1">
        <v>42157</v>
      </c>
      <c r="F95">
        <v>8236.4500000000007</v>
      </c>
      <c r="G95" s="2">
        <v>-2.3400000000000001E-2</v>
      </c>
      <c r="H95" s="40">
        <f t="shared" si="32"/>
        <v>4</v>
      </c>
      <c r="I95" s="4">
        <f t="shared" si="33"/>
        <v>1.5E-3</v>
      </c>
      <c r="J95" s="4">
        <f t="shared" si="34"/>
        <v>6.6666666666666664E-4</v>
      </c>
      <c r="K95" s="4">
        <f t="shared" si="35"/>
        <v>-2.5566666666666668E-2</v>
      </c>
      <c r="L95">
        <f t="shared" si="36"/>
        <v>249.1247549116232</v>
      </c>
      <c r="M95">
        <f t="shared" si="37"/>
        <v>269.00367861338225</v>
      </c>
      <c r="N95">
        <f t="shared" si="38"/>
        <v>-19.878923701759049</v>
      </c>
      <c r="O95" s="39">
        <f t="shared" si="39"/>
        <v>-7.3898334045942385E-2</v>
      </c>
      <c r="Q95">
        <f t="shared" si="40"/>
        <v>187.03747596109002</v>
      </c>
      <c r="R95">
        <f t="shared" si="41"/>
        <v>203.68398149538834</v>
      </c>
      <c r="S95">
        <f t="shared" si="42"/>
        <v>-16.646505534298313</v>
      </c>
      <c r="T95" s="39">
        <f t="shared" si="43"/>
        <v>-8.172712165229945E-2</v>
      </c>
      <c r="U95">
        <f t="shared" si="44"/>
        <v>2015</v>
      </c>
      <c r="V95">
        <f t="shared" si="45"/>
        <v>2015</v>
      </c>
    </row>
    <row r="96" spans="1:22" x14ac:dyDescent="0.25">
      <c r="A96" t="s">
        <v>52</v>
      </c>
      <c r="B96" t="s">
        <v>53</v>
      </c>
      <c r="C96" s="1">
        <v>42172</v>
      </c>
      <c r="D96">
        <v>8091.55</v>
      </c>
      <c r="E96" s="1">
        <v>42193</v>
      </c>
      <c r="F96">
        <v>8363.0499999999993</v>
      </c>
      <c r="G96" s="2">
        <v>3.3599999999999998E-2</v>
      </c>
      <c r="H96" s="40">
        <f t="shared" si="32"/>
        <v>21</v>
      </c>
      <c r="I96" s="4">
        <f t="shared" si="33"/>
        <v>1.5E-3</v>
      </c>
      <c r="J96" s="4">
        <f t="shared" si="34"/>
        <v>3.4999999999999996E-3</v>
      </c>
      <c r="K96" s="4">
        <f t="shared" si="35"/>
        <v>2.86E-2</v>
      </c>
      <c r="L96">
        <f t="shared" si="36"/>
        <v>257.49534667665375</v>
      </c>
      <c r="M96">
        <f t="shared" si="37"/>
        <v>269.00367861338225</v>
      </c>
      <c r="N96">
        <f t="shared" si="38"/>
        <v>-11.508331936728496</v>
      </c>
      <c r="O96" s="39">
        <f t="shared" si="39"/>
        <v>-4.2781318069885999E-2</v>
      </c>
      <c r="Q96">
        <f t="shared" si="40"/>
        <v>192.38674777357718</v>
      </c>
      <c r="R96">
        <f t="shared" si="41"/>
        <v>203.68398149538834</v>
      </c>
      <c r="S96">
        <f t="shared" si="42"/>
        <v>-11.297233721811153</v>
      </c>
      <c r="T96" s="39">
        <f t="shared" si="43"/>
        <v>-5.5464517331555288E-2</v>
      </c>
      <c r="U96">
        <f t="shared" si="44"/>
        <v>2015</v>
      </c>
      <c r="V96">
        <f t="shared" si="45"/>
        <v>2015</v>
      </c>
    </row>
    <row r="97" spans="1:22" x14ac:dyDescent="0.25">
      <c r="A97" t="s">
        <v>52</v>
      </c>
      <c r="B97" t="s">
        <v>53</v>
      </c>
      <c r="C97" s="1">
        <v>42198</v>
      </c>
      <c r="D97">
        <v>8459.65</v>
      </c>
      <c r="E97" s="1">
        <v>42206</v>
      </c>
      <c r="F97">
        <v>8529.4500000000007</v>
      </c>
      <c r="G97" s="2">
        <v>8.3000000000000001E-3</v>
      </c>
      <c r="H97" s="40">
        <f t="shared" si="32"/>
        <v>8</v>
      </c>
      <c r="I97" s="4">
        <f t="shared" si="33"/>
        <v>1.5E-3</v>
      </c>
      <c r="J97" s="4">
        <f t="shared" si="34"/>
        <v>1.3333333333333333E-3</v>
      </c>
      <c r="K97" s="4">
        <f t="shared" si="35"/>
        <v>5.4666666666666665E-3</v>
      </c>
      <c r="L97">
        <f t="shared" si="36"/>
        <v>259.63255805406999</v>
      </c>
      <c r="M97">
        <f t="shared" si="37"/>
        <v>269.00367861338225</v>
      </c>
      <c r="N97">
        <f t="shared" si="38"/>
        <v>-9.37112055931226</v>
      </c>
      <c r="O97" s="39">
        <f t="shared" si="39"/>
        <v>-3.483640300986602E-2</v>
      </c>
      <c r="Q97">
        <f t="shared" si="40"/>
        <v>193.43846199473941</v>
      </c>
      <c r="R97">
        <f t="shared" si="41"/>
        <v>203.68398149538834</v>
      </c>
      <c r="S97">
        <f t="shared" si="42"/>
        <v>-10.245519500648925</v>
      </c>
      <c r="T97" s="39">
        <f t="shared" si="43"/>
        <v>-5.0301056692967756E-2</v>
      </c>
      <c r="U97">
        <f t="shared" si="44"/>
        <v>2015</v>
      </c>
      <c r="V97">
        <f t="shared" si="45"/>
        <v>2015</v>
      </c>
    </row>
    <row r="98" spans="1:22" x14ac:dyDescent="0.25">
      <c r="A98" t="s">
        <v>52</v>
      </c>
      <c r="B98" t="s">
        <v>53</v>
      </c>
      <c r="C98" s="1">
        <v>42216</v>
      </c>
      <c r="D98">
        <v>8532.85</v>
      </c>
      <c r="E98" s="1">
        <v>42227</v>
      </c>
      <c r="F98">
        <v>8462.35</v>
      </c>
      <c r="G98" s="2">
        <v>-8.3000000000000001E-3</v>
      </c>
      <c r="H98" s="40">
        <f t="shared" si="32"/>
        <v>11</v>
      </c>
      <c r="I98" s="4">
        <f t="shared" si="33"/>
        <v>1.5E-3</v>
      </c>
      <c r="J98" s="4">
        <f t="shared" si="34"/>
        <v>1.8333333333333333E-3</v>
      </c>
      <c r="K98" s="4">
        <f t="shared" si="35"/>
        <v>-1.1633333333333332E-2</v>
      </c>
      <c r="L98">
        <f t="shared" si="36"/>
        <v>257.47760782222122</v>
      </c>
      <c r="M98">
        <f t="shared" si="37"/>
        <v>269.00367861338225</v>
      </c>
      <c r="N98">
        <f t="shared" si="38"/>
        <v>-11.526070791161033</v>
      </c>
      <c r="O98" s="39">
        <f t="shared" si="39"/>
        <v>-4.28472608648841E-2</v>
      </c>
      <c r="Q98">
        <f t="shared" si="40"/>
        <v>191.18812788686728</v>
      </c>
      <c r="R98">
        <f t="shared" si="41"/>
        <v>203.68398149538834</v>
      </c>
      <c r="S98">
        <f t="shared" si="42"/>
        <v>-12.49585360852106</v>
      </c>
      <c r="T98" s="39">
        <f t="shared" si="43"/>
        <v>-6.1349221066772902E-2</v>
      </c>
      <c r="U98">
        <f t="shared" si="44"/>
        <v>2015</v>
      </c>
      <c r="V98">
        <f t="shared" si="45"/>
        <v>2015</v>
      </c>
    </row>
    <row r="99" spans="1:22" x14ac:dyDescent="0.25">
      <c r="A99" t="s">
        <v>52</v>
      </c>
      <c r="B99" t="s">
        <v>53</v>
      </c>
      <c r="C99" s="1">
        <v>42230</v>
      </c>
      <c r="D99">
        <v>8518.5499999999993</v>
      </c>
      <c r="E99" s="1">
        <v>42237</v>
      </c>
      <c r="F99">
        <v>8299.9500000000007</v>
      </c>
      <c r="G99" s="2">
        <v>-2.5700000000000001E-2</v>
      </c>
      <c r="H99" s="40">
        <f t="shared" si="32"/>
        <v>7</v>
      </c>
      <c r="I99" s="4">
        <f t="shared" si="33"/>
        <v>1.5E-3</v>
      </c>
      <c r="J99" s="4">
        <f t="shared" si="34"/>
        <v>1.1666666666666668E-3</v>
      </c>
      <c r="K99" s="4">
        <f t="shared" si="35"/>
        <v>-2.8366666666666669E-2</v>
      </c>
      <c r="L99">
        <f t="shared" si="36"/>
        <v>250.86043330119011</v>
      </c>
      <c r="M99">
        <f t="shared" si="37"/>
        <v>269.00367861338225</v>
      </c>
      <c r="N99">
        <f t="shared" si="38"/>
        <v>-18.143245312192136</v>
      </c>
      <c r="O99" s="39">
        <f t="shared" si="39"/>
        <v>-6.7446086260656637E-2</v>
      </c>
      <c r="Q99">
        <f t="shared" si="40"/>
        <v>185.76475799247649</v>
      </c>
      <c r="R99">
        <f t="shared" si="41"/>
        <v>203.68398149538834</v>
      </c>
      <c r="S99">
        <f t="shared" si="42"/>
        <v>-17.919223502911848</v>
      </c>
      <c r="T99" s="39">
        <f t="shared" si="43"/>
        <v>-8.7975614829178705E-2</v>
      </c>
      <c r="U99">
        <f t="shared" si="44"/>
        <v>2015</v>
      </c>
      <c r="V99">
        <f t="shared" si="45"/>
        <v>2015</v>
      </c>
    </row>
    <row r="100" spans="1:22" x14ac:dyDescent="0.25">
      <c r="A100" t="s">
        <v>52</v>
      </c>
      <c r="B100" t="s">
        <v>53</v>
      </c>
      <c r="C100" s="1">
        <v>42423</v>
      </c>
      <c r="D100">
        <v>7109.55</v>
      </c>
      <c r="E100" s="1">
        <v>42424</v>
      </c>
      <c r="F100">
        <v>7018.7</v>
      </c>
      <c r="G100" s="2">
        <v>-1.2800000000000001E-2</v>
      </c>
      <c r="H100" s="40">
        <f t="shared" si="32"/>
        <v>1</v>
      </c>
      <c r="I100" s="4">
        <f t="shared" si="33"/>
        <v>1.5E-3</v>
      </c>
      <c r="J100" s="4">
        <f t="shared" si="34"/>
        <v>1.6666666666666666E-4</v>
      </c>
      <c r="K100" s="4">
        <f t="shared" si="35"/>
        <v>-1.4466666666666668E-2</v>
      </c>
      <c r="L100">
        <f t="shared" si="36"/>
        <v>247.64941975493488</v>
      </c>
      <c r="M100">
        <f t="shared" si="37"/>
        <v>269.00367861338225</v>
      </c>
      <c r="N100">
        <f t="shared" si="38"/>
        <v>-21.354258858447366</v>
      </c>
      <c r="O100" s="39">
        <f t="shared" si="39"/>
        <v>-7.9382776356520232E-2</v>
      </c>
      <c r="Q100">
        <f t="shared" si="40"/>
        <v>183.07736116018535</v>
      </c>
      <c r="R100">
        <f t="shared" si="41"/>
        <v>203.68398149538834</v>
      </c>
      <c r="S100">
        <f t="shared" si="42"/>
        <v>-20.60662033520299</v>
      </c>
      <c r="T100" s="39">
        <f t="shared" si="43"/>
        <v>-0.1011695676013165</v>
      </c>
      <c r="U100">
        <f t="shared" si="44"/>
        <v>2016</v>
      </c>
      <c r="V100">
        <f t="shared" si="45"/>
        <v>2016</v>
      </c>
    </row>
    <row r="101" spans="1:22" x14ac:dyDescent="0.25">
      <c r="A101" t="s">
        <v>52</v>
      </c>
      <c r="B101" t="s">
        <v>53</v>
      </c>
      <c r="C101" s="1">
        <v>42430</v>
      </c>
      <c r="D101">
        <v>7222.3</v>
      </c>
      <c r="E101" s="1">
        <v>42458</v>
      </c>
      <c r="F101">
        <v>7597</v>
      </c>
      <c r="G101" s="2">
        <v>5.1900000000000002E-2</v>
      </c>
      <c r="H101" s="40">
        <f t="shared" si="32"/>
        <v>28</v>
      </c>
      <c r="I101" s="4">
        <f t="shared" si="33"/>
        <v>1.5E-3</v>
      </c>
      <c r="J101" s="4">
        <f t="shared" si="34"/>
        <v>4.6666666666666671E-3</v>
      </c>
      <c r="K101" s="4">
        <f t="shared" si="35"/>
        <v>4.5733333333333334E-2</v>
      </c>
      <c r="L101">
        <f t="shared" si="36"/>
        <v>260.50242464021602</v>
      </c>
      <c r="M101">
        <f t="shared" si="37"/>
        <v>269.00367861338225</v>
      </c>
      <c r="N101">
        <f t="shared" si="38"/>
        <v>-8.5012539731662287</v>
      </c>
      <c r="O101" s="39">
        <f t="shared" si="39"/>
        <v>-3.1602742449423564E-2</v>
      </c>
      <c r="Q101">
        <f t="shared" si="40"/>
        <v>191.45009914391116</v>
      </c>
      <c r="R101">
        <f t="shared" si="41"/>
        <v>203.68398149538834</v>
      </c>
      <c r="S101">
        <f t="shared" si="42"/>
        <v>-12.233882351477178</v>
      </c>
      <c r="T101" s="39">
        <f t="shared" si="43"/>
        <v>-6.0063055826283365E-2</v>
      </c>
      <c r="U101">
        <f t="shared" si="44"/>
        <v>2016</v>
      </c>
      <c r="V101">
        <f t="shared" si="45"/>
        <v>2016</v>
      </c>
    </row>
    <row r="102" spans="1:22" x14ac:dyDescent="0.25">
      <c r="A102" t="s">
        <v>52</v>
      </c>
      <c r="B102" t="s">
        <v>53</v>
      </c>
      <c r="C102" s="1">
        <v>42459</v>
      </c>
      <c r="D102">
        <v>7735.2</v>
      </c>
      <c r="E102" s="1">
        <v>42465</v>
      </c>
      <c r="F102">
        <v>7603.2</v>
      </c>
      <c r="G102" s="2">
        <v>-1.7100000000000001E-2</v>
      </c>
      <c r="H102" s="40">
        <f t="shared" si="32"/>
        <v>6</v>
      </c>
      <c r="I102" s="4">
        <f t="shared" si="33"/>
        <v>1.5E-3</v>
      </c>
      <c r="J102" s="4">
        <f t="shared" si="34"/>
        <v>1E-3</v>
      </c>
      <c r="K102" s="4">
        <f t="shared" si="35"/>
        <v>-1.9599999999999999E-2</v>
      </c>
      <c r="L102">
        <f t="shared" si="36"/>
        <v>256.0478331788683</v>
      </c>
      <c r="M102">
        <f t="shared" si="37"/>
        <v>269.00367861338225</v>
      </c>
      <c r="N102">
        <f t="shared" si="38"/>
        <v>-12.955845434513947</v>
      </c>
      <c r="O102" s="39">
        <f t="shared" si="39"/>
        <v>-4.8162335553538507E-2</v>
      </c>
      <c r="Q102">
        <f t="shared" si="40"/>
        <v>187.69767720069052</v>
      </c>
      <c r="R102">
        <f t="shared" si="41"/>
        <v>203.68398149538834</v>
      </c>
      <c r="S102">
        <f t="shared" si="42"/>
        <v>-15.986304294697817</v>
      </c>
      <c r="T102" s="39">
        <f t="shared" si="43"/>
        <v>-7.8485819932088113E-2</v>
      </c>
      <c r="U102">
        <f t="shared" si="44"/>
        <v>2016</v>
      </c>
      <c r="V102">
        <f t="shared" si="45"/>
        <v>2016</v>
      </c>
    </row>
    <row r="103" spans="1:22" x14ac:dyDescent="0.25">
      <c r="A103" t="s">
        <v>52</v>
      </c>
      <c r="B103" t="s">
        <v>53</v>
      </c>
      <c r="C103" s="1">
        <v>42471</v>
      </c>
      <c r="D103">
        <v>7671.4</v>
      </c>
      <c r="E103" s="1">
        <v>42488</v>
      </c>
      <c r="F103">
        <v>7847.25</v>
      </c>
      <c r="G103" s="2">
        <v>2.29E-2</v>
      </c>
      <c r="H103" s="40">
        <f t="shared" si="32"/>
        <v>17</v>
      </c>
      <c r="I103" s="4">
        <f t="shared" si="33"/>
        <v>1.5E-3</v>
      </c>
      <c r="J103" s="4">
        <f t="shared" si="34"/>
        <v>2.8333333333333331E-3</v>
      </c>
      <c r="K103" s="4">
        <f t="shared" si="35"/>
        <v>1.8566666666666669E-2</v>
      </c>
      <c r="L103">
        <f t="shared" si="36"/>
        <v>261.91132855866437</v>
      </c>
      <c r="M103">
        <f t="shared" si="37"/>
        <v>269.00367861338225</v>
      </c>
      <c r="N103">
        <f t="shared" si="38"/>
        <v>-7.0923500547178833</v>
      </c>
      <c r="O103" s="39">
        <f t="shared" si="39"/>
        <v>-2.6365253037714618E-2</v>
      </c>
      <c r="Q103">
        <f t="shared" si="40"/>
        <v>191.18259740738333</v>
      </c>
      <c r="R103">
        <f t="shared" si="41"/>
        <v>203.68398149538834</v>
      </c>
      <c r="S103">
        <f t="shared" si="42"/>
        <v>-12.501384088005011</v>
      </c>
      <c r="T103" s="39">
        <f t="shared" si="43"/>
        <v>-6.1376373322160623E-2</v>
      </c>
      <c r="U103">
        <f t="shared" si="44"/>
        <v>2016</v>
      </c>
      <c r="V103">
        <f t="shared" si="45"/>
        <v>2016</v>
      </c>
    </row>
    <row r="104" spans="1:22" x14ac:dyDescent="0.25">
      <c r="A104" t="s">
        <v>52</v>
      </c>
      <c r="B104" t="s">
        <v>53</v>
      </c>
      <c r="C104" s="1">
        <v>42499</v>
      </c>
      <c r="D104">
        <v>7866.05</v>
      </c>
      <c r="E104" s="1">
        <v>42509</v>
      </c>
      <c r="F104">
        <v>7783.4</v>
      </c>
      <c r="G104" s="2">
        <v>-1.0500000000000001E-2</v>
      </c>
      <c r="H104" s="40">
        <f t="shared" si="32"/>
        <v>10</v>
      </c>
      <c r="I104" s="4">
        <f t="shared" si="33"/>
        <v>1.5E-3</v>
      </c>
      <c r="J104" s="4">
        <f t="shared" si="34"/>
        <v>1.6666666666666666E-3</v>
      </c>
      <c r="K104" s="4">
        <f t="shared" si="35"/>
        <v>-1.3666666666666667E-2</v>
      </c>
      <c r="L104">
        <f t="shared" si="36"/>
        <v>259.16125960879839</v>
      </c>
      <c r="M104">
        <f t="shared" si="37"/>
        <v>269.00367861338225</v>
      </c>
      <c r="N104">
        <f t="shared" si="38"/>
        <v>-9.84241900458386</v>
      </c>
      <c r="O104" s="39">
        <f t="shared" si="39"/>
        <v>-3.6588417880818618E-2</v>
      </c>
      <c r="Q104">
        <f t="shared" si="40"/>
        <v>188.56976857614907</v>
      </c>
      <c r="R104">
        <f t="shared" si="41"/>
        <v>203.68398149538834</v>
      </c>
      <c r="S104">
        <f t="shared" si="42"/>
        <v>-15.114212919239264</v>
      </c>
      <c r="T104" s="39">
        <f t="shared" si="43"/>
        <v>-7.4204229553424497E-2</v>
      </c>
      <c r="U104">
        <f t="shared" si="44"/>
        <v>2016</v>
      </c>
      <c r="V104">
        <f t="shared" si="45"/>
        <v>2016</v>
      </c>
    </row>
    <row r="105" spans="1:22" x14ac:dyDescent="0.25">
      <c r="A105" t="s">
        <v>52</v>
      </c>
      <c r="B105" t="s">
        <v>53</v>
      </c>
      <c r="C105" s="1">
        <v>42515</v>
      </c>
      <c r="D105">
        <v>7934.9</v>
      </c>
      <c r="E105" s="1">
        <v>42530</v>
      </c>
      <c r="F105">
        <v>8203.6</v>
      </c>
      <c r="G105" s="2">
        <v>3.39E-2</v>
      </c>
      <c r="H105" s="40">
        <f t="shared" si="32"/>
        <v>15</v>
      </c>
      <c r="I105" s="4">
        <f t="shared" si="33"/>
        <v>1.5E-3</v>
      </c>
      <c r="J105" s="4">
        <f t="shared" si="34"/>
        <v>2.5000000000000001E-3</v>
      </c>
      <c r="K105" s="4">
        <f t="shared" si="35"/>
        <v>2.9899999999999999E-2</v>
      </c>
      <c r="L105">
        <f t="shared" si="36"/>
        <v>267.94682630953668</v>
      </c>
      <c r="M105">
        <f t="shared" si="37"/>
        <v>269.00367861338225</v>
      </c>
      <c r="N105">
        <f t="shared" si="38"/>
        <v>-1.0568523038455737</v>
      </c>
      <c r="O105" s="39">
        <f t="shared" si="39"/>
        <v>-3.9287652469782918E-3</v>
      </c>
      <c r="Q105">
        <f t="shared" si="40"/>
        <v>194.20800465657595</v>
      </c>
      <c r="R105">
        <f t="shared" si="41"/>
        <v>203.68398149538834</v>
      </c>
      <c r="S105">
        <f t="shared" si="42"/>
        <v>-9.4759768388123859</v>
      </c>
      <c r="T105" s="39">
        <f t="shared" si="43"/>
        <v>-4.6522936017071789E-2</v>
      </c>
      <c r="U105">
        <f t="shared" si="44"/>
        <v>2016</v>
      </c>
      <c r="V105">
        <f t="shared" si="45"/>
        <v>2016</v>
      </c>
    </row>
    <row r="106" spans="1:22" x14ac:dyDescent="0.25">
      <c r="A106" t="s">
        <v>52</v>
      </c>
      <c r="B106" t="s">
        <v>53</v>
      </c>
      <c r="C106" s="1">
        <v>42536</v>
      </c>
      <c r="D106">
        <v>8206.6</v>
      </c>
      <c r="E106" s="1">
        <v>42545</v>
      </c>
      <c r="F106">
        <v>8088.6009999999997</v>
      </c>
      <c r="G106" s="2">
        <v>-1.44E-2</v>
      </c>
      <c r="H106" s="40">
        <f t="shared" si="32"/>
        <v>9</v>
      </c>
      <c r="I106" s="4">
        <f t="shared" si="33"/>
        <v>1.5E-3</v>
      </c>
      <c r="J106" s="4">
        <f t="shared" si="34"/>
        <v>1.5E-3</v>
      </c>
      <c r="K106" s="4">
        <f t="shared" si="35"/>
        <v>-1.7399999999999999E-2</v>
      </c>
      <c r="L106">
        <f t="shared" si="36"/>
        <v>264.08839201067934</v>
      </c>
      <c r="M106">
        <f t="shared" si="37"/>
        <v>269.00367861338225</v>
      </c>
      <c r="N106">
        <f t="shared" si="38"/>
        <v>-4.9152866027029063</v>
      </c>
      <c r="O106" s="39">
        <f t="shared" si="39"/>
        <v>-1.8272191027421822E-2</v>
      </c>
      <c r="Q106">
        <f t="shared" si="40"/>
        <v>190.82878537555155</v>
      </c>
      <c r="R106">
        <f t="shared" si="41"/>
        <v>203.68398149538834</v>
      </c>
      <c r="S106">
        <f t="shared" si="42"/>
        <v>-12.855196119836791</v>
      </c>
      <c r="T106" s="39">
        <f t="shared" si="43"/>
        <v>-6.3113436930374661E-2</v>
      </c>
      <c r="U106">
        <f t="shared" si="44"/>
        <v>2016</v>
      </c>
      <c r="V106">
        <f t="shared" si="45"/>
        <v>2016</v>
      </c>
    </row>
    <row r="107" spans="1:22" x14ac:dyDescent="0.25">
      <c r="A107" t="s">
        <v>52</v>
      </c>
      <c r="B107" t="s">
        <v>53</v>
      </c>
      <c r="C107" s="1">
        <v>42550</v>
      </c>
      <c r="D107">
        <v>8204</v>
      </c>
      <c r="E107" s="1">
        <v>42585</v>
      </c>
      <c r="F107">
        <v>8544.85</v>
      </c>
      <c r="G107" s="2">
        <v>4.1500000000000002E-2</v>
      </c>
      <c r="H107" s="40">
        <f t="shared" si="32"/>
        <v>35</v>
      </c>
      <c r="I107" s="4">
        <f t="shared" si="33"/>
        <v>1.5E-3</v>
      </c>
      <c r="J107" s="4">
        <f t="shared" si="34"/>
        <v>5.8333333333333336E-3</v>
      </c>
      <c r="K107" s="4">
        <f t="shared" si="35"/>
        <v>3.4166666666666665E-2</v>
      </c>
      <c r="L107">
        <f t="shared" si="36"/>
        <v>275.04806027912258</v>
      </c>
      <c r="M107">
        <f t="shared" si="37"/>
        <v>275.04806027912258</v>
      </c>
      <c r="N107" t="str">
        <f t="shared" si="38"/>
        <v/>
      </c>
      <c r="O107" s="39">
        <f t="shared" si="39"/>
        <v>0</v>
      </c>
      <c r="Q107">
        <f t="shared" si="40"/>
        <v>197.34876887588288</v>
      </c>
      <c r="R107">
        <f t="shared" si="41"/>
        <v>203.68398149538834</v>
      </c>
      <c r="S107">
        <f t="shared" si="42"/>
        <v>-6.3352126195054552</v>
      </c>
      <c r="T107" s="39">
        <f t="shared" si="43"/>
        <v>-3.1103146025495836E-2</v>
      </c>
      <c r="U107">
        <f t="shared" si="44"/>
        <v>2016</v>
      </c>
      <c r="V107">
        <f t="shared" si="45"/>
        <v>2016</v>
      </c>
    </row>
    <row r="108" spans="1:22" x14ac:dyDescent="0.25">
      <c r="A108" t="s">
        <v>52</v>
      </c>
      <c r="B108" t="s">
        <v>53</v>
      </c>
      <c r="C108" s="1">
        <v>42587</v>
      </c>
      <c r="D108">
        <v>8683.15</v>
      </c>
      <c r="E108" s="1">
        <v>42592</v>
      </c>
      <c r="F108">
        <v>8575.2999999999993</v>
      </c>
      <c r="G108" s="2">
        <v>-1.24E-2</v>
      </c>
      <c r="H108" s="40">
        <f t="shared" si="32"/>
        <v>5</v>
      </c>
      <c r="I108" s="4">
        <f t="shared" si="33"/>
        <v>1.5E-3</v>
      </c>
      <c r="J108" s="4">
        <f t="shared" si="34"/>
        <v>8.3333333333333328E-4</v>
      </c>
      <c r="K108" s="4">
        <f t="shared" si="35"/>
        <v>-1.4733333333333333E-2</v>
      </c>
      <c r="L108">
        <f t="shared" si="36"/>
        <v>271.63746433166148</v>
      </c>
      <c r="M108">
        <f t="shared" si="37"/>
        <v>275.04806027912258</v>
      </c>
      <c r="N108">
        <f t="shared" si="38"/>
        <v>-3.4105959474611041</v>
      </c>
      <c r="O108" s="39">
        <f t="shared" si="39"/>
        <v>-1.2399999999999942E-2</v>
      </c>
      <c r="Q108">
        <f t="shared" si="40"/>
        <v>194.44116368111153</v>
      </c>
      <c r="R108">
        <f t="shared" si="41"/>
        <v>203.68398149538834</v>
      </c>
      <c r="S108">
        <f t="shared" si="42"/>
        <v>-9.2428178142768047</v>
      </c>
      <c r="T108" s="39">
        <f t="shared" si="43"/>
        <v>-4.5378226340720237E-2</v>
      </c>
      <c r="U108">
        <f t="shared" si="44"/>
        <v>2016</v>
      </c>
      <c r="V108">
        <f t="shared" si="45"/>
        <v>2016</v>
      </c>
    </row>
    <row r="109" spans="1:22" x14ac:dyDescent="0.25">
      <c r="A109" t="s">
        <v>52</v>
      </c>
      <c r="B109" t="s">
        <v>53</v>
      </c>
      <c r="C109" s="1">
        <v>42594</v>
      </c>
      <c r="D109">
        <v>8672.15</v>
      </c>
      <c r="E109" s="1">
        <v>42607</v>
      </c>
      <c r="F109">
        <v>8592.2000000000007</v>
      </c>
      <c r="G109" s="2">
        <v>-9.1999999999999998E-3</v>
      </c>
      <c r="H109" s="40">
        <f t="shared" si="32"/>
        <v>13</v>
      </c>
      <c r="I109" s="4">
        <f t="shared" si="33"/>
        <v>1.5E-3</v>
      </c>
      <c r="J109" s="4">
        <f t="shared" si="34"/>
        <v>2.166666666666667E-3</v>
      </c>
      <c r="K109" s="4">
        <f t="shared" si="35"/>
        <v>-1.2866666666666667E-2</v>
      </c>
      <c r="L109">
        <f t="shared" si="36"/>
        <v>269.1383996598102</v>
      </c>
      <c r="M109">
        <f t="shared" si="37"/>
        <v>275.04806027912258</v>
      </c>
      <c r="N109">
        <f t="shared" si="38"/>
        <v>-5.9096606193123762</v>
      </c>
      <c r="O109" s="39">
        <f t="shared" si="39"/>
        <v>-2.1485919999999895E-2</v>
      </c>
      <c r="Q109">
        <f t="shared" si="40"/>
        <v>191.93935404174789</v>
      </c>
      <c r="R109">
        <f t="shared" si="41"/>
        <v>203.68398149538834</v>
      </c>
      <c r="S109">
        <f t="shared" si="42"/>
        <v>-11.744627453640447</v>
      </c>
      <c r="T109" s="39">
        <f t="shared" si="43"/>
        <v>-5.7661026495136339E-2</v>
      </c>
      <c r="U109">
        <f t="shared" si="44"/>
        <v>2016</v>
      </c>
      <c r="V109">
        <f t="shared" si="45"/>
        <v>2016</v>
      </c>
    </row>
    <row r="110" spans="1:22" x14ac:dyDescent="0.25">
      <c r="A110" t="s">
        <v>52</v>
      </c>
      <c r="B110" t="s">
        <v>53</v>
      </c>
      <c r="C110" s="1">
        <v>42612</v>
      </c>
      <c r="D110">
        <v>8744.35</v>
      </c>
      <c r="E110" s="1">
        <v>42625</v>
      </c>
      <c r="F110">
        <v>8715.6</v>
      </c>
      <c r="G110" s="2">
        <v>-3.3E-3</v>
      </c>
      <c r="H110" s="40">
        <f t="shared" si="32"/>
        <v>13</v>
      </c>
      <c r="I110" s="4">
        <f t="shared" si="33"/>
        <v>1.5E-3</v>
      </c>
      <c r="J110" s="4">
        <f t="shared" si="34"/>
        <v>2.166666666666667E-3</v>
      </c>
      <c r="K110" s="4">
        <f t="shared" si="35"/>
        <v>-6.966666666666667E-3</v>
      </c>
      <c r="L110">
        <f t="shared" si="36"/>
        <v>268.25024294093282</v>
      </c>
      <c r="M110">
        <f t="shared" si="37"/>
        <v>275.04806027912258</v>
      </c>
      <c r="N110">
        <f t="shared" si="38"/>
        <v>-6.7978173381897591</v>
      </c>
      <c r="O110" s="39">
        <f t="shared" si="39"/>
        <v>-2.4715016463999928E-2</v>
      </c>
      <c r="Q110">
        <f t="shared" si="40"/>
        <v>190.60217654192371</v>
      </c>
      <c r="R110">
        <f t="shared" si="41"/>
        <v>203.68398149538834</v>
      </c>
      <c r="S110">
        <f t="shared" si="42"/>
        <v>-13.081804953464626</v>
      </c>
      <c r="T110" s="39">
        <f t="shared" si="43"/>
        <v>-6.422598801055357E-2</v>
      </c>
      <c r="U110">
        <f t="shared" si="44"/>
        <v>2016</v>
      </c>
      <c r="V110">
        <f t="shared" si="45"/>
        <v>2016</v>
      </c>
    </row>
    <row r="111" spans="1:22" x14ac:dyDescent="0.25">
      <c r="A111" t="s">
        <v>52</v>
      </c>
      <c r="B111" t="s">
        <v>53</v>
      </c>
      <c r="C111" s="1">
        <v>42632</v>
      </c>
      <c r="D111">
        <v>8808.4</v>
      </c>
      <c r="E111" s="1">
        <v>42639</v>
      </c>
      <c r="F111">
        <v>8723.0499999999993</v>
      </c>
      <c r="G111" s="2">
        <v>-9.7000000000000003E-3</v>
      </c>
      <c r="H111" s="40">
        <f t="shared" si="32"/>
        <v>7</v>
      </c>
      <c r="I111" s="4">
        <f t="shared" si="33"/>
        <v>1.5E-3</v>
      </c>
      <c r="J111" s="4">
        <f t="shared" si="34"/>
        <v>1.1666666666666668E-3</v>
      </c>
      <c r="K111" s="4">
        <f t="shared" si="35"/>
        <v>-1.2366666666666668E-2</v>
      </c>
      <c r="L111">
        <f t="shared" si="36"/>
        <v>265.64821558440576</v>
      </c>
      <c r="M111">
        <f t="shared" si="37"/>
        <v>275.04806027912258</v>
      </c>
      <c r="N111">
        <f t="shared" si="38"/>
        <v>-9.399844694716819</v>
      </c>
      <c r="O111" s="39">
        <f t="shared" si="39"/>
        <v>-3.4175280804299171E-2</v>
      </c>
      <c r="Q111">
        <f t="shared" si="40"/>
        <v>188.24506295868861</v>
      </c>
      <c r="R111">
        <f t="shared" si="41"/>
        <v>203.68398149538834</v>
      </c>
      <c r="S111">
        <f t="shared" si="42"/>
        <v>-15.438918536699731</v>
      </c>
      <c r="T111" s="39">
        <f t="shared" si="43"/>
        <v>-7.5798393292156305E-2</v>
      </c>
      <c r="U111">
        <f t="shared" si="44"/>
        <v>2016</v>
      </c>
      <c r="V111">
        <f t="shared" si="45"/>
        <v>2016</v>
      </c>
    </row>
    <row r="112" spans="1:22" x14ac:dyDescent="0.25">
      <c r="A112" t="s">
        <v>52</v>
      </c>
      <c r="B112" t="s">
        <v>53</v>
      </c>
      <c r="C112" s="1">
        <v>42646</v>
      </c>
      <c r="D112">
        <v>8738.1</v>
      </c>
      <c r="E112" s="1">
        <v>42656</v>
      </c>
      <c r="F112">
        <v>8573.35</v>
      </c>
      <c r="G112" s="2">
        <v>-1.89E-2</v>
      </c>
      <c r="H112" s="40">
        <f t="shared" si="32"/>
        <v>10</v>
      </c>
      <c r="I112" s="4">
        <f t="shared" si="33"/>
        <v>1.5E-3</v>
      </c>
      <c r="J112" s="4">
        <f t="shared" si="34"/>
        <v>1.6666666666666666E-3</v>
      </c>
      <c r="K112" s="4">
        <f t="shared" si="35"/>
        <v>-2.2066666666666665E-2</v>
      </c>
      <c r="L112">
        <f t="shared" si="36"/>
        <v>260.6274643098605</v>
      </c>
      <c r="M112">
        <f t="shared" si="37"/>
        <v>275.04806027912258</v>
      </c>
      <c r="N112">
        <f t="shared" si="38"/>
        <v>-14.420595969262081</v>
      </c>
      <c r="O112" s="39">
        <f t="shared" si="39"/>
        <v>-5.2429367997097888E-2</v>
      </c>
      <c r="Q112">
        <f t="shared" si="40"/>
        <v>184.09112190273353</v>
      </c>
      <c r="R112">
        <f t="shared" si="41"/>
        <v>203.68398149538834</v>
      </c>
      <c r="S112">
        <f t="shared" si="42"/>
        <v>-19.592859592654804</v>
      </c>
      <c r="T112" s="39">
        <f t="shared" si="43"/>
        <v>-9.6192442080176105E-2</v>
      </c>
      <c r="U112">
        <f t="shared" si="44"/>
        <v>2016</v>
      </c>
      <c r="V112">
        <f t="shared" si="45"/>
        <v>2016</v>
      </c>
    </row>
    <row r="113" spans="1:22" x14ac:dyDescent="0.25">
      <c r="A113" t="s">
        <v>52</v>
      </c>
      <c r="B113" t="s">
        <v>53</v>
      </c>
      <c r="C113" s="1">
        <v>42661</v>
      </c>
      <c r="D113">
        <v>8677.9</v>
      </c>
      <c r="E113" s="1">
        <v>42669</v>
      </c>
      <c r="F113">
        <v>8615.25</v>
      </c>
      <c r="G113" s="2">
        <v>-7.1999999999999998E-3</v>
      </c>
      <c r="H113" s="40">
        <f t="shared" si="32"/>
        <v>8</v>
      </c>
      <c r="I113" s="4">
        <f t="shared" si="33"/>
        <v>1.5E-3</v>
      </c>
      <c r="J113" s="4">
        <f t="shared" si="34"/>
        <v>1.3333333333333333E-3</v>
      </c>
      <c r="K113" s="4">
        <f t="shared" si="35"/>
        <v>-1.0033333333333333E-2</v>
      </c>
      <c r="L113">
        <f t="shared" si="36"/>
        <v>258.7509465668295</v>
      </c>
      <c r="M113">
        <f t="shared" si="37"/>
        <v>275.04806027912258</v>
      </c>
      <c r="N113">
        <f t="shared" si="38"/>
        <v>-16.297113712293083</v>
      </c>
      <c r="O113" s="39">
        <f t="shared" si="39"/>
        <v>-5.925187654751881E-2</v>
      </c>
      <c r="Q113">
        <f t="shared" si="40"/>
        <v>182.2440743129761</v>
      </c>
      <c r="R113">
        <f t="shared" si="41"/>
        <v>203.68398149538834</v>
      </c>
      <c r="S113">
        <f t="shared" si="42"/>
        <v>-21.439907182412242</v>
      </c>
      <c r="T113" s="39">
        <f t="shared" si="43"/>
        <v>-0.10526064457797173</v>
      </c>
      <c r="U113">
        <f t="shared" si="44"/>
        <v>2016</v>
      </c>
      <c r="V113">
        <f t="shared" si="45"/>
        <v>2016</v>
      </c>
    </row>
    <row r="114" spans="1:22" x14ac:dyDescent="0.25">
      <c r="A114" t="s">
        <v>52</v>
      </c>
      <c r="B114" t="s">
        <v>53</v>
      </c>
      <c r="C114" s="1">
        <v>42682</v>
      </c>
      <c r="D114">
        <v>8543.5499999999993</v>
      </c>
      <c r="E114" s="1">
        <v>42685</v>
      </c>
      <c r="F114">
        <v>8296.2999999999993</v>
      </c>
      <c r="G114" s="2">
        <v>-2.8899999999999999E-2</v>
      </c>
      <c r="H114" s="40">
        <f t="shared" si="32"/>
        <v>3</v>
      </c>
      <c r="I114" s="4">
        <f t="shared" si="33"/>
        <v>1.5E-3</v>
      </c>
      <c r="J114" s="4">
        <f t="shared" si="34"/>
        <v>5.0000000000000001E-4</v>
      </c>
      <c r="K114" s="4">
        <f t="shared" si="35"/>
        <v>-3.0899999999999997E-2</v>
      </c>
      <c r="L114">
        <f t="shared" si="36"/>
        <v>251.2730442110481</v>
      </c>
      <c r="M114">
        <f t="shared" si="37"/>
        <v>275.04806027912258</v>
      </c>
      <c r="N114">
        <f t="shared" si="38"/>
        <v>-23.775016068074478</v>
      </c>
      <c r="O114" s="39">
        <f t="shared" si="39"/>
        <v>-8.6439497315295599E-2</v>
      </c>
      <c r="Q114">
        <f t="shared" si="40"/>
        <v>176.61273241670511</v>
      </c>
      <c r="R114">
        <f t="shared" si="41"/>
        <v>203.68398149538834</v>
      </c>
      <c r="S114">
        <f t="shared" si="42"/>
        <v>-27.071249078683223</v>
      </c>
      <c r="T114" s="39">
        <f t="shared" si="43"/>
        <v>-0.13290809066051251</v>
      </c>
      <c r="U114">
        <f t="shared" si="44"/>
        <v>2016</v>
      </c>
      <c r="V114">
        <f t="shared" si="45"/>
        <v>2016</v>
      </c>
    </row>
    <row r="115" spans="1:22" x14ac:dyDescent="0.25">
      <c r="A115" t="s">
        <v>52</v>
      </c>
      <c r="B115" t="s">
        <v>53</v>
      </c>
      <c r="C115" s="1">
        <v>42727</v>
      </c>
      <c r="D115">
        <v>7985.75</v>
      </c>
      <c r="E115" s="1">
        <v>42730</v>
      </c>
      <c r="F115">
        <v>7908.25</v>
      </c>
      <c r="G115" s="2">
        <v>-9.7000000000000003E-3</v>
      </c>
      <c r="H115" s="40">
        <f t="shared" si="32"/>
        <v>3</v>
      </c>
      <c r="I115" s="4">
        <f t="shared" si="33"/>
        <v>1.5E-3</v>
      </c>
      <c r="J115" s="4">
        <f t="shared" si="34"/>
        <v>5.0000000000000001E-4</v>
      </c>
      <c r="K115" s="4">
        <f t="shared" si="35"/>
        <v>-1.17E-2</v>
      </c>
      <c r="L115">
        <f t="shared" si="36"/>
        <v>248.83569568220094</v>
      </c>
      <c r="M115">
        <f t="shared" si="37"/>
        <v>275.04806027912258</v>
      </c>
      <c r="N115">
        <f t="shared" si="38"/>
        <v>-26.212364596921645</v>
      </c>
      <c r="O115" s="39">
        <f t="shared" si="39"/>
        <v>-9.5301034191337231E-2</v>
      </c>
      <c r="Q115">
        <f t="shared" si="40"/>
        <v>174.54636344742966</v>
      </c>
      <c r="R115">
        <f t="shared" si="41"/>
        <v>203.68398149538834</v>
      </c>
      <c r="S115">
        <f t="shared" si="42"/>
        <v>-29.137618047958682</v>
      </c>
      <c r="T115" s="39">
        <f t="shared" si="43"/>
        <v>-0.14305306599978454</v>
      </c>
      <c r="U115">
        <f t="shared" si="44"/>
        <v>2016</v>
      </c>
      <c r="V115">
        <f t="shared" si="45"/>
        <v>2016</v>
      </c>
    </row>
    <row r="116" spans="1:22" x14ac:dyDescent="0.25">
      <c r="A116" t="s">
        <v>52</v>
      </c>
      <c r="B116" t="s">
        <v>53</v>
      </c>
      <c r="C116" s="1">
        <v>42731</v>
      </c>
      <c r="D116">
        <v>8032.85</v>
      </c>
      <c r="E116" s="1">
        <v>42755</v>
      </c>
      <c r="F116">
        <v>8349.35</v>
      </c>
      <c r="G116" s="2">
        <v>3.9399999999999998E-2</v>
      </c>
      <c r="H116" s="40">
        <f t="shared" si="32"/>
        <v>24</v>
      </c>
      <c r="I116" s="4">
        <f t="shared" si="33"/>
        <v>1.5E-3</v>
      </c>
      <c r="J116" s="4">
        <f t="shared" si="34"/>
        <v>4.0000000000000001E-3</v>
      </c>
      <c r="K116" s="4">
        <f t="shared" si="35"/>
        <v>3.39E-2</v>
      </c>
      <c r="L116">
        <f t="shared" si="36"/>
        <v>258.63982209207967</v>
      </c>
      <c r="M116">
        <f t="shared" si="37"/>
        <v>275.04806027912258</v>
      </c>
      <c r="N116">
        <f t="shared" si="38"/>
        <v>-16.408238187042912</v>
      </c>
      <c r="O116" s="39">
        <f t="shared" si="39"/>
        <v>-5.9655894938475861E-2</v>
      </c>
      <c r="Q116">
        <f t="shared" si="40"/>
        <v>180.46348516829752</v>
      </c>
      <c r="R116">
        <f t="shared" si="41"/>
        <v>203.68398149538834</v>
      </c>
      <c r="S116">
        <f t="shared" si="42"/>
        <v>-23.220496327090814</v>
      </c>
      <c r="T116" s="39">
        <f t="shared" si="43"/>
        <v>-0.11400256493717723</v>
      </c>
      <c r="U116">
        <f t="shared" si="44"/>
        <v>2017</v>
      </c>
      <c r="V116">
        <f t="shared" si="45"/>
        <v>2016</v>
      </c>
    </row>
    <row r="117" spans="1:22" x14ac:dyDescent="0.25">
      <c r="A117" t="s">
        <v>52</v>
      </c>
      <c r="B117" t="s">
        <v>53</v>
      </c>
      <c r="C117" s="1">
        <v>42759</v>
      </c>
      <c r="D117">
        <v>8475.7999999999993</v>
      </c>
      <c r="E117" s="1">
        <v>42781</v>
      </c>
      <c r="F117">
        <v>8724.7000000000007</v>
      </c>
      <c r="G117" s="2">
        <v>2.9399999999999999E-2</v>
      </c>
      <c r="H117" s="40">
        <f t="shared" si="32"/>
        <v>22</v>
      </c>
      <c r="I117" s="4">
        <f t="shared" si="33"/>
        <v>1.5E-3</v>
      </c>
      <c r="J117" s="4">
        <f t="shared" si="34"/>
        <v>3.6666666666666666E-3</v>
      </c>
      <c r="K117" s="4">
        <f t="shared" si="35"/>
        <v>2.4233333333333332E-2</v>
      </c>
      <c r="L117">
        <f t="shared" si="36"/>
        <v>266.24383286158684</v>
      </c>
      <c r="M117">
        <f t="shared" si="37"/>
        <v>275.04806027912258</v>
      </c>
      <c r="N117">
        <f t="shared" si="38"/>
        <v>-8.804227417535742</v>
      </c>
      <c r="O117" s="39">
        <f t="shared" si="39"/>
        <v>-3.2009778249666949E-2</v>
      </c>
      <c r="Q117">
        <f t="shared" si="40"/>
        <v>184.83671695887594</v>
      </c>
      <c r="R117">
        <f t="shared" si="41"/>
        <v>203.68398149538834</v>
      </c>
      <c r="S117">
        <f t="shared" si="42"/>
        <v>-18.847264536512398</v>
      </c>
      <c r="T117" s="39">
        <f t="shared" si="43"/>
        <v>-9.2531893760821465E-2</v>
      </c>
      <c r="U117">
        <f t="shared" si="44"/>
        <v>2017</v>
      </c>
      <c r="V117">
        <f t="shared" si="45"/>
        <v>2017</v>
      </c>
    </row>
    <row r="118" spans="1:22" x14ac:dyDescent="0.25">
      <c r="A118" t="s">
        <v>52</v>
      </c>
      <c r="B118" t="s">
        <v>53</v>
      </c>
      <c r="C118" s="1">
        <v>42783</v>
      </c>
      <c r="D118">
        <v>8821.7000000000007</v>
      </c>
      <c r="E118" s="1">
        <v>42794</v>
      </c>
      <c r="F118">
        <v>8879.6</v>
      </c>
      <c r="G118" s="2">
        <v>6.6E-3</v>
      </c>
      <c r="H118" s="40">
        <f t="shared" si="32"/>
        <v>11</v>
      </c>
      <c r="I118" s="4">
        <f t="shared" si="33"/>
        <v>1.5E-3</v>
      </c>
      <c r="J118" s="4">
        <f t="shared" si="34"/>
        <v>1.8333333333333333E-3</v>
      </c>
      <c r="K118" s="4">
        <f t="shared" si="35"/>
        <v>3.2666666666666669E-3</v>
      </c>
      <c r="L118">
        <f t="shared" si="36"/>
        <v>268.0010421584733</v>
      </c>
      <c r="M118">
        <f t="shared" si="37"/>
        <v>275.04806027912258</v>
      </c>
      <c r="N118">
        <f t="shared" si="38"/>
        <v>-7.0470181206492839</v>
      </c>
      <c r="O118" s="39">
        <f t="shared" si="39"/>
        <v>-2.5621042786114805E-2</v>
      </c>
      <c r="Q118">
        <f t="shared" si="40"/>
        <v>185.44051690094162</v>
      </c>
      <c r="R118">
        <f t="shared" si="41"/>
        <v>203.68398149538834</v>
      </c>
      <c r="S118">
        <f t="shared" si="42"/>
        <v>-18.243464594446721</v>
      </c>
      <c r="T118" s="39">
        <f t="shared" si="43"/>
        <v>-8.9567497947106736E-2</v>
      </c>
      <c r="U118">
        <f t="shared" si="44"/>
        <v>2017</v>
      </c>
      <c r="V118">
        <f t="shared" si="45"/>
        <v>2017</v>
      </c>
    </row>
    <row r="119" spans="1:22" x14ac:dyDescent="0.25">
      <c r="A119" t="s">
        <v>52</v>
      </c>
      <c r="B119" t="s">
        <v>53</v>
      </c>
      <c r="C119" s="1">
        <v>42800</v>
      </c>
      <c r="D119">
        <v>8963.4500000000007</v>
      </c>
      <c r="E119" s="1">
        <v>42816</v>
      </c>
      <c r="F119">
        <v>9030.4500000000007</v>
      </c>
      <c r="G119" s="2">
        <v>7.4999999999999997E-3</v>
      </c>
      <c r="H119" s="40">
        <f t="shared" si="32"/>
        <v>16</v>
      </c>
      <c r="I119" s="4">
        <f t="shared" si="33"/>
        <v>1.5E-3</v>
      </c>
      <c r="J119" s="4">
        <f t="shared" si="34"/>
        <v>2.6666666666666666E-3</v>
      </c>
      <c r="K119" s="4">
        <f t="shared" si="35"/>
        <v>3.3333333333333331E-3</v>
      </c>
      <c r="L119">
        <f t="shared" si="36"/>
        <v>270.01104997466189</v>
      </c>
      <c r="M119">
        <f t="shared" si="37"/>
        <v>275.04806027912258</v>
      </c>
      <c r="N119">
        <f t="shared" si="38"/>
        <v>-5.0370103044606935</v>
      </c>
      <c r="O119" s="39">
        <f t="shared" si="39"/>
        <v>-1.831320060701052E-2</v>
      </c>
      <c r="Q119">
        <f t="shared" si="40"/>
        <v>186.0586519572781</v>
      </c>
      <c r="R119">
        <f t="shared" si="41"/>
        <v>203.68398149538834</v>
      </c>
      <c r="S119">
        <f t="shared" si="42"/>
        <v>-17.625329538110236</v>
      </c>
      <c r="T119" s="39">
        <f t="shared" si="43"/>
        <v>-8.6532722940263693E-2</v>
      </c>
      <c r="U119">
        <f t="shared" si="44"/>
        <v>2017</v>
      </c>
      <c r="V119">
        <f t="shared" si="45"/>
        <v>2017</v>
      </c>
    </row>
    <row r="120" spans="1:22" x14ac:dyDescent="0.25">
      <c r="A120" t="s">
        <v>52</v>
      </c>
      <c r="B120" t="s">
        <v>53</v>
      </c>
      <c r="C120" s="1">
        <v>42823</v>
      </c>
      <c r="D120">
        <v>9143.7999999999993</v>
      </c>
      <c r="E120" s="1">
        <v>42835</v>
      </c>
      <c r="F120">
        <v>9181.4500000000007</v>
      </c>
      <c r="G120" s="2">
        <v>4.1000000000000003E-3</v>
      </c>
      <c r="H120" s="40">
        <f t="shared" si="32"/>
        <v>12</v>
      </c>
      <c r="I120" s="4">
        <f t="shared" si="33"/>
        <v>1.5E-3</v>
      </c>
      <c r="J120" s="4">
        <f t="shared" si="34"/>
        <v>2E-3</v>
      </c>
      <c r="K120" s="4">
        <f t="shared" si="35"/>
        <v>6.0000000000000027E-4</v>
      </c>
      <c r="L120">
        <f t="shared" si="36"/>
        <v>271.11809527955802</v>
      </c>
      <c r="M120">
        <f t="shared" si="37"/>
        <v>275.04806027912258</v>
      </c>
      <c r="N120">
        <f t="shared" si="38"/>
        <v>-3.9299649995645609</v>
      </c>
      <c r="O120" s="39">
        <f t="shared" si="39"/>
        <v>-1.4288284729499194E-2</v>
      </c>
      <c r="Q120">
        <f t="shared" si="40"/>
        <v>186.17028714845245</v>
      </c>
      <c r="R120">
        <f t="shared" si="41"/>
        <v>203.68398149538834</v>
      </c>
      <c r="S120">
        <f t="shared" si="42"/>
        <v>-17.513694346935893</v>
      </c>
      <c r="T120" s="39">
        <f t="shared" si="43"/>
        <v>-8.5984642574027964E-2</v>
      </c>
      <c r="U120">
        <f t="shared" si="44"/>
        <v>2017</v>
      </c>
      <c r="V120">
        <f t="shared" si="45"/>
        <v>2017</v>
      </c>
    </row>
    <row r="121" spans="1:22" x14ac:dyDescent="0.25">
      <c r="A121" t="s">
        <v>52</v>
      </c>
      <c r="B121" t="s">
        <v>53</v>
      </c>
      <c r="C121" s="1">
        <v>42849</v>
      </c>
      <c r="D121">
        <v>9217.9500000000007</v>
      </c>
      <c r="E121" s="1">
        <v>42860</v>
      </c>
      <c r="F121">
        <v>9285.2999999999993</v>
      </c>
      <c r="G121" s="2">
        <v>7.3000000000000001E-3</v>
      </c>
      <c r="H121" s="40">
        <f t="shared" si="32"/>
        <v>11</v>
      </c>
      <c r="I121" s="4">
        <f t="shared" si="33"/>
        <v>1.5E-3</v>
      </c>
      <c r="J121" s="4">
        <f t="shared" si="34"/>
        <v>1.8333333333333333E-3</v>
      </c>
      <c r="K121" s="4">
        <f t="shared" si="35"/>
        <v>3.966666666666667E-3</v>
      </c>
      <c r="L121">
        <f t="shared" si="36"/>
        <v>273.09725737509882</v>
      </c>
      <c r="M121">
        <f t="shared" si="37"/>
        <v>275.04806027912258</v>
      </c>
      <c r="N121">
        <f t="shared" si="38"/>
        <v>-1.9508029040237602</v>
      </c>
      <c r="O121" s="39">
        <f t="shared" si="39"/>
        <v>-7.0925892080244395E-3</v>
      </c>
      <c r="Q121">
        <f t="shared" si="40"/>
        <v>186.90876262080798</v>
      </c>
      <c r="R121">
        <f t="shared" si="41"/>
        <v>203.68398149538834</v>
      </c>
      <c r="S121">
        <f t="shared" si="42"/>
        <v>-16.775218874580361</v>
      </c>
      <c r="T121" s="39">
        <f t="shared" si="43"/>
        <v>-8.2359048322904929E-2</v>
      </c>
      <c r="U121">
        <f t="shared" si="44"/>
        <v>2017</v>
      </c>
      <c r="V121">
        <f t="shared" si="45"/>
        <v>2017</v>
      </c>
    </row>
    <row r="122" spans="1:22" x14ac:dyDescent="0.25">
      <c r="A122" t="s">
        <v>52</v>
      </c>
      <c r="B122" t="s">
        <v>53</v>
      </c>
      <c r="C122" s="1">
        <v>42865</v>
      </c>
      <c r="D122">
        <v>9407.2999999999993</v>
      </c>
      <c r="E122" s="1">
        <v>42873</v>
      </c>
      <c r="F122">
        <v>9429.4500000000007</v>
      </c>
      <c r="G122" s="2">
        <v>2.3999999999999998E-3</v>
      </c>
      <c r="H122" s="40">
        <f t="shared" si="32"/>
        <v>8</v>
      </c>
      <c r="I122" s="4">
        <f t="shared" si="33"/>
        <v>1.5E-3</v>
      </c>
      <c r="J122" s="4">
        <f t="shared" si="34"/>
        <v>1.3333333333333333E-3</v>
      </c>
      <c r="K122" s="4">
        <f t="shared" si="35"/>
        <v>-4.3333333333333375E-4</v>
      </c>
      <c r="L122">
        <f t="shared" si="36"/>
        <v>273.75269079279906</v>
      </c>
      <c r="M122">
        <f t="shared" si="37"/>
        <v>275.04806027912258</v>
      </c>
      <c r="N122">
        <f t="shared" si="38"/>
        <v>-1.2953694863235228</v>
      </c>
      <c r="O122" s="39">
        <f t="shared" si="39"/>
        <v>-4.7096114221236969E-3</v>
      </c>
      <c r="Q122">
        <f t="shared" si="40"/>
        <v>186.8277688236723</v>
      </c>
      <c r="R122">
        <f t="shared" si="41"/>
        <v>203.68398149538834</v>
      </c>
      <c r="S122">
        <f t="shared" si="42"/>
        <v>-16.856212671716037</v>
      </c>
      <c r="T122" s="39">
        <f t="shared" si="43"/>
        <v>-8.2756692735298301E-2</v>
      </c>
      <c r="U122">
        <f t="shared" si="44"/>
        <v>2017</v>
      </c>
      <c r="V122">
        <f t="shared" si="45"/>
        <v>2017</v>
      </c>
    </row>
    <row r="123" spans="1:22" x14ac:dyDescent="0.25">
      <c r="A123" t="s">
        <v>52</v>
      </c>
      <c r="B123" t="s">
        <v>53</v>
      </c>
      <c r="C123" s="1">
        <v>42880</v>
      </c>
      <c r="D123">
        <v>9509.75</v>
      </c>
      <c r="E123" s="1">
        <v>42899</v>
      </c>
      <c r="F123">
        <v>9606.9</v>
      </c>
      <c r="G123" s="2">
        <v>1.0200000000000001E-2</v>
      </c>
      <c r="H123" s="40">
        <f t="shared" si="32"/>
        <v>19</v>
      </c>
      <c r="I123" s="4">
        <f t="shared" si="33"/>
        <v>1.5E-3</v>
      </c>
      <c r="J123" s="4">
        <f t="shared" si="34"/>
        <v>3.1666666666666666E-3</v>
      </c>
      <c r="K123" s="4">
        <f t="shared" si="35"/>
        <v>5.5333333333333345E-3</v>
      </c>
      <c r="L123">
        <f t="shared" si="36"/>
        <v>276.54496823888559</v>
      </c>
      <c r="M123">
        <f t="shared" si="37"/>
        <v>276.54496823888559</v>
      </c>
      <c r="N123" t="str">
        <f t="shared" si="38"/>
        <v/>
      </c>
      <c r="O123" s="39">
        <f t="shared" si="39"/>
        <v>0</v>
      </c>
      <c r="Q123">
        <f t="shared" si="40"/>
        <v>187.86154914449662</v>
      </c>
      <c r="R123">
        <f t="shared" si="41"/>
        <v>203.68398149538834</v>
      </c>
      <c r="S123">
        <f t="shared" si="42"/>
        <v>-15.822432350891717</v>
      </c>
      <c r="T123" s="39">
        <f t="shared" si="43"/>
        <v>-7.7681279768433614E-2</v>
      </c>
      <c r="U123">
        <f t="shared" si="44"/>
        <v>2017</v>
      </c>
      <c r="V123">
        <f t="shared" si="45"/>
        <v>2017</v>
      </c>
    </row>
    <row r="124" spans="1:22" x14ac:dyDescent="0.25">
      <c r="A124" t="s">
        <v>52</v>
      </c>
      <c r="B124" t="s">
        <v>53</v>
      </c>
      <c r="C124" s="1">
        <v>42905</v>
      </c>
      <c r="D124">
        <v>9657.5499999999993</v>
      </c>
      <c r="E124" s="1">
        <v>42909</v>
      </c>
      <c r="F124">
        <v>9574.9500000000007</v>
      </c>
      <c r="G124" s="2">
        <v>-8.6E-3</v>
      </c>
      <c r="H124" s="40">
        <f t="shared" si="32"/>
        <v>4</v>
      </c>
      <c r="I124" s="4">
        <f t="shared" si="33"/>
        <v>1.5E-3</v>
      </c>
      <c r="J124" s="4">
        <f t="shared" si="34"/>
        <v>6.6666666666666664E-4</v>
      </c>
      <c r="K124" s="4">
        <f t="shared" si="35"/>
        <v>-1.0766666666666667E-2</v>
      </c>
      <c r="L124">
        <f t="shared" si="36"/>
        <v>274.16668151203118</v>
      </c>
      <c r="M124">
        <f t="shared" si="37"/>
        <v>276.54496823888559</v>
      </c>
      <c r="N124">
        <f t="shared" si="38"/>
        <v>-2.3782867268544123</v>
      </c>
      <c r="O124" s="39">
        <f t="shared" si="39"/>
        <v>-8.5999999999999861E-3</v>
      </c>
      <c r="Q124">
        <f t="shared" si="40"/>
        <v>185.83890646537421</v>
      </c>
      <c r="R124">
        <f t="shared" si="41"/>
        <v>203.68398149538834</v>
      </c>
      <c r="S124">
        <f t="shared" si="42"/>
        <v>-17.845075030014129</v>
      </c>
      <c r="T124" s="39">
        <f t="shared" si="43"/>
        <v>-8.7611577989593473E-2</v>
      </c>
      <c r="U124">
        <f t="shared" si="44"/>
        <v>2017</v>
      </c>
      <c r="V124">
        <f t="shared" si="45"/>
        <v>2017</v>
      </c>
    </row>
    <row r="125" spans="1:22" x14ac:dyDescent="0.25">
      <c r="A125" t="s">
        <v>52</v>
      </c>
      <c r="B125" t="s">
        <v>53</v>
      </c>
      <c r="C125" s="1">
        <v>42919</v>
      </c>
      <c r="D125">
        <v>9615</v>
      </c>
      <c r="E125" s="1">
        <v>42934</v>
      </c>
      <c r="F125">
        <v>9827.15</v>
      </c>
      <c r="G125" s="2">
        <v>2.2100000000000002E-2</v>
      </c>
      <c r="H125" s="40">
        <f t="shared" si="32"/>
        <v>15</v>
      </c>
      <c r="I125" s="4">
        <f t="shared" si="33"/>
        <v>1.5E-3</v>
      </c>
      <c r="J125" s="4">
        <f t="shared" si="34"/>
        <v>2.5000000000000001E-3</v>
      </c>
      <c r="K125" s="4">
        <f t="shared" si="35"/>
        <v>1.8100000000000002E-2</v>
      </c>
      <c r="L125">
        <f t="shared" si="36"/>
        <v>280.22576517344709</v>
      </c>
      <c r="M125">
        <f t="shared" si="37"/>
        <v>280.22576517344709</v>
      </c>
      <c r="N125" t="str">
        <f t="shared" si="38"/>
        <v/>
      </c>
      <c r="O125" s="39">
        <f t="shared" si="39"/>
        <v>0</v>
      </c>
      <c r="Q125">
        <f t="shared" si="40"/>
        <v>189.20259067239749</v>
      </c>
      <c r="R125">
        <f t="shared" si="41"/>
        <v>203.68398149538834</v>
      </c>
      <c r="S125">
        <f t="shared" si="42"/>
        <v>-14.481390822990846</v>
      </c>
      <c r="T125" s="39">
        <f t="shared" si="43"/>
        <v>-7.1097347551205073E-2</v>
      </c>
      <c r="U125">
        <f t="shared" si="44"/>
        <v>2017</v>
      </c>
      <c r="V125">
        <f t="shared" si="45"/>
        <v>2017</v>
      </c>
    </row>
    <row r="126" spans="1:22" x14ac:dyDescent="0.25">
      <c r="A126" t="s">
        <v>52</v>
      </c>
      <c r="B126" t="s">
        <v>53</v>
      </c>
      <c r="C126" s="1">
        <v>42937</v>
      </c>
      <c r="D126">
        <v>9915.25</v>
      </c>
      <c r="E126" s="1">
        <v>42950</v>
      </c>
      <c r="F126">
        <v>10013.65</v>
      </c>
      <c r="G126" s="2">
        <v>9.9000000000000008E-3</v>
      </c>
      <c r="H126" s="40">
        <f t="shared" si="32"/>
        <v>13</v>
      </c>
      <c r="I126" s="4">
        <f t="shared" si="33"/>
        <v>1.5E-3</v>
      </c>
      <c r="J126" s="4">
        <f t="shared" si="34"/>
        <v>2.166666666666667E-3</v>
      </c>
      <c r="K126" s="4">
        <f t="shared" si="35"/>
        <v>6.2333333333333338E-3</v>
      </c>
      <c r="L126">
        <f t="shared" si="36"/>
        <v>283.00000024866421</v>
      </c>
      <c r="M126">
        <f t="shared" si="37"/>
        <v>283.00000024866421</v>
      </c>
      <c r="N126" t="str">
        <f t="shared" si="38"/>
        <v/>
      </c>
      <c r="O126" s="39">
        <f t="shared" si="39"/>
        <v>0</v>
      </c>
      <c r="Q126">
        <f t="shared" si="40"/>
        <v>190.38195348758876</v>
      </c>
      <c r="R126">
        <f t="shared" si="41"/>
        <v>203.68398149538834</v>
      </c>
      <c r="S126">
        <f t="shared" si="42"/>
        <v>-13.302028007799578</v>
      </c>
      <c r="T126" s="39">
        <f t="shared" si="43"/>
        <v>-6.5307187684274293E-2</v>
      </c>
      <c r="U126">
        <f t="shared" si="44"/>
        <v>2017</v>
      </c>
      <c r="V126">
        <f t="shared" si="45"/>
        <v>2017</v>
      </c>
    </row>
    <row r="127" spans="1:22" x14ac:dyDescent="0.25">
      <c r="A127" t="s">
        <v>52</v>
      </c>
      <c r="B127" t="s">
        <v>53</v>
      </c>
      <c r="C127" s="1">
        <v>42963</v>
      </c>
      <c r="D127">
        <v>9897.2999999999993</v>
      </c>
      <c r="E127" s="1">
        <v>42968</v>
      </c>
      <c r="F127">
        <v>9754.35</v>
      </c>
      <c r="G127" s="2">
        <v>-1.44E-2</v>
      </c>
      <c r="H127" s="40">
        <f t="shared" si="32"/>
        <v>5</v>
      </c>
      <c r="I127" s="4">
        <f t="shared" si="33"/>
        <v>1.5E-3</v>
      </c>
      <c r="J127" s="4">
        <f t="shared" si="34"/>
        <v>8.3333333333333328E-4</v>
      </c>
      <c r="K127" s="4">
        <f t="shared" si="35"/>
        <v>-1.6733333333333333E-2</v>
      </c>
      <c r="L127">
        <f t="shared" si="36"/>
        <v>278.92480024508347</v>
      </c>
      <c r="M127">
        <f t="shared" si="37"/>
        <v>283.00000024866421</v>
      </c>
      <c r="N127">
        <f t="shared" si="38"/>
        <v>-4.0752000035807328</v>
      </c>
      <c r="O127" s="39">
        <f t="shared" si="39"/>
        <v>-1.4399999999999887E-2</v>
      </c>
      <c r="Q127">
        <f t="shared" si="40"/>
        <v>187.19622879922977</v>
      </c>
      <c r="R127">
        <f t="shared" si="41"/>
        <v>203.68398149538834</v>
      </c>
      <c r="S127">
        <f t="shared" si="42"/>
        <v>-16.487752696158566</v>
      </c>
      <c r="T127" s="39">
        <f t="shared" si="43"/>
        <v>-8.0947714077024113E-2</v>
      </c>
      <c r="U127">
        <f t="shared" si="44"/>
        <v>2017</v>
      </c>
      <c r="V127">
        <f t="shared" si="45"/>
        <v>2017</v>
      </c>
    </row>
    <row r="128" spans="1:22" x14ac:dyDescent="0.25">
      <c r="A128" t="s">
        <v>52</v>
      </c>
      <c r="B128" t="s">
        <v>53</v>
      </c>
      <c r="C128" s="1">
        <v>42975</v>
      </c>
      <c r="D128">
        <v>9912.7999999999993</v>
      </c>
      <c r="E128" s="1">
        <v>42976</v>
      </c>
      <c r="F128">
        <v>9796.0499999999993</v>
      </c>
      <c r="G128" s="2">
        <v>-1.18E-2</v>
      </c>
      <c r="H128" s="40">
        <f t="shared" si="32"/>
        <v>1</v>
      </c>
      <c r="I128" s="4">
        <f t="shared" si="33"/>
        <v>1.5E-3</v>
      </c>
      <c r="J128" s="4">
        <f t="shared" si="34"/>
        <v>1.6666666666666666E-4</v>
      </c>
      <c r="K128" s="4">
        <f t="shared" si="35"/>
        <v>-1.3466666666666667E-2</v>
      </c>
      <c r="L128">
        <f t="shared" si="36"/>
        <v>275.63348760219151</v>
      </c>
      <c r="M128">
        <f t="shared" si="37"/>
        <v>283.00000024866421</v>
      </c>
      <c r="N128">
        <f t="shared" si="38"/>
        <v>-7.3665126464726995</v>
      </c>
      <c r="O128" s="39">
        <f t="shared" si="39"/>
        <v>-2.6030079999999824E-2</v>
      </c>
      <c r="Q128">
        <f t="shared" si="40"/>
        <v>184.67531958473347</v>
      </c>
      <c r="R128">
        <f t="shared" si="41"/>
        <v>203.68398149538834</v>
      </c>
      <c r="S128">
        <f t="shared" si="42"/>
        <v>-19.008661910654865</v>
      </c>
      <c r="T128" s="39">
        <f t="shared" si="43"/>
        <v>-9.332428486078688E-2</v>
      </c>
      <c r="U128">
        <f t="shared" si="44"/>
        <v>2017</v>
      </c>
      <c r="V128">
        <f t="shared" si="45"/>
        <v>2017</v>
      </c>
    </row>
    <row r="129" spans="1:22" x14ac:dyDescent="0.25">
      <c r="A129" t="s">
        <v>52</v>
      </c>
      <c r="B129" t="s">
        <v>53</v>
      </c>
      <c r="C129" s="1">
        <v>42978</v>
      </c>
      <c r="D129">
        <v>9917.9</v>
      </c>
      <c r="E129" s="1">
        <v>43000</v>
      </c>
      <c r="F129">
        <v>9964.4</v>
      </c>
      <c r="G129" s="2">
        <v>4.7000000000000002E-3</v>
      </c>
      <c r="H129" s="40">
        <f t="shared" si="32"/>
        <v>22</v>
      </c>
      <c r="I129" s="4">
        <f t="shared" si="33"/>
        <v>1.5E-3</v>
      </c>
      <c r="J129" s="4">
        <f t="shared" si="34"/>
        <v>3.6666666666666666E-3</v>
      </c>
      <c r="K129" s="4">
        <f t="shared" si="35"/>
        <v>-4.6666666666666645E-4</v>
      </c>
      <c r="L129">
        <f t="shared" si="36"/>
        <v>276.9289649939218</v>
      </c>
      <c r="M129">
        <f t="shared" si="37"/>
        <v>283.00000024866421</v>
      </c>
      <c r="N129">
        <f t="shared" si="38"/>
        <v>-6.0710352547424122</v>
      </c>
      <c r="O129" s="39">
        <f t="shared" si="39"/>
        <v>-2.1452421375999869E-2</v>
      </c>
      <c r="Q129">
        <f t="shared" si="40"/>
        <v>184.58913776892726</v>
      </c>
      <c r="R129">
        <f t="shared" si="41"/>
        <v>203.68398149538834</v>
      </c>
      <c r="S129">
        <f t="shared" si="42"/>
        <v>-19.094843726461079</v>
      </c>
      <c r="T129" s="39">
        <f t="shared" si="43"/>
        <v>-9.3747400194518535E-2</v>
      </c>
      <c r="U129">
        <f t="shared" si="44"/>
        <v>2017</v>
      </c>
      <c r="V129">
        <f t="shared" si="45"/>
        <v>2017</v>
      </c>
    </row>
    <row r="130" spans="1:22" x14ac:dyDescent="0.25">
      <c r="A130" t="s">
        <v>52</v>
      </c>
      <c r="B130" t="s">
        <v>53</v>
      </c>
      <c r="C130" s="1">
        <v>43012</v>
      </c>
      <c r="D130">
        <v>9914.9</v>
      </c>
      <c r="E130" s="1">
        <v>43046</v>
      </c>
      <c r="F130">
        <v>10350.15</v>
      </c>
      <c r="G130" s="2">
        <v>4.3900000000000002E-2</v>
      </c>
      <c r="H130" s="40">
        <f t="shared" si="32"/>
        <v>34</v>
      </c>
      <c r="I130" s="4">
        <f t="shared" si="33"/>
        <v>1.5E-3</v>
      </c>
      <c r="J130" s="4">
        <f t="shared" si="34"/>
        <v>5.6666666666666662E-3</v>
      </c>
      <c r="K130" s="4">
        <f t="shared" si="35"/>
        <v>3.6733333333333333E-2</v>
      </c>
      <c r="L130">
        <f t="shared" si="36"/>
        <v>289.08614655715496</v>
      </c>
      <c r="M130">
        <f t="shared" si="37"/>
        <v>289.08614655715496</v>
      </c>
      <c r="N130" t="str">
        <f t="shared" si="38"/>
        <v/>
      </c>
      <c r="O130" s="39">
        <f t="shared" si="39"/>
        <v>0</v>
      </c>
      <c r="Q130">
        <f t="shared" si="40"/>
        <v>191.36971209630585</v>
      </c>
      <c r="R130">
        <f t="shared" si="41"/>
        <v>203.68398149538834</v>
      </c>
      <c r="S130">
        <f t="shared" si="42"/>
        <v>-12.314269399082491</v>
      </c>
      <c r="T130" s="39">
        <f t="shared" si="43"/>
        <v>-6.0457721361663885E-2</v>
      </c>
      <c r="U130">
        <f t="shared" si="44"/>
        <v>2017</v>
      </c>
      <c r="V130">
        <f t="shared" si="45"/>
        <v>2017</v>
      </c>
    </row>
    <row r="131" spans="1:22" x14ac:dyDescent="0.25">
      <c r="A131" t="s">
        <v>52</v>
      </c>
      <c r="B131" t="s">
        <v>53</v>
      </c>
      <c r="C131" s="1">
        <v>43056</v>
      </c>
      <c r="D131">
        <v>10283.6</v>
      </c>
      <c r="E131" s="1">
        <v>43069</v>
      </c>
      <c r="F131">
        <v>10226.549999999999</v>
      </c>
      <c r="G131" s="2">
        <v>-5.4999999999999997E-3</v>
      </c>
      <c r="H131" s="40">
        <f t="shared" si="32"/>
        <v>13</v>
      </c>
      <c r="I131" s="4">
        <f t="shared" si="33"/>
        <v>1.5E-3</v>
      </c>
      <c r="J131" s="4">
        <f t="shared" si="34"/>
        <v>2.166666666666667E-3</v>
      </c>
      <c r="K131" s="4">
        <f t="shared" si="35"/>
        <v>-9.1666666666666667E-3</v>
      </c>
      <c r="L131">
        <f t="shared" si="36"/>
        <v>287.49617275109063</v>
      </c>
      <c r="M131">
        <f t="shared" si="37"/>
        <v>289.08614655715496</v>
      </c>
      <c r="N131">
        <f t="shared" si="38"/>
        <v>-1.5899738060643358</v>
      </c>
      <c r="O131" s="39">
        <f t="shared" si="39"/>
        <v>-5.4999999999999433E-3</v>
      </c>
      <c r="Q131">
        <f t="shared" si="40"/>
        <v>189.61548973542304</v>
      </c>
      <c r="R131">
        <f t="shared" si="41"/>
        <v>203.68398149538834</v>
      </c>
      <c r="S131">
        <f t="shared" si="42"/>
        <v>-14.068491759965298</v>
      </c>
      <c r="T131" s="39">
        <f t="shared" si="43"/>
        <v>-6.9070192249181983E-2</v>
      </c>
      <c r="U131">
        <f t="shared" si="44"/>
        <v>2017</v>
      </c>
      <c r="V131">
        <f t="shared" si="45"/>
        <v>2017</v>
      </c>
    </row>
    <row r="132" spans="1:22" x14ac:dyDescent="0.25">
      <c r="A132" t="s">
        <v>52</v>
      </c>
      <c r="B132" t="s">
        <v>53</v>
      </c>
      <c r="C132" s="1">
        <v>43077</v>
      </c>
      <c r="D132">
        <v>10265.65</v>
      </c>
      <c r="E132" s="1">
        <v>43082</v>
      </c>
      <c r="F132">
        <v>10192.950000000001</v>
      </c>
      <c r="G132" s="2">
        <v>-7.1000000000000004E-3</v>
      </c>
      <c r="H132" s="40">
        <f t="shared" si="32"/>
        <v>5</v>
      </c>
      <c r="I132" s="4">
        <f t="shared" si="33"/>
        <v>1.5E-3</v>
      </c>
      <c r="J132" s="4">
        <f t="shared" si="34"/>
        <v>8.3333333333333328E-4</v>
      </c>
      <c r="K132" s="4">
        <f t="shared" si="35"/>
        <v>-9.4333333333333335E-3</v>
      </c>
      <c r="L132">
        <f t="shared" si="36"/>
        <v>285.45494992455787</v>
      </c>
      <c r="M132">
        <f t="shared" si="37"/>
        <v>289.08614655715496</v>
      </c>
      <c r="N132">
        <f t="shared" si="38"/>
        <v>-3.6311966325970957</v>
      </c>
      <c r="O132" s="39">
        <f t="shared" si="39"/>
        <v>-1.256095E-2</v>
      </c>
      <c r="Q132">
        <f t="shared" si="40"/>
        <v>187.82678361558555</v>
      </c>
      <c r="R132">
        <f t="shared" si="41"/>
        <v>203.68398149538834</v>
      </c>
      <c r="S132">
        <f t="shared" si="42"/>
        <v>-15.857197879802783</v>
      </c>
      <c r="T132" s="39">
        <f t="shared" si="43"/>
        <v>-7.7851963435631333E-2</v>
      </c>
      <c r="U132">
        <f t="shared" si="44"/>
        <v>2017</v>
      </c>
      <c r="V132">
        <f t="shared" si="45"/>
        <v>2017</v>
      </c>
    </row>
    <row r="133" spans="1:22" x14ac:dyDescent="0.25">
      <c r="A133" t="s">
        <v>52</v>
      </c>
      <c r="B133" t="s">
        <v>53</v>
      </c>
      <c r="C133" s="1">
        <v>43084</v>
      </c>
      <c r="D133">
        <v>10333.25</v>
      </c>
      <c r="E133" s="1">
        <v>43101</v>
      </c>
      <c r="F133">
        <v>10435.549999999999</v>
      </c>
      <c r="G133" s="2">
        <v>9.9000000000000008E-3</v>
      </c>
      <c r="H133" s="40">
        <f t="shared" si="32"/>
        <v>17</v>
      </c>
      <c r="I133" s="4">
        <f t="shared" si="33"/>
        <v>1.5E-3</v>
      </c>
      <c r="J133" s="4">
        <f t="shared" si="34"/>
        <v>2.8333333333333331E-3</v>
      </c>
      <c r="K133" s="4">
        <f t="shared" si="35"/>
        <v>5.5666666666666677E-3</v>
      </c>
      <c r="L133">
        <f t="shared" si="36"/>
        <v>288.28095392881102</v>
      </c>
      <c r="M133">
        <f t="shared" si="37"/>
        <v>289.08614655715496</v>
      </c>
      <c r="N133">
        <f t="shared" si="38"/>
        <v>-0.80519262834394567</v>
      </c>
      <c r="O133" s="39">
        <f t="shared" si="39"/>
        <v>-2.7853034049999063E-3</v>
      </c>
      <c r="Q133">
        <f t="shared" si="40"/>
        <v>188.87235271104566</v>
      </c>
      <c r="R133">
        <f t="shared" si="41"/>
        <v>203.68398149538834</v>
      </c>
      <c r="S133">
        <f t="shared" si="42"/>
        <v>-14.811628784342673</v>
      </c>
      <c r="T133" s="39">
        <f t="shared" si="43"/>
        <v>-7.2718672698756273E-2</v>
      </c>
      <c r="U133">
        <f t="shared" si="44"/>
        <v>2018</v>
      </c>
      <c r="V133">
        <f t="shared" si="45"/>
        <v>2017</v>
      </c>
    </row>
    <row r="134" spans="1:22" x14ac:dyDescent="0.25">
      <c r="A134" t="s">
        <v>52</v>
      </c>
      <c r="B134" t="s">
        <v>53</v>
      </c>
      <c r="C134" s="1">
        <v>43105</v>
      </c>
      <c r="D134">
        <v>10558.85</v>
      </c>
      <c r="E134" s="1">
        <v>43131</v>
      </c>
      <c r="F134">
        <v>11027.7</v>
      </c>
      <c r="G134" s="2">
        <v>4.4400000000000002E-2</v>
      </c>
      <c r="H134" s="40">
        <f t="shared" si="32"/>
        <v>26</v>
      </c>
      <c r="I134" s="4">
        <f t="shared" si="33"/>
        <v>1.5E-3</v>
      </c>
      <c r="J134" s="4">
        <f t="shared" si="34"/>
        <v>4.333333333333334E-3</v>
      </c>
      <c r="K134" s="4">
        <f t="shared" si="35"/>
        <v>3.8566666666666666E-2</v>
      </c>
      <c r="L134">
        <f t="shared" si="36"/>
        <v>301.08062828325023</v>
      </c>
      <c r="M134">
        <f t="shared" si="37"/>
        <v>301.08062828325023</v>
      </c>
      <c r="N134" t="str">
        <f t="shared" si="38"/>
        <v/>
      </c>
      <c r="O134" s="39">
        <f t="shared" si="39"/>
        <v>0</v>
      </c>
      <c r="Q134">
        <f t="shared" si="40"/>
        <v>196.15652978060166</v>
      </c>
      <c r="R134">
        <f t="shared" si="41"/>
        <v>203.68398149538834</v>
      </c>
      <c r="S134">
        <f t="shared" si="42"/>
        <v>-7.5274517147866788</v>
      </c>
      <c r="T134" s="39">
        <f t="shared" si="43"/>
        <v>-3.6956522842504974E-2</v>
      </c>
      <c r="U134">
        <f t="shared" si="44"/>
        <v>2018</v>
      </c>
      <c r="V134">
        <f t="shared" si="45"/>
        <v>2018</v>
      </c>
    </row>
    <row r="135" spans="1:22" x14ac:dyDescent="0.25">
      <c r="A135" t="s">
        <v>52</v>
      </c>
      <c r="B135" t="s">
        <v>53</v>
      </c>
      <c r="C135" s="1">
        <v>43518</v>
      </c>
      <c r="D135">
        <v>10791.65</v>
      </c>
      <c r="E135" s="1">
        <v>43549</v>
      </c>
      <c r="F135">
        <v>11354.25</v>
      </c>
      <c r="G135" s="2">
        <v>5.21E-2</v>
      </c>
      <c r="H135" s="40">
        <f t="shared" si="32"/>
        <v>31</v>
      </c>
      <c r="I135" s="4">
        <f t="shared" si="33"/>
        <v>1.5E-3</v>
      </c>
      <c r="J135" s="4">
        <f t="shared" si="34"/>
        <v>5.1666666666666675E-3</v>
      </c>
      <c r="K135" s="4">
        <f t="shared" si="35"/>
        <v>4.5433333333333333E-2</v>
      </c>
      <c r="L135">
        <f t="shared" si="36"/>
        <v>316.76692901680758</v>
      </c>
      <c r="M135">
        <f t="shared" si="37"/>
        <v>316.76692901680758</v>
      </c>
      <c r="N135" t="str">
        <f t="shared" si="38"/>
        <v/>
      </c>
      <c r="O135" s="39">
        <f t="shared" si="39"/>
        <v>0</v>
      </c>
      <c r="Q135">
        <f t="shared" si="40"/>
        <v>205.06857478363369</v>
      </c>
      <c r="R135">
        <f t="shared" si="41"/>
        <v>205.06857478363369</v>
      </c>
      <c r="S135" t="str">
        <f t="shared" si="42"/>
        <v/>
      </c>
      <c r="T135" s="39">
        <f t="shared" si="43"/>
        <v>0</v>
      </c>
      <c r="U135">
        <f t="shared" si="44"/>
        <v>2019</v>
      </c>
      <c r="V135">
        <f t="shared" si="45"/>
        <v>2019</v>
      </c>
    </row>
    <row r="136" spans="1:22" x14ac:dyDescent="0.25">
      <c r="A136" t="s">
        <v>52</v>
      </c>
      <c r="B136" t="s">
        <v>53</v>
      </c>
      <c r="C136" s="1">
        <v>43550</v>
      </c>
      <c r="D136">
        <v>11483.25</v>
      </c>
      <c r="E136" s="1">
        <v>43565</v>
      </c>
      <c r="F136">
        <v>11584.3</v>
      </c>
      <c r="G136" s="2">
        <v>8.8000000000000005E-3</v>
      </c>
      <c r="H136" s="40">
        <f t="shared" si="32"/>
        <v>15</v>
      </c>
      <c r="I136" s="4">
        <f t="shared" si="33"/>
        <v>1.5E-3</v>
      </c>
      <c r="J136" s="4">
        <f t="shared" si="34"/>
        <v>2.5000000000000001E-3</v>
      </c>
      <c r="K136" s="4">
        <f t="shared" si="35"/>
        <v>4.8000000000000004E-3</v>
      </c>
      <c r="L136">
        <f t="shared" si="36"/>
        <v>319.55447799215546</v>
      </c>
      <c r="M136">
        <f t="shared" si="37"/>
        <v>319.55447799215546</v>
      </c>
      <c r="N136" t="str">
        <f t="shared" si="38"/>
        <v/>
      </c>
      <c r="O136" s="39">
        <f t="shared" si="39"/>
        <v>0</v>
      </c>
      <c r="Q136">
        <f t="shared" si="40"/>
        <v>206.05290394259512</v>
      </c>
      <c r="R136">
        <f t="shared" si="41"/>
        <v>206.05290394259512</v>
      </c>
      <c r="S136" t="str">
        <f t="shared" si="42"/>
        <v/>
      </c>
      <c r="T136" s="39">
        <f t="shared" si="43"/>
        <v>0</v>
      </c>
      <c r="U136">
        <f t="shared" si="44"/>
        <v>2019</v>
      </c>
      <c r="V136">
        <f t="shared" si="45"/>
        <v>2019</v>
      </c>
    </row>
    <row r="137" spans="1:22" x14ac:dyDescent="0.25">
      <c r="A137" t="s">
        <v>52</v>
      </c>
      <c r="B137" t="s">
        <v>53</v>
      </c>
      <c r="C137" s="1">
        <v>43570</v>
      </c>
      <c r="D137">
        <v>11690.35</v>
      </c>
      <c r="E137" s="1">
        <v>43577</v>
      </c>
      <c r="F137">
        <v>11594.45</v>
      </c>
      <c r="G137" s="2">
        <v>-8.2000000000000007E-3</v>
      </c>
      <c r="H137" s="40">
        <f t="shared" si="32"/>
        <v>7</v>
      </c>
      <c r="I137" s="4">
        <f t="shared" si="33"/>
        <v>1.5E-3</v>
      </c>
      <c r="J137" s="4">
        <f t="shared" si="34"/>
        <v>1.1666666666666668E-3</v>
      </c>
      <c r="K137" s="4">
        <f t="shared" si="35"/>
        <v>-1.0866666666666667E-2</v>
      </c>
      <c r="L137">
        <f t="shared" si="36"/>
        <v>316.93413127261977</v>
      </c>
      <c r="M137">
        <f t="shared" si="37"/>
        <v>319.55447799215546</v>
      </c>
      <c r="N137">
        <f t="shared" si="38"/>
        <v>-2.6203467195356893</v>
      </c>
      <c r="O137" s="39">
        <f t="shared" si="39"/>
        <v>-8.2000000000000458E-3</v>
      </c>
      <c r="Q137">
        <f t="shared" si="40"/>
        <v>203.81379571975225</v>
      </c>
      <c r="R137">
        <f t="shared" si="41"/>
        <v>206.05290394259512</v>
      </c>
      <c r="S137">
        <f t="shared" si="42"/>
        <v>-2.2391082228428729</v>
      </c>
      <c r="T137" s="39">
        <f t="shared" si="43"/>
        <v>-1.0866666666666695E-2</v>
      </c>
      <c r="U137">
        <f t="shared" si="44"/>
        <v>2019</v>
      </c>
      <c r="V137">
        <f t="shared" si="45"/>
        <v>2019</v>
      </c>
    </row>
    <row r="138" spans="1:22" x14ac:dyDescent="0.25">
      <c r="A138" t="s">
        <v>52</v>
      </c>
      <c r="B138" t="s">
        <v>53</v>
      </c>
      <c r="C138" s="1">
        <v>43579</v>
      </c>
      <c r="D138">
        <v>11726.15</v>
      </c>
      <c r="E138" s="1">
        <v>43591</v>
      </c>
      <c r="F138">
        <v>11598.25</v>
      </c>
      <c r="G138" s="2">
        <v>-1.09E-2</v>
      </c>
      <c r="H138" s="40">
        <f t="shared" si="32"/>
        <v>12</v>
      </c>
      <c r="I138" s="4">
        <f t="shared" si="33"/>
        <v>1.5E-3</v>
      </c>
      <c r="J138" s="4">
        <f t="shared" si="34"/>
        <v>2E-3</v>
      </c>
      <c r="K138" s="4">
        <f t="shared" si="35"/>
        <v>-1.44E-2</v>
      </c>
      <c r="L138">
        <f t="shared" si="36"/>
        <v>313.4795492417482</v>
      </c>
      <c r="M138">
        <f t="shared" si="37"/>
        <v>319.55447799215546</v>
      </c>
      <c r="N138">
        <f t="shared" si="38"/>
        <v>-6.0749287504072527</v>
      </c>
      <c r="O138" s="39">
        <f t="shared" si="39"/>
        <v>-1.9010620000000068E-2</v>
      </c>
      <c r="Q138">
        <f t="shared" si="40"/>
        <v>200.87887706138781</v>
      </c>
      <c r="R138">
        <f t="shared" si="41"/>
        <v>206.05290394259512</v>
      </c>
      <c r="S138">
        <f t="shared" si="42"/>
        <v>-5.1740268812073111</v>
      </c>
      <c r="T138" s="39">
        <f t="shared" si="43"/>
        <v>-2.5110186666666725E-2</v>
      </c>
      <c r="U138">
        <f t="shared" si="44"/>
        <v>2019</v>
      </c>
      <c r="V138">
        <f t="shared" si="45"/>
        <v>2019</v>
      </c>
    </row>
    <row r="139" spans="1:22" x14ac:dyDescent="0.25">
      <c r="A139" t="s">
        <v>52</v>
      </c>
      <c r="B139" t="s">
        <v>53</v>
      </c>
      <c r="C139" s="1">
        <v>43700</v>
      </c>
      <c r="D139">
        <v>10829.35</v>
      </c>
      <c r="E139" s="1">
        <v>43711</v>
      </c>
      <c r="F139">
        <v>10797.9</v>
      </c>
      <c r="G139" s="2">
        <v>-2.8999999999999998E-3</v>
      </c>
      <c r="H139" s="40">
        <f t="shared" si="32"/>
        <v>11</v>
      </c>
      <c r="I139" s="4">
        <f t="shared" si="33"/>
        <v>1.5E-3</v>
      </c>
      <c r="J139" s="4">
        <f t="shared" si="34"/>
        <v>1.8333333333333333E-3</v>
      </c>
      <c r="K139" s="4">
        <f t="shared" si="35"/>
        <v>-6.2333333333333329E-3</v>
      </c>
      <c r="L139">
        <f t="shared" si="36"/>
        <v>312.5704585489471</v>
      </c>
      <c r="M139">
        <f t="shared" si="37"/>
        <v>319.55447799215546</v>
      </c>
      <c r="N139">
        <f t="shared" si="38"/>
        <v>-6.9840194432083536</v>
      </c>
      <c r="O139" s="39">
        <f t="shared" si="39"/>
        <v>-2.1855489202000165E-2</v>
      </c>
      <c r="Q139">
        <f t="shared" si="40"/>
        <v>199.6267320610385</v>
      </c>
      <c r="R139">
        <f t="shared" si="41"/>
        <v>206.05290394259512</v>
      </c>
      <c r="S139">
        <f t="shared" si="42"/>
        <v>-6.4261718815566269</v>
      </c>
      <c r="T139" s="39">
        <f t="shared" si="43"/>
        <v>-3.1186999836444494E-2</v>
      </c>
      <c r="U139">
        <f t="shared" si="44"/>
        <v>2019</v>
      </c>
      <c r="V139">
        <f t="shared" si="45"/>
        <v>2019</v>
      </c>
    </row>
    <row r="140" spans="1:22" x14ac:dyDescent="0.25">
      <c r="A140" t="s">
        <v>52</v>
      </c>
      <c r="B140" t="s">
        <v>53</v>
      </c>
      <c r="C140" s="1">
        <v>43717</v>
      </c>
      <c r="D140">
        <v>11003.05</v>
      </c>
      <c r="E140" s="1">
        <v>43725</v>
      </c>
      <c r="F140">
        <v>10817.6</v>
      </c>
      <c r="G140" s="2">
        <v>-1.6899999999999998E-2</v>
      </c>
      <c r="H140" s="40">
        <f t="shared" si="32"/>
        <v>8</v>
      </c>
      <c r="I140" s="4">
        <f t="shared" si="33"/>
        <v>1.5E-3</v>
      </c>
      <c r="J140" s="4">
        <f t="shared" si="34"/>
        <v>1.3333333333333333E-3</v>
      </c>
      <c r="K140" s="4">
        <f t="shared" si="35"/>
        <v>-1.9733333333333332E-2</v>
      </c>
      <c r="L140">
        <f t="shared" si="36"/>
        <v>307.28801779946991</v>
      </c>
      <c r="M140">
        <f t="shared" si="37"/>
        <v>319.55447799215546</v>
      </c>
      <c r="N140">
        <f t="shared" si="38"/>
        <v>-12.266460192685543</v>
      </c>
      <c r="O140" s="39">
        <f t="shared" si="39"/>
        <v>-3.8386131434486312E-2</v>
      </c>
      <c r="Q140">
        <f t="shared" si="40"/>
        <v>195.687431215034</v>
      </c>
      <c r="R140">
        <f t="shared" si="41"/>
        <v>206.05290394259512</v>
      </c>
      <c r="S140">
        <f t="shared" si="42"/>
        <v>-10.365472727561126</v>
      </c>
      <c r="T140" s="39">
        <f t="shared" si="43"/>
        <v>-5.0304909706338684E-2</v>
      </c>
      <c r="U140">
        <f t="shared" si="44"/>
        <v>2019</v>
      </c>
      <c r="V140">
        <f t="shared" si="45"/>
        <v>2019</v>
      </c>
    </row>
    <row r="141" spans="1:22" x14ac:dyDescent="0.25">
      <c r="A141" t="s">
        <v>52</v>
      </c>
      <c r="B141" t="s">
        <v>53</v>
      </c>
      <c r="C141" s="1">
        <v>43728</v>
      </c>
      <c r="D141">
        <v>11274.2</v>
      </c>
      <c r="E141" s="1">
        <v>43741</v>
      </c>
      <c r="F141">
        <v>11314</v>
      </c>
      <c r="G141" s="2">
        <v>3.5000000000000001E-3</v>
      </c>
      <c r="H141" s="40">
        <f t="shared" si="32"/>
        <v>13</v>
      </c>
      <c r="I141" s="4">
        <f t="shared" si="33"/>
        <v>1.5E-3</v>
      </c>
      <c r="J141" s="4">
        <f t="shared" si="34"/>
        <v>2.166666666666667E-3</v>
      </c>
      <c r="K141" s="4">
        <f t="shared" si="35"/>
        <v>-1.6666666666666696E-4</v>
      </c>
      <c r="L141">
        <f t="shared" si="36"/>
        <v>308.3635258617681</v>
      </c>
      <c r="M141">
        <f t="shared" si="37"/>
        <v>319.55447799215546</v>
      </c>
      <c r="N141">
        <f t="shared" si="38"/>
        <v>-11.190952130387359</v>
      </c>
      <c r="O141" s="39">
        <f t="shared" si="39"/>
        <v>-3.5020482894506891E-2</v>
      </c>
      <c r="Q141">
        <f t="shared" si="40"/>
        <v>195.65481664316482</v>
      </c>
      <c r="R141">
        <f t="shared" si="41"/>
        <v>206.05290394259512</v>
      </c>
      <c r="S141">
        <f t="shared" si="42"/>
        <v>-10.398087299430301</v>
      </c>
      <c r="T141" s="39">
        <f t="shared" si="43"/>
        <v>-5.0463192221387641E-2</v>
      </c>
      <c r="U141">
        <f t="shared" si="44"/>
        <v>2019</v>
      </c>
      <c r="V141">
        <f t="shared" si="45"/>
        <v>2019</v>
      </c>
    </row>
    <row r="142" spans="1:22" x14ac:dyDescent="0.25">
      <c r="A142" t="s">
        <v>52</v>
      </c>
      <c r="B142" t="s">
        <v>53</v>
      </c>
      <c r="C142" s="1">
        <v>43753</v>
      </c>
      <c r="D142">
        <v>11428.3</v>
      </c>
      <c r="E142" s="1">
        <v>43782</v>
      </c>
      <c r="F142">
        <v>11840.45</v>
      </c>
      <c r="G142" s="2">
        <v>3.61E-2</v>
      </c>
      <c r="H142" s="40">
        <f t="shared" si="32"/>
        <v>29</v>
      </c>
      <c r="I142" s="4">
        <f t="shared" si="33"/>
        <v>1.5E-3</v>
      </c>
      <c r="J142" s="4">
        <f t="shared" si="34"/>
        <v>4.8333333333333336E-3</v>
      </c>
      <c r="K142" s="4">
        <f t="shared" si="35"/>
        <v>2.9766666666666667E-2</v>
      </c>
      <c r="L142">
        <f t="shared" si="36"/>
        <v>319.4954491453779</v>
      </c>
      <c r="M142">
        <f t="shared" si="37"/>
        <v>319.55447799215546</v>
      </c>
      <c r="N142">
        <f t="shared" si="38"/>
        <v>-5.9028846777550825E-2</v>
      </c>
      <c r="O142" s="39">
        <f t="shared" si="39"/>
        <v>-1.8472232699865307E-4</v>
      </c>
      <c r="Q142">
        <f t="shared" si="40"/>
        <v>201.47880835190969</v>
      </c>
      <c r="R142">
        <f t="shared" si="41"/>
        <v>206.05290394259512</v>
      </c>
      <c r="S142">
        <f t="shared" si="42"/>
        <v>-4.574095590685431</v>
      </c>
      <c r="T142" s="39">
        <f t="shared" si="43"/>
        <v>-2.2198646576510959E-2</v>
      </c>
      <c r="U142">
        <f t="shared" si="44"/>
        <v>2019</v>
      </c>
      <c r="V142">
        <f t="shared" si="45"/>
        <v>2019</v>
      </c>
    </row>
    <row r="143" spans="1:22" x14ac:dyDescent="0.25">
      <c r="A143" t="s">
        <v>52</v>
      </c>
      <c r="B143" t="s">
        <v>53</v>
      </c>
      <c r="C143" s="1">
        <v>43789</v>
      </c>
      <c r="D143">
        <v>11999.1</v>
      </c>
      <c r="E143" s="1">
        <v>43802</v>
      </c>
      <c r="F143">
        <v>11994.2</v>
      </c>
      <c r="G143" s="2">
        <v>-4.0000000000000002E-4</v>
      </c>
      <c r="H143" s="40">
        <f t="shared" si="32"/>
        <v>13</v>
      </c>
      <c r="I143" s="4">
        <f t="shared" si="33"/>
        <v>1.5E-3</v>
      </c>
      <c r="J143" s="4">
        <f t="shared" si="34"/>
        <v>2.166666666666667E-3</v>
      </c>
      <c r="K143" s="4">
        <f t="shared" si="35"/>
        <v>-4.0666666666666672E-3</v>
      </c>
      <c r="L143">
        <f t="shared" si="36"/>
        <v>319.36765096571975</v>
      </c>
      <c r="M143">
        <f t="shared" si="37"/>
        <v>319.55447799215546</v>
      </c>
      <c r="N143">
        <f t="shared" si="38"/>
        <v>-0.18682702643570792</v>
      </c>
      <c r="O143" s="39">
        <f t="shared" si="39"/>
        <v>-5.8464843806787213E-4</v>
      </c>
      <c r="Q143">
        <f t="shared" si="40"/>
        <v>200.65946119794526</v>
      </c>
      <c r="R143">
        <f t="shared" si="41"/>
        <v>206.05290394259512</v>
      </c>
      <c r="S143">
        <f t="shared" si="42"/>
        <v>-5.3934427446498603</v>
      </c>
      <c r="T143" s="39">
        <f t="shared" si="43"/>
        <v>-2.61750387470998E-2</v>
      </c>
      <c r="U143">
        <f t="shared" si="44"/>
        <v>2019</v>
      </c>
      <c r="V143">
        <f t="shared" si="45"/>
        <v>2019</v>
      </c>
    </row>
    <row r="144" spans="1:22" x14ac:dyDescent="0.25">
      <c r="A144" t="s">
        <v>52</v>
      </c>
      <c r="B144" t="s">
        <v>53</v>
      </c>
      <c r="C144" s="1">
        <v>43812</v>
      </c>
      <c r="D144">
        <v>12086.7</v>
      </c>
      <c r="E144" s="1">
        <v>43825</v>
      </c>
      <c r="F144">
        <v>12126.55</v>
      </c>
      <c r="G144" s="2">
        <v>3.3E-3</v>
      </c>
      <c r="H144" s="40">
        <f t="shared" si="32"/>
        <v>13</v>
      </c>
      <c r="I144" s="4">
        <f t="shared" si="33"/>
        <v>1.5E-3</v>
      </c>
      <c r="J144" s="4">
        <f t="shared" si="34"/>
        <v>2.166666666666667E-3</v>
      </c>
      <c r="K144" s="4">
        <f t="shared" si="35"/>
        <v>-3.6666666666666705E-4</v>
      </c>
      <c r="L144">
        <f t="shared" si="36"/>
        <v>320.42156421390666</v>
      </c>
      <c r="M144">
        <f t="shared" si="37"/>
        <v>320.42156421390666</v>
      </c>
      <c r="N144" t="str">
        <f t="shared" si="38"/>
        <v/>
      </c>
      <c r="O144" s="39">
        <f t="shared" si="39"/>
        <v>0</v>
      </c>
      <c r="Q144">
        <f t="shared" si="40"/>
        <v>200.58588606217268</v>
      </c>
      <c r="R144">
        <f t="shared" si="41"/>
        <v>206.05290394259512</v>
      </c>
      <c r="S144">
        <f t="shared" si="42"/>
        <v>-5.4670178804224463</v>
      </c>
      <c r="T144" s="39">
        <f t="shared" si="43"/>
        <v>-2.6532107899559225E-2</v>
      </c>
      <c r="U144">
        <f t="shared" si="44"/>
        <v>2019</v>
      </c>
      <c r="V144">
        <f t="shared" si="45"/>
        <v>2019</v>
      </c>
    </row>
    <row r="145" spans="1:22" x14ac:dyDescent="0.25">
      <c r="A145" t="s">
        <v>52</v>
      </c>
      <c r="B145" t="s">
        <v>53</v>
      </c>
      <c r="C145" s="1">
        <v>43826</v>
      </c>
      <c r="D145">
        <v>12245.8</v>
      </c>
      <c r="E145" s="1">
        <v>43836</v>
      </c>
      <c r="F145">
        <v>11993.05</v>
      </c>
      <c r="G145" s="2">
        <v>-2.06E-2</v>
      </c>
      <c r="H145" s="40">
        <f t="shared" si="32"/>
        <v>10</v>
      </c>
      <c r="I145" s="4">
        <f t="shared" si="33"/>
        <v>1.5E-3</v>
      </c>
      <c r="J145" s="4">
        <f t="shared" si="34"/>
        <v>1.6666666666666666E-3</v>
      </c>
      <c r="K145" s="4">
        <f t="shared" si="35"/>
        <v>-2.3766666666666665E-2</v>
      </c>
      <c r="L145">
        <f t="shared" si="36"/>
        <v>313.82087999110018</v>
      </c>
      <c r="M145">
        <f t="shared" si="37"/>
        <v>320.42156421390666</v>
      </c>
      <c r="N145">
        <f t="shared" si="38"/>
        <v>-6.6006842228064784</v>
      </c>
      <c r="O145" s="39">
        <f t="shared" si="39"/>
        <v>-2.0600000000000004E-2</v>
      </c>
      <c r="Q145">
        <f t="shared" si="40"/>
        <v>195.81862817009502</v>
      </c>
      <c r="R145">
        <f t="shared" si="41"/>
        <v>206.05290394259512</v>
      </c>
      <c r="S145">
        <f t="shared" si="42"/>
        <v>-10.234275772500098</v>
      </c>
      <c r="T145" s="39">
        <f t="shared" si="43"/>
        <v>-4.9668194801813101E-2</v>
      </c>
      <c r="U145">
        <f t="shared" si="44"/>
        <v>2020</v>
      </c>
      <c r="V145">
        <f t="shared" si="45"/>
        <v>2019</v>
      </c>
    </row>
    <row r="146" spans="1:22" x14ac:dyDescent="0.25">
      <c r="A146" t="s">
        <v>52</v>
      </c>
      <c r="B146" t="s">
        <v>53</v>
      </c>
      <c r="C146" s="1">
        <v>43839</v>
      </c>
      <c r="D146">
        <v>12215.9</v>
      </c>
      <c r="E146" s="1">
        <v>43850</v>
      </c>
      <c r="F146">
        <v>12224.55</v>
      </c>
      <c r="G146" s="2">
        <v>6.9999999999999999E-4</v>
      </c>
      <c r="H146" s="40">
        <f t="shared" si="32"/>
        <v>11</v>
      </c>
      <c r="I146" s="4">
        <f t="shared" si="33"/>
        <v>1.5E-3</v>
      </c>
      <c r="J146" s="4">
        <f t="shared" si="34"/>
        <v>1.8333333333333333E-3</v>
      </c>
      <c r="K146" s="4">
        <f t="shared" si="35"/>
        <v>-2.633333333333333E-3</v>
      </c>
      <c r="L146">
        <f t="shared" si="36"/>
        <v>314.04055460709395</v>
      </c>
      <c r="M146">
        <f t="shared" si="37"/>
        <v>320.42156421390666</v>
      </c>
      <c r="N146">
        <f t="shared" si="38"/>
        <v>-6.3810096068127109</v>
      </c>
      <c r="O146" s="39">
        <f t="shared" si="39"/>
        <v>-1.9914420000000013E-2</v>
      </c>
      <c r="Q146">
        <f t="shared" si="40"/>
        <v>195.30297244924711</v>
      </c>
      <c r="R146">
        <f t="shared" si="41"/>
        <v>206.05290394259512</v>
      </c>
      <c r="S146">
        <f t="shared" si="42"/>
        <v>-10.749931493348015</v>
      </c>
      <c r="T146" s="39">
        <f t="shared" si="43"/>
        <v>-5.2170735222168328E-2</v>
      </c>
      <c r="U146">
        <f t="shared" si="44"/>
        <v>2020</v>
      </c>
      <c r="V146">
        <f t="shared" si="45"/>
        <v>2020</v>
      </c>
    </row>
    <row r="147" spans="1:22" x14ac:dyDescent="0.25">
      <c r="A147" t="s">
        <v>52</v>
      </c>
      <c r="B147" t="s">
        <v>53</v>
      </c>
      <c r="C147" s="1">
        <v>43865</v>
      </c>
      <c r="D147">
        <v>11979.65</v>
      </c>
      <c r="E147" s="1">
        <v>43878</v>
      </c>
      <c r="F147">
        <v>12045.8</v>
      </c>
      <c r="G147" s="2">
        <v>5.4999999999999997E-3</v>
      </c>
      <c r="H147" s="40">
        <f t="shared" si="32"/>
        <v>13</v>
      </c>
      <c r="I147" s="4">
        <f t="shared" si="33"/>
        <v>1.5E-3</v>
      </c>
      <c r="J147" s="4">
        <f t="shared" si="34"/>
        <v>2.166666666666667E-3</v>
      </c>
      <c r="K147" s="4">
        <f t="shared" si="35"/>
        <v>1.8333333333333326E-3</v>
      </c>
      <c r="L147">
        <f t="shared" si="36"/>
        <v>315.76777765743299</v>
      </c>
      <c r="M147">
        <f t="shared" si="37"/>
        <v>320.42156421390666</v>
      </c>
      <c r="N147">
        <f t="shared" si="38"/>
        <v>-4.6537865564736762</v>
      </c>
      <c r="O147" s="39">
        <f t="shared" si="39"/>
        <v>-1.4523949309999956E-2</v>
      </c>
      <c r="Q147">
        <f t="shared" si="40"/>
        <v>195.66102789873739</v>
      </c>
      <c r="R147">
        <f t="shared" si="41"/>
        <v>206.05290394259512</v>
      </c>
      <c r="S147">
        <f t="shared" si="42"/>
        <v>-10.391876043857735</v>
      </c>
      <c r="T147" s="39">
        <f t="shared" si="43"/>
        <v>-5.0433048236742335E-2</v>
      </c>
      <c r="U147">
        <f t="shared" si="44"/>
        <v>2020</v>
      </c>
      <c r="V147">
        <f t="shared" si="45"/>
        <v>2020</v>
      </c>
    </row>
    <row r="148" spans="1:22" x14ac:dyDescent="0.25">
      <c r="A148" t="s">
        <v>52</v>
      </c>
      <c r="B148" t="s">
        <v>53</v>
      </c>
      <c r="C148" s="1">
        <v>43880</v>
      </c>
      <c r="D148">
        <v>12125.9</v>
      </c>
      <c r="E148" s="1">
        <v>43885</v>
      </c>
      <c r="F148">
        <v>11829.4</v>
      </c>
      <c r="G148" s="2">
        <v>-2.4500000000000001E-2</v>
      </c>
      <c r="H148" s="40">
        <f t="shared" si="32"/>
        <v>5</v>
      </c>
      <c r="I148" s="4">
        <f t="shared" si="33"/>
        <v>1.5E-3</v>
      </c>
      <c r="J148" s="4">
        <f t="shared" si="34"/>
        <v>8.3333333333333328E-4</v>
      </c>
      <c r="K148" s="4">
        <f t="shared" si="35"/>
        <v>-2.6833333333333334E-2</v>
      </c>
      <c r="L148">
        <f t="shared" si="36"/>
        <v>308.03146710482588</v>
      </c>
      <c r="M148">
        <f t="shared" si="37"/>
        <v>320.42156421390666</v>
      </c>
      <c r="N148">
        <f t="shared" si="38"/>
        <v>-12.390097109080784</v>
      </c>
      <c r="O148" s="39">
        <f t="shared" si="39"/>
        <v>-3.8668112551904957E-2</v>
      </c>
      <c r="Q148">
        <f t="shared" si="40"/>
        <v>190.41079031678794</v>
      </c>
      <c r="R148">
        <f t="shared" si="41"/>
        <v>206.05290394259512</v>
      </c>
      <c r="S148">
        <f t="shared" si="42"/>
        <v>-15.642113625807184</v>
      </c>
      <c r="T148" s="39">
        <f t="shared" si="43"/>
        <v>-7.591309477572307E-2</v>
      </c>
      <c r="U148">
        <f t="shared" si="44"/>
        <v>2020</v>
      </c>
      <c r="V148">
        <f t="shared" si="45"/>
        <v>2020</v>
      </c>
    </row>
    <row r="149" spans="1:22" x14ac:dyDescent="0.25">
      <c r="A149" t="s">
        <v>52</v>
      </c>
      <c r="B149" t="s">
        <v>53</v>
      </c>
      <c r="C149" s="1">
        <v>43914</v>
      </c>
      <c r="D149">
        <v>7801.05</v>
      </c>
      <c r="E149" s="1">
        <v>43924</v>
      </c>
      <c r="F149">
        <v>8083.799</v>
      </c>
      <c r="G149" s="2">
        <v>3.6200000000000003E-2</v>
      </c>
      <c r="H149" s="40">
        <f t="shared" si="32"/>
        <v>10</v>
      </c>
      <c r="I149" s="4">
        <f t="shared" si="33"/>
        <v>1.5E-3</v>
      </c>
      <c r="J149" s="4">
        <f t="shared" si="34"/>
        <v>1.6666666666666666E-3</v>
      </c>
      <c r="K149" s="4">
        <f t="shared" si="35"/>
        <v>3.3033333333333338E-2</v>
      </c>
      <c r="L149">
        <f t="shared" si="36"/>
        <v>319.1822062140206</v>
      </c>
      <c r="M149">
        <f t="shared" si="37"/>
        <v>320.42156421390666</v>
      </c>
      <c r="N149">
        <f t="shared" si="38"/>
        <v>-1.2393579998860673</v>
      </c>
      <c r="O149" s="39">
        <f t="shared" si="39"/>
        <v>-3.867898226283853E-3</v>
      </c>
      <c r="Q149">
        <f t="shared" si="40"/>
        <v>196.70069342358582</v>
      </c>
      <c r="R149">
        <f t="shared" si="41"/>
        <v>206.05290394259512</v>
      </c>
      <c r="S149">
        <f t="shared" si="42"/>
        <v>-9.3522105190093043</v>
      </c>
      <c r="T149" s="39">
        <f t="shared" si="43"/>
        <v>-4.5387424006481186E-2</v>
      </c>
      <c r="U149">
        <f t="shared" si="44"/>
        <v>2020</v>
      </c>
      <c r="V149">
        <f t="shared" si="45"/>
        <v>2020</v>
      </c>
    </row>
    <row r="150" spans="1:22" x14ac:dyDescent="0.25">
      <c r="A150" t="s">
        <v>52</v>
      </c>
      <c r="B150" t="s">
        <v>53</v>
      </c>
      <c r="C150" s="1">
        <v>43928</v>
      </c>
      <c r="D150">
        <v>8792.2000000000007</v>
      </c>
      <c r="E150" s="1">
        <v>43942</v>
      </c>
      <c r="F150">
        <v>8981.4500000000007</v>
      </c>
      <c r="G150" s="2">
        <v>2.1499999999999998E-2</v>
      </c>
      <c r="H150" s="40">
        <f t="shared" si="32"/>
        <v>14</v>
      </c>
      <c r="I150" s="4">
        <f t="shared" si="33"/>
        <v>1.5E-3</v>
      </c>
      <c r="J150" s="4">
        <f t="shared" si="34"/>
        <v>2.3333333333333335E-3</v>
      </c>
      <c r="K150" s="4">
        <f t="shared" si="35"/>
        <v>1.7666666666666664E-2</v>
      </c>
      <c r="L150">
        <f t="shared" si="36"/>
        <v>326.04462364762207</v>
      </c>
      <c r="M150">
        <f t="shared" si="37"/>
        <v>326.04462364762207</v>
      </c>
      <c r="N150" t="str">
        <f t="shared" si="38"/>
        <v/>
      </c>
      <c r="O150" s="39">
        <f t="shared" si="39"/>
        <v>0</v>
      </c>
      <c r="Q150">
        <f t="shared" si="40"/>
        <v>200.17573900740251</v>
      </c>
      <c r="R150">
        <f t="shared" si="41"/>
        <v>206.05290394259512</v>
      </c>
      <c r="S150">
        <f t="shared" si="42"/>
        <v>-5.8771649351926101</v>
      </c>
      <c r="T150" s="39">
        <f t="shared" si="43"/>
        <v>-2.8522601830595636E-2</v>
      </c>
      <c r="U150">
        <f t="shared" si="44"/>
        <v>2020</v>
      </c>
      <c r="V150">
        <f t="shared" si="45"/>
        <v>2020</v>
      </c>
    </row>
    <row r="151" spans="1:22" x14ac:dyDescent="0.25">
      <c r="A151" t="s">
        <v>52</v>
      </c>
      <c r="B151" t="s">
        <v>53</v>
      </c>
      <c r="C151" s="1">
        <v>43944</v>
      </c>
      <c r="D151">
        <v>9313.9</v>
      </c>
      <c r="E151" s="1">
        <v>43955</v>
      </c>
      <c r="F151">
        <v>9293.5</v>
      </c>
      <c r="G151" s="2">
        <v>-2.2000000000000001E-3</v>
      </c>
      <c r="H151" s="40">
        <f t="shared" si="32"/>
        <v>11</v>
      </c>
      <c r="I151" s="4">
        <f t="shared" si="33"/>
        <v>1.5E-3</v>
      </c>
      <c r="J151" s="4">
        <f t="shared" si="34"/>
        <v>1.8333333333333333E-3</v>
      </c>
      <c r="K151" s="4">
        <f t="shared" si="35"/>
        <v>-5.5333333333333328E-3</v>
      </c>
      <c r="L151">
        <f t="shared" si="36"/>
        <v>325.32732547559732</v>
      </c>
      <c r="M151">
        <f t="shared" si="37"/>
        <v>326.04462364762207</v>
      </c>
      <c r="N151">
        <f t="shared" si="38"/>
        <v>-0.71729817202475488</v>
      </c>
      <c r="O151" s="39">
        <f t="shared" si="39"/>
        <v>-2.1999999999999581E-3</v>
      </c>
      <c r="Q151">
        <f t="shared" si="40"/>
        <v>199.06809991822823</v>
      </c>
      <c r="R151">
        <f t="shared" si="41"/>
        <v>206.05290394259512</v>
      </c>
      <c r="S151">
        <f t="shared" si="42"/>
        <v>-6.9848040243668947</v>
      </c>
      <c r="T151" s="39">
        <f t="shared" si="43"/>
        <v>-3.3898110100466297E-2</v>
      </c>
      <c r="U151">
        <f t="shared" si="44"/>
        <v>2020</v>
      </c>
      <c r="V151">
        <f t="shared" si="45"/>
        <v>2020</v>
      </c>
    </row>
    <row r="152" spans="1:22" x14ac:dyDescent="0.25">
      <c r="A152" t="s">
        <v>52</v>
      </c>
      <c r="B152" t="s">
        <v>53</v>
      </c>
      <c r="C152" s="1">
        <v>43964</v>
      </c>
      <c r="D152">
        <v>9383.5499999999993</v>
      </c>
      <c r="E152" s="1">
        <v>43965</v>
      </c>
      <c r="F152">
        <v>9142.75</v>
      </c>
      <c r="G152" s="2">
        <v>-2.5700000000000001E-2</v>
      </c>
      <c r="H152" s="40">
        <f t="shared" ref="H152:H215" si="46">E152-C152</f>
        <v>1</v>
      </c>
      <c r="I152" s="4">
        <f t="shared" ref="I152:I215" si="47">C$1</f>
        <v>1.5E-3</v>
      </c>
      <c r="J152" s="4">
        <f t="shared" ref="J152:J215" si="48">H152/30*D$1</f>
        <v>1.6666666666666666E-4</v>
      </c>
      <c r="K152" s="4">
        <f t="shared" ref="K152:K215" si="49">G152-SUM(I152,J152)</f>
        <v>-2.7366666666666668E-2</v>
      </c>
      <c r="L152">
        <f t="shared" ref="L152:L215" si="50">L151*(1+G152)</f>
        <v>316.96641321087446</v>
      </c>
      <c r="M152">
        <f t="shared" ref="M152:M215" si="51">MAX(L152,M151)</f>
        <v>326.04462364762207</v>
      </c>
      <c r="N152">
        <f t="shared" ref="N152:N215" si="52">IF(M152&gt;L152,L152-M152,"")</f>
        <v>-9.0782104367476109</v>
      </c>
      <c r="O152" s="39">
        <f t="shared" ref="O152:O215" si="53">IFERROR(N152/M152,0)</f>
        <v>-2.7843459999999973E-2</v>
      </c>
      <c r="Q152">
        <f t="shared" ref="Q152:Q215" si="54">Q151*(1+K152)</f>
        <v>193.6202695837994</v>
      </c>
      <c r="R152">
        <f t="shared" ref="R152:R215" si="55">MAX(Q152,R151)</f>
        <v>206.05290394259512</v>
      </c>
      <c r="S152">
        <f t="shared" ref="S152:S215" si="56">IF(R152&gt;Q152,Q152-R152,"")</f>
        <v>-12.432634358795724</v>
      </c>
      <c r="T152" s="39">
        <f t="shared" ref="T152:T215" si="57">IFERROR(S152/R152,0)</f>
        <v>-6.0337098487383452E-2</v>
      </c>
      <c r="U152">
        <f t="shared" ref="U152:U215" si="58">YEAR(E152)</f>
        <v>2020</v>
      </c>
      <c r="V152">
        <f t="shared" ref="V152:V215" si="59">YEAR(C152)</f>
        <v>2020</v>
      </c>
    </row>
    <row r="153" spans="1:22" x14ac:dyDescent="0.25">
      <c r="A153" t="s">
        <v>52</v>
      </c>
      <c r="B153" t="s">
        <v>53</v>
      </c>
      <c r="C153" s="1">
        <v>43978</v>
      </c>
      <c r="D153">
        <v>9314.9500000000007</v>
      </c>
      <c r="E153" s="1">
        <v>43993</v>
      </c>
      <c r="F153">
        <v>9902</v>
      </c>
      <c r="G153" s="2">
        <v>6.3E-2</v>
      </c>
      <c r="H153" s="40">
        <f t="shared" si="46"/>
        <v>15</v>
      </c>
      <c r="I153" s="4">
        <f t="shared" si="47"/>
        <v>1.5E-3</v>
      </c>
      <c r="J153" s="4">
        <f t="shared" si="48"/>
        <v>2.5000000000000001E-3</v>
      </c>
      <c r="K153" s="4">
        <f t="shared" si="49"/>
        <v>5.8999999999999997E-2</v>
      </c>
      <c r="L153">
        <f t="shared" si="50"/>
        <v>336.93529724315954</v>
      </c>
      <c r="M153">
        <f t="shared" si="51"/>
        <v>336.93529724315954</v>
      </c>
      <c r="N153" t="str">
        <f t="shared" si="52"/>
        <v/>
      </c>
      <c r="O153" s="39">
        <f t="shared" si="53"/>
        <v>0</v>
      </c>
      <c r="Q153">
        <f t="shared" si="54"/>
        <v>205.04386548924356</v>
      </c>
      <c r="R153">
        <f t="shared" si="55"/>
        <v>206.05290394259512</v>
      </c>
      <c r="S153">
        <f t="shared" si="56"/>
        <v>-1.0090384533515646</v>
      </c>
      <c r="T153" s="39">
        <f t="shared" si="57"/>
        <v>-4.8969872981391013E-3</v>
      </c>
      <c r="U153">
        <f t="shared" si="58"/>
        <v>2020</v>
      </c>
      <c r="V153">
        <f t="shared" si="59"/>
        <v>2020</v>
      </c>
    </row>
    <row r="154" spans="1:22" x14ac:dyDescent="0.25">
      <c r="A154" t="s">
        <v>52</v>
      </c>
      <c r="B154" t="s">
        <v>53</v>
      </c>
      <c r="C154" s="1">
        <v>44000</v>
      </c>
      <c r="D154">
        <v>10091.65</v>
      </c>
      <c r="E154" s="1">
        <v>44026</v>
      </c>
      <c r="F154">
        <v>10607.35</v>
      </c>
      <c r="G154" s="2">
        <v>5.11E-2</v>
      </c>
      <c r="H154" s="40">
        <f t="shared" si="46"/>
        <v>26</v>
      </c>
      <c r="I154" s="4">
        <f t="shared" si="47"/>
        <v>1.5E-3</v>
      </c>
      <c r="J154" s="4">
        <f t="shared" si="48"/>
        <v>4.333333333333334E-3</v>
      </c>
      <c r="K154" s="4">
        <f t="shared" si="49"/>
        <v>4.5266666666666663E-2</v>
      </c>
      <c r="L154">
        <f t="shared" si="50"/>
        <v>354.15269093228494</v>
      </c>
      <c r="M154">
        <f t="shared" si="51"/>
        <v>354.15269093228494</v>
      </c>
      <c r="N154" t="str">
        <f t="shared" si="52"/>
        <v/>
      </c>
      <c r="O154" s="39">
        <f t="shared" si="53"/>
        <v>0</v>
      </c>
      <c r="Q154">
        <f t="shared" si="54"/>
        <v>214.32551780038997</v>
      </c>
      <c r="R154">
        <f t="shared" si="55"/>
        <v>214.32551780038997</v>
      </c>
      <c r="S154" t="str">
        <f t="shared" si="56"/>
        <v/>
      </c>
      <c r="T154" s="39">
        <f t="shared" si="57"/>
        <v>0</v>
      </c>
      <c r="U154">
        <f t="shared" si="58"/>
        <v>2020</v>
      </c>
      <c r="V154">
        <f t="shared" si="59"/>
        <v>2020</v>
      </c>
    </row>
    <row r="155" spans="1:22" x14ac:dyDescent="0.25">
      <c r="A155" t="s">
        <v>52</v>
      </c>
      <c r="B155" t="s">
        <v>53</v>
      </c>
      <c r="C155" s="1">
        <v>44029</v>
      </c>
      <c r="D155">
        <v>10901.7</v>
      </c>
      <c r="E155" s="1">
        <v>44043</v>
      </c>
      <c r="F155">
        <v>11073.45</v>
      </c>
      <c r="G155" s="2">
        <v>1.5800000000000002E-2</v>
      </c>
      <c r="H155" s="40">
        <f t="shared" si="46"/>
        <v>14</v>
      </c>
      <c r="I155" s="4">
        <f t="shared" si="47"/>
        <v>1.5E-3</v>
      </c>
      <c r="J155" s="4">
        <f t="shared" si="48"/>
        <v>2.3333333333333335E-3</v>
      </c>
      <c r="K155" s="4">
        <f t="shared" si="49"/>
        <v>1.1966666666666667E-2</v>
      </c>
      <c r="L155">
        <f t="shared" si="50"/>
        <v>359.74830344901505</v>
      </c>
      <c r="M155">
        <f t="shared" si="51"/>
        <v>359.74830344901505</v>
      </c>
      <c r="N155" t="str">
        <f t="shared" si="52"/>
        <v/>
      </c>
      <c r="O155" s="39">
        <f t="shared" si="53"/>
        <v>0</v>
      </c>
      <c r="Q155">
        <f t="shared" si="54"/>
        <v>216.89027983006798</v>
      </c>
      <c r="R155">
        <f t="shared" si="55"/>
        <v>216.89027983006798</v>
      </c>
      <c r="S155" t="str">
        <f t="shared" si="56"/>
        <v/>
      </c>
      <c r="T155" s="39">
        <f t="shared" si="57"/>
        <v>0</v>
      </c>
      <c r="U155">
        <f t="shared" si="58"/>
        <v>2020</v>
      </c>
      <c r="V155">
        <f t="shared" si="59"/>
        <v>2020</v>
      </c>
    </row>
    <row r="156" spans="1:22" x14ac:dyDescent="0.25">
      <c r="A156" t="s">
        <v>52</v>
      </c>
      <c r="B156" t="s">
        <v>53</v>
      </c>
      <c r="C156" s="1">
        <v>44049</v>
      </c>
      <c r="D156">
        <v>11200.15</v>
      </c>
      <c r="E156" s="1">
        <v>44057</v>
      </c>
      <c r="F156">
        <v>11178.4</v>
      </c>
      <c r="G156" s="2">
        <v>-1.9E-3</v>
      </c>
      <c r="H156" s="40">
        <f t="shared" si="46"/>
        <v>8</v>
      </c>
      <c r="I156" s="4">
        <f t="shared" si="47"/>
        <v>1.5E-3</v>
      </c>
      <c r="J156" s="4">
        <f t="shared" si="48"/>
        <v>1.3333333333333333E-3</v>
      </c>
      <c r="K156" s="4">
        <f t="shared" si="49"/>
        <v>-4.7333333333333333E-3</v>
      </c>
      <c r="L156">
        <f t="shared" si="50"/>
        <v>359.06478167246195</v>
      </c>
      <c r="M156">
        <f t="shared" si="51"/>
        <v>359.74830344901505</v>
      </c>
      <c r="N156">
        <f t="shared" si="52"/>
        <v>-0.68352177655310697</v>
      </c>
      <c r="O156" s="39">
        <f t="shared" si="53"/>
        <v>-1.8999999999999399E-3</v>
      </c>
      <c r="Q156">
        <f t="shared" si="54"/>
        <v>215.86366583887232</v>
      </c>
      <c r="R156">
        <f t="shared" si="55"/>
        <v>216.89027983006798</v>
      </c>
      <c r="S156">
        <f t="shared" si="56"/>
        <v>-1.02661399119566</v>
      </c>
      <c r="T156" s="39">
        <f t="shared" si="57"/>
        <v>-4.7333333333333559E-3</v>
      </c>
      <c r="U156">
        <f t="shared" si="58"/>
        <v>2020</v>
      </c>
      <c r="V156">
        <f t="shared" si="59"/>
        <v>2020</v>
      </c>
    </row>
    <row r="157" spans="1:22" x14ac:dyDescent="0.25">
      <c r="A157" t="s">
        <v>52</v>
      </c>
      <c r="B157" t="s">
        <v>53</v>
      </c>
      <c r="C157" s="1">
        <v>44061</v>
      </c>
      <c r="D157">
        <v>11385.35</v>
      </c>
      <c r="E157" s="1">
        <v>44074</v>
      </c>
      <c r="F157">
        <v>11387.5</v>
      </c>
      <c r="G157" s="2">
        <v>2.0000000000000001E-4</v>
      </c>
      <c r="H157" s="40">
        <f t="shared" si="46"/>
        <v>13</v>
      </c>
      <c r="I157" s="4">
        <f t="shared" si="47"/>
        <v>1.5E-3</v>
      </c>
      <c r="J157" s="4">
        <f t="shared" si="48"/>
        <v>2.166666666666667E-3</v>
      </c>
      <c r="K157" s="4">
        <f t="shared" si="49"/>
        <v>-3.4666666666666669E-3</v>
      </c>
      <c r="L157">
        <f t="shared" si="50"/>
        <v>359.13659462879644</v>
      </c>
      <c r="M157">
        <f t="shared" si="51"/>
        <v>359.74830344901505</v>
      </c>
      <c r="N157">
        <f t="shared" si="52"/>
        <v>-0.61170882021860962</v>
      </c>
      <c r="O157" s="39">
        <f t="shared" si="53"/>
        <v>-1.7003799999999261E-3</v>
      </c>
      <c r="Q157">
        <f t="shared" si="54"/>
        <v>215.11533846396424</v>
      </c>
      <c r="R157">
        <f t="shared" si="55"/>
        <v>216.89027983006798</v>
      </c>
      <c r="S157">
        <f t="shared" si="56"/>
        <v>-1.7749413661037465</v>
      </c>
      <c r="T157" s="39">
        <f t="shared" si="57"/>
        <v>-8.1835911111111138E-3</v>
      </c>
      <c r="U157">
        <f t="shared" si="58"/>
        <v>2020</v>
      </c>
      <c r="V157">
        <f t="shared" si="59"/>
        <v>2020</v>
      </c>
    </row>
    <row r="158" spans="1:22" x14ac:dyDescent="0.25">
      <c r="A158" t="s">
        <v>52</v>
      </c>
      <c r="B158" t="s">
        <v>53</v>
      </c>
      <c r="C158" s="1">
        <v>44084</v>
      </c>
      <c r="D158">
        <v>11449.25</v>
      </c>
      <c r="E158" s="1">
        <v>44095</v>
      </c>
      <c r="F158">
        <v>11250.55</v>
      </c>
      <c r="G158" s="2">
        <v>-1.7399999999999999E-2</v>
      </c>
      <c r="H158" s="40">
        <f t="shared" si="46"/>
        <v>11</v>
      </c>
      <c r="I158" s="4">
        <f t="shared" si="47"/>
        <v>1.5E-3</v>
      </c>
      <c r="J158" s="4">
        <f t="shared" si="48"/>
        <v>1.8333333333333333E-3</v>
      </c>
      <c r="K158" s="4">
        <f t="shared" si="49"/>
        <v>-2.0733333333333333E-2</v>
      </c>
      <c r="L158">
        <f t="shared" si="50"/>
        <v>352.88761788225537</v>
      </c>
      <c r="M158">
        <f t="shared" si="51"/>
        <v>359.74830344901505</v>
      </c>
      <c r="N158">
        <f t="shared" si="52"/>
        <v>-6.8606855667596847</v>
      </c>
      <c r="O158" s="39">
        <f t="shared" si="53"/>
        <v>-1.9070793387999975E-2</v>
      </c>
      <c r="Q158">
        <f t="shared" si="54"/>
        <v>210.65528044647803</v>
      </c>
      <c r="R158">
        <f t="shared" si="55"/>
        <v>216.89027983006798</v>
      </c>
      <c r="S158">
        <f t="shared" si="56"/>
        <v>-6.2349993835899511</v>
      </c>
      <c r="T158" s="39">
        <f t="shared" si="57"/>
        <v>-2.8747251322074136E-2</v>
      </c>
      <c r="U158">
        <f t="shared" si="58"/>
        <v>2020</v>
      </c>
      <c r="V158">
        <f t="shared" si="59"/>
        <v>2020</v>
      </c>
    </row>
    <row r="159" spans="1:22" x14ac:dyDescent="0.25">
      <c r="A159" t="s">
        <v>52</v>
      </c>
      <c r="B159" t="s">
        <v>53</v>
      </c>
      <c r="C159" s="1">
        <v>44102</v>
      </c>
      <c r="D159">
        <v>11227.55</v>
      </c>
      <c r="E159" s="1">
        <v>44119</v>
      </c>
      <c r="F159">
        <v>11680.35</v>
      </c>
      <c r="G159" s="2">
        <v>4.0300000000000002E-2</v>
      </c>
      <c r="H159" s="40">
        <f t="shared" si="46"/>
        <v>17</v>
      </c>
      <c r="I159" s="4">
        <f t="shared" si="47"/>
        <v>1.5E-3</v>
      </c>
      <c r="J159" s="4">
        <f t="shared" si="48"/>
        <v>2.8333333333333331E-3</v>
      </c>
      <c r="K159" s="4">
        <f t="shared" si="49"/>
        <v>3.5966666666666668E-2</v>
      </c>
      <c r="L159">
        <f t="shared" si="50"/>
        <v>367.10898888291024</v>
      </c>
      <c r="M159">
        <f t="shared" si="51"/>
        <v>367.10898888291024</v>
      </c>
      <c r="N159" t="str">
        <f t="shared" si="52"/>
        <v/>
      </c>
      <c r="O159" s="39">
        <f t="shared" si="53"/>
        <v>0</v>
      </c>
      <c r="Q159">
        <f t="shared" si="54"/>
        <v>218.23184869986969</v>
      </c>
      <c r="R159">
        <f t="shared" si="55"/>
        <v>218.23184869986969</v>
      </c>
      <c r="S159" t="str">
        <f t="shared" si="56"/>
        <v/>
      </c>
      <c r="T159" s="39">
        <f t="shared" si="57"/>
        <v>0</v>
      </c>
      <c r="U159">
        <f t="shared" si="58"/>
        <v>2020</v>
      </c>
      <c r="V159">
        <f t="shared" si="59"/>
        <v>2020</v>
      </c>
    </row>
    <row r="160" spans="1:22" x14ac:dyDescent="0.25">
      <c r="A160" t="s">
        <v>52</v>
      </c>
      <c r="B160" t="s">
        <v>53</v>
      </c>
      <c r="C160" s="1">
        <v>44125</v>
      </c>
      <c r="D160">
        <v>11937.65</v>
      </c>
      <c r="E160" s="1">
        <v>44130</v>
      </c>
      <c r="F160">
        <v>11767.75</v>
      </c>
      <c r="G160" s="2">
        <v>-1.4200000000000001E-2</v>
      </c>
      <c r="H160" s="40">
        <f t="shared" si="46"/>
        <v>5</v>
      </c>
      <c r="I160" s="4">
        <f t="shared" si="47"/>
        <v>1.5E-3</v>
      </c>
      <c r="J160" s="4">
        <f t="shared" si="48"/>
        <v>8.3333333333333328E-4</v>
      </c>
      <c r="K160" s="4">
        <f t="shared" si="49"/>
        <v>-1.6533333333333334E-2</v>
      </c>
      <c r="L160">
        <f t="shared" si="50"/>
        <v>361.89604124077295</v>
      </c>
      <c r="M160">
        <f t="shared" si="51"/>
        <v>367.10898888291024</v>
      </c>
      <c r="N160">
        <f t="shared" si="52"/>
        <v>-5.2129476421372942</v>
      </c>
      <c r="O160" s="39">
        <f t="shared" si="53"/>
        <v>-1.4199999999999916E-2</v>
      </c>
      <c r="Q160">
        <f t="shared" si="54"/>
        <v>214.6237488013652</v>
      </c>
      <c r="R160">
        <f t="shared" si="55"/>
        <v>218.23184869986969</v>
      </c>
      <c r="S160">
        <f t="shared" si="56"/>
        <v>-3.6080998985044914</v>
      </c>
      <c r="T160" s="39">
        <f t="shared" si="57"/>
        <v>-1.6533333333333237E-2</v>
      </c>
      <c r="U160">
        <f t="shared" si="58"/>
        <v>2020</v>
      </c>
      <c r="V160">
        <f t="shared" si="59"/>
        <v>2020</v>
      </c>
    </row>
    <row r="161" spans="1:22" x14ac:dyDescent="0.25">
      <c r="A161" t="s">
        <v>52</v>
      </c>
      <c r="B161" t="s">
        <v>53</v>
      </c>
      <c r="C161" s="1">
        <v>44139</v>
      </c>
      <c r="D161">
        <v>11908.5</v>
      </c>
      <c r="E161" s="1">
        <v>44160</v>
      </c>
      <c r="F161">
        <v>12858.4</v>
      </c>
      <c r="G161" s="2">
        <v>7.9799999999999996E-2</v>
      </c>
      <c r="H161" s="40">
        <f t="shared" si="46"/>
        <v>21</v>
      </c>
      <c r="I161" s="4">
        <f t="shared" si="47"/>
        <v>1.5E-3</v>
      </c>
      <c r="J161" s="4">
        <f t="shared" si="48"/>
        <v>3.4999999999999996E-3</v>
      </c>
      <c r="K161" s="4">
        <f t="shared" si="49"/>
        <v>7.4799999999999991E-2</v>
      </c>
      <c r="L161">
        <f t="shared" si="50"/>
        <v>390.77534533178664</v>
      </c>
      <c r="M161">
        <f t="shared" si="51"/>
        <v>390.77534533178664</v>
      </c>
      <c r="N161" t="str">
        <f t="shared" si="52"/>
        <v/>
      </c>
      <c r="O161" s="39">
        <f t="shared" si="53"/>
        <v>0</v>
      </c>
      <c r="Q161">
        <f t="shared" si="54"/>
        <v>230.67760521170732</v>
      </c>
      <c r="R161">
        <f t="shared" si="55"/>
        <v>230.67760521170732</v>
      </c>
      <c r="S161" t="str">
        <f t="shared" si="56"/>
        <v/>
      </c>
      <c r="T161" s="39">
        <f t="shared" si="57"/>
        <v>0</v>
      </c>
      <c r="U161">
        <f t="shared" si="58"/>
        <v>2020</v>
      </c>
      <c r="V161">
        <f t="shared" si="59"/>
        <v>2020</v>
      </c>
    </row>
    <row r="162" spans="1:22" x14ac:dyDescent="0.25">
      <c r="A162" t="s">
        <v>52</v>
      </c>
      <c r="B162" t="s">
        <v>53</v>
      </c>
      <c r="C162" s="1">
        <v>44166</v>
      </c>
      <c r="D162">
        <v>13109.05</v>
      </c>
      <c r="E162" s="1">
        <v>44186</v>
      </c>
      <c r="F162">
        <v>13328.4</v>
      </c>
      <c r="G162" s="2">
        <v>1.67E-2</v>
      </c>
      <c r="H162" s="40">
        <f t="shared" si="46"/>
        <v>20</v>
      </c>
      <c r="I162" s="4">
        <f t="shared" si="47"/>
        <v>1.5E-3</v>
      </c>
      <c r="J162" s="4">
        <f t="shared" si="48"/>
        <v>3.3333333333333331E-3</v>
      </c>
      <c r="K162" s="4">
        <f t="shared" si="49"/>
        <v>1.1866666666666666E-2</v>
      </c>
      <c r="L162">
        <f t="shared" si="50"/>
        <v>397.30129359882744</v>
      </c>
      <c r="M162">
        <f t="shared" si="51"/>
        <v>397.30129359882744</v>
      </c>
      <c r="N162" t="str">
        <f t="shared" si="52"/>
        <v/>
      </c>
      <c r="O162" s="39">
        <f t="shared" si="53"/>
        <v>0</v>
      </c>
      <c r="Q162">
        <f t="shared" si="54"/>
        <v>233.41497946021957</v>
      </c>
      <c r="R162">
        <f t="shared" si="55"/>
        <v>233.41497946021957</v>
      </c>
      <c r="S162" t="str">
        <f t="shared" si="56"/>
        <v/>
      </c>
      <c r="T162" s="39">
        <f t="shared" si="57"/>
        <v>0</v>
      </c>
      <c r="U162">
        <f t="shared" si="58"/>
        <v>2020</v>
      </c>
      <c r="V162">
        <f t="shared" si="59"/>
        <v>2020</v>
      </c>
    </row>
    <row r="163" spans="1:22" x14ac:dyDescent="0.25">
      <c r="A163" t="s">
        <v>52</v>
      </c>
      <c r="B163" t="s">
        <v>53</v>
      </c>
      <c r="C163" s="1">
        <v>44188</v>
      </c>
      <c r="D163">
        <v>13601.1</v>
      </c>
      <c r="E163" s="1">
        <v>44214</v>
      </c>
      <c r="F163">
        <v>14281.3</v>
      </c>
      <c r="G163" s="2">
        <v>0.05</v>
      </c>
      <c r="H163" s="40">
        <f t="shared" si="46"/>
        <v>26</v>
      </c>
      <c r="I163" s="4">
        <f t="shared" si="47"/>
        <v>1.5E-3</v>
      </c>
      <c r="J163" s="4">
        <f t="shared" si="48"/>
        <v>4.333333333333334E-3</v>
      </c>
      <c r="K163" s="4">
        <f t="shared" si="49"/>
        <v>4.4166666666666667E-2</v>
      </c>
      <c r="L163">
        <f t="shared" si="50"/>
        <v>417.16635827876883</v>
      </c>
      <c r="M163">
        <f t="shared" si="51"/>
        <v>417.16635827876883</v>
      </c>
      <c r="N163" t="str">
        <f t="shared" si="52"/>
        <v/>
      </c>
      <c r="O163" s="39">
        <f t="shared" si="53"/>
        <v>0</v>
      </c>
      <c r="Q163">
        <f t="shared" si="54"/>
        <v>243.72414105304594</v>
      </c>
      <c r="R163">
        <f t="shared" si="55"/>
        <v>243.72414105304594</v>
      </c>
      <c r="S163" t="str">
        <f t="shared" si="56"/>
        <v/>
      </c>
      <c r="T163" s="39">
        <f t="shared" si="57"/>
        <v>0</v>
      </c>
      <c r="U163">
        <f t="shared" si="58"/>
        <v>2021</v>
      </c>
      <c r="V163">
        <f t="shared" si="59"/>
        <v>2020</v>
      </c>
    </row>
    <row r="164" spans="1:22" x14ac:dyDescent="0.25">
      <c r="A164" t="s">
        <v>52</v>
      </c>
      <c r="B164" t="s">
        <v>53</v>
      </c>
      <c r="C164" s="1">
        <v>44216</v>
      </c>
      <c r="D164">
        <v>14644.7</v>
      </c>
      <c r="E164" s="1">
        <v>44218</v>
      </c>
      <c r="F164">
        <v>14371.9</v>
      </c>
      <c r="G164" s="2">
        <v>-1.8599999999999998E-2</v>
      </c>
      <c r="H164" s="40">
        <f t="shared" si="46"/>
        <v>2</v>
      </c>
      <c r="I164" s="4">
        <f t="shared" si="47"/>
        <v>1.5E-3</v>
      </c>
      <c r="J164" s="4">
        <f t="shared" si="48"/>
        <v>3.3333333333333332E-4</v>
      </c>
      <c r="K164" s="4">
        <f t="shared" si="49"/>
        <v>-2.0433333333333331E-2</v>
      </c>
      <c r="L164">
        <f t="shared" si="50"/>
        <v>409.40706401478377</v>
      </c>
      <c r="M164">
        <f t="shared" si="51"/>
        <v>417.16635827876883</v>
      </c>
      <c r="N164">
        <f t="shared" si="52"/>
        <v>-7.7592942639850548</v>
      </c>
      <c r="O164" s="39">
        <f t="shared" si="53"/>
        <v>-1.8599999999999891E-2</v>
      </c>
      <c r="Q164">
        <f t="shared" si="54"/>
        <v>238.74404443752871</v>
      </c>
      <c r="R164">
        <f t="shared" si="55"/>
        <v>243.72414105304594</v>
      </c>
      <c r="S164">
        <f t="shared" si="56"/>
        <v>-4.9800966155172262</v>
      </c>
      <c r="T164" s="39">
        <f t="shared" si="57"/>
        <v>-2.0433333333333283E-2</v>
      </c>
      <c r="U164">
        <f t="shared" si="58"/>
        <v>2021</v>
      </c>
      <c r="V164">
        <f t="shared" si="59"/>
        <v>2021</v>
      </c>
    </row>
    <row r="165" spans="1:22" x14ac:dyDescent="0.25">
      <c r="A165" t="s">
        <v>52</v>
      </c>
      <c r="B165" t="s">
        <v>53</v>
      </c>
      <c r="C165" s="1">
        <v>44228</v>
      </c>
      <c r="D165">
        <v>14281.2</v>
      </c>
      <c r="E165" s="1">
        <v>44245</v>
      </c>
      <c r="F165">
        <v>15118.95</v>
      </c>
      <c r="G165" s="2">
        <v>5.8700000000000002E-2</v>
      </c>
      <c r="H165" s="40">
        <f t="shared" si="46"/>
        <v>17</v>
      </c>
      <c r="I165" s="4">
        <f t="shared" si="47"/>
        <v>1.5E-3</v>
      </c>
      <c r="J165" s="4">
        <f t="shared" si="48"/>
        <v>2.8333333333333331E-3</v>
      </c>
      <c r="K165" s="4">
        <f t="shared" si="49"/>
        <v>5.4366666666666667E-2</v>
      </c>
      <c r="L165">
        <f t="shared" si="50"/>
        <v>433.43925867245156</v>
      </c>
      <c r="M165">
        <f t="shared" si="51"/>
        <v>433.43925867245156</v>
      </c>
      <c r="N165" t="str">
        <f t="shared" si="52"/>
        <v/>
      </c>
      <c r="O165" s="39">
        <f t="shared" si="53"/>
        <v>0</v>
      </c>
      <c r="Q165">
        <f t="shared" si="54"/>
        <v>251.7237623201157</v>
      </c>
      <c r="R165">
        <f t="shared" si="55"/>
        <v>251.7237623201157</v>
      </c>
      <c r="S165" t="str">
        <f t="shared" si="56"/>
        <v/>
      </c>
      <c r="T165" s="39">
        <f t="shared" si="57"/>
        <v>0</v>
      </c>
      <c r="U165">
        <f t="shared" si="58"/>
        <v>2021</v>
      </c>
      <c r="V165">
        <f t="shared" si="59"/>
        <v>2021</v>
      </c>
    </row>
    <row r="166" spans="1:22" x14ac:dyDescent="0.25">
      <c r="A166" t="s">
        <v>52</v>
      </c>
      <c r="B166" t="s">
        <v>53</v>
      </c>
      <c r="C166" s="1">
        <v>44251</v>
      </c>
      <c r="D166">
        <v>14982</v>
      </c>
      <c r="E166" s="1">
        <v>44253</v>
      </c>
      <c r="F166">
        <v>14529.15</v>
      </c>
      <c r="G166" s="2">
        <v>-3.0200000000000001E-2</v>
      </c>
      <c r="H166" s="40">
        <f t="shared" si="46"/>
        <v>2</v>
      </c>
      <c r="I166" s="4">
        <f t="shared" si="47"/>
        <v>1.5E-3</v>
      </c>
      <c r="J166" s="4">
        <f t="shared" si="48"/>
        <v>3.3333333333333332E-4</v>
      </c>
      <c r="K166" s="4">
        <f t="shared" si="49"/>
        <v>-3.2033333333333337E-2</v>
      </c>
      <c r="L166">
        <f t="shared" si="50"/>
        <v>420.34939306054349</v>
      </c>
      <c r="M166">
        <f t="shared" si="51"/>
        <v>433.43925867245156</v>
      </c>
      <c r="N166">
        <f t="shared" si="52"/>
        <v>-13.089865611908067</v>
      </c>
      <c r="O166" s="39">
        <f t="shared" si="53"/>
        <v>-3.0200000000000071E-2</v>
      </c>
      <c r="Q166">
        <f t="shared" si="54"/>
        <v>243.66021113379466</v>
      </c>
      <c r="R166">
        <f t="shared" si="55"/>
        <v>251.7237623201157</v>
      </c>
      <c r="S166">
        <f t="shared" si="56"/>
        <v>-8.0635511863210354</v>
      </c>
      <c r="T166" s="39">
        <f t="shared" si="57"/>
        <v>-3.2033333333333316E-2</v>
      </c>
      <c r="U166">
        <f t="shared" si="58"/>
        <v>2021</v>
      </c>
      <c r="V166">
        <f t="shared" si="59"/>
        <v>2021</v>
      </c>
    </row>
    <row r="167" spans="1:22" x14ac:dyDescent="0.25">
      <c r="A167" t="s">
        <v>52</v>
      </c>
      <c r="B167" t="s">
        <v>53</v>
      </c>
      <c r="C167" s="1">
        <v>44258</v>
      </c>
      <c r="D167">
        <v>15245.6</v>
      </c>
      <c r="E167" s="1">
        <v>44270</v>
      </c>
      <c r="F167">
        <v>14929.5</v>
      </c>
      <c r="G167" s="2">
        <v>-2.07E-2</v>
      </c>
      <c r="H167" s="40">
        <f t="shared" si="46"/>
        <v>12</v>
      </c>
      <c r="I167" s="4">
        <f t="shared" si="47"/>
        <v>1.5E-3</v>
      </c>
      <c r="J167" s="4">
        <f t="shared" si="48"/>
        <v>2E-3</v>
      </c>
      <c r="K167" s="4">
        <f t="shared" si="49"/>
        <v>-2.4199999999999999E-2</v>
      </c>
      <c r="L167">
        <f t="shared" si="50"/>
        <v>411.64816062419021</v>
      </c>
      <c r="M167">
        <f t="shared" si="51"/>
        <v>433.43925867245156</v>
      </c>
      <c r="N167">
        <f t="shared" si="52"/>
        <v>-21.791098048261347</v>
      </c>
      <c r="O167" s="39">
        <f t="shared" si="53"/>
        <v>-5.0274860000000136E-2</v>
      </c>
      <c r="Q167">
        <f t="shared" si="54"/>
        <v>237.76363402435683</v>
      </c>
      <c r="R167">
        <f t="shared" si="55"/>
        <v>251.7237623201157</v>
      </c>
      <c r="S167">
        <f t="shared" si="56"/>
        <v>-13.960128295758864</v>
      </c>
      <c r="T167" s="39">
        <f t="shared" si="57"/>
        <v>-5.5458126666666642E-2</v>
      </c>
      <c r="U167">
        <f t="shared" si="58"/>
        <v>2021</v>
      </c>
      <c r="V167">
        <f t="shared" si="59"/>
        <v>2021</v>
      </c>
    </row>
    <row r="168" spans="1:22" x14ac:dyDescent="0.25">
      <c r="A168" t="s">
        <v>52</v>
      </c>
      <c r="B168" t="s">
        <v>53</v>
      </c>
      <c r="C168" s="1">
        <v>44285</v>
      </c>
      <c r="D168">
        <v>14845.1</v>
      </c>
      <c r="E168" s="1">
        <v>44298</v>
      </c>
      <c r="F168">
        <v>14310.8</v>
      </c>
      <c r="G168" s="2">
        <v>-3.5999999999999997E-2</v>
      </c>
      <c r="H168" s="40">
        <f t="shared" si="46"/>
        <v>13</v>
      </c>
      <c r="I168" s="4">
        <f t="shared" si="47"/>
        <v>1.5E-3</v>
      </c>
      <c r="J168" s="4">
        <f t="shared" si="48"/>
        <v>2.166666666666667E-3</v>
      </c>
      <c r="K168" s="4">
        <f t="shared" si="49"/>
        <v>-3.9666666666666663E-2</v>
      </c>
      <c r="L168">
        <f t="shared" si="50"/>
        <v>396.82882684171938</v>
      </c>
      <c r="M168">
        <f t="shared" si="51"/>
        <v>433.43925867245156</v>
      </c>
      <c r="N168">
        <f t="shared" si="52"/>
        <v>-36.610431830732182</v>
      </c>
      <c r="O168" s="39">
        <f t="shared" si="53"/>
        <v>-8.4464965040000103E-2</v>
      </c>
      <c r="Q168">
        <f t="shared" si="54"/>
        <v>228.33234320805735</v>
      </c>
      <c r="R168">
        <f t="shared" si="55"/>
        <v>251.7237623201157</v>
      </c>
      <c r="S168">
        <f t="shared" si="56"/>
        <v>-23.391419112058344</v>
      </c>
      <c r="T168" s="39">
        <f t="shared" si="57"/>
        <v>-9.2924954308888835E-2</v>
      </c>
      <c r="U168">
        <f t="shared" si="58"/>
        <v>2021</v>
      </c>
      <c r="V168">
        <f t="shared" si="59"/>
        <v>2021</v>
      </c>
    </row>
    <row r="169" spans="1:22" x14ac:dyDescent="0.25">
      <c r="A169" t="s">
        <v>52</v>
      </c>
      <c r="B169" t="s">
        <v>53</v>
      </c>
      <c r="C169" s="1">
        <v>44313</v>
      </c>
      <c r="D169">
        <v>14653.05</v>
      </c>
      <c r="E169" s="1">
        <v>44316</v>
      </c>
      <c r="F169">
        <v>14631.1</v>
      </c>
      <c r="G169" s="2">
        <v>-1.5E-3</v>
      </c>
      <c r="H169" s="40">
        <f t="shared" si="46"/>
        <v>3</v>
      </c>
      <c r="I169" s="4">
        <f t="shared" si="47"/>
        <v>1.5E-3</v>
      </c>
      <c r="J169" s="4">
        <f t="shared" si="48"/>
        <v>5.0000000000000001E-4</v>
      </c>
      <c r="K169" s="4">
        <f t="shared" si="49"/>
        <v>-3.5000000000000001E-3</v>
      </c>
      <c r="L169">
        <f t="shared" si="50"/>
        <v>396.23358360145681</v>
      </c>
      <c r="M169">
        <f t="shared" si="51"/>
        <v>433.43925867245156</v>
      </c>
      <c r="N169">
        <f t="shared" si="52"/>
        <v>-37.205675070994744</v>
      </c>
      <c r="O169" s="39">
        <f t="shared" si="53"/>
        <v>-8.5838267592440065E-2</v>
      </c>
      <c r="Q169">
        <f t="shared" si="54"/>
        <v>227.53318000682916</v>
      </c>
      <c r="R169">
        <f t="shared" si="55"/>
        <v>251.7237623201157</v>
      </c>
      <c r="S169">
        <f t="shared" si="56"/>
        <v>-24.190582313286541</v>
      </c>
      <c r="T169" s="39">
        <f t="shared" si="57"/>
        <v>-9.6099716968807702E-2</v>
      </c>
      <c r="U169">
        <f t="shared" si="58"/>
        <v>2021</v>
      </c>
      <c r="V169">
        <f t="shared" si="59"/>
        <v>2021</v>
      </c>
    </row>
    <row r="170" spans="1:22" x14ac:dyDescent="0.25">
      <c r="A170" t="s">
        <v>52</v>
      </c>
      <c r="B170" t="s">
        <v>53</v>
      </c>
      <c r="C170" s="1">
        <v>44323</v>
      </c>
      <c r="D170">
        <v>14823.15</v>
      </c>
      <c r="E170" s="1">
        <v>44328</v>
      </c>
      <c r="F170">
        <v>14696.5</v>
      </c>
      <c r="G170" s="2">
        <v>-8.5000000000000006E-3</v>
      </c>
      <c r="H170" s="40">
        <f t="shared" si="46"/>
        <v>5</v>
      </c>
      <c r="I170" s="4">
        <f t="shared" si="47"/>
        <v>1.5E-3</v>
      </c>
      <c r="J170" s="4">
        <f t="shared" si="48"/>
        <v>8.3333333333333328E-4</v>
      </c>
      <c r="K170" s="4">
        <f t="shared" si="49"/>
        <v>-1.0833333333333334E-2</v>
      </c>
      <c r="L170">
        <f t="shared" si="50"/>
        <v>392.86559814084444</v>
      </c>
      <c r="M170">
        <f t="shared" si="51"/>
        <v>433.43925867245156</v>
      </c>
      <c r="N170">
        <f t="shared" si="52"/>
        <v>-40.573660531607118</v>
      </c>
      <c r="O170" s="39">
        <f t="shared" si="53"/>
        <v>-9.3608642317904306E-2</v>
      </c>
      <c r="Q170">
        <f t="shared" si="54"/>
        <v>225.06823722342185</v>
      </c>
      <c r="R170">
        <f t="shared" si="55"/>
        <v>251.7237623201157</v>
      </c>
      <c r="S170">
        <f t="shared" si="56"/>
        <v>-26.65552509669385</v>
      </c>
      <c r="T170" s="39">
        <f t="shared" si="57"/>
        <v>-0.10589197003497894</v>
      </c>
      <c r="U170">
        <f t="shared" si="58"/>
        <v>2021</v>
      </c>
      <c r="V170">
        <f t="shared" si="59"/>
        <v>2021</v>
      </c>
    </row>
    <row r="171" spans="1:22" x14ac:dyDescent="0.25">
      <c r="A171" t="s">
        <v>52</v>
      </c>
      <c r="B171" t="s">
        <v>53</v>
      </c>
      <c r="C171" s="1">
        <v>44333</v>
      </c>
      <c r="D171">
        <v>14923.15</v>
      </c>
      <c r="E171" s="1">
        <v>44364</v>
      </c>
      <c r="F171">
        <v>15691.4</v>
      </c>
      <c r="G171" s="2">
        <v>5.1499999999999997E-2</v>
      </c>
      <c r="H171" s="40">
        <f t="shared" si="46"/>
        <v>31</v>
      </c>
      <c r="I171" s="4">
        <f t="shared" si="47"/>
        <v>1.5E-3</v>
      </c>
      <c r="J171" s="4">
        <f t="shared" si="48"/>
        <v>5.1666666666666675E-3</v>
      </c>
      <c r="K171" s="4">
        <f t="shared" si="49"/>
        <v>4.4833333333333329E-2</v>
      </c>
      <c r="L171">
        <f t="shared" si="50"/>
        <v>413.09817644509798</v>
      </c>
      <c r="M171">
        <f t="shared" si="51"/>
        <v>433.43925867245156</v>
      </c>
      <c r="N171">
        <f t="shared" si="52"/>
        <v>-20.341082227353581</v>
      </c>
      <c r="O171" s="39">
        <f t="shared" si="53"/>
        <v>-4.6929487397276259E-2</v>
      </c>
      <c r="Q171">
        <f t="shared" si="54"/>
        <v>235.15879652560525</v>
      </c>
      <c r="R171">
        <f t="shared" si="55"/>
        <v>251.7237623201157</v>
      </c>
      <c r="S171">
        <f t="shared" si="56"/>
        <v>-16.564965794510442</v>
      </c>
      <c r="T171" s="39">
        <f t="shared" si="57"/>
        <v>-6.5806126691547173E-2</v>
      </c>
      <c r="U171">
        <f t="shared" si="58"/>
        <v>2021</v>
      </c>
      <c r="V171">
        <f t="shared" si="59"/>
        <v>2021</v>
      </c>
    </row>
    <row r="172" spans="1:22" x14ac:dyDescent="0.25">
      <c r="A172" t="s">
        <v>52</v>
      </c>
      <c r="B172" t="s">
        <v>53</v>
      </c>
      <c r="C172" s="1">
        <v>44371</v>
      </c>
      <c r="D172">
        <v>15790.45</v>
      </c>
      <c r="E172" s="1">
        <v>44378</v>
      </c>
      <c r="F172">
        <v>15680</v>
      </c>
      <c r="G172" s="2">
        <v>-7.0000000000000001E-3</v>
      </c>
      <c r="H172" s="40">
        <f t="shared" si="46"/>
        <v>7</v>
      </c>
      <c r="I172" s="4">
        <f t="shared" si="47"/>
        <v>1.5E-3</v>
      </c>
      <c r="J172" s="4">
        <f t="shared" si="48"/>
        <v>1.1666666666666668E-3</v>
      </c>
      <c r="K172" s="4">
        <f t="shared" si="49"/>
        <v>-9.6666666666666672E-3</v>
      </c>
      <c r="L172">
        <f t="shared" si="50"/>
        <v>410.20648920998229</v>
      </c>
      <c r="M172">
        <f t="shared" si="51"/>
        <v>433.43925867245156</v>
      </c>
      <c r="N172">
        <f t="shared" si="52"/>
        <v>-23.232769462469264</v>
      </c>
      <c r="O172" s="39">
        <f t="shared" si="53"/>
        <v>-5.3600980985495324E-2</v>
      </c>
      <c r="Q172">
        <f t="shared" si="54"/>
        <v>232.88559482585774</v>
      </c>
      <c r="R172">
        <f t="shared" si="55"/>
        <v>251.7237623201157</v>
      </c>
      <c r="S172">
        <f t="shared" si="56"/>
        <v>-18.838167494257959</v>
      </c>
      <c r="T172" s="39">
        <f t="shared" si="57"/>
        <v>-7.4836667466862211E-2</v>
      </c>
      <c r="U172">
        <f t="shared" si="58"/>
        <v>2021</v>
      </c>
      <c r="V172">
        <f t="shared" si="59"/>
        <v>2021</v>
      </c>
    </row>
    <row r="173" spans="1:22" x14ac:dyDescent="0.25">
      <c r="A173" t="s">
        <v>52</v>
      </c>
      <c r="B173" t="s">
        <v>53</v>
      </c>
      <c r="C173" s="1">
        <v>44382</v>
      </c>
      <c r="D173">
        <v>15834.35</v>
      </c>
      <c r="E173" s="1">
        <v>44385</v>
      </c>
      <c r="F173">
        <v>15727.9</v>
      </c>
      <c r="G173" s="2">
        <v>-6.7000000000000002E-3</v>
      </c>
      <c r="H173" s="40">
        <f t="shared" si="46"/>
        <v>3</v>
      </c>
      <c r="I173" s="4">
        <f t="shared" si="47"/>
        <v>1.5E-3</v>
      </c>
      <c r="J173" s="4">
        <f t="shared" si="48"/>
        <v>5.0000000000000001E-4</v>
      </c>
      <c r="K173" s="4">
        <f t="shared" si="49"/>
        <v>-8.6999999999999994E-3</v>
      </c>
      <c r="L173">
        <f t="shared" si="50"/>
        <v>407.45810573227538</v>
      </c>
      <c r="M173">
        <f t="shared" si="51"/>
        <v>433.43925867245156</v>
      </c>
      <c r="N173">
        <f t="shared" si="52"/>
        <v>-25.981152940176173</v>
      </c>
      <c r="O173" s="39">
        <f t="shared" si="53"/>
        <v>-5.994185441289257E-2</v>
      </c>
      <c r="Q173">
        <f t="shared" si="54"/>
        <v>230.85949015087277</v>
      </c>
      <c r="R173">
        <f t="shared" si="55"/>
        <v>251.7237623201157</v>
      </c>
      <c r="S173">
        <f t="shared" si="56"/>
        <v>-20.864272169242923</v>
      </c>
      <c r="T173" s="39">
        <f t="shared" si="57"/>
        <v>-8.2885588459900517E-2</v>
      </c>
      <c r="U173">
        <f t="shared" si="58"/>
        <v>2021</v>
      </c>
      <c r="V173">
        <f t="shared" si="59"/>
        <v>2021</v>
      </c>
    </row>
    <row r="174" spans="1:22" x14ac:dyDescent="0.25">
      <c r="A174" t="s">
        <v>52</v>
      </c>
      <c r="B174" t="s">
        <v>53</v>
      </c>
      <c r="C174" s="1">
        <v>44390</v>
      </c>
      <c r="D174">
        <v>15812.35</v>
      </c>
      <c r="E174" s="1">
        <v>44396</v>
      </c>
      <c r="F174">
        <v>15752.4</v>
      </c>
      <c r="G174" s="2">
        <v>-3.8E-3</v>
      </c>
      <c r="H174" s="40">
        <f t="shared" si="46"/>
        <v>6</v>
      </c>
      <c r="I174" s="4">
        <f t="shared" si="47"/>
        <v>1.5E-3</v>
      </c>
      <c r="J174" s="4">
        <f t="shared" si="48"/>
        <v>1E-3</v>
      </c>
      <c r="K174" s="4">
        <f t="shared" si="49"/>
        <v>-6.3E-3</v>
      </c>
      <c r="L174">
        <f t="shared" si="50"/>
        <v>405.90976493049271</v>
      </c>
      <c r="M174">
        <f t="shared" si="51"/>
        <v>433.43925867245156</v>
      </c>
      <c r="N174">
        <f t="shared" si="52"/>
        <v>-27.529493741958845</v>
      </c>
      <c r="O174" s="39">
        <f t="shared" si="53"/>
        <v>-6.3514075366123635E-2</v>
      </c>
      <c r="Q174">
        <f t="shared" si="54"/>
        <v>229.40507536292228</v>
      </c>
      <c r="R174">
        <f t="shared" si="55"/>
        <v>251.7237623201157</v>
      </c>
      <c r="S174">
        <f t="shared" si="56"/>
        <v>-22.318686957193421</v>
      </c>
      <c r="T174" s="39">
        <f t="shared" si="57"/>
        <v>-8.8663409252603145E-2</v>
      </c>
      <c r="U174">
        <f t="shared" si="58"/>
        <v>2021</v>
      </c>
      <c r="V174">
        <f t="shared" si="59"/>
        <v>2021</v>
      </c>
    </row>
    <row r="175" spans="1:22" x14ac:dyDescent="0.25">
      <c r="A175" t="s">
        <v>52</v>
      </c>
      <c r="B175" t="s">
        <v>53</v>
      </c>
      <c r="C175" s="1">
        <v>44399</v>
      </c>
      <c r="D175">
        <v>15824.05</v>
      </c>
      <c r="E175" s="1">
        <v>44428</v>
      </c>
      <c r="F175">
        <v>16450.5</v>
      </c>
      <c r="G175" s="2">
        <v>3.9600000000000003E-2</v>
      </c>
      <c r="H175" s="40">
        <f t="shared" si="46"/>
        <v>29</v>
      </c>
      <c r="I175" s="4">
        <f t="shared" si="47"/>
        <v>1.5E-3</v>
      </c>
      <c r="J175" s="4">
        <f t="shared" si="48"/>
        <v>4.8333333333333336E-3</v>
      </c>
      <c r="K175" s="4">
        <f t="shared" si="49"/>
        <v>3.3266666666666667E-2</v>
      </c>
      <c r="L175">
        <f t="shared" si="50"/>
        <v>421.98379162174024</v>
      </c>
      <c r="M175">
        <f t="shared" si="51"/>
        <v>433.43925867245156</v>
      </c>
      <c r="N175">
        <f t="shared" si="52"/>
        <v>-11.45546705071132</v>
      </c>
      <c r="O175" s="39">
        <f t="shared" si="53"/>
        <v>-2.64292327506221E-2</v>
      </c>
      <c r="Q175">
        <f t="shared" si="54"/>
        <v>237.03661753666213</v>
      </c>
      <c r="R175">
        <f t="shared" si="55"/>
        <v>251.7237623201157</v>
      </c>
      <c r="S175">
        <f t="shared" si="56"/>
        <v>-14.687144783453562</v>
      </c>
      <c r="T175" s="39">
        <f t="shared" si="57"/>
        <v>-5.8346278667073162E-2</v>
      </c>
      <c r="U175">
        <f t="shared" si="58"/>
        <v>2021</v>
      </c>
      <c r="V175">
        <f t="shared" si="59"/>
        <v>2021</v>
      </c>
    </row>
    <row r="176" spans="1:22" x14ac:dyDescent="0.25">
      <c r="A176" t="s">
        <v>52</v>
      </c>
      <c r="B176" t="s">
        <v>53</v>
      </c>
      <c r="C176" s="1">
        <v>44432</v>
      </c>
      <c r="D176">
        <v>16624.599999999999</v>
      </c>
      <c r="E176" s="1">
        <v>44459</v>
      </c>
      <c r="F176">
        <v>17396.900000000001</v>
      </c>
      <c r="G176" s="2">
        <v>4.65E-2</v>
      </c>
      <c r="H176" s="40">
        <f t="shared" si="46"/>
        <v>27</v>
      </c>
      <c r="I176" s="4">
        <f t="shared" si="47"/>
        <v>1.5E-3</v>
      </c>
      <c r="J176" s="4">
        <f t="shared" si="48"/>
        <v>4.5000000000000005E-3</v>
      </c>
      <c r="K176" s="4">
        <f t="shared" si="49"/>
        <v>4.0500000000000001E-2</v>
      </c>
      <c r="L176">
        <f t="shared" si="50"/>
        <v>441.60603793215114</v>
      </c>
      <c r="M176">
        <f t="shared" si="51"/>
        <v>441.60603793215114</v>
      </c>
      <c r="N176" t="str">
        <f t="shared" si="52"/>
        <v/>
      </c>
      <c r="O176" s="39">
        <f t="shared" si="53"/>
        <v>0</v>
      </c>
      <c r="Q176">
        <f t="shared" si="54"/>
        <v>246.63660054689694</v>
      </c>
      <c r="R176">
        <f t="shared" si="55"/>
        <v>251.7237623201157</v>
      </c>
      <c r="S176">
        <f t="shared" si="56"/>
        <v>-5.0871617732187531</v>
      </c>
      <c r="T176" s="39">
        <f t="shared" si="57"/>
        <v>-2.0209302953089658E-2</v>
      </c>
      <c r="U176">
        <f t="shared" si="58"/>
        <v>2021</v>
      </c>
      <c r="V176">
        <f t="shared" si="59"/>
        <v>2021</v>
      </c>
    </row>
    <row r="177" spans="1:22" x14ac:dyDescent="0.25">
      <c r="A177" t="s">
        <v>52</v>
      </c>
      <c r="B177" t="s">
        <v>53</v>
      </c>
      <c r="C177" s="1">
        <v>44462</v>
      </c>
      <c r="D177">
        <v>17822.95</v>
      </c>
      <c r="E177" s="1">
        <v>44469</v>
      </c>
      <c r="F177">
        <v>17618.150000000001</v>
      </c>
      <c r="G177" s="2">
        <v>-1.15E-2</v>
      </c>
      <c r="H177" s="40">
        <f t="shared" si="46"/>
        <v>7</v>
      </c>
      <c r="I177" s="4">
        <f t="shared" si="47"/>
        <v>1.5E-3</v>
      </c>
      <c r="J177" s="4">
        <f t="shared" si="48"/>
        <v>1.1666666666666668E-3</v>
      </c>
      <c r="K177" s="4">
        <f t="shared" si="49"/>
        <v>-1.4166666666666668E-2</v>
      </c>
      <c r="L177">
        <f t="shared" si="50"/>
        <v>436.5275684959314</v>
      </c>
      <c r="M177">
        <f t="shared" si="51"/>
        <v>441.60603793215114</v>
      </c>
      <c r="N177">
        <f t="shared" si="52"/>
        <v>-5.0784694362197342</v>
      </c>
      <c r="O177" s="39">
        <f t="shared" si="53"/>
        <v>-1.1499999999999991E-2</v>
      </c>
      <c r="Q177">
        <f t="shared" si="54"/>
        <v>243.14258203914923</v>
      </c>
      <c r="R177">
        <f t="shared" si="55"/>
        <v>251.7237623201157</v>
      </c>
      <c r="S177">
        <f t="shared" si="56"/>
        <v>-8.5811802809664641</v>
      </c>
      <c r="T177" s="39">
        <f t="shared" si="57"/>
        <v>-3.4089671161254234E-2</v>
      </c>
      <c r="U177">
        <f t="shared" si="58"/>
        <v>2021</v>
      </c>
      <c r="V177">
        <f t="shared" si="59"/>
        <v>2021</v>
      </c>
    </row>
    <row r="178" spans="1:22" x14ac:dyDescent="0.25">
      <c r="A178" t="s">
        <v>52</v>
      </c>
      <c r="B178" t="s">
        <v>53</v>
      </c>
      <c r="C178" s="1">
        <v>44474</v>
      </c>
      <c r="D178">
        <v>17822.3</v>
      </c>
      <c r="E178" s="1">
        <v>44489</v>
      </c>
      <c r="F178">
        <v>18266.599999999999</v>
      </c>
      <c r="G178" s="2">
        <v>2.4899999999999999E-2</v>
      </c>
      <c r="H178" s="40">
        <f t="shared" si="46"/>
        <v>15</v>
      </c>
      <c r="I178" s="4">
        <f t="shared" si="47"/>
        <v>1.5E-3</v>
      </c>
      <c r="J178" s="4">
        <f t="shared" si="48"/>
        <v>2.5000000000000001E-3</v>
      </c>
      <c r="K178" s="4">
        <f t="shared" si="49"/>
        <v>2.0899999999999998E-2</v>
      </c>
      <c r="L178">
        <f t="shared" si="50"/>
        <v>447.39710495148006</v>
      </c>
      <c r="M178">
        <f t="shared" si="51"/>
        <v>447.39710495148006</v>
      </c>
      <c r="N178" t="str">
        <f t="shared" si="52"/>
        <v/>
      </c>
      <c r="O178" s="39">
        <f t="shared" si="53"/>
        <v>0</v>
      </c>
      <c r="Q178">
        <f t="shared" si="54"/>
        <v>248.22426200376742</v>
      </c>
      <c r="R178">
        <f t="shared" si="55"/>
        <v>251.7237623201157</v>
      </c>
      <c r="S178">
        <f t="shared" si="56"/>
        <v>-3.499500316348275</v>
      </c>
      <c r="T178" s="39">
        <f t="shared" si="57"/>
        <v>-1.390214528852457E-2</v>
      </c>
      <c r="U178">
        <f t="shared" si="58"/>
        <v>2021</v>
      </c>
      <c r="V178">
        <f t="shared" si="59"/>
        <v>2021</v>
      </c>
    </row>
    <row r="179" spans="1:22" x14ac:dyDescent="0.25">
      <c r="A179" t="s">
        <v>52</v>
      </c>
      <c r="B179" t="s">
        <v>53</v>
      </c>
      <c r="C179" s="1">
        <v>44508</v>
      </c>
      <c r="D179">
        <v>18068.55</v>
      </c>
      <c r="E179" s="1">
        <v>44517</v>
      </c>
      <c r="F179">
        <v>17898.650000000001</v>
      </c>
      <c r="G179" s="2">
        <v>-9.4000000000000004E-3</v>
      </c>
      <c r="H179" s="40">
        <f t="shared" si="46"/>
        <v>9</v>
      </c>
      <c r="I179" s="4">
        <f t="shared" si="47"/>
        <v>1.5E-3</v>
      </c>
      <c r="J179" s="4">
        <f t="shared" si="48"/>
        <v>1.5E-3</v>
      </c>
      <c r="K179" s="4">
        <f t="shared" si="49"/>
        <v>-1.2400000000000001E-2</v>
      </c>
      <c r="L179">
        <f t="shared" si="50"/>
        <v>443.19157216493619</v>
      </c>
      <c r="M179">
        <f t="shared" si="51"/>
        <v>447.39710495148006</v>
      </c>
      <c r="N179">
        <f t="shared" si="52"/>
        <v>-4.2055327865438699</v>
      </c>
      <c r="O179" s="39">
        <f t="shared" si="53"/>
        <v>-9.399999999999905E-3</v>
      </c>
      <c r="Q179">
        <f t="shared" si="54"/>
        <v>245.1462811549207</v>
      </c>
      <c r="R179">
        <f t="shared" si="55"/>
        <v>251.7237623201157</v>
      </c>
      <c r="S179">
        <f t="shared" si="56"/>
        <v>-6.577481165194996</v>
      </c>
      <c r="T179" s="39">
        <f t="shared" si="57"/>
        <v>-2.6129758686946884E-2</v>
      </c>
      <c r="U179">
        <f t="shared" si="58"/>
        <v>2021</v>
      </c>
      <c r="V179">
        <f t="shared" si="59"/>
        <v>2021</v>
      </c>
    </row>
    <row r="180" spans="1:22" x14ac:dyDescent="0.25">
      <c r="A180" t="s">
        <v>52</v>
      </c>
      <c r="B180" t="s">
        <v>53</v>
      </c>
      <c r="C180" s="1">
        <v>44736</v>
      </c>
      <c r="D180">
        <v>15699.25</v>
      </c>
      <c r="E180" s="1">
        <v>44755</v>
      </c>
      <c r="F180">
        <v>15966.65</v>
      </c>
      <c r="G180" s="2">
        <v>1.7000000000000001E-2</v>
      </c>
      <c r="H180" s="40">
        <f t="shared" si="46"/>
        <v>19</v>
      </c>
      <c r="I180" s="4">
        <f t="shared" si="47"/>
        <v>1.5E-3</v>
      </c>
      <c r="J180" s="4">
        <f t="shared" si="48"/>
        <v>3.1666666666666666E-3</v>
      </c>
      <c r="K180" s="4">
        <f t="shared" si="49"/>
        <v>1.2333333333333335E-2</v>
      </c>
      <c r="L180">
        <f t="shared" si="50"/>
        <v>450.72582889174004</v>
      </c>
      <c r="M180">
        <f t="shared" si="51"/>
        <v>450.72582889174004</v>
      </c>
      <c r="N180" t="str">
        <f t="shared" si="52"/>
        <v/>
      </c>
      <c r="O180" s="39">
        <f t="shared" si="53"/>
        <v>0</v>
      </c>
      <c r="Q180">
        <f t="shared" si="54"/>
        <v>248.16975195583137</v>
      </c>
      <c r="R180">
        <f t="shared" si="55"/>
        <v>251.7237623201157</v>
      </c>
      <c r="S180">
        <f t="shared" si="56"/>
        <v>-3.5540103642843235</v>
      </c>
      <c r="T180" s="39">
        <f t="shared" si="57"/>
        <v>-1.4118692377419294E-2</v>
      </c>
      <c r="U180">
        <f t="shared" si="58"/>
        <v>2022</v>
      </c>
      <c r="V180">
        <f t="shared" si="59"/>
        <v>2022</v>
      </c>
    </row>
    <row r="181" spans="1:22" x14ac:dyDescent="0.25">
      <c r="A181" t="s">
        <v>52</v>
      </c>
      <c r="B181" t="s">
        <v>53</v>
      </c>
      <c r="C181" s="1">
        <v>44760</v>
      </c>
      <c r="D181">
        <v>16278.5</v>
      </c>
      <c r="E181" s="1">
        <v>44768</v>
      </c>
      <c r="F181">
        <v>16483.849999999999</v>
      </c>
      <c r="G181" s="2">
        <v>1.26E-2</v>
      </c>
      <c r="H181" s="40">
        <f t="shared" si="46"/>
        <v>8</v>
      </c>
      <c r="I181" s="4">
        <f t="shared" si="47"/>
        <v>1.5E-3</v>
      </c>
      <c r="J181" s="4">
        <f t="shared" si="48"/>
        <v>1.3333333333333333E-3</v>
      </c>
      <c r="K181" s="4">
        <f t="shared" si="49"/>
        <v>9.7666666666666666E-3</v>
      </c>
      <c r="L181">
        <f t="shared" si="50"/>
        <v>456.40497433577593</v>
      </c>
      <c r="M181">
        <f t="shared" si="51"/>
        <v>456.40497433577593</v>
      </c>
      <c r="N181" t="str">
        <f t="shared" si="52"/>
        <v/>
      </c>
      <c r="O181" s="39">
        <f t="shared" si="53"/>
        <v>0</v>
      </c>
      <c r="Q181">
        <f t="shared" si="54"/>
        <v>250.59354319993332</v>
      </c>
      <c r="R181">
        <f t="shared" si="55"/>
        <v>251.7237623201157</v>
      </c>
      <c r="S181">
        <f t="shared" si="56"/>
        <v>-1.1302191201823746</v>
      </c>
      <c r="T181" s="39">
        <f t="shared" si="57"/>
        <v>-4.4899182729721057E-3</v>
      </c>
      <c r="U181">
        <f t="shared" si="58"/>
        <v>2022</v>
      </c>
      <c r="V181">
        <f t="shared" si="59"/>
        <v>2022</v>
      </c>
    </row>
    <row r="182" spans="1:22" x14ac:dyDescent="0.25">
      <c r="A182" t="s">
        <v>52</v>
      </c>
      <c r="B182" t="s">
        <v>53</v>
      </c>
      <c r="C182" s="1">
        <v>44770</v>
      </c>
      <c r="D182">
        <v>16929.599999999999</v>
      </c>
      <c r="E182" s="1">
        <v>44792</v>
      </c>
      <c r="F182">
        <v>17758.45</v>
      </c>
      <c r="G182" s="2">
        <v>4.9000000000000002E-2</v>
      </c>
      <c r="H182" s="40">
        <f t="shared" si="46"/>
        <v>22</v>
      </c>
      <c r="I182" s="4">
        <f t="shared" si="47"/>
        <v>1.5E-3</v>
      </c>
      <c r="J182" s="4">
        <f t="shared" si="48"/>
        <v>3.6666666666666666E-3</v>
      </c>
      <c r="K182" s="4">
        <f t="shared" si="49"/>
        <v>4.3833333333333335E-2</v>
      </c>
      <c r="L182">
        <f t="shared" si="50"/>
        <v>478.76881807822895</v>
      </c>
      <c r="M182">
        <f t="shared" si="51"/>
        <v>478.76881807822895</v>
      </c>
      <c r="N182" t="str">
        <f t="shared" si="52"/>
        <v/>
      </c>
      <c r="O182" s="39">
        <f t="shared" si="53"/>
        <v>0</v>
      </c>
      <c r="Q182">
        <f t="shared" si="54"/>
        <v>261.5778935101971</v>
      </c>
      <c r="R182">
        <f t="shared" si="55"/>
        <v>261.5778935101971</v>
      </c>
      <c r="S182" t="str">
        <f t="shared" si="56"/>
        <v/>
      </c>
      <c r="T182" s="39">
        <f t="shared" si="57"/>
        <v>0</v>
      </c>
      <c r="U182">
        <f t="shared" si="58"/>
        <v>2022</v>
      </c>
      <c r="V182">
        <f t="shared" si="59"/>
        <v>2022</v>
      </c>
    </row>
    <row r="183" spans="1:22" x14ac:dyDescent="0.25">
      <c r="A183" t="s">
        <v>52</v>
      </c>
      <c r="B183" t="s">
        <v>53</v>
      </c>
      <c r="C183" s="1">
        <v>44803</v>
      </c>
      <c r="D183">
        <v>17759.3</v>
      </c>
      <c r="E183" s="1">
        <v>44819</v>
      </c>
      <c r="F183">
        <v>17877.400000000001</v>
      </c>
      <c r="G183" s="2">
        <v>6.7000000000000002E-3</v>
      </c>
      <c r="H183" s="40">
        <f t="shared" si="46"/>
        <v>16</v>
      </c>
      <c r="I183" s="4">
        <f t="shared" si="47"/>
        <v>1.5E-3</v>
      </c>
      <c r="J183" s="4">
        <f t="shared" si="48"/>
        <v>2.6666666666666666E-3</v>
      </c>
      <c r="K183" s="4">
        <f t="shared" si="49"/>
        <v>2.5333333333333336E-3</v>
      </c>
      <c r="L183">
        <f t="shared" si="50"/>
        <v>481.97656915935306</v>
      </c>
      <c r="M183">
        <f t="shared" si="51"/>
        <v>481.97656915935306</v>
      </c>
      <c r="N183" t="str">
        <f t="shared" si="52"/>
        <v/>
      </c>
      <c r="O183" s="39">
        <f t="shared" si="53"/>
        <v>0</v>
      </c>
      <c r="Q183">
        <f t="shared" si="54"/>
        <v>262.24055750708959</v>
      </c>
      <c r="R183">
        <f t="shared" si="55"/>
        <v>262.24055750708959</v>
      </c>
      <c r="S183" t="str">
        <f t="shared" si="56"/>
        <v/>
      </c>
      <c r="T183" s="39">
        <f t="shared" si="57"/>
        <v>0</v>
      </c>
      <c r="U183">
        <f t="shared" si="58"/>
        <v>2022</v>
      </c>
      <c r="V183">
        <f t="shared" si="59"/>
        <v>2022</v>
      </c>
    </row>
    <row r="184" spans="1:22" x14ac:dyDescent="0.25">
      <c r="A184" t="s">
        <v>52</v>
      </c>
      <c r="B184" t="s">
        <v>53</v>
      </c>
      <c r="C184" s="1">
        <v>44824</v>
      </c>
      <c r="D184">
        <v>17816.25</v>
      </c>
      <c r="E184" s="1">
        <v>44827</v>
      </c>
      <c r="F184">
        <v>17327.349999999999</v>
      </c>
      <c r="G184" s="2">
        <v>-2.7400000000000001E-2</v>
      </c>
      <c r="H184" s="40">
        <f t="shared" si="46"/>
        <v>3</v>
      </c>
      <c r="I184" s="4">
        <f t="shared" si="47"/>
        <v>1.5E-3</v>
      </c>
      <c r="J184" s="4">
        <f t="shared" si="48"/>
        <v>5.0000000000000001E-4</v>
      </c>
      <c r="K184" s="4">
        <f t="shared" si="49"/>
        <v>-2.9400000000000003E-2</v>
      </c>
      <c r="L184">
        <f t="shared" si="50"/>
        <v>468.77041116438681</v>
      </c>
      <c r="M184">
        <f t="shared" si="51"/>
        <v>481.97656915935306</v>
      </c>
      <c r="N184">
        <f t="shared" si="52"/>
        <v>-13.206157994966247</v>
      </c>
      <c r="O184" s="39">
        <f t="shared" si="53"/>
        <v>-2.7399999999999945E-2</v>
      </c>
      <c r="Q184">
        <f t="shared" si="54"/>
        <v>254.53068511638116</v>
      </c>
      <c r="R184">
        <f t="shared" si="55"/>
        <v>262.24055750708959</v>
      </c>
      <c r="S184">
        <f t="shared" si="56"/>
        <v>-7.7098723907084263</v>
      </c>
      <c r="T184" s="39">
        <f t="shared" si="57"/>
        <v>-2.9399999999999971E-2</v>
      </c>
      <c r="U184">
        <f t="shared" si="58"/>
        <v>2022</v>
      </c>
      <c r="V184">
        <f t="shared" si="59"/>
        <v>2022</v>
      </c>
    </row>
    <row r="185" spans="1:22" x14ac:dyDescent="0.25">
      <c r="A185" t="s">
        <v>52</v>
      </c>
      <c r="B185" t="s">
        <v>53</v>
      </c>
      <c r="C185" s="1">
        <v>44838</v>
      </c>
      <c r="D185">
        <v>17274.3</v>
      </c>
      <c r="E185" s="1">
        <v>44845</v>
      </c>
      <c r="F185">
        <v>16983.55</v>
      </c>
      <c r="G185" s="2">
        <v>-1.6799999999999999E-2</v>
      </c>
      <c r="H185" s="40">
        <f t="shared" si="46"/>
        <v>7</v>
      </c>
      <c r="I185" s="4">
        <f t="shared" si="47"/>
        <v>1.5E-3</v>
      </c>
      <c r="J185" s="4">
        <f t="shared" si="48"/>
        <v>1.1666666666666668E-3</v>
      </c>
      <c r="K185" s="4">
        <f t="shared" si="49"/>
        <v>-1.9466666666666667E-2</v>
      </c>
      <c r="L185">
        <f t="shared" si="50"/>
        <v>460.89506825682508</v>
      </c>
      <c r="M185">
        <f t="shared" si="51"/>
        <v>481.97656915935306</v>
      </c>
      <c r="N185">
        <f t="shared" si="52"/>
        <v>-21.081500902527978</v>
      </c>
      <c r="O185" s="39">
        <f t="shared" si="53"/>
        <v>-4.373968000000001E-2</v>
      </c>
      <c r="Q185">
        <f t="shared" si="54"/>
        <v>249.57582111278228</v>
      </c>
      <c r="R185">
        <f t="shared" si="55"/>
        <v>262.24055750708959</v>
      </c>
      <c r="S185">
        <f t="shared" si="56"/>
        <v>-12.664736394307312</v>
      </c>
      <c r="T185" s="39">
        <f t="shared" si="57"/>
        <v>-4.8294346666666634E-2</v>
      </c>
      <c r="U185">
        <f t="shared" si="58"/>
        <v>2022</v>
      </c>
      <c r="V185">
        <f t="shared" si="59"/>
        <v>2022</v>
      </c>
    </row>
    <row r="186" spans="1:22" x14ac:dyDescent="0.25">
      <c r="A186" t="s">
        <v>52</v>
      </c>
      <c r="B186" t="s">
        <v>53</v>
      </c>
      <c r="C186" s="1">
        <v>44851</v>
      </c>
      <c r="D186">
        <v>17311.8</v>
      </c>
      <c r="E186" s="1">
        <v>44875</v>
      </c>
      <c r="F186">
        <v>18028.2</v>
      </c>
      <c r="G186" s="2">
        <v>4.1399999999999999E-2</v>
      </c>
      <c r="H186" s="40">
        <f t="shared" si="46"/>
        <v>24</v>
      </c>
      <c r="I186" s="4">
        <f t="shared" si="47"/>
        <v>1.5E-3</v>
      </c>
      <c r="J186" s="4">
        <f t="shared" si="48"/>
        <v>4.0000000000000001E-3</v>
      </c>
      <c r="K186" s="4">
        <f t="shared" si="49"/>
        <v>3.5900000000000001E-2</v>
      </c>
      <c r="L186">
        <f t="shared" si="50"/>
        <v>479.97612408265769</v>
      </c>
      <c r="M186">
        <f t="shared" si="51"/>
        <v>481.97656915935306</v>
      </c>
      <c r="N186">
        <f t="shared" si="52"/>
        <v>-2.000445076695371</v>
      </c>
      <c r="O186" s="39">
        <f t="shared" si="53"/>
        <v>-4.1505027519999124E-3</v>
      </c>
      <c r="Q186">
        <f t="shared" si="54"/>
        <v>258.5355930907312</v>
      </c>
      <c r="R186">
        <f t="shared" si="55"/>
        <v>262.24055750708959</v>
      </c>
      <c r="S186">
        <f t="shared" si="56"/>
        <v>-3.7049644163583935</v>
      </c>
      <c r="T186" s="39">
        <f t="shared" si="57"/>
        <v>-1.4128113711999834E-2</v>
      </c>
      <c r="U186">
        <f t="shared" si="58"/>
        <v>2022</v>
      </c>
      <c r="V186">
        <f t="shared" si="59"/>
        <v>2022</v>
      </c>
    </row>
    <row r="187" spans="1:22" x14ac:dyDescent="0.25">
      <c r="A187" t="s">
        <v>52</v>
      </c>
      <c r="B187" t="s">
        <v>53</v>
      </c>
      <c r="C187" s="1">
        <v>44876</v>
      </c>
      <c r="D187">
        <v>18349.7</v>
      </c>
      <c r="E187" s="1">
        <v>44886</v>
      </c>
      <c r="F187">
        <v>18159.95</v>
      </c>
      <c r="G187" s="2">
        <v>-1.03E-2</v>
      </c>
      <c r="H187" s="40">
        <f t="shared" si="46"/>
        <v>10</v>
      </c>
      <c r="I187" s="4">
        <f t="shared" si="47"/>
        <v>1.5E-3</v>
      </c>
      <c r="J187" s="4">
        <f t="shared" si="48"/>
        <v>1.6666666666666666E-3</v>
      </c>
      <c r="K187" s="4">
        <f t="shared" si="49"/>
        <v>-1.3466666666666667E-2</v>
      </c>
      <c r="L187">
        <f t="shared" si="50"/>
        <v>475.03237000460632</v>
      </c>
      <c r="M187">
        <f t="shared" si="51"/>
        <v>481.97656915935306</v>
      </c>
      <c r="N187">
        <f t="shared" si="52"/>
        <v>-6.944199154746741</v>
      </c>
      <c r="O187" s="39">
        <f t="shared" si="53"/>
        <v>-1.4407752573654304E-2</v>
      </c>
      <c r="Q187">
        <f t="shared" si="54"/>
        <v>255.05398043710937</v>
      </c>
      <c r="R187">
        <f t="shared" si="55"/>
        <v>262.24055750708959</v>
      </c>
      <c r="S187">
        <f t="shared" si="56"/>
        <v>-7.1865770699802169</v>
      </c>
      <c r="T187" s="39">
        <f t="shared" si="57"/>
        <v>-2.7404521780678148E-2</v>
      </c>
      <c r="U187">
        <f t="shared" si="58"/>
        <v>2022</v>
      </c>
      <c r="V187">
        <f t="shared" si="59"/>
        <v>2022</v>
      </c>
    </row>
    <row r="188" spans="1:22" x14ac:dyDescent="0.25">
      <c r="A188" t="s">
        <v>52</v>
      </c>
      <c r="B188" t="s">
        <v>53</v>
      </c>
      <c r="C188" s="1">
        <v>44889</v>
      </c>
      <c r="D188">
        <v>18484.099999999999</v>
      </c>
      <c r="E188" s="1">
        <v>44901</v>
      </c>
      <c r="F188">
        <v>18642.75</v>
      </c>
      <c r="G188" s="2">
        <v>8.6E-3</v>
      </c>
      <c r="H188" s="40">
        <f t="shared" si="46"/>
        <v>12</v>
      </c>
      <c r="I188" s="4">
        <f t="shared" si="47"/>
        <v>1.5E-3</v>
      </c>
      <c r="J188" s="4">
        <f t="shared" si="48"/>
        <v>2E-3</v>
      </c>
      <c r="K188" s="4">
        <f t="shared" si="49"/>
        <v>5.1000000000000004E-3</v>
      </c>
      <c r="L188">
        <f t="shared" si="50"/>
        <v>479.1176483866459</v>
      </c>
      <c r="M188">
        <f t="shared" si="51"/>
        <v>481.97656915935306</v>
      </c>
      <c r="N188">
        <f t="shared" si="52"/>
        <v>-2.8589207727071653</v>
      </c>
      <c r="O188" s="39">
        <f t="shared" si="53"/>
        <v>-5.9316592457878117E-3</v>
      </c>
      <c r="Q188">
        <f t="shared" si="54"/>
        <v>256.35475573733868</v>
      </c>
      <c r="R188">
        <f t="shared" si="55"/>
        <v>262.24055750708959</v>
      </c>
      <c r="S188">
        <f t="shared" si="56"/>
        <v>-5.8858017697509126</v>
      </c>
      <c r="T188" s="39">
        <f t="shared" si="57"/>
        <v>-2.2444284841759428E-2</v>
      </c>
      <c r="U188">
        <f t="shared" si="58"/>
        <v>2022</v>
      </c>
      <c r="V188">
        <f t="shared" si="59"/>
        <v>2022</v>
      </c>
    </row>
    <row r="189" spans="1:22" x14ac:dyDescent="0.25">
      <c r="A189" t="s">
        <v>52</v>
      </c>
      <c r="B189" t="s">
        <v>53</v>
      </c>
      <c r="C189" s="1">
        <v>44908</v>
      </c>
      <c r="D189">
        <v>18608</v>
      </c>
      <c r="E189" s="1">
        <v>44910</v>
      </c>
      <c r="F189">
        <v>18414.900000000001</v>
      </c>
      <c r="G189" s="2">
        <v>-1.04E-2</v>
      </c>
      <c r="H189" s="40">
        <f t="shared" si="46"/>
        <v>2</v>
      </c>
      <c r="I189" s="4">
        <f t="shared" si="47"/>
        <v>1.5E-3</v>
      </c>
      <c r="J189" s="4">
        <f t="shared" si="48"/>
        <v>3.3333333333333332E-4</v>
      </c>
      <c r="K189" s="4">
        <f t="shared" si="49"/>
        <v>-1.2233333333333332E-2</v>
      </c>
      <c r="L189">
        <f t="shared" si="50"/>
        <v>474.13482484342478</v>
      </c>
      <c r="M189">
        <f t="shared" si="51"/>
        <v>481.97656915935306</v>
      </c>
      <c r="N189">
        <f t="shared" si="52"/>
        <v>-7.8417443159282811</v>
      </c>
      <c r="O189" s="39">
        <f t="shared" si="53"/>
        <v>-1.6269969989631615E-2</v>
      </c>
      <c r="Q189">
        <f t="shared" si="54"/>
        <v>253.21868255881859</v>
      </c>
      <c r="R189">
        <f t="shared" si="55"/>
        <v>262.24055750708959</v>
      </c>
      <c r="S189">
        <f t="shared" si="56"/>
        <v>-9.0218749482710052</v>
      </c>
      <c r="T189" s="39">
        <f t="shared" si="57"/>
        <v>-3.4403049757195173E-2</v>
      </c>
      <c r="U189">
        <f t="shared" si="58"/>
        <v>2022</v>
      </c>
      <c r="V189">
        <f t="shared" si="59"/>
        <v>2022</v>
      </c>
    </row>
    <row r="190" spans="1:22" x14ac:dyDescent="0.25">
      <c r="A190" t="s">
        <v>52</v>
      </c>
      <c r="B190" t="s">
        <v>53</v>
      </c>
      <c r="C190" s="1">
        <v>44979</v>
      </c>
      <c r="D190">
        <v>17554.3</v>
      </c>
      <c r="E190" s="1">
        <v>44981</v>
      </c>
      <c r="F190">
        <v>17465.8</v>
      </c>
      <c r="G190" s="2">
        <v>-5.0000000000000001E-3</v>
      </c>
      <c r="H190" s="40">
        <f t="shared" si="46"/>
        <v>2</v>
      </c>
      <c r="I190" s="4">
        <f t="shared" si="47"/>
        <v>1.5E-3</v>
      </c>
      <c r="J190" s="4">
        <f t="shared" si="48"/>
        <v>3.3333333333333332E-4</v>
      </c>
      <c r="K190" s="4">
        <f t="shared" si="49"/>
        <v>-6.8333333333333336E-3</v>
      </c>
      <c r="L190">
        <f t="shared" si="50"/>
        <v>471.76415071920763</v>
      </c>
      <c r="M190">
        <f t="shared" si="51"/>
        <v>481.97656915935306</v>
      </c>
      <c r="N190">
        <f t="shared" si="52"/>
        <v>-10.212418440145427</v>
      </c>
      <c r="O190" s="39">
        <f t="shared" si="53"/>
        <v>-2.1188620139683503E-2</v>
      </c>
      <c r="Q190">
        <f t="shared" si="54"/>
        <v>251.48835489466666</v>
      </c>
      <c r="R190">
        <f t="shared" si="55"/>
        <v>262.24055750708959</v>
      </c>
      <c r="S190">
        <f t="shared" si="56"/>
        <v>-10.752202612422934</v>
      </c>
      <c r="T190" s="39">
        <f t="shared" si="57"/>
        <v>-4.1001295583854347E-2</v>
      </c>
      <c r="U190">
        <f t="shared" si="58"/>
        <v>2023</v>
      </c>
      <c r="V190">
        <f t="shared" si="59"/>
        <v>2023</v>
      </c>
    </row>
    <row r="191" spans="1:22" x14ac:dyDescent="0.25">
      <c r="A191" t="s">
        <v>52</v>
      </c>
      <c r="B191" t="s">
        <v>53</v>
      </c>
      <c r="C191" s="1">
        <v>44988</v>
      </c>
      <c r="D191">
        <v>17594.349999999999</v>
      </c>
      <c r="E191" s="1">
        <v>44995</v>
      </c>
      <c r="F191">
        <v>17412.900000000001</v>
      </c>
      <c r="G191" s="2">
        <v>-1.03E-2</v>
      </c>
      <c r="H191" s="40">
        <f t="shared" si="46"/>
        <v>7</v>
      </c>
      <c r="I191" s="4">
        <f t="shared" si="47"/>
        <v>1.5E-3</v>
      </c>
      <c r="J191" s="4">
        <f t="shared" si="48"/>
        <v>1.1666666666666668E-3</v>
      </c>
      <c r="K191" s="4">
        <f t="shared" si="49"/>
        <v>-1.2966666666666668E-2</v>
      </c>
      <c r="L191">
        <f t="shared" si="50"/>
        <v>466.90497996679983</v>
      </c>
      <c r="M191">
        <f t="shared" si="51"/>
        <v>481.97656915935306</v>
      </c>
      <c r="N191">
        <f t="shared" si="52"/>
        <v>-15.071589192553233</v>
      </c>
      <c r="O191" s="39">
        <f t="shared" si="53"/>
        <v>-3.1270377352244694E-2</v>
      </c>
      <c r="Q191">
        <f t="shared" si="54"/>
        <v>248.22738922619914</v>
      </c>
      <c r="R191">
        <f t="shared" si="55"/>
        <v>262.24055750708959</v>
      </c>
      <c r="S191">
        <f t="shared" si="56"/>
        <v>-14.013168280890454</v>
      </c>
      <c r="T191" s="39">
        <f t="shared" si="57"/>
        <v>-5.3436312117783734E-2</v>
      </c>
      <c r="U191">
        <f t="shared" si="58"/>
        <v>2023</v>
      </c>
      <c r="V191">
        <f t="shared" si="59"/>
        <v>2023</v>
      </c>
    </row>
    <row r="192" spans="1:22" x14ac:dyDescent="0.25">
      <c r="A192" t="s">
        <v>52</v>
      </c>
      <c r="B192" t="s">
        <v>53</v>
      </c>
      <c r="C192" s="1">
        <v>45016</v>
      </c>
      <c r="D192">
        <v>17359.75</v>
      </c>
      <c r="E192" s="1">
        <v>45034</v>
      </c>
      <c r="F192">
        <v>17660.150000000001</v>
      </c>
      <c r="G192" s="2">
        <v>1.7299999999999999E-2</v>
      </c>
      <c r="H192" s="40">
        <f t="shared" si="46"/>
        <v>18</v>
      </c>
      <c r="I192" s="4">
        <f t="shared" si="47"/>
        <v>1.5E-3</v>
      </c>
      <c r="J192" s="4">
        <f t="shared" si="48"/>
        <v>3.0000000000000001E-3</v>
      </c>
      <c r="K192" s="4">
        <f t="shared" si="49"/>
        <v>1.2799999999999999E-2</v>
      </c>
      <c r="L192">
        <f t="shared" si="50"/>
        <v>474.98243612022549</v>
      </c>
      <c r="M192">
        <f t="shared" si="51"/>
        <v>481.97656915935306</v>
      </c>
      <c r="N192">
        <f t="shared" si="52"/>
        <v>-6.9941330391275756</v>
      </c>
      <c r="O192" s="39">
        <f t="shared" si="53"/>
        <v>-1.4511354880438487E-2</v>
      </c>
      <c r="Q192">
        <f t="shared" si="54"/>
        <v>251.40469980829445</v>
      </c>
      <c r="R192">
        <f t="shared" si="55"/>
        <v>262.24055750708959</v>
      </c>
      <c r="S192">
        <f t="shared" si="56"/>
        <v>-10.835857698795138</v>
      </c>
      <c r="T192" s="39">
        <f t="shared" si="57"/>
        <v>-4.1320296912891491E-2</v>
      </c>
      <c r="U192">
        <f t="shared" si="58"/>
        <v>2023</v>
      </c>
      <c r="V192">
        <f t="shared" si="59"/>
        <v>2023</v>
      </c>
    </row>
    <row r="193" spans="1:22" x14ac:dyDescent="0.25">
      <c r="A193" t="s">
        <v>52</v>
      </c>
      <c r="B193" t="s">
        <v>53</v>
      </c>
      <c r="C193" s="1">
        <v>45041</v>
      </c>
      <c r="D193">
        <v>17769.25</v>
      </c>
      <c r="E193" s="1">
        <v>45063</v>
      </c>
      <c r="F193">
        <v>18181.75</v>
      </c>
      <c r="G193" s="2">
        <v>2.3199999999999998E-2</v>
      </c>
      <c r="H193" s="40">
        <f t="shared" si="46"/>
        <v>22</v>
      </c>
      <c r="I193" s="4">
        <f t="shared" si="47"/>
        <v>1.5E-3</v>
      </c>
      <c r="J193" s="4">
        <f t="shared" si="48"/>
        <v>3.6666666666666666E-3</v>
      </c>
      <c r="K193" s="4">
        <f t="shared" si="49"/>
        <v>1.8033333333333332E-2</v>
      </c>
      <c r="L193">
        <f t="shared" si="50"/>
        <v>486.00202863821477</v>
      </c>
      <c r="M193">
        <f t="shared" si="51"/>
        <v>486.00202863821477</v>
      </c>
      <c r="N193" t="str">
        <f t="shared" si="52"/>
        <v/>
      </c>
      <c r="O193" s="39">
        <f t="shared" si="53"/>
        <v>0</v>
      </c>
      <c r="Q193">
        <f t="shared" si="54"/>
        <v>255.93836456150405</v>
      </c>
      <c r="R193">
        <f t="shared" si="55"/>
        <v>262.24055750708959</v>
      </c>
      <c r="S193">
        <f t="shared" si="56"/>
        <v>-6.3021929455855457</v>
      </c>
      <c r="T193" s="39">
        <f t="shared" si="57"/>
        <v>-2.4032106267220577E-2</v>
      </c>
      <c r="U193">
        <f t="shared" si="58"/>
        <v>2023</v>
      </c>
      <c r="V193">
        <f t="shared" si="59"/>
        <v>2023</v>
      </c>
    </row>
    <row r="194" spans="1:22" x14ac:dyDescent="0.25">
      <c r="A194" t="s">
        <v>52</v>
      </c>
      <c r="B194" t="s">
        <v>53</v>
      </c>
      <c r="C194" s="1">
        <v>45069</v>
      </c>
      <c r="D194">
        <v>18348</v>
      </c>
      <c r="E194" s="1">
        <v>45086</v>
      </c>
      <c r="F194">
        <v>18563.400000000001</v>
      </c>
      <c r="G194" s="2">
        <v>1.17E-2</v>
      </c>
      <c r="H194" s="40">
        <f t="shared" si="46"/>
        <v>17</v>
      </c>
      <c r="I194" s="4">
        <f t="shared" si="47"/>
        <v>1.5E-3</v>
      </c>
      <c r="J194" s="4">
        <f t="shared" si="48"/>
        <v>2.8333333333333331E-3</v>
      </c>
      <c r="K194" s="4">
        <f t="shared" si="49"/>
        <v>7.3666666666666672E-3</v>
      </c>
      <c r="L194">
        <f t="shared" si="50"/>
        <v>491.6882523732819</v>
      </c>
      <c r="M194">
        <f t="shared" si="51"/>
        <v>491.6882523732819</v>
      </c>
      <c r="N194" t="str">
        <f t="shared" si="52"/>
        <v/>
      </c>
      <c r="O194" s="39">
        <f t="shared" si="53"/>
        <v>0</v>
      </c>
      <c r="Q194">
        <f t="shared" si="54"/>
        <v>257.82377718044046</v>
      </c>
      <c r="R194">
        <f t="shared" si="55"/>
        <v>262.24055750708959</v>
      </c>
      <c r="S194">
        <f t="shared" si="56"/>
        <v>-4.4167803266491319</v>
      </c>
      <c r="T194" s="39">
        <f t="shared" si="57"/>
        <v>-1.6842476116722432E-2</v>
      </c>
      <c r="U194">
        <f t="shared" si="58"/>
        <v>2023</v>
      </c>
      <c r="V194">
        <f t="shared" si="59"/>
        <v>2023</v>
      </c>
    </row>
    <row r="195" spans="1:22" x14ac:dyDescent="0.25">
      <c r="A195" t="s">
        <v>52</v>
      </c>
      <c r="B195" t="s">
        <v>53</v>
      </c>
      <c r="C195" s="1">
        <v>45090</v>
      </c>
      <c r="D195">
        <v>18716.150000000001</v>
      </c>
      <c r="E195" s="1">
        <v>45100</v>
      </c>
      <c r="F195">
        <v>18665.5</v>
      </c>
      <c r="G195" s="2">
        <v>-2.7000000000000001E-3</v>
      </c>
      <c r="H195" s="40">
        <f t="shared" si="46"/>
        <v>10</v>
      </c>
      <c r="I195" s="4">
        <f t="shared" si="47"/>
        <v>1.5E-3</v>
      </c>
      <c r="J195" s="4">
        <f t="shared" si="48"/>
        <v>1.6666666666666666E-3</v>
      </c>
      <c r="K195" s="4">
        <f t="shared" si="49"/>
        <v>-5.8666666666666667E-3</v>
      </c>
      <c r="L195">
        <f t="shared" si="50"/>
        <v>490.360694091874</v>
      </c>
      <c r="M195">
        <f t="shared" si="51"/>
        <v>491.6882523732819</v>
      </c>
      <c r="N195">
        <f t="shared" si="52"/>
        <v>-1.327558281407903</v>
      </c>
      <c r="O195" s="39">
        <f t="shared" si="53"/>
        <v>-2.7000000000000851E-3</v>
      </c>
      <c r="Q195">
        <f t="shared" si="54"/>
        <v>256.31121102098189</v>
      </c>
      <c r="R195">
        <f t="shared" si="55"/>
        <v>262.24055750708959</v>
      </c>
      <c r="S195">
        <f t="shared" si="56"/>
        <v>-5.9293464861077041</v>
      </c>
      <c r="T195" s="39">
        <f t="shared" si="57"/>
        <v>-2.261033359017095E-2</v>
      </c>
      <c r="U195">
        <f t="shared" si="58"/>
        <v>2023</v>
      </c>
      <c r="V195">
        <f t="shared" si="59"/>
        <v>2023</v>
      </c>
    </row>
    <row r="196" spans="1:22" x14ac:dyDescent="0.25">
      <c r="A196" t="s">
        <v>52</v>
      </c>
      <c r="B196" t="s">
        <v>53</v>
      </c>
      <c r="C196" s="1">
        <v>45104</v>
      </c>
      <c r="D196">
        <v>18817.400000000001</v>
      </c>
      <c r="E196" s="1">
        <v>45131</v>
      </c>
      <c r="F196">
        <v>19672.349999999999</v>
      </c>
      <c r="G196" s="2">
        <v>4.5400000000000003E-2</v>
      </c>
      <c r="H196" s="40">
        <f t="shared" si="46"/>
        <v>27</v>
      </c>
      <c r="I196" s="4">
        <f t="shared" si="47"/>
        <v>1.5E-3</v>
      </c>
      <c r="J196" s="4">
        <f t="shared" si="48"/>
        <v>4.5000000000000005E-3</v>
      </c>
      <c r="K196" s="4">
        <f t="shared" si="49"/>
        <v>3.9400000000000004E-2</v>
      </c>
      <c r="L196">
        <f t="shared" si="50"/>
        <v>512.62306960364515</v>
      </c>
      <c r="M196">
        <f t="shared" si="51"/>
        <v>512.62306960364515</v>
      </c>
      <c r="N196" t="str">
        <f t="shared" si="52"/>
        <v/>
      </c>
      <c r="O196" s="39">
        <f t="shared" si="53"/>
        <v>0</v>
      </c>
      <c r="Q196">
        <f t="shared" si="54"/>
        <v>266.40987273520858</v>
      </c>
      <c r="R196">
        <f t="shared" si="55"/>
        <v>266.40987273520858</v>
      </c>
      <c r="S196" t="str">
        <f t="shared" si="56"/>
        <v/>
      </c>
      <c r="T196" s="39">
        <f t="shared" si="57"/>
        <v>0</v>
      </c>
      <c r="U196">
        <f t="shared" si="58"/>
        <v>2023</v>
      </c>
      <c r="V196">
        <f t="shared" si="59"/>
        <v>2023</v>
      </c>
    </row>
    <row r="197" spans="1:22" x14ac:dyDescent="0.25">
      <c r="A197" t="s">
        <v>52</v>
      </c>
      <c r="B197" t="s">
        <v>53</v>
      </c>
      <c r="C197" s="1">
        <v>45147</v>
      </c>
      <c r="D197">
        <v>19632.55</v>
      </c>
      <c r="E197" s="1">
        <v>45155</v>
      </c>
      <c r="F197">
        <v>19365.25</v>
      </c>
      <c r="G197" s="2">
        <v>-1.3599999999999999E-2</v>
      </c>
      <c r="H197" s="40">
        <f t="shared" si="46"/>
        <v>8</v>
      </c>
      <c r="I197" s="4">
        <f t="shared" si="47"/>
        <v>1.5E-3</v>
      </c>
      <c r="J197" s="4">
        <f t="shared" si="48"/>
        <v>1.3333333333333333E-3</v>
      </c>
      <c r="K197" s="4">
        <f t="shared" si="49"/>
        <v>-1.6433333333333335E-2</v>
      </c>
      <c r="L197">
        <f t="shared" si="50"/>
        <v>505.6513958570356</v>
      </c>
      <c r="M197">
        <f t="shared" si="51"/>
        <v>512.62306960364515</v>
      </c>
      <c r="N197">
        <f t="shared" si="52"/>
        <v>-6.9716737466095537</v>
      </c>
      <c r="O197" s="39">
        <f t="shared" si="53"/>
        <v>-1.3599999999999961E-2</v>
      </c>
      <c r="Q197">
        <f t="shared" si="54"/>
        <v>262.03187049325999</v>
      </c>
      <c r="R197">
        <f t="shared" si="55"/>
        <v>266.40987273520858</v>
      </c>
      <c r="S197">
        <f t="shared" si="56"/>
        <v>-4.3780022419485931</v>
      </c>
      <c r="T197" s="39">
        <f t="shared" si="57"/>
        <v>-1.6433333333333328E-2</v>
      </c>
      <c r="U197">
        <f t="shared" si="58"/>
        <v>2023</v>
      </c>
      <c r="V197">
        <f t="shared" si="59"/>
        <v>2023</v>
      </c>
    </row>
    <row r="198" spans="1:22" x14ac:dyDescent="0.25">
      <c r="A198" t="s">
        <v>52</v>
      </c>
      <c r="B198" t="s">
        <v>53</v>
      </c>
      <c r="C198" s="1">
        <v>45170</v>
      </c>
      <c r="D198">
        <v>19435.3</v>
      </c>
      <c r="E198" s="1">
        <v>45189</v>
      </c>
      <c r="F198">
        <v>19901.400000000001</v>
      </c>
      <c r="G198" s="2">
        <v>2.4E-2</v>
      </c>
      <c r="H198" s="40">
        <f t="shared" si="46"/>
        <v>19</v>
      </c>
      <c r="I198" s="4">
        <f t="shared" si="47"/>
        <v>1.5E-3</v>
      </c>
      <c r="J198" s="4">
        <f t="shared" si="48"/>
        <v>3.1666666666666666E-3</v>
      </c>
      <c r="K198" s="4">
        <f t="shared" si="49"/>
        <v>1.9333333333333334E-2</v>
      </c>
      <c r="L198">
        <f t="shared" si="50"/>
        <v>517.78702935760441</v>
      </c>
      <c r="M198">
        <f t="shared" si="51"/>
        <v>517.78702935760441</v>
      </c>
      <c r="N198" t="str">
        <f t="shared" si="52"/>
        <v/>
      </c>
      <c r="O198" s="39">
        <f t="shared" si="53"/>
        <v>0</v>
      </c>
      <c r="Q198">
        <f t="shared" si="54"/>
        <v>267.09781998946306</v>
      </c>
      <c r="R198">
        <f t="shared" si="55"/>
        <v>267.09781998946306</v>
      </c>
      <c r="S198" t="str">
        <f t="shared" si="56"/>
        <v/>
      </c>
      <c r="T198" s="39">
        <f t="shared" si="57"/>
        <v>0</v>
      </c>
      <c r="U198">
        <f t="shared" si="58"/>
        <v>2023</v>
      </c>
      <c r="V198">
        <f t="shared" si="59"/>
        <v>2023</v>
      </c>
    </row>
    <row r="199" spans="1:22" x14ac:dyDescent="0.25">
      <c r="A199" t="s">
        <v>52</v>
      </c>
      <c r="B199" t="s">
        <v>53</v>
      </c>
      <c r="C199" s="1">
        <v>45205</v>
      </c>
      <c r="D199">
        <v>19653.5</v>
      </c>
      <c r="E199" s="1">
        <v>45217</v>
      </c>
      <c r="F199">
        <v>19671.099999999999</v>
      </c>
      <c r="G199" s="2">
        <v>8.9999999999999998E-4</v>
      </c>
      <c r="H199" s="40">
        <f t="shared" si="46"/>
        <v>12</v>
      </c>
      <c r="I199" s="4">
        <f t="shared" si="47"/>
        <v>1.5E-3</v>
      </c>
      <c r="J199" s="4">
        <f t="shared" si="48"/>
        <v>2E-3</v>
      </c>
      <c r="K199" s="4">
        <f t="shared" si="49"/>
        <v>-2.5999999999999999E-3</v>
      </c>
      <c r="L199">
        <f t="shared" si="50"/>
        <v>518.25303768402625</v>
      </c>
      <c r="M199">
        <f t="shared" si="51"/>
        <v>518.25303768402625</v>
      </c>
      <c r="N199" t="str">
        <f t="shared" si="52"/>
        <v/>
      </c>
      <c r="O199" s="39">
        <f t="shared" si="53"/>
        <v>0</v>
      </c>
      <c r="Q199">
        <f t="shared" si="54"/>
        <v>266.40336565749044</v>
      </c>
      <c r="R199">
        <f t="shared" si="55"/>
        <v>267.09781998946306</v>
      </c>
      <c r="S199">
        <f t="shared" si="56"/>
        <v>-0.69445433197262219</v>
      </c>
      <c r="T199" s="39">
        <f t="shared" si="57"/>
        <v>-2.6000000000000684E-3</v>
      </c>
      <c r="U199">
        <f t="shared" si="58"/>
        <v>2023</v>
      </c>
      <c r="V199">
        <f t="shared" si="59"/>
        <v>2023</v>
      </c>
    </row>
    <row r="200" spans="1:22" x14ac:dyDescent="0.25">
      <c r="A200" t="s">
        <v>52</v>
      </c>
      <c r="B200" t="s">
        <v>53</v>
      </c>
      <c r="C200" s="1">
        <v>45233</v>
      </c>
      <c r="D200">
        <v>19230.599999999999</v>
      </c>
      <c r="E200" s="1">
        <v>45280</v>
      </c>
      <c r="F200">
        <v>21150.15</v>
      </c>
      <c r="G200" s="2">
        <v>9.98E-2</v>
      </c>
      <c r="H200" s="40">
        <f t="shared" si="46"/>
        <v>47</v>
      </c>
      <c r="I200" s="4">
        <f t="shared" si="47"/>
        <v>1.5E-3</v>
      </c>
      <c r="J200" s="4">
        <f t="shared" si="48"/>
        <v>7.8333333333333328E-3</v>
      </c>
      <c r="K200" s="4">
        <f t="shared" si="49"/>
        <v>9.0466666666666667E-2</v>
      </c>
      <c r="L200">
        <f t="shared" si="50"/>
        <v>569.97469084489217</v>
      </c>
      <c r="M200">
        <f t="shared" si="51"/>
        <v>569.97469084489217</v>
      </c>
      <c r="N200" t="str">
        <f t="shared" si="52"/>
        <v/>
      </c>
      <c r="O200" s="39">
        <f t="shared" si="53"/>
        <v>0</v>
      </c>
      <c r="Q200">
        <f t="shared" si="54"/>
        <v>290.50399013730475</v>
      </c>
      <c r="R200">
        <f t="shared" si="55"/>
        <v>290.50399013730475</v>
      </c>
      <c r="S200" t="str">
        <f t="shared" si="56"/>
        <v/>
      </c>
      <c r="T200" s="39">
        <f t="shared" si="57"/>
        <v>0</v>
      </c>
      <c r="U200">
        <f t="shared" si="58"/>
        <v>2023</v>
      </c>
      <c r="V200">
        <f t="shared" si="59"/>
        <v>2023</v>
      </c>
    </row>
    <row r="201" spans="1:22" x14ac:dyDescent="0.25">
      <c r="A201" t="s">
        <v>52</v>
      </c>
      <c r="B201" t="s">
        <v>53</v>
      </c>
      <c r="C201" s="1">
        <v>45286</v>
      </c>
      <c r="D201">
        <v>21441.35</v>
      </c>
      <c r="E201" s="1">
        <v>45294</v>
      </c>
      <c r="F201">
        <v>21517.35</v>
      </c>
      <c r="G201" s="2">
        <v>3.5000000000000001E-3</v>
      </c>
      <c r="H201" s="40">
        <f t="shared" si="46"/>
        <v>8</v>
      </c>
      <c r="I201" s="4">
        <f t="shared" si="47"/>
        <v>1.5E-3</v>
      </c>
      <c r="J201" s="4">
        <f t="shared" si="48"/>
        <v>1.3333333333333333E-3</v>
      </c>
      <c r="K201" s="4">
        <f t="shared" si="49"/>
        <v>6.6666666666666654E-4</v>
      </c>
      <c r="L201">
        <f t="shared" si="50"/>
        <v>571.96960226284932</v>
      </c>
      <c r="M201">
        <f t="shared" si="51"/>
        <v>571.96960226284932</v>
      </c>
      <c r="N201" t="str">
        <f t="shared" si="52"/>
        <v/>
      </c>
      <c r="O201" s="39">
        <f t="shared" si="53"/>
        <v>0</v>
      </c>
      <c r="Q201">
        <f t="shared" si="54"/>
        <v>290.69765946406295</v>
      </c>
      <c r="R201">
        <f t="shared" si="55"/>
        <v>290.69765946406295</v>
      </c>
      <c r="S201" t="str">
        <f t="shared" si="56"/>
        <v/>
      </c>
      <c r="T201" s="39">
        <f t="shared" si="57"/>
        <v>0</v>
      </c>
      <c r="U201">
        <f t="shared" si="58"/>
        <v>2024</v>
      </c>
      <c r="V201">
        <f t="shared" si="59"/>
        <v>2023</v>
      </c>
    </row>
    <row r="202" spans="1:22" x14ac:dyDescent="0.25">
      <c r="A202" t="s">
        <v>52</v>
      </c>
      <c r="B202" t="s">
        <v>53</v>
      </c>
      <c r="C202" s="1">
        <v>45303</v>
      </c>
      <c r="D202">
        <v>21894.55</v>
      </c>
      <c r="E202" s="1">
        <v>45308</v>
      </c>
      <c r="F202">
        <v>21571.95</v>
      </c>
      <c r="G202" s="2">
        <v>-1.47E-2</v>
      </c>
      <c r="H202" s="40">
        <f t="shared" si="46"/>
        <v>5</v>
      </c>
      <c r="I202" s="4">
        <f t="shared" si="47"/>
        <v>1.5E-3</v>
      </c>
      <c r="J202" s="4">
        <f t="shared" si="48"/>
        <v>8.3333333333333328E-4</v>
      </c>
      <c r="K202" s="4">
        <f t="shared" si="49"/>
        <v>-1.7033333333333331E-2</v>
      </c>
      <c r="L202">
        <f t="shared" si="50"/>
        <v>563.56164910958546</v>
      </c>
      <c r="M202">
        <f t="shared" si="51"/>
        <v>571.96960226284932</v>
      </c>
      <c r="N202">
        <f t="shared" si="52"/>
        <v>-8.4079531532638612</v>
      </c>
      <c r="O202" s="39">
        <f t="shared" si="53"/>
        <v>-1.4699999999999958E-2</v>
      </c>
      <c r="Q202">
        <f t="shared" si="54"/>
        <v>285.74610933119175</v>
      </c>
      <c r="R202">
        <f t="shared" si="55"/>
        <v>290.69765946406295</v>
      </c>
      <c r="S202">
        <f t="shared" si="56"/>
        <v>-4.9515501328712048</v>
      </c>
      <c r="T202" s="39">
        <f t="shared" si="57"/>
        <v>-1.7033333333333331E-2</v>
      </c>
      <c r="U202">
        <f t="shared" si="58"/>
        <v>2024</v>
      </c>
      <c r="V202">
        <f t="shared" si="59"/>
        <v>2024</v>
      </c>
    </row>
    <row r="203" spans="1:22" x14ac:dyDescent="0.25">
      <c r="A203" t="s">
        <v>52</v>
      </c>
      <c r="B203" t="s">
        <v>53</v>
      </c>
      <c r="C203" s="1">
        <v>45320</v>
      </c>
      <c r="D203">
        <v>21737.599999999999</v>
      </c>
      <c r="E203" s="1">
        <v>45334</v>
      </c>
      <c r="F203">
        <v>21616.05</v>
      </c>
      <c r="G203" s="2">
        <v>-5.5999999999999999E-3</v>
      </c>
      <c r="H203" s="40">
        <f t="shared" si="46"/>
        <v>14</v>
      </c>
      <c r="I203" s="4">
        <f t="shared" si="47"/>
        <v>1.5E-3</v>
      </c>
      <c r="J203" s="4">
        <f t="shared" si="48"/>
        <v>2.3333333333333335E-3</v>
      </c>
      <c r="K203" s="4">
        <f t="shared" si="49"/>
        <v>-9.4333333333333335E-3</v>
      </c>
      <c r="L203">
        <f t="shared" si="50"/>
        <v>560.40570387457171</v>
      </c>
      <c r="M203">
        <f t="shared" si="51"/>
        <v>571.96960226284932</v>
      </c>
      <c r="N203">
        <f t="shared" si="52"/>
        <v>-11.563898388277607</v>
      </c>
      <c r="O203" s="39">
        <f t="shared" si="53"/>
        <v>-2.0217680000000078E-2</v>
      </c>
      <c r="Q203">
        <f t="shared" si="54"/>
        <v>283.0505710331675</v>
      </c>
      <c r="R203">
        <f t="shared" si="55"/>
        <v>290.69765946406295</v>
      </c>
      <c r="S203">
        <f t="shared" si="56"/>
        <v>-7.647088430895451</v>
      </c>
      <c r="T203" s="39">
        <f t="shared" si="57"/>
        <v>-2.6305985555555567E-2</v>
      </c>
      <c r="U203">
        <f t="shared" si="58"/>
        <v>2024</v>
      </c>
      <c r="V203">
        <f t="shared" si="59"/>
        <v>2024</v>
      </c>
    </row>
    <row r="204" spans="1:22" x14ac:dyDescent="0.25">
      <c r="A204" t="s">
        <v>52</v>
      </c>
      <c r="B204" t="s">
        <v>53</v>
      </c>
      <c r="C204" s="1">
        <v>45337</v>
      </c>
      <c r="D204">
        <v>21910.75</v>
      </c>
      <c r="E204" s="1">
        <v>45350</v>
      </c>
      <c r="F204">
        <v>21951.15</v>
      </c>
      <c r="G204" s="2">
        <v>1.8E-3</v>
      </c>
      <c r="H204" s="40">
        <f t="shared" si="46"/>
        <v>13</v>
      </c>
      <c r="I204" s="4">
        <f t="shared" si="47"/>
        <v>1.5E-3</v>
      </c>
      <c r="J204" s="4">
        <f t="shared" si="48"/>
        <v>2.166666666666667E-3</v>
      </c>
      <c r="K204" s="4">
        <f t="shared" si="49"/>
        <v>-1.8666666666666671E-3</v>
      </c>
      <c r="L204">
        <f t="shared" si="50"/>
        <v>561.41443414154594</v>
      </c>
      <c r="M204">
        <f t="shared" si="51"/>
        <v>571.96960226284932</v>
      </c>
      <c r="N204">
        <f t="shared" si="52"/>
        <v>-10.555168121303382</v>
      </c>
      <c r="O204" s="39">
        <f t="shared" si="53"/>
        <v>-1.8454071824000082E-2</v>
      </c>
      <c r="Q204">
        <f t="shared" si="54"/>
        <v>282.52220996723889</v>
      </c>
      <c r="R204">
        <f t="shared" si="55"/>
        <v>290.69765946406295</v>
      </c>
      <c r="S204">
        <f t="shared" si="56"/>
        <v>-8.1754494968240579</v>
      </c>
      <c r="T204" s="39">
        <f t="shared" si="57"/>
        <v>-2.8123547715851956E-2</v>
      </c>
      <c r="U204">
        <f t="shared" si="58"/>
        <v>2024</v>
      </c>
      <c r="V204">
        <f t="shared" si="59"/>
        <v>2024</v>
      </c>
    </row>
    <row r="205" spans="1:22" x14ac:dyDescent="0.25">
      <c r="A205" t="s">
        <v>52</v>
      </c>
      <c r="B205" t="s">
        <v>53</v>
      </c>
      <c r="C205" s="1">
        <v>45352</v>
      </c>
      <c r="D205">
        <v>22338.75</v>
      </c>
      <c r="E205" s="1">
        <v>45362</v>
      </c>
      <c r="F205">
        <v>22332.65</v>
      </c>
      <c r="G205" s="2">
        <v>-2.9999999999999997E-4</v>
      </c>
      <c r="H205" s="40">
        <f t="shared" si="46"/>
        <v>10</v>
      </c>
      <c r="I205" s="4">
        <f t="shared" si="47"/>
        <v>1.5E-3</v>
      </c>
      <c r="J205" s="4">
        <f t="shared" si="48"/>
        <v>1.6666666666666666E-3</v>
      </c>
      <c r="K205" s="4">
        <f t="shared" si="49"/>
        <v>-3.4666666666666665E-3</v>
      </c>
      <c r="L205">
        <f t="shared" si="50"/>
        <v>561.24600981130345</v>
      </c>
      <c r="M205">
        <f t="shared" si="51"/>
        <v>571.96960226284932</v>
      </c>
      <c r="N205">
        <f t="shared" si="52"/>
        <v>-10.723592451545869</v>
      </c>
      <c r="O205" s="39">
        <f t="shared" si="53"/>
        <v>-1.8748535602452925E-2</v>
      </c>
      <c r="Q205">
        <f t="shared" si="54"/>
        <v>281.54279963935249</v>
      </c>
      <c r="R205">
        <f t="shared" si="55"/>
        <v>290.69765946406295</v>
      </c>
      <c r="S205">
        <f t="shared" si="56"/>
        <v>-9.1548598247104565</v>
      </c>
      <c r="T205" s="39">
        <f t="shared" si="57"/>
        <v>-3.1492719417103569E-2</v>
      </c>
      <c r="U205">
        <f t="shared" si="58"/>
        <v>2024</v>
      </c>
      <c r="V205">
        <f t="shared" si="59"/>
        <v>2024</v>
      </c>
    </row>
    <row r="206" spans="1:22" x14ac:dyDescent="0.25">
      <c r="A206" t="s">
        <v>52</v>
      </c>
      <c r="B206" t="s">
        <v>53</v>
      </c>
      <c r="C206" s="1">
        <v>45373</v>
      </c>
      <c r="D206">
        <v>22096.75</v>
      </c>
      <c r="E206" s="1">
        <v>45394</v>
      </c>
      <c r="F206">
        <v>22519.4</v>
      </c>
      <c r="G206" s="2">
        <v>1.9099999999999999E-2</v>
      </c>
      <c r="H206" s="40">
        <f t="shared" si="46"/>
        <v>21</v>
      </c>
      <c r="I206" s="4">
        <f t="shared" si="47"/>
        <v>1.5E-3</v>
      </c>
      <c r="J206" s="4">
        <f t="shared" si="48"/>
        <v>3.4999999999999996E-3</v>
      </c>
      <c r="K206" s="4">
        <f t="shared" si="49"/>
        <v>1.41E-2</v>
      </c>
      <c r="L206">
        <f t="shared" si="50"/>
        <v>571.96580859869925</v>
      </c>
      <c r="M206">
        <f t="shared" si="51"/>
        <v>571.96960226284932</v>
      </c>
      <c r="N206">
        <f t="shared" si="52"/>
        <v>-3.7936641500664336E-3</v>
      </c>
      <c r="O206" s="39">
        <f t="shared" si="53"/>
        <v>-6.6326324599380559E-6</v>
      </c>
      <c r="Q206">
        <f t="shared" si="54"/>
        <v>285.51255311426735</v>
      </c>
      <c r="R206">
        <f t="shared" si="55"/>
        <v>290.69765946406295</v>
      </c>
      <c r="S206">
        <f t="shared" si="56"/>
        <v>-5.1851063497956034</v>
      </c>
      <c r="T206" s="39">
        <f t="shared" si="57"/>
        <v>-1.783676676088479E-2</v>
      </c>
      <c r="U206">
        <f t="shared" si="58"/>
        <v>2024</v>
      </c>
      <c r="V206">
        <f t="shared" si="59"/>
        <v>2024</v>
      </c>
    </row>
    <row r="207" spans="1:22" x14ac:dyDescent="0.25">
      <c r="A207" t="s">
        <v>52</v>
      </c>
      <c r="B207" t="s">
        <v>53</v>
      </c>
      <c r="C207" s="1">
        <v>45404</v>
      </c>
      <c r="D207">
        <v>22336.400000000001</v>
      </c>
      <c r="E207" s="1">
        <v>45418</v>
      </c>
      <c r="F207">
        <v>22442.7</v>
      </c>
      <c r="G207" s="2">
        <v>4.7999999999999996E-3</v>
      </c>
      <c r="H207" s="40">
        <f t="shared" si="46"/>
        <v>14</v>
      </c>
      <c r="I207" s="4">
        <f t="shared" si="47"/>
        <v>1.5E-3</v>
      </c>
      <c r="J207" s="4">
        <f t="shared" si="48"/>
        <v>2.3333333333333335E-3</v>
      </c>
      <c r="K207" s="4">
        <f t="shared" si="49"/>
        <v>9.6666666666666602E-4</v>
      </c>
      <c r="L207">
        <f t="shared" si="50"/>
        <v>574.71124447997295</v>
      </c>
      <c r="M207">
        <f t="shared" si="51"/>
        <v>574.71124447997295</v>
      </c>
      <c r="N207" t="str">
        <f t="shared" si="52"/>
        <v/>
      </c>
      <c r="O207" s="39">
        <f t="shared" si="53"/>
        <v>0</v>
      </c>
      <c r="Q207">
        <f t="shared" si="54"/>
        <v>285.78854858227777</v>
      </c>
      <c r="R207">
        <f t="shared" si="55"/>
        <v>290.69765946406295</v>
      </c>
      <c r="S207">
        <f t="shared" si="56"/>
        <v>-4.9091108817851818</v>
      </c>
      <c r="T207" s="39">
        <f t="shared" si="57"/>
        <v>-1.6887342302087105E-2</v>
      </c>
      <c r="U207">
        <f t="shared" si="58"/>
        <v>2024</v>
      </c>
      <c r="V207">
        <f t="shared" si="59"/>
        <v>2024</v>
      </c>
    </row>
    <row r="208" spans="1:22" x14ac:dyDescent="0.25">
      <c r="A208" t="s">
        <v>52</v>
      </c>
      <c r="B208" t="s">
        <v>53</v>
      </c>
      <c r="C208" s="1">
        <v>45428</v>
      </c>
      <c r="D208">
        <v>22403.85</v>
      </c>
      <c r="E208" s="1">
        <v>45441</v>
      </c>
      <c r="F208">
        <v>22704.7</v>
      </c>
      <c r="G208" s="2">
        <v>1.34E-2</v>
      </c>
      <c r="H208" s="40">
        <f t="shared" si="46"/>
        <v>13</v>
      </c>
      <c r="I208" s="4">
        <f t="shared" si="47"/>
        <v>1.5E-3</v>
      </c>
      <c r="J208" s="4">
        <f t="shared" si="48"/>
        <v>2.166666666666667E-3</v>
      </c>
      <c r="K208" s="4">
        <f t="shared" si="49"/>
        <v>9.7333333333333334E-3</v>
      </c>
      <c r="L208">
        <f t="shared" si="50"/>
        <v>582.4123751560046</v>
      </c>
      <c r="M208">
        <f t="shared" si="51"/>
        <v>582.4123751560046</v>
      </c>
      <c r="N208" t="str">
        <f t="shared" si="52"/>
        <v/>
      </c>
      <c r="O208" s="39">
        <f t="shared" si="53"/>
        <v>0</v>
      </c>
      <c r="Q208">
        <f t="shared" si="54"/>
        <v>288.57022378847864</v>
      </c>
      <c r="R208">
        <f t="shared" si="55"/>
        <v>290.69765946406295</v>
      </c>
      <c r="S208">
        <f t="shared" si="56"/>
        <v>-2.1274356755843087</v>
      </c>
      <c r="T208" s="39">
        <f t="shared" si="57"/>
        <v>-7.3183791004939602E-3</v>
      </c>
      <c r="U208">
        <f t="shared" si="58"/>
        <v>2024</v>
      </c>
      <c r="V208">
        <f t="shared" si="59"/>
        <v>2024</v>
      </c>
    </row>
    <row r="209" spans="1:22" x14ac:dyDescent="0.25">
      <c r="A209" t="s">
        <v>52</v>
      </c>
      <c r="B209" t="s">
        <v>53</v>
      </c>
      <c r="C209" s="1">
        <v>45446</v>
      </c>
      <c r="D209">
        <v>23263.9</v>
      </c>
      <c r="E209" s="1">
        <v>45447</v>
      </c>
      <c r="F209">
        <v>21884.5</v>
      </c>
      <c r="G209" s="2">
        <v>-5.9299999999999999E-2</v>
      </c>
      <c r="H209" s="40">
        <f t="shared" si="46"/>
        <v>1</v>
      </c>
      <c r="I209" s="4">
        <f t="shared" si="47"/>
        <v>1.5E-3</v>
      </c>
      <c r="J209" s="4">
        <f t="shared" si="48"/>
        <v>1.6666666666666666E-4</v>
      </c>
      <c r="K209" s="4">
        <f t="shared" si="49"/>
        <v>-6.0966666666666662E-2</v>
      </c>
      <c r="L209">
        <f t="shared" si="50"/>
        <v>547.87532130925354</v>
      </c>
      <c r="M209">
        <f t="shared" si="51"/>
        <v>582.4123751560046</v>
      </c>
      <c r="N209">
        <f t="shared" si="52"/>
        <v>-34.537053846751064</v>
      </c>
      <c r="O209" s="39">
        <f t="shared" si="53"/>
        <v>-5.9299999999999985E-2</v>
      </c>
      <c r="Q209">
        <f t="shared" si="54"/>
        <v>270.97705914484106</v>
      </c>
      <c r="R209">
        <f t="shared" si="55"/>
        <v>290.69765946406295</v>
      </c>
      <c r="S209">
        <f t="shared" si="56"/>
        <v>-19.720600319221887</v>
      </c>
      <c r="T209" s="39">
        <f t="shared" si="57"/>
        <v>-6.7838868588000506E-2</v>
      </c>
      <c r="U209">
        <f t="shared" si="58"/>
        <v>2024</v>
      </c>
      <c r="V209">
        <f t="shared" si="59"/>
        <v>2024</v>
      </c>
    </row>
    <row r="210" spans="1:22" x14ac:dyDescent="0.25">
      <c r="A210" t="s">
        <v>52</v>
      </c>
      <c r="B210" t="s">
        <v>53</v>
      </c>
      <c r="C210" s="1">
        <v>45450</v>
      </c>
      <c r="D210">
        <v>23290.15</v>
      </c>
      <c r="E210" s="1">
        <v>45497</v>
      </c>
      <c r="F210">
        <v>24413.5</v>
      </c>
      <c r="G210" s="2">
        <v>4.82E-2</v>
      </c>
      <c r="H210" s="40">
        <f t="shared" si="46"/>
        <v>47</v>
      </c>
      <c r="I210" s="4">
        <f t="shared" si="47"/>
        <v>1.5E-3</v>
      </c>
      <c r="J210" s="4">
        <f t="shared" si="48"/>
        <v>7.8333333333333328E-3</v>
      </c>
      <c r="K210" s="4">
        <f t="shared" si="49"/>
        <v>3.8866666666666667E-2</v>
      </c>
      <c r="L210">
        <f t="shared" si="50"/>
        <v>574.2829117963596</v>
      </c>
      <c r="M210">
        <f t="shared" si="51"/>
        <v>582.4123751560046</v>
      </c>
      <c r="N210">
        <f t="shared" si="52"/>
        <v>-8.1294633596450012</v>
      </c>
      <c r="O210" s="39">
        <f t="shared" si="53"/>
        <v>-1.3958259999999912E-2</v>
      </c>
      <c r="Q210">
        <f t="shared" si="54"/>
        <v>281.50903417693718</v>
      </c>
      <c r="R210">
        <f t="shared" si="55"/>
        <v>290.69765946406295</v>
      </c>
      <c r="S210">
        <f t="shared" si="56"/>
        <v>-9.1886252871257739</v>
      </c>
      <c r="T210" s="39">
        <f t="shared" si="57"/>
        <v>-3.16088726137876E-2</v>
      </c>
      <c r="U210">
        <f t="shared" si="58"/>
        <v>2024</v>
      </c>
      <c r="V210">
        <f t="shared" si="59"/>
        <v>2024</v>
      </c>
    </row>
    <row r="211" spans="1:22" x14ac:dyDescent="0.25">
      <c r="A211" t="s">
        <v>52</v>
      </c>
      <c r="B211" t="s">
        <v>53</v>
      </c>
      <c r="C211" s="1">
        <v>45499</v>
      </c>
      <c r="D211">
        <v>24834.85</v>
      </c>
      <c r="E211" s="1">
        <v>45506</v>
      </c>
      <c r="F211">
        <v>24717.7</v>
      </c>
      <c r="G211" s="2">
        <v>-4.7000000000000002E-3</v>
      </c>
      <c r="H211" s="40">
        <f t="shared" si="46"/>
        <v>7</v>
      </c>
      <c r="I211" s="4">
        <f t="shared" si="47"/>
        <v>1.5E-3</v>
      </c>
      <c r="J211" s="4">
        <f t="shared" si="48"/>
        <v>1.1666666666666668E-3</v>
      </c>
      <c r="K211" s="4">
        <f t="shared" si="49"/>
        <v>-7.3666666666666672E-3</v>
      </c>
      <c r="L211">
        <f t="shared" si="50"/>
        <v>571.58378211091667</v>
      </c>
      <c r="M211">
        <f t="shared" si="51"/>
        <v>582.4123751560046</v>
      </c>
      <c r="N211">
        <f t="shared" si="52"/>
        <v>-10.828593045087928</v>
      </c>
      <c r="O211" s="39">
        <f t="shared" si="53"/>
        <v>-1.8592656177999975E-2</v>
      </c>
      <c r="Q211">
        <f t="shared" si="54"/>
        <v>279.43525095850043</v>
      </c>
      <c r="R211">
        <f t="shared" si="55"/>
        <v>290.69765946406295</v>
      </c>
      <c r="S211">
        <f t="shared" si="56"/>
        <v>-11.262408505562519</v>
      </c>
      <c r="T211" s="39">
        <f t="shared" si="57"/>
        <v>-3.874268725219928E-2</v>
      </c>
      <c r="U211">
        <f t="shared" si="58"/>
        <v>2024</v>
      </c>
      <c r="V211">
        <f t="shared" si="59"/>
        <v>2024</v>
      </c>
    </row>
    <row r="212" spans="1:22" x14ac:dyDescent="0.25">
      <c r="A212" t="s">
        <v>52</v>
      </c>
      <c r="B212" t="s">
        <v>53</v>
      </c>
      <c r="C212" s="1">
        <v>45520</v>
      </c>
      <c r="D212">
        <v>24541.15</v>
      </c>
      <c r="E212" s="1">
        <v>45540</v>
      </c>
      <c r="F212">
        <v>25145.1</v>
      </c>
      <c r="G212" s="2">
        <v>2.46E-2</v>
      </c>
      <c r="H212" s="40">
        <f t="shared" si="46"/>
        <v>20</v>
      </c>
      <c r="I212" s="4">
        <f t="shared" si="47"/>
        <v>1.5E-3</v>
      </c>
      <c r="J212" s="4">
        <f t="shared" si="48"/>
        <v>3.3333333333333331E-3</v>
      </c>
      <c r="K212" s="4">
        <f t="shared" si="49"/>
        <v>1.9766666666666668E-2</v>
      </c>
      <c r="L212">
        <f t="shared" si="50"/>
        <v>585.64474315084522</v>
      </c>
      <c r="M212">
        <f t="shared" si="51"/>
        <v>585.64474315084522</v>
      </c>
      <c r="N212" t="str">
        <f t="shared" si="52"/>
        <v/>
      </c>
      <c r="O212" s="39">
        <f t="shared" si="53"/>
        <v>0</v>
      </c>
      <c r="Q212">
        <f t="shared" si="54"/>
        <v>284.95875441911346</v>
      </c>
      <c r="R212">
        <f t="shared" si="55"/>
        <v>290.69765946406295</v>
      </c>
      <c r="S212">
        <f t="shared" si="56"/>
        <v>-5.7389050449494903</v>
      </c>
      <c r="T212" s="39">
        <f t="shared" si="57"/>
        <v>-1.9741834370217742E-2</v>
      </c>
      <c r="U212">
        <f t="shared" si="58"/>
        <v>2024</v>
      </c>
      <c r="V212">
        <f t="shared" si="59"/>
        <v>2024</v>
      </c>
    </row>
    <row r="213" spans="1:22" x14ac:dyDescent="0.25">
      <c r="A213" t="s">
        <v>52</v>
      </c>
      <c r="B213" t="s">
        <v>53</v>
      </c>
      <c r="C213" s="1">
        <v>45547</v>
      </c>
      <c r="D213">
        <v>25388.9</v>
      </c>
      <c r="E213" s="1">
        <v>45565</v>
      </c>
      <c r="F213">
        <v>25810.85</v>
      </c>
      <c r="G213" s="2">
        <v>1.66E-2</v>
      </c>
      <c r="H213" s="40">
        <f t="shared" si="46"/>
        <v>18</v>
      </c>
      <c r="I213" s="4">
        <f t="shared" si="47"/>
        <v>1.5E-3</v>
      </c>
      <c r="J213" s="4">
        <f t="shared" si="48"/>
        <v>3.0000000000000001E-3</v>
      </c>
      <c r="K213" s="4">
        <f t="shared" si="49"/>
        <v>1.21E-2</v>
      </c>
      <c r="L213">
        <f t="shared" si="50"/>
        <v>595.36644588714921</v>
      </c>
      <c r="M213">
        <f t="shared" si="51"/>
        <v>595.36644588714921</v>
      </c>
      <c r="N213" t="str">
        <f t="shared" si="52"/>
        <v/>
      </c>
      <c r="O213" s="39">
        <f t="shared" si="53"/>
        <v>0</v>
      </c>
      <c r="Q213">
        <f t="shared" si="54"/>
        <v>288.40675534758475</v>
      </c>
      <c r="R213">
        <f t="shared" si="55"/>
        <v>290.69765946406295</v>
      </c>
      <c r="S213">
        <f t="shared" si="56"/>
        <v>-2.2909041164782025</v>
      </c>
      <c r="T213" s="39">
        <f t="shared" si="57"/>
        <v>-7.8807105660973226E-3</v>
      </c>
      <c r="U213">
        <f t="shared" si="58"/>
        <v>2024</v>
      </c>
      <c r="V213">
        <f t="shared" si="59"/>
        <v>2024</v>
      </c>
    </row>
    <row r="214" spans="1:22" x14ac:dyDescent="0.25">
      <c r="A214" t="s">
        <v>52</v>
      </c>
      <c r="B214" t="s">
        <v>53</v>
      </c>
      <c r="C214" s="1">
        <v>45709</v>
      </c>
      <c r="D214">
        <v>22795.9</v>
      </c>
      <c r="E214" s="1">
        <v>45712</v>
      </c>
      <c r="F214">
        <v>22553.35</v>
      </c>
      <c r="G214" s="2">
        <v>-1.06E-2</v>
      </c>
      <c r="H214" s="40">
        <f t="shared" si="46"/>
        <v>3</v>
      </c>
      <c r="I214" s="4">
        <f t="shared" si="47"/>
        <v>1.5E-3</v>
      </c>
      <c r="J214" s="4">
        <f t="shared" si="48"/>
        <v>5.0000000000000001E-4</v>
      </c>
      <c r="K214" s="4">
        <f t="shared" si="49"/>
        <v>-1.26E-2</v>
      </c>
      <c r="L214">
        <f t="shared" si="50"/>
        <v>589.05556156074545</v>
      </c>
      <c r="M214">
        <f t="shared" si="51"/>
        <v>595.36644588714921</v>
      </c>
      <c r="N214">
        <f t="shared" si="52"/>
        <v>-6.310884326403766</v>
      </c>
      <c r="O214" s="39">
        <f t="shared" si="53"/>
        <v>-1.0599999999999974E-2</v>
      </c>
      <c r="Q214">
        <f t="shared" si="54"/>
        <v>284.77283023020522</v>
      </c>
      <c r="R214">
        <f t="shared" si="55"/>
        <v>290.69765946406295</v>
      </c>
      <c r="S214">
        <f t="shared" si="56"/>
        <v>-5.9248292338577357</v>
      </c>
      <c r="T214" s="39">
        <f t="shared" si="57"/>
        <v>-2.0381413612964378E-2</v>
      </c>
      <c r="U214">
        <f t="shared" si="58"/>
        <v>2025</v>
      </c>
      <c r="V214">
        <f t="shared" si="59"/>
        <v>2025</v>
      </c>
    </row>
    <row r="215" spans="1:22" x14ac:dyDescent="0.25">
      <c r="A215" t="s">
        <v>52</v>
      </c>
      <c r="B215" t="s">
        <v>53</v>
      </c>
      <c r="C215" s="1">
        <v>45721</v>
      </c>
      <c r="D215">
        <v>22337.3</v>
      </c>
      <c r="E215" s="1">
        <v>45748</v>
      </c>
      <c r="F215">
        <v>23165.7</v>
      </c>
      <c r="G215" s="2">
        <v>3.7100000000000001E-2</v>
      </c>
      <c r="H215" s="40">
        <f t="shared" si="46"/>
        <v>27</v>
      </c>
      <c r="I215" s="4">
        <f t="shared" si="47"/>
        <v>1.5E-3</v>
      </c>
      <c r="J215" s="4">
        <f t="shared" si="48"/>
        <v>4.5000000000000005E-3</v>
      </c>
      <c r="K215" s="4">
        <f t="shared" si="49"/>
        <v>3.1100000000000003E-2</v>
      </c>
      <c r="L215">
        <f t="shared" si="50"/>
        <v>610.90952289464906</v>
      </c>
      <c r="M215">
        <f t="shared" si="51"/>
        <v>610.90952289464906</v>
      </c>
      <c r="N215" t="str">
        <f t="shared" si="52"/>
        <v/>
      </c>
      <c r="O215" s="39">
        <f t="shared" si="53"/>
        <v>0</v>
      </c>
      <c r="Q215">
        <f t="shared" si="54"/>
        <v>293.6292652503646</v>
      </c>
      <c r="R215">
        <f t="shared" si="55"/>
        <v>293.6292652503646</v>
      </c>
      <c r="S215" t="str">
        <f t="shared" si="56"/>
        <v/>
      </c>
      <c r="T215" s="39">
        <f t="shared" si="57"/>
        <v>0</v>
      </c>
      <c r="U215">
        <f t="shared" si="58"/>
        <v>2025</v>
      </c>
      <c r="V215">
        <f t="shared" si="59"/>
        <v>2025</v>
      </c>
    </row>
    <row r="216" spans="1:22" x14ac:dyDescent="0.25">
      <c r="A216" t="s">
        <v>52</v>
      </c>
      <c r="B216" t="s">
        <v>53</v>
      </c>
      <c r="C216" s="1">
        <v>45755</v>
      </c>
      <c r="D216">
        <v>22535.85</v>
      </c>
      <c r="E216" s="1">
        <v>45786</v>
      </c>
      <c r="F216">
        <v>24008</v>
      </c>
      <c r="G216" s="2">
        <v>6.5299999999999997E-2</v>
      </c>
      <c r="H216" s="40">
        <f t="shared" ref="H216:H221" si="60">E216-C216</f>
        <v>31</v>
      </c>
      <c r="I216" s="4">
        <f t="shared" ref="I216:I221" si="61">C$1</f>
        <v>1.5E-3</v>
      </c>
      <c r="J216" s="4">
        <f t="shared" ref="J216:J221" si="62">H216/30*D$1</f>
        <v>5.1666666666666675E-3</v>
      </c>
      <c r="K216" s="4">
        <f t="shared" ref="K216:K221" si="63">G216-SUM(I216,J216)</f>
        <v>5.8633333333333329E-2</v>
      </c>
      <c r="L216">
        <f t="shared" ref="L216:L221" si="64">L215*(1+G216)</f>
        <v>650.80191473966954</v>
      </c>
      <c r="M216">
        <f t="shared" ref="M216:M221" si="65">MAX(L216,M215)</f>
        <v>650.80191473966954</v>
      </c>
      <c r="N216" t="str">
        <f t="shared" ref="N216:N221" si="66">IF(M216&gt;L216,L216-M216,"")</f>
        <v/>
      </c>
      <c r="O216" s="39">
        <f t="shared" ref="O216:O221" si="67">IFERROR(N216/M216,0)</f>
        <v>0</v>
      </c>
      <c r="Q216">
        <f t="shared" ref="Q216:Q221" si="68">Q215*(1+K216)</f>
        <v>310.84572783621098</v>
      </c>
      <c r="R216">
        <f t="shared" ref="R216:R221" si="69">MAX(Q216,R215)</f>
        <v>310.84572783621098</v>
      </c>
      <c r="S216" t="str">
        <f t="shared" ref="S216:S221" si="70">IF(R216&gt;Q216,Q216-R216,"")</f>
        <v/>
      </c>
      <c r="T216" s="39">
        <f t="shared" ref="T216:T221" si="71">IFERROR(S216/R216,0)</f>
        <v>0</v>
      </c>
      <c r="U216">
        <f t="shared" ref="U216:U221" si="72">YEAR(E216)</f>
        <v>2025</v>
      </c>
      <c r="V216">
        <f t="shared" ref="V216:V221" si="73">YEAR(C216)</f>
        <v>2025</v>
      </c>
    </row>
    <row r="217" spans="1:22" x14ac:dyDescent="0.25">
      <c r="A217" t="s">
        <v>52</v>
      </c>
      <c r="B217" t="s">
        <v>53</v>
      </c>
      <c r="C217" s="1">
        <v>45789</v>
      </c>
      <c r="D217">
        <v>24924.7</v>
      </c>
      <c r="E217" s="1">
        <v>45799</v>
      </c>
      <c r="F217">
        <v>24609.7</v>
      </c>
      <c r="G217" s="2">
        <v>-1.26E-2</v>
      </c>
      <c r="H217" s="40">
        <f t="shared" si="60"/>
        <v>10</v>
      </c>
      <c r="I217" s="4">
        <f t="shared" si="61"/>
        <v>1.5E-3</v>
      </c>
      <c r="J217" s="4">
        <f t="shared" si="62"/>
        <v>1.6666666666666666E-3</v>
      </c>
      <c r="K217" s="4">
        <f t="shared" si="63"/>
        <v>-1.5766666666666665E-2</v>
      </c>
      <c r="L217">
        <f t="shared" si="64"/>
        <v>642.60181061394974</v>
      </c>
      <c r="M217">
        <f t="shared" si="65"/>
        <v>650.80191473966954</v>
      </c>
      <c r="N217">
        <f t="shared" si="66"/>
        <v>-8.200104125719804</v>
      </c>
      <c r="O217" s="39">
        <f t="shared" si="67"/>
        <v>-1.259999999999995E-2</v>
      </c>
      <c r="Q217">
        <f t="shared" si="68"/>
        <v>305.94472686066007</v>
      </c>
      <c r="R217">
        <f t="shared" si="69"/>
        <v>310.84572783621098</v>
      </c>
      <c r="S217">
        <f t="shared" si="70"/>
        <v>-4.9010009755509145</v>
      </c>
      <c r="T217" s="39">
        <f t="shared" si="71"/>
        <v>-1.5766666666666627E-2</v>
      </c>
      <c r="U217">
        <f t="shared" si="72"/>
        <v>2025</v>
      </c>
      <c r="V217">
        <f t="shared" si="73"/>
        <v>2025</v>
      </c>
    </row>
    <row r="218" spans="1:22" x14ac:dyDescent="0.25">
      <c r="A218" t="s">
        <v>52</v>
      </c>
      <c r="B218" t="s">
        <v>53</v>
      </c>
      <c r="C218" s="1">
        <v>45800</v>
      </c>
      <c r="D218">
        <v>24853.15</v>
      </c>
      <c r="E218" s="1">
        <v>45811</v>
      </c>
      <c r="F218">
        <v>24542.5</v>
      </c>
      <c r="G218" s="2">
        <v>-1.2500000000000001E-2</v>
      </c>
      <c r="H218" s="40">
        <f t="shared" si="60"/>
        <v>11</v>
      </c>
      <c r="I218" s="4">
        <f t="shared" si="61"/>
        <v>1.5E-3</v>
      </c>
      <c r="J218" s="4">
        <f t="shared" si="62"/>
        <v>1.8333333333333333E-3</v>
      </c>
      <c r="K218" s="4">
        <f t="shared" si="63"/>
        <v>-1.5833333333333335E-2</v>
      </c>
      <c r="L218">
        <f t="shared" si="64"/>
        <v>634.56928798127535</v>
      </c>
      <c r="M218">
        <f t="shared" si="65"/>
        <v>650.80191473966954</v>
      </c>
      <c r="N218">
        <f t="shared" si="66"/>
        <v>-16.23262675839419</v>
      </c>
      <c r="O218" s="39">
        <f t="shared" si="67"/>
        <v>-2.4942499999999972E-2</v>
      </c>
      <c r="Q218">
        <f t="shared" si="68"/>
        <v>301.10060201869959</v>
      </c>
      <c r="R218">
        <f t="shared" si="69"/>
        <v>310.84572783621098</v>
      </c>
      <c r="S218">
        <f t="shared" si="70"/>
        <v>-9.7451258175113935</v>
      </c>
      <c r="T218" s="39">
        <f t="shared" si="71"/>
        <v>-3.1350361111111162E-2</v>
      </c>
      <c r="U218">
        <f t="shared" si="72"/>
        <v>2025</v>
      </c>
      <c r="V218">
        <f t="shared" si="73"/>
        <v>2025</v>
      </c>
    </row>
    <row r="219" spans="1:22" x14ac:dyDescent="0.25">
      <c r="A219" t="s">
        <v>52</v>
      </c>
      <c r="B219" t="s">
        <v>53</v>
      </c>
      <c r="C219" s="1">
        <v>45814</v>
      </c>
      <c r="D219">
        <v>25003.05</v>
      </c>
      <c r="E219" s="1">
        <v>45820</v>
      </c>
      <c r="F219">
        <v>24888.2</v>
      </c>
      <c r="G219" s="2">
        <v>-4.5999999999999999E-3</v>
      </c>
      <c r="H219" s="40">
        <f t="shared" si="60"/>
        <v>6</v>
      </c>
      <c r="I219" s="4">
        <f t="shared" si="61"/>
        <v>1.5E-3</v>
      </c>
      <c r="J219" s="4">
        <f t="shared" si="62"/>
        <v>1E-3</v>
      </c>
      <c r="K219" s="4">
        <f t="shared" si="63"/>
        <v>-7.1000000000000004E-3</v>
      </c>
      <c r="L219">
        <f t="shared" si="64"/>
        <v>631.6502692565615</v>
      </c>
      <c r="M219">
        <f t="shared" si="65"/>
        <v>650.80191473966954</v>
      </c>
      <c r="N219">
        <f t="shared" si="66"/>
        <v>-19.151645483108041</v>
      </c>
      <c r="O219" s="39">
        <f t="shared" si="67"/>
        <v>-2.942776449999995E-2</v>
      </c>
      <c r="Q219">
        <f t="shared" si="68"/>
        <v>298.96278774436684</v>
      </c>
      <c r="R219">
        <f t="shared" si="69"/>
        <v>310.84572783621098</v>
      </c>
      <c r="S219">
        <f t="shared" si="70"/>
        <v>-11.882940091844148</v>
      </c>
      <c r="T219" s="39">
        <f t="shared" si="71"/>
        <v>-3.8227773547222232E-2</v>
      </c>
      <c r="U219">
        <f t="shared" si="72"/>
        <v>2025</v>
      </c>
      <c r="V219">
        <f t="shared" si="73"/>
        <v>2025</v>
      </c>
    </row>
    <row r="220" spans="1:22" x14ac:dyDescent="0.25">
      <c r="A220" t="s">
        <v>52</v>
      </c>
      <c r="B220" t="s">
        <v>53</v>
      </c>
      <c r="C220" s="1">
        <v>45824</v>
      </c>
      <c r="D220">
        <v>24946.5</v>
      </c>
      <c r="E220" s="1">
        <v>45848</v>
      </c>
      <c r="F220">
        <v>25355.25</v>
      </c>
      <c r="G220" s="2">
        <v>1.6400000000000001E-2</v>
      </c>
      <c r="H220" s="40">
        <f t="shared" si="60"/>
        <v>24</v>
      </c>
      <c r="I220" s="4">
        <f t="shared" si="61"/>
        <v>1.5E-3</v>
      </c>
      <c r="J220" s="4">
        <f t="shared" si="62"/>
        <v>4.0000000000000001E-3</v>
      </c>
      <c r="K220" s="4">
        <f t="shared" si="63"/>
        <v>1.0900000000000002E-2</v>
      </c>
      <c r="L220">
        <f t="shared" si="64"/>
        <v>642.00933367236905</v>
      </c>
      <c r="M220">
        <f t="shared" si="65"/>
        <v>650.80191473966954</v>
      </c>
      <c r="N220">
        <f t="shared" si="66"/>
        <v>-8.7925810673004889</v>
      </c>
      <c r="O220" s="39">
        <f t="shared" si="67"/>
        <v>-1.3510379837800035E-2</v>
      </c>
      <c r="Q220">
        <f t="shared" si="68"/>
        <v>302.22148213078043</v>
      </c>
      <c r="R220">
        <f t="shared" si="69"/>
        <v>310.84572783621098</v>
      </c>
      <c r="S220">
        <f t="shared" si="70"/>
        <v>-8.6242457054305532</v>
      </c>
      <c r="T220" s="39">
        <f t="shared" si="71"/>
        <v>-2.7744456278886966E-2</v>
      </c>
      <c r="U220">
        <f t="shared" si="72"/>
        <v>2025</v>
      </c>
      <c r="V220">
        <f t="shared" si="73"/>
        <v>2025</v>
      </c>
    </row>
    <row r="221" spans="1:22" x14ac:dyDescent="0.25">
      <c r="A221" t="s">
        <v>52</v>
      </c>
      <c r="B221" t="s">
        <v>53</v>
      </c>
      <c r="C221" s="1">
        <v>45861</v>
      </c>
      <c r="D221">
        <v>25219.9</v>
      </c>
      <c r="E221" s="1">
        <v>45863</v>
      </c>
      <c r="F221">
        <v>24837</v>
      </c>
      <c r="G221" s="2">
        <v>-1.52E-2</v>
      </c>
      <c r="H221" s="40">
        <f t="shared" si="60"/>
        <v>2</v>
      </c>
      <c r="I221" s="4">
        <f t="shared" si="61"/>
        <v>1.5E-3</v>
      </c>
      <c r="J221" s="4">
        <f t="shared" si="62"/>
        <v>3.3333333333333332E-4</v>
      </c>
      <c r="K221" s="4">
        <f t="shared" si="63"/>
        <v>-1.7033333333333334E-2</v>
      </c>
      <c r="L221">
        <f t="shared" si="64"/>
        <v>632.250791800549</v>
      </c>
      <c r="M221">
        <f t="shared" si="65"/>
        <v>650.80191473966954</v>
      </c>
      <c r="N221">
        <f t="shared" si="66"/>
        <v>-18.551122939120546</v>
      </c>
      <c r="O221" s="39">
        <f t="shared" si="67"/>
        <v>-2.8505022064265549E-2</v>
      </c>
      <c r="Q221">
        <f t="shared" si="68"/>
        <v>297.07364288515282</v>
      </c>
      <c r="R221">
        <f t="shared" si="69"/>
        <v>310.84572783621098</v>
      </c>
      <c r="S221">
        <f t="shared" si="70"/>
        <v>-13.772084951058162</v>
      </c>
      <c r="T221" s="39">
        <f t="shared" si="71"/>
        <v>-4.4305209040269869E-2</v>
      </c>
      <c r="U221">
        <f t="shared" si="72"/>
        <v>2025</v>
      </c>
      <c r="V221">
        <f t="shared" si="73"/>
        <v>2025</v>
      </c>
    </row>
    <row r="222" spans="1:22" x14ac:dyDescent="0.25">
      <c r="A222" t="s">
        <v>52</v>
      </c>
      <c r="B222" t="s">
        <v>53</v>
      </c>
      <c r="C222" s="1">
        <v>45887</v>
      </c>
      <c r="D222">
        <v>24876.95</v>
      </c>
      <c r="E222" s="1">
        <v>45891</v>
      </c>
      <c r="F222">
        <v>24870.1</v>
      </c>
      <c r="G222" s="2">
        <v>-2.9999999999999997E-4</v>
      </c>
      <c r="H222" s="40">
        <f t="shared" ref="H222:H223" si="74">E222-C222</f>
        <v>4</v>
      </c>
      <c r="I222" s="4">
        <f t="shared" ref="I222:I223" si="75">C$1</f>
        <v>1.5E-3</v>
      </c>
      <c r="J222" s="4">
        <f t="shared" ref="J222:J223" si="76">H222/30*D$1</f>
        <v>6.6666666666666664E-4</v>
      </c>
      <c r="K222" s="4">
        <f t="shared" ref="K222:K223" si="77">G222-SUM(I222,J222)</f>
        <v>-2.4666666666666665E-3</v>
      </c>
      <c r="L222">
        <f t="shared" ref="L222:L223" si="78">L221*(1+G222)</f>
        <v>632.0611165630088</v>
      </c>
      <c r="M222">
        <f t="shared" ref="M222:M223" si="79">MAX(L222,M221)</f>
        <v>650.80191473966954</v>
      </c>
      <c r="N222">
        <f t="shared" ref="N222:N223" si="80">IF(M222&gt;L222,L222-M222,"")</f>
        <v>-18.740798176660746</v>
      </c>
      <c r="O222" s="39">
        <f t="shared" ref="O222:O223" si="81">IFERROR(N222/M222,0)</f>
        <v>-2.8796470557646323E-2</v>
      </c>
      <c r="Q222">
        <f t="shared" ref="Q222:Q223" si="82">Q221*(1+K222)</f>
        <v>296.34086123270282</v>
      </c>
      <c r="R222">
        <f t="shared" ref="R222:R223" si="83">MAX(Q222,R221)</f>
        <v>310.84572783621098</v>
      </c>
      <c r="S222">
        <f t="shared" ref="S222:S223" si="84">IF(R222&gt;Q222,Q222-R222,"")</f>
        <v>-14.504866603508162</v>
      </c>
      <c r="T222" s="39">
        <f t="shared" ref="T222:T223" si="85">IFERROR(S222/R222,0)</f>
        <v>-4.666258952463706E-2</v>
      </c>
      <c r="U222">
        <f t="shared" ref="U222:U223" si="86">YEAR(E222)</f>
        <v>2025</v>
      </c>
      <c r="V222">
        <f t="shared" ref="V222:V223" si="87">YEAR(C222)</f>
        <v>2025</v>
      </c>
    </row>
    <row r="223" spans="1:22" x14ac:dyDescent="0.25">
      <c r="A223" t="s">
        <v>52</v>
      </c>
      <c r="B223" t="s">
        <v>53</v>
      </c>
      <c r="C223" s="1">
        <v>45903</v>
      </c>
      <c r="D223">
        <v>24715.05</v>
      </c>
      <c r="E223" s="1">
        <v>45922</v>
      </c>
      <c r="F223">
        <v>25202.35</v>
      </c>
      <c r="G223" s="2">
        <v>1.9699999999999999E-2</v>
      </c>
      <c r="H223" s="40">
        <f t="shared" si="74"/>
        <v>19</v>
      </c>
      <c r="I223" s="4">
        <f t="shared" si="75"/>
        <v>1.5E-3</v>
      </c>
      <c r="J223" s="4">
        <f t="shared" si="76"/>
        <v>3.1666666666666666E-3</v>
      </c>
      <c r="K223" s="4">
        <f t="shared" si="77"/>
        <v>1.5033333333333333E-2</v>
      </c>
      <c r="L223">
        <f t="shared" si="78"/>
        <v>644.51272055930008</v>
      </c>
      <c r="M223">
        <f t="shared" si="79"/>
        <v>650.80191473966954</v>
      </c>
      <c r="N223">
        <f t="shared" si="80"/>
        <v>-6.2891941803694635</v>
      </c>
      <c r="O223" s="39">
        <f t="shared" si="81"/>
        <v>-9.66376102763194E-3</v>
      </c>
      <c r="Q223">
        <f t="shared" si="82"/>
        <v>300.79585217990109</v>
      </c>
      <c r="R223">
        <f t="shared" si="83"/>
        <v>310.84572783621098</v>
      </c>
      <c r="S223">
        <f t="shared" si="84"/>
        <v>-10.049875656309894</v>
      </c>
      <c r="T223" s="39">
        <f t="shared" si="85"/>
        <v>-3.2330750453824206E-2</v>
      </c>
      <c r="U223">
        <f t="shared" si="86"/>
        <v>2025</v>
      </c>
      <c r="V223">
        <f t="shared" si="87"/>
        <v>2025</v>
      </c>
    </row>
    <row r="224" spans="1:22" x14ac:dyDescent="0.25">
      <c r="A224" t="s">
        <v>52</v>
      </c>
      <c r="B224" t="s">
        <v>53</v>
      </c>
      <c r="C224" s="1">
        <v>45933</v>
      </c>
      <c r="D224">
        <v>24894.25</v>
      </c>
      <c r="E224" s="1">
        <v>45961</v>
      </c>
      <c r="F224">
        <v>25722.1</v>
      </c>
      <c r="G224" s="2">
        <v>3.3300000000000003E-2</v>
      </c>
      <c r="H224" s="40">
        <f t="shared" ref="H224:H229" si="88">E224-C224</f>
        <v>28</v>
      </c>
      <c r="I224" s="4">
        <f t="shared" ref="I224:I229" si="89">C$1</f>
        <v>1.5E-3</v>
      </c>
      <c r="J224" s="4">
        <f t="shared" ref="J224:J229" si="90">H224/30*D$1</f>
        <v>4.6666666666666671E-3</v>
      </c>
      <c r="K224" s="4">
        <f t="shared" ref="K224:K229" si="91">G224-SUM(I224,J224)</f>
        <v>2.7133333333333336E-2</v>
      </c>
      <c r="L224">
        <f t="shared" ref="L224:L229" si="92">L223*(1+G224)</f>
        <v>665.97499415392485</v>
      </c>
      <c r="M224">
        <f t="shared" ref="M224:M229" si="93">MAX(L224,M223)</f>
        <v>665.97499415392485</v>
      </c>
      <c r="N224" t="str">
        <f t="shared" ref="N224:N229" si="94">IF(M224&gt;L224,L224-M224,"")</f>
        <v/>
      </c>
      <c r="O224" s="39">
        <f t="shared" ref="O224:O229" si="95">IFERROR(N224/M224,0)</f>
        <v>0</v>
      </c>
      <c r="Q224">
        <f t="shared" ref="Q224:Q229" si="96">Q223*(1+K224)</f>
        <v>308.95744630238238</v>
      </c>
      <c r="R224">
        <f t="shared" ref="R224:R229" si="97">MAX(Q224,R223)</f>
        <v>310.84572783621098</v>
      </c>
      <c r="S224">
        <f t="shared" ref="S224:S229" si="98">IF(R224&gt;Q224,Q224-R224,"")</f>
        <v>-1.8882815338286036</v>
      </c>
      <c r="T224" s="39">
        <f t="shared" ref="T224:T229" si="99">IFERROR(S224/R224,0)</f>
        <v>-6.0746581494713868E-3</v>
      </c>
      <c r="U224">
        <f t="shared" ref="U224:U229" si="100">YEAR(E224)</f>
        <v>2025</v>
      </c>
      <c r="V224">
        <f t="shared" ref="V224:V229" si="101">YEAR(C224)</f>
        <v>2025</v>
      </c>
    </row>
    <row r="225" spans="1:22" x14ac:dyDescent="0.25">
      <c r="A225" t="s">
        <v>52</v>
      </c>
      <c r="B225" t="s">
        <v>53</v>
      </c>
      <c r="C225" s="1">
        <v>45972</v>
      </c>
      <c r="D225">
        <v>25694.95</v>
      </c>
      <c r="E225" s="1">
        <v>45985</v>
      </c>
      <c r="F225">
        <v>25959.5</v>
      </c>
      <c r="G225" s="2">
        <v>1.03E-2</v>
      </c>
      <c r="H225" s="40">
        <f t="shared" si="88"/>
        <v>13</v>
      </c>
      <c r="I225" s="4">
        <f t="shared" si="89"/>
        <v>1.5E-3</v>
      </c>
      <c r="J225" s="4">
        <f t="shared" si="90"/>
        <v>2.166666666666667E-3</v>
      </c>
      <c r="K225" s="4">
        <f t="shared" si="91"/>
        <v>6.6333333333333331E-3</v>
      </c>
      <c r="L225">
        <f t="shared" si="92"/>
        <v>672.83453659371025</v>
      </c>
      <c r="M225">
        <f t="shared" si="93"/>
        <v>672.83453659371025</v>
      </c>
      <c r="N225" t="str">
        <f t="shared" si="94"/>
        <v/>
      </c>
      <c r="O225" s="39">
        <f t="shared" si="95"/>
        <v>0</v>
      </c>
      <c r="Q225">
        <f t="shared" si="96"/>
        <v>311.00686402952152</v>
      </c>
      <c r="R225">
        <f t="shared" si="97"/>
        <v>311.00686402952152</v>
      </c>
      <c r="S225" t="str">
        <f t="shared" si="98"/>
        <v/>
      </c>
      <c r="T225" s="39">
        <f t="shared" si="99"/>
        <v>0</v>
      </c>
      <c r="U225">
        <f t="shared" si="100"/>
        <v>2025</v>
      </c>
      <c r="V225">
        <f t="shared" si="101"/>
        <v>2025</v>
      </c>
    </row>
    <row r="226" spans="1:22" x14ac:dyDescent="0.25">
      <c r="A226" t="s">
        <v>52</v>
      </c>
      <c r="B226" t="s">
        <v>53</v>
      </c>
      <c r="C226" s="1">
        <v>45987</v>
      </c>
      <c r="D226">
        <v>26205.3</v>
      </c>
      <c r="E226" s="1">
        <v>45994</v>
      </c>
      <c r="F226">
        <v>25986</v>
      </c>
      <c r="G226" s="2">
        <v>-8.3999999999999995E-3</v>
      </c>
      <c r="H226" s="40">
        <f t="shared" si="88"/>
        <v>7</v>
      </c>
      <c r="I226" s="4">
        <f t="shared" si="89"/>
        <v>1.5E-3</v>
      </c>
      <c r="J226" s="4">
        <f t="shared" si="90"/>
        <v>1.1666666666666668E-3</v>
      </c>
      <c r="K226" s="4">
        <f t="shared" si="91"/>
        <v>-1.1066666666666666E-2</v>
      </c>
      <c r="L226">
        <f t="shared" si="92"/>
        <v>667.18272648632308</v>
      </c>
      <c r="M226">
        <f t="shared" si="93"/>
        <v>672.83453659371025</v>
      </c>
      <c r="N226">
        <f t="shared" si="94"/>
        <v>-5.6518101073871776</v>
      </c>
      <c r="O226" s="39">
        <f t="shared" si="95"/>
        <v>-8.4000000000000168E-3</v>
      </c>
      <c r="Q226">
        <f t="shared" si="96"/>
        <v>307.56505473426148</v>
      </c>
      <c r="R226">
        <f t="shared" si="97"/>
        <v>311.00686402952152</v>
      </c>
      <c r="S226">
        <f t="shared" si="98"/>
        <v>-3.4418092952600432</v>
      </c>
      <c r="T226" s="39">
        <f t="shared" si="99"/>
        <v>-1.1066666666666683E-2</v>
      </c>
      <c r="U226">
        <f t="shared" si="100"/>
        <v>2025</v>
      </c>
      <c r="V226">
        <f t="shared" si="101"/>
        <v>2025</v>
      </c>
    </row>
    <row r="227" spans="1:22" x14ac:dyDescent="0.25">
      <c r="A227" t="s">
        <v>52</v>
      </c>
      <c r="B227" t="s">
        <v>53</v>
      </c>
      <c r="C227" s="1">
        <v>45996</v>
      </c>
      <c r="D227">
        <v>26186.45</v>
      </c>
      <c r="E227" s="1">
        <v>46000</v>
      </c>
      <c r="F227">
        <v>25839.65</v>
      </c>
      <c r="G227" s="2">
        <v>-1.32E-2</v>
      </c>
      <c r="H227" s="40">
        <f t="shared" si="88"/>
        <v>4</v>
      </c>
      <c r="I227" s="4">
        <f t="shared" si="89"/>
        <v>1.5E-3</v>
      </c>
      <c r="J227" s="4">
        <f t="shared" si="90"/>
        <v>6.6666666666666664E-4</v>
      </c>
      <c r="K227" s="4">
        <f t="shared" si="91"/>
        <v>-1.5366666666666667E-2</v>
      </c>
      <c r="L227">
        <f t="shared" si="92"/>
        <v>658.37591449670367</v>
      </c>
      <c r="M227">
        <f t="shared" si="93"/>
        <v>672.83453659371025</v>
      </c>
      <c r="N227">
        <f t="shared" si="94"/>
        <v>-14.458622097006582</v>
      </c>
      <c r="O227" s="39">
        <f t="shared" si="95"/>
        <v>-2.1489119999999928E-2</v>
      </c>
      <c r="Q227">
        <f t="shared" si="96"/>
        <v>302.83880505984501</v>
      </c>
      <c r="R227">
        <f t="shared" si="97"/>
        <v>311.00686402952152</v>
      </c>
      <c r="S227">
        <f t="shared" si="98"/>
        <v>-8.1680589696765082</v>
      </c>
      <c r="T227" s="39">
        <f t="shared" si="99"/>
        <v>-2.6263275555555507E-2</v>
      </c>
      <c r="U227">
        <f t="shared" si="100"/>
        <v>2025</v>
      </c>
      <c r="V227">
        <f t="shared" si="101"/>
        <v>2025</v>
      </c>
    </row>
    <row r="228" spans="1:22" x14ac:dyDescent="0.25">
      <c r="A228" t="s">
        <v>52</v>
      </c>
      <c r="B228" t="s">
        <v>53</v>
      </c>
      <c r="C228" s="1">
        <v>46003</v>
      </c>
      <c r="D228">
        <v>26046.95</v>
      </c>
      <c r="E228" s="1">
        <v>46020</v>
      </c>
      <c r="F228">
        <v>25942.1</v>
      </c>
      <c r="G228" s="2">
        <v>-4.0000000000000001E-3</v>
      </c>
      <c r="H228" s="40">
        <f t="shared" si="88"/>
        <v>17</v>
      </c>
      <c r="I228" s="4">
        <f t="shared" si="89"/>
        <v>1.5E-3</v>
      </c>
      <c r="J228" s="4">
        <f t="shared" si="90"/>
        <v>2.8333333333333331E-3</v>
      </c>
      <c r="K228" s="4">
        <f t="shared" si="91"/>
        <v>-8.3333333333333332E-3</v>
      </c>
      <c r="L228">
        <f t="shared" si="92"/>
        <v>655.74241083871686</v>
      </c>
      <c r="M228">
        <f t="shared" si="93"/>
        <v>672.83453659371025</v>
      </c>
      <c r="N228">
        <f t="shared" si="94"/>
        <v>-17.09212575499339</v>
      </c>
      <c r="O228" s="39">
        <f t="shared" si="95"/>
        <v>-2.5403163519999918E-2</v>
      </c>
      <c r="Q228">
        <f t="shared" si="96"/>
        <v>300.31514835101297</v>
      </c>
      <c r="R228">
        <f t="shared" si="97"/>
        <v>311.00686402952152</v>
      </c>
      <c r="S228">
        <f t="shared" si="98"/>
        <v>-10.691715678508558</v>
      </c>
      <c r="T228" s="39">
        <f t="shared" si="99"/>
        <v>-3.4377748259259239E-2</v>
      </c>
      <c r="U228">
        <f t="shared" si="100"/>
        <v>2025</v>
      </c>
      <c r="V228">
        <f t="shared" si="101"/>
        <v>2025</v>
      </c>
    </row>
    <row r="229" spans="1:22" x14ac:dyDescent="0.25">
      <c r="A229" t="s">
        <v>52</v>
      </c>
      <c r="B229" t="s">
        <v>53</v>
      </c>
      <c r="C229" s="1">
        <v>46022</v>
      </c>
      <c r="D229">
        <v>26129.599999999999</v>
      </c>
      <c r="E229" s="1">
        <v>46030</v>
      </c>
      <c r="F229">
        <v>25876.85</v>
      </c>
      <c r="G229" s="2">
        <v>-9.7000000000000003E-3</v>
      </c>
      <c r="H229" s="40">
        <f t="shared" si="88"/>
        <v>8</v>
      </c>
      <c r="I229" s="4">
        <f t="shared" si="89"/>
        <v>1.5E-3</v>
      </c>
      <c r="J229" s="4">
        <f t="shared" si="90"/>
        <v>1.3333333333333333E-3</v>
      </c>
      <c r="K229" s="4">
        <f t="shared" si="91"/>
        <v>-1.2533333333333334E-2</v>
      </c>
      <c r="L229">
        <f t="shared" si="92"/>
        <v>649.38170945358127</v>
      </c>
      <c r="M229">
        <f t="shared" si="93"/>
        <v>672.83453659371025</v>
      </c>
      <c r="N229">
        <f t="shared" si="94"/>
        <v>-23.452827140128989</v>
      </c>
      <c r="O229" s="39">
        <f t="shared" si="95"/>
        <v>-3.4856752833855982E-2</v>
      </c>
      <c r="Q229">
        <f t="shared" si="96"/>
        <v>296.55119849168028</v>
      </c>
      <c r="R229">
        <f t="shared" si="97"/>
        <v>311.00686402952152</v>
      </c>
      <c r="S229">
        <f t="shared" si="98"/>
        <v>-14.455665537841242</v>
      </c>
      <c r="T229" s="39">
        <f t="shared" si="99"/>
        <v>-4.6480213814409817E-2</v>
      </c>
      <c r="U229">
        <f t="shared" si="100"/>
        <v>2026</v>
      </c>
      <c r="V229">
        <f t="shared" si="101"/>
        <v>2025</v>
      </c>
    </row>
  </sheetData>
  <conditionalFormatting sqref="AM21:AM39">
    <cfRule type="cellIs" dxfId="13" priority="2" operator="greaterThan">
      <formula>0</formula>
    </cfRule>
  </conditionalFormatting>
  <conditionalFormatting pivot="1" sqref="Z20:Z39">
    <cfRule type="cellIs" dxfId="12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M200"/>
  <sheetViews>
    <sheetView zoomScale="85" zoomScaleNormal="85" workbookViewId="0">
      <selection activeCell="B2" sqref="B2"/>
    </sheetView>
  </sheetViews>
  <sheetFormatPr defaultRowHeight="15" x14ac:dyDescent="0.25"/>
  <cols>
    <col min="1" max="1" width="16.28515625" bestFit="1" customWidth="1"/>
    <col min="2" max="2" width="8.140625" bestFit="1" customWidth="1"/>
    <col min="3" max="3" width="11.5703125" bestFit="1" customWidth="1"/>
    <col min="4" max="4" width="12.85546875" bestFit="1" customWidth="1"/>
    <col min="5" max="5" width="11.28515625" bestFit="1" customWidth="1"/>
    <col min="6" max="6" width="9" bestFit="1" customWidth="1"/>
    <col min="7" max="7" width="7.140625" bestFit="1" customWidth="1"/>
    <col min="8" max="8" width="11" bestFit="1" customWidth="1"/>
    <col min="9" max="9" width="8" bestFit="1" customWidth="1"/>
    <col min="10" max="10" width="6.85546875" bestFit="1" customWidth="1"/>
    <col min="11" max="11" width="13.7109375" bestFit="1" customWidth="1"/>
    <col min="12" max="12" width="12" bestFit="1" customWidth="1"/>
    <col min="13" max="13" width="6.140625" bestFit="1" customWidth="1"/>
    <col min="14" max="14" width="10.7109375" bestFit="1" customWidth="1"/>
    <col min="15" max="15" width="6.85546875" bestFit="1" customWidth="1"/>
    <col min="16" max="16" width="7.140625" bestFit="1" customWidth="1"/>
    <col min="17" max="17" width="11.85546875" bestFit="1" customWidth="1"/>
    <col min="25" max="25" width="16.42578125" customWidth="1"/>
    <col min="26" max="26" width="16.28515625" bestFit="1" customWidth="1"/>
    <col min="27" max="27" width="5.85546875" customWidth="1"/>
    <col min="28" max="28" width="6.140625" customWidth="1"/>
    <col min="29" max="29" width="5.85546875" customWidth="1"/>
    <col min="30" max="31" width="6.140625" customWidth="1"/>
    <col min="32" max="32" width="5.85546875" customWidth="1"/>
    <col min="33" max="37" width="6.140625" customWidth="1"/>
    <col min="38" max="38" width="11.28515625" bestFit="1" customWidth="1"/>
  </cols>
  <sheetData>
    <row r="1" spans="1:26" x14ac:dyDescent="0.25">
      <c r="A1" s="1" t="s">
        <v>0</v>
      </c>
      <c r="B1" s="3"/>
      <c r="C1" s="4">
        <v>1.5E-3</v>
      </c>
      <c r="D1" s="4">
        <v>5.0000000000000001E-3</v>
      </c>
      <c r="E1" s="3"/>
      <c r="F1" s="3"/>
      <c r="G1" s="3"/>
      <c r="H1" s="5">
        <v>40544</v>
      </c>
      <c r="I1" s="3">
        <f>YEAR(H1)</f>
        <v>2011</v>
      </c>
      <c r="J1" s="5">
        <f>INDEX(C21:C1048576,MATCH(I1,V21:V1048575,0),1)</f>
        <v>40812</v>
      </c>
      <c r="K1" s="4"/>
      <c r="L1" s="5">
        <f>MAX(E21:E1048576)</f>
        <v>46030</v>
      </c>
      <c r="M1" s="3"/>
    </row>
    <row r="2" spans="1:26" ht="15.75" thickBot="1" x14ac:dyDescent="0.3">
      <c r="A2" s="3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  <c r="N2" s="2"/>
    </row>
    <row r="3" spans="1:26" ht="45" x14ac:dyDescent="0.25">
      <c r="A3" s="7" t="s">
        <v>6</v>
      </c>
      <c r="B3" s="8">
        <f>SUM(G21:G1048576)</f>
        <v>2.3715000000000002</v>
      </c>
      <c r="C3" s="8">
        <f>SUM(I21:I1048576)</f>
        <v>0.1455000000000001</v>
      </c>
      <c r="D3" s="8">
        <f>SUM(J21:J1048576)</f>
        <v>0.49983333333333368</v>
      </c>
      <c r="E3" s="8">
        <f>SUM(K21:K1048576)</f>
        <v>1.7261666666666671</v>
      </c>
      <c r="F3" s="9">
        <f>SUM(H21:H1048576)</f>
        <v>2999</v>
      </c>
      <c r="G3" s="3"/>
      <c r="H3" s="7" t="s">
        <v>6</v>
      </c>
      <c r="I3" s="8">
        <f t="array" ref="I3">SUM(IF(H$1&lt;=C21:C1048576,G21:G1048576,""))</f>
        <v>1.6348</v>
      </c>
      <c r="J3" s="8">
        <f t="array" ref="J3">SUM(IF(H$1&lt;=C21:C1048576,I21:I1048576,""))</f>
        <v>0.12450000000000008</v>
      </c>
      <c r="K3" s="8">
        <f t="array" ref="K3">SUM(IF(H$1&lt;=C21:C1048576,J21:J1048576,""))</f>
        <v>0.42100000000000026</v>
      </c>
      <c r="L3" s="8">
        <f t="array" ref="L3">SUM(IF(H$1&lt;=C21:C1048576,K21:K1048576,""))</f>
        <v>1.0893000000000004</v>
      </c>
      <c r="M3" s="10">
        <f t="array" ref="M3">SUM(IF(H$1&lt;=C21:C1048576,H21:H1048576,""))</f>
        <v>2526</v>
      </c>
      <c r="N3" s="2"/>
      <c r="O3" s="11" t="s">
        <v>7</v>
      </c>
      <c r="P3" s="12" t="s">
        <v>8</v>
      </c>
      <c r="Q3" s="12" t="s">
        <v>9</v>
      </c>
      <c r="R3" s="12" t="s">
        <v>10</v>
      </c>
      <c r="S3" s="13" t="s">
        <v>11</v>
      </c>
      <c r="T3" s="13" t="s">
        <v>12</v>
      </c>
      <c r="U3" s="13" t="s">
        <v>13</v>
      </c>
      <c r="V3" s="14" t="s">
        <v>14</v>
      </c>
      <c r="W3" s="14" t="s">
        <v>15</v>
      </c>
      <c r="X3" s="14" t="s">
        <v>16</v>
      </c>
      <c r="Y3" s="12" t="s">
        <v>17</v>
      </c>
      <c r="Z3" s="15" t="s">
        <v>18</v>
      </c>
    </row>
    <row r="4" spans="1:26" ht="15.75" x14ac:dyDescent="0.25">
      <c r="A4" s="7" t="s">
        <v>19</v>
      </c>
      <c r="B4" s="8">
        <f>AVERAGE(G21:G1048576)</f>
        <v>2.4448453608247423E-2</v>
      </c>
      <c r="C4" s="9"/>
      <c r="D4" s="9"/>
      <c r="E4" s="8">
        <f>AVERAGE(K21:K1048576)</f>
        <v>1.7795532646048114E-2</v>
      </c>
      <c r="F4" s="16">
        <f>AVERAGE(H21:H1048576)</f>
        <v>30.917525773195877</v>
      </c>
      <c r="G4" s="3"/>
      <c r="H4" s="7" t="s">
        <v>19</v>
      </c>
      <c r="I4" s="8">
        <f t="array" ref="I4">AVERAGE(IF(H$1&lt;=C21:C1048576,G21:G1048576,""))</f>
        <v>1.9696385542168675E-2</v>
      </c>
      <c r="J4" s="9"/>
      <c r="K4" s="9"/>
      <c r="L4" s="8">
        <f t="array" ref="L4">AVERAGE(IF(H$1&lt;=C21:C1048576,K21:K1048576,""))</f>
        <v>1.3124096385542173E-2</v>
      </c>
      <c r="M4" s="16">
        <f t="array" ref="M4">AVERAGE(IF(H$1&lt;=C21:C1048576,H21:H1048576,""))</f>
        <v>30.433734939759034</v>
      </c>
      <c r="N4" s="2"/>
      <c r="O4" s="17" t="s">
        <v>20</v>
      </c>
      <c r="P4" s="18">
        <v>39447</v>
      </c>
      <c r="Q4" s="18">
        <v>45869</v>
      </c>
      <c r="R4" s="19">
        <f t="array" ref="R4">COUNT(IF((P4&lt;=$C$21:$C$1048576)*(Q4&gt;=$E$21:$E$1048576),$G$21:$G$1048576,""))</f>
        <v>92</v>
      </c>
      <c r="S4" s="20">
        <f t="array" ref="S4">SUM(IF((P4&lt;=$C$21:$C$1048576)*(Q4&gt;=$E$21:$E$1048576),$G$21:$G$1048576,""))</f>
        <v>2.3698999999999999</v>
      </c>
      <c r="T4" s="20">
        <f t="array" ref="T4">AVERAGE(IF((P4&lt;=$C$21:$C$1048576)*(Q4&gt;=$E$21:$E$1048576),$G$21:$G$1048576,""))</f>
        <v>2.5759782608695651E-2</v>
      </c>
      <c r="U4" s="20">
        <f>T4/Z4</f>
        <v>2.4899052704099204E-2</v>
      </c>
      <c r="V4" s="20">
        <f t="array" ref="V4">SUM(IF((P4&lt;=$C$21:$C$1048576)*(Q4&gt;=$E$21:$E$1048576),$K$21:$K$1048576,""))</f>
        <v>1.7480666666666671</v>
      </c>
      <c r="W4" s="20">
        <f t="array" ref="W4">AVERAGE(IF((P4&lt;=$C$21:$C$1048576)*(Q4&gt;=$E$21:$E$1048576),$K$21:$K$1048576,""))</f>
        <v>1.9000724637681165E-2</v>
      </c>
      <c r="X4" s="20">
        <f>W4/Z4</f>
        <v>1.8365839935698708E-2</v>
      </c>
      <c r="Y4" s="21">
        <f t="array" ref="Y4">AVERAGE(IF((P4&lt;=$C$21:$C$1048576)*(Q4&gt;=$E$21:$E$1048576),$H$21:$H$1048576,""))</f>
        <v>31.554347826086957</v>
      </c>
      <c r="Z4" s="22">
        <f>Y4/30.5</f>
        <v>1.034568781183179</v>
      </c>
    </row>
    <row r="5" spans="1:26" ht="15.75" x14ac:dyDescent="0.25">
      <c r="A5" s="3" t="s">
        <v>21</v>
      </c>
      <c r="B5" s="23">
        <f>COUNT(G21:G1048576)</f>
        <v>97</v>
      </c>
      <c r="C5" s="23"/>
      <c r="D5" s="23"/>
      <c r="E5" s="23">
        <f>COUNT(K21:K1048576)</f>
        <v>97</v>
      </c>
      <c r="F5" s="24">
        <f>F4/30.5</f>
        <v>1.0136893696129796</v>
      </c>
      <c r="G5" s="3"/>
      <c r="H5" s="3" t="s">
        <v>21</v>
      </c>
      <c r="I5" s="23">
        <f t="array" ref="I5">COUNT(IF(H$1&lt;=C21:C1048576,G21:G1048576,""))</f>
        <v>83</v>
      </c>
      <c r="J5" s="23"/>
      <c r="K5" s="23"/>
      <c r="L5" s="23">
        <f t="array" ref="L5">COUNT(IF(H$1&lt;=C21:C1048576,K21:K1048576,""))</f>
        <v>83</v>
      </c>
      <c r="M5" s="24">
        <f>M4/30.5</f>
        <v>0.99782737507406671</v>
      </c>
      <c r="N5" s="2"/>
      <c r="O5" s="17" t="s">
        <v>22</v>
      </c>
      <c r="P5" s="18">
        <v>39447</v>
      </c>
      <c r="Q5" s="18">
        <v>40543</v>
      </c>
      <c r="R5" s="19">
        <f t="array" ref="R5">COUNT(IF((P5&lt;=$C$21:$C$1048576)*(Q5&gt;=$E$21:$E$1048576),$G$21:$G$1048576,""))</f>
        <v>14</v>
      </c>
      <c r="S5" s="20">
        <f t="array" ref="S5">SUM(IF((P5&lt;=$C$21:$C$1048576)*(Q5&gt;=$E$21:$E$1048576),$G$21:$G$1048576,""))</f>
        <v>0.73670000000000013</v>
      </c>
      <c r="T5" s="20">
        <f t="array" ref="T5">AVERAGE(IF((P5&lt;=$C$21:$C$1048576)*(Q5&gt;=$E$21:$E$1048576),$G$21:$G$1048576,""))</f>
        <v>5.2621428571428583E-2</v>
      </c>
      <c r="U5" s="20">
        <f t="shared" ref="U5:U7" si="0">T5/Z5</f>
        <v>4.7503911205074009E-2</v>
      </c>
      <c r="V5" s="20">
        <f t="array" ref="V5">SUM(IF((P5&lt;=$C$21:$C$1048576)*(Q5&gt;=$E$21:$E$1048576),$K$21:$K$1048576,""))</f>
        <v>0.63686666666666647</v>
      </c>
      <c r="W5" s="20">
        <f t="array" ref="W5">AVERAGE(IF((P5&lt;=$C$21:$C$1048576)*(Q5&gt;=$E$21:$E$1048576),$K$21:$K$1048576,""))</f>
        <v>4.5490476190476178E-2</v>
      </c>
      <c r="X5" s="20">
        <f t="shared" ref="X5:X7" si="1">W5/Z5</f>
        <v>4.1066455250176173E-2</v>
      </c>
      <c r="Y5" s="21">
        <f t="array" ref="Y5">AVERAGE(IF((P5&lt;=$C$21:$C$1048576)*(Q5&gt;=$E$21:$E$1048576),$H$21:$H$1048576,""))</f>
        <v>33.785714285714285</v>
      </c>
      <c r="Z5" s="22">
        <f t="shared" ref="Z5:Z7" si="2">Y5/30.5</f>
        <v>1.1077283372365339</v>
      </c>
    </row>
    <row r="6" spans="1:26" ht="15.75" x14ac:dyDescent="0.25">
      <c r="A6" s="7" t="s">
        <v>23</v>
      </c>
      <c r="B6" s="25">
        <f>COUNTIF(G21:G1048576,"&gt;0")/B5</f>
        <v>0.55670103092783507</v>
      </c>
      <c r="C6" s="9"/>
      <c r="D6" s="9"/>
      <c r="E6" s="25">
        <f>COUNTIF(K21:K1048576,"&gt;0")/E5</f>
        <v>0.52577319587628868</v>
      </c>
      <c r="F6" s="9"/>
      <c r="G6" s="3"/>
      <c r="H6" s="7" t="s">
        <v>23</v>
      </c>
      <c r="I6" s="25">
        <f t="array" ref="I6">COUNT(IF((H$1&lt;=C21:C1048576)*(0&lt;G21:G1048576),G21:G1048576,""))/I5</f>
        <v>0.55421686746987953</v>
      </c>
      <c r="J6" s="9"/>
      <c r="K6" s="9"/>
      <c r="L6" s="25">
        <f t="array" ref="L6">COUNT(IF((H$1&lt;=C21:C1048576)*(0&lt;K21:K1048576),K21:K1048576,""))/L5</f>
        <v>0.51807228915662651</v>
      </c>
      <c r="M6" s="9"/>
      <c r="N6" s="2"/>
      <c r="O6" s="17" t="s">
        <v>24</v>
      </c>
      <c r="P6" s="18">
        <v>40543</v>
      </c>
      <c r="Q6" s="18">
        <v>43830</v>
      </c>
      <c r="R6" s="19">
        <f t="array" ref="R6">COUNT(IF((P6&lt;=$C$21:$C$1048576)*(Q6&gt;=$E$21:$E$1048576),$G$21:$G$1048576,""))</f>
        <v>43</v>
      </c>
      <c r="S6" s="20">
        <f t="array" ref="S6">SUM(IF((P6&lt;=$C$21:$C$1048576)*(Q6&gt;=$E$21:$E$1048576),$G$21:$G$1048576,""))</f>
        <v>0.81139999999999979</v>
      </c>
      <c r="T6" s="20">
        <f t="array" ref="T6">AVERAGE(IF((P6&lt;=$C$21:$C$1048576)*(Q6&gt;=$E$21:$E$1048576),$G$21:$G$1048576,""))</f>
        <v>1.8869767441860461E-2</v>
      </c>
      <c r="U6" s="20">
        <f t="shared" si="0"/>
        <v>1.835882789317507E-2</v>
      </c>
      <c r="V6" s="20">
        <f t="array" ref="V6">SUM(IF((P6&lt;=$C$21:$C$1048576)*(Q6&gt;=$E$21:$E$1048576),$K$21:$K$1048576,""))</f>
        <v>0.52223333333333322</v>
      </c>
      <c r="W6" s="20">
        <f t="array" ref="W6">AVERAGE(IF((P6&lt;=$C$21:$C$1048576)*(Q6&gt;=$E$21:$E$1048576),$K$21:$K$1048576,""))</f>
        <v>1.2144961240310075E-2</v>
      </c>
      <c r="X6" s="20">
        <f t="shared" si="1"/>
        <v>1.1816110286844705E-2</v>
      </c>
      <c r="Y6" s="21">
        <f t="array" ref="Y6">AVERAGE(IF((P6&lt;=$C$21:$C$1048576)*(Q6&gt;=$E$21:$E$1048576),$H$21:$H$1048576,""))</f>
        <v>31.348837209302324</v>
      </c>
      <c r="Z6" s="22">
        <f t="shared" si="2"/>
        <v>1.0278307281738468</v>
      </c>
    </row>
    <row r="7" spans="1:26" ht="16.5" thickBot="1" x14ac:dyDescent="0.3">
      <c r="A7" s="3" t="s">
        <v>25</v>
      </c>
      <c r="B7" s="26">
        <f>AVERAGEIF(G21:G1048576,"&gt;0",G21:G1048576)</f>
        <v>5.8968518518518517E-2</v>
      </c>
      <c r="C7" s="23"/>
      <c r="D7" s="23"/>
      <c r="E7" s="26">
        <f>AVERAGEIF(K21:K1048576,"&gt;0",K21:K1048576)</f>
        <v>5.3115686274509799E-2</v>
      </c>
      <c r="F7" s="23"/>
      <c r="G7" s="3"/>
      <c r="H7" s="3" t="s">
        <v>25</v>
      </c>
      <c r="I7" s="26">
        <f t="array" ref="I7">AVERAGE(IF((H$1&lt;=C21:C1048576)*(0&lt;G21:G1048576),G21:G1048576,""))</f>
        <v>4.9180434782608702E-2</v>
      </c>
      <c r="J7" s="23"/>
      <c r="K7" s="23"/>
      <c r="L7" s="26">
        <f t="array" ref="L7">AVERAGE(IF((H$1&lt;=C21:C1048576)*(0&lt;K21:K1048576),K21:K1048576,""))</f>
        <v>4.334263565891474E-2</v>
      </c>
      <c r="M7" s="23"/>
      <c r="N7" s="2"/>
      <c r="O7" s="27" t="s">
        <v>26</v>
      </c>
      <c r="P7" s="28">
        <v>40543</v>
      </c>
      <c r="Q7" s="28">
        <v>45869</v>
      </c>
      <c r="R7" s="29">
        <f t="array" ref="R7">COUNT(IF((P7&lt;=$C$21:$C$1048576)*(Q7&gt;=$E$21:$E$1048576),$G$21:$G$1048576,""))</f>
        <v>78</v>
      </c>
      <c r="S7" s="30">
        <f t="array" ref="S7">SUM(IF((P7&lt;=$C$21:$C$1048576)*(Q7&gt;=$E$21:$E$1048576),$G$21:$G$1048576,""))</f>
        <v>1.6332</v>
      </c>
      <c r="T7" s="30">
        <f t="array" ref="T7">AVERAGE(IF((P7&lt;=$C$21:$C$1048576)*(Q7&gt;=$E$21:$E$1048576),$G$21:$G$1048576,""))</f>
        <v>2.0938461538461538E-2</v>
      </c>
      <c r="U7" s="30">
        <f t="shared" si="0"/>
        <v>2.0499012345679014E-2</v>
      </c>
      <c r="V7" s="30">
        <f t="array" ref="V7">SUM(IF((P7&lt;=$C$21:$C$1048576)*(Q7&gt;=$E$21:$E$1048576),$K$21:$K$1048576,""))</f>
        <v>1.1112000000000004</v>
      </c>
      <c r="W7" s="30">
        <f t="array" ref="W7">AVERAGE(IF((P7&lt;=$C$21:$C$1048576)*(Q7&gt;=$E$21:$E$1048576),$K$21:$K$1048576,""))</f>
        <v>1.4246153846153851E-2</v>
      </c>
      <c r="X7" s="30">
        <f t="shared" si="1"/>
        <v>1.3947160493827167E-2</v>
      </c>
      <c r="Y7" s="31">
        <f t="array" ref="Y7">AVERAGE(IF((P7&lt;=$C$21:$C$1048576)*(Q7&gt;=$E$21:$E$1048576),$H$21:$H$1048576,""))</f>
        <v>31.153846153846153</v>
      </c>
      <c r="Z7" s="32">
        <f t="shared" si="2"/>
        <v>1.0214375788146279</v>
      </c>
    </row>
    <row r="8" spans="1:26" x14ac:dyDescent="0.25">
      <c r="A8" s="3" t="s">
        <v>27</v>
      </c>
      <c r="B8" s="26">
        <f>AVERAGEIF(G21:G1048576,"&lt;0",G21:G1048576)</f>
        <v>-1.890232558139535E-2</v>
      </c>
      <c r="C8" s="23"/>
      <c r="D8" s="23"/>
      <c r="E8" s="26">
        <f>AVERAGEIF(K21:K1048576,"&lt;0",K21:K1048576)</f>
        <v>-2.1363768115942032E-2</v>
      </c>
      <c r="F8" s="23"/>
      <c r="G8" s="3"/>
      <c r="H8" s="3" t="s">
        <v>27</v>
      </c>
      <c r="I8" s="26">
        <f t="array" ref="I8">AVERAGE(IF((H$1&lt;=C21:C1048576)*(0&gt;G21:G1048576),G21:G1048576,""))</f>
        <v>-1.695945945945946E-2</v>
      </c>
      <c r="J8" s="23"/>
      <c r="K8" s="23"/>
      <c r="L8" s="26">
        <f t="array" ref="L8">AVERAGE(IF((H$1&lt;=C21:C1048576)*(0&gt;K21:K1048576),K21:K1048576,""))</f>
        <v>-1.9360833333333334E-2</v>
      </c>
      <c r="M8" s="23"/>
      <c r="N8" s="2"/>
    </row>
    <row r="9" spans="1:26" x14ac:dyDescent="0.25">
      <c r="A9" s="3" t="s">
        <v>28</v>
      </c>
      <c r="B9" s="33">
        <f>MAX(G21:G1048576)</f>
        <v>0.56850000000000001</v>
      </c>
      <c r="C9" s="23"/>
      <c r="D9" s="23"/>
      <c r="E9" s="33">
        <f>MAX(K21:K502)</f>
        <v>0.55149999999999999</v>
      </c>
      <c r="F9" s="23"/>
      <c r="G9" s="3"/>
      <c r="H9" s="3" t="s">
        <v>28</v>
      </c>
      <c r="I9" s="33">
        <f t="array" ref="I9">MAX(IF(H$1&lt;=C21:C1048576,G21:G1048576,""))</f>
        <v>0.1913</v>
      </c>
      <c r="J9" s="23"/>
      <c r="K9" s="23"/>
      <c r="L9" s="33">
        <f t="array" ref="L9">MAX(IF(H$1&lt;=C21:C1048576,K21:K1048576,""))</f>
        <v>0.18296666666666667</v>
      </c>
      <c r="M9" s="23"/>
      <c r="N9" s="2"/>
    </row>
    <row r="10" spans="1:26" x14ac:dyDescent="0.25">
      <c r="A10" s="3" t="s">
        <v>29</v>
      </c>
      <c r="B10" s="33">
        <f>MIN(G21:G1048576)</f>
        <v>-6.4399999999999999E-2</v>
      </c>
      <c r="C10" s="23"/>
      <c r="D10" s="23"/>
      <c r="E10" s="33">
        <f>MIN(K21:K502)</f>
        <v>-6.6233333333333338E-2</v>
      </c>
      <c r="F10" s="23"/>
      <c r="G10" s="3"/>
      <c r="H10" s="3" t="s">
        <v>29</v>
      </c>
      <c r="I10" s="33">
        <f t="array" ref="I10">MIN(IF(H$1&lt;=C21:C1048576,G21:G1048576,""))</f>
        <v>-5.9299999999999999E-2</v>
      </c>
      <c r="J10" s="23"/>
      <c r="K10" s="23"/>
      <c r="L10" s="33">
        <f t="array" ref="L10">MIN(IF(H$1&lt;=C21:C1048576,K21:K1048576,""))</f>
        <v>-6.0966666666666662E-2</v>
      </c>
      <c r="M10" s="23"/>
      <c r="N10" s="2"/>
    </row>
    <row r="11" spans="1:26" x14ac:dyDescent="0.25">
      <c r="A11" s="7" t="s">
        <v>30</v>
      </c>
      <c r="B11" s="16">
        <f>((B6*B7)-((1-B6)*ABS(B8)))/(ABS(B8))</f>
        <v>1.2934098242552154</v>
      </c>
      <c r="C11" s="9"/>
      <c r="D11" s="9"/>
      <c r="E11" s="16">
        <f>((E6*E7)-((1-E6)*ABS(E8)))/(ABS(E8))</f>
        <v>0.83297724209844592</v>
      </c>
      <c r="F11" s="9"/>
      <c r="G11" s="3"/>
      <c r="H11" s="7" t="s">
        <v>30</v>
      </c>
      <c r="I11" s="16">
        <f>((I6*I7)-((1-I6)*ABS(I8)))/(ABS(I8))</f>
        <v>1.1613805020880337</v>
      </c>
      <c r="J11" s="9"/>
      <c r="K11" s="9"/>
      <c r="L11" s="16">
        <f>((L6*L7)-((1-L6)*ABS(L8)))/(ABS(L8))</f>
        <v>0.67786836235744885</v>
      </c>
      <c r="M11" s="9"/>
      <c r="N11" s="2"/>
    </row>
    <row r="12" spans="1:26" x14ac:dyDescent="0.25">
      <c r="A12" s="3" t="s">
        <v>31</v>
      </c>
      <c r="B12" s="33">
        <f>B4/F4*30</f>
        <v>2.3722907635878625E-2</v>
      </c>
      <c r="C12" s="23"/>
      <c r="D12" s="23"/>
      <c r="E12" s="33">
        <f>E4/F4*30</f>
        <v>1.7267422474158058E-2</v>
      </c>
      <c r="F12" s="23"/>
      <c r="G12" s="3"/>
      <c r="H12" s="3" t="s">
        <v>31</v>
      </c>
      <c r="I12" s="33">
        <f>I4/M4*30</f>
        <v>1.9415676959619953E-2</v>
      </c>
      <c r="J12" s="23"/>
      <c r="K12" s="23"/>
      <c r="L12" s="33">
        <f>L4/M4*30</f>
        <v>1.2937054631828983E-2</v>
      </c>
      <c r="M12" s="23"/>
      <c r="N12" s="2"/>
    </row>
    <row r="13" spans="1:26" x14ac:dyDescent="0.25">
      <c r="A13" s="3" t="s">
        <v>32</v>
      </c>
      <c r="B13" s="34">
        <f>ABS(B7/B8)</f>
        <v>3.1196435731991832</v>
      </c>
      <c r="C13" s="23"/>
      <c r="D13" s="23"/>
      <c r="E13" s="34">
        <f>ABS(E7/E8)</f>
        <v>2.4862508330107698</v>
      </c>
      <c r="F13" s="23"/>
      <c r="G13" s="3"/>
      <c r="H13" s="3" t="s">
        <v>32</v>
      </c>
      <c r="I13" s="34">
        <f>ABS(I7/I8)</f>
        <v>2.8998822102892778</v>
      </c>
      <c r="J13" s="23"/>
      <c r="K13" s="23"/>
      <c r="L13" s="34">
        <f>ABS(L7/L8)</f>
        <v>2.2386761412946106</v>
      </c>
      <c r="M13" s="23"/>
      <c r="N13" s="2"/>
    </row>
    <row r="14" spans="1:26" x14ac:dyDescent="0.25">
      <c r="A14" s="3" t="s">
        <v>33</v>
      </c>
      <c r="B14" s="35">
        <f>(INDEX($L$20:$L$1048576,MATCH(MAX($E$20:$E$1048576),$E$20:$E$1048576,0),1)/100)^(1/(((MAX(E20:E1048574)-MIN(C20:C1048576))/365)))-1</f>
        <v>0.13296071398722309</v>
      </c>
      <c r="C14" s="23"/>
      <c r="D14" s="23"/>
      <c r="E14" s="35">
        <f>(INDEX($Q$20:$Q$1048576,MATCH(MAX($E$20:$E$1048576),$E$20:$E$1048576,0),1)/100)^(1/(((MAX(E20:E1048576)-MIN(C20:C1048576))/365)))-1</f>
        <v>9.2856487005400279E-2</v>
      </c>
      <c r="F14" s="23"/>
      <c r="G14" s="3"/>
      <c r="H14" s="3" t="s">
        <v>33</v>
      </c>
      <c r="I14" s="35">
        <f>(INDEX(L20:L1048574,MATCH(L1,E20:E1048574,0),1)/INDEX(L20:L1048574,MATCH(J1,C20:C1048574,0)-1,1))^(1/(((MAX(E20:E1048574)-J1)/365)))-1</f>
        <v>0.11340776357218929</v>
      </c>
      <c r="J14" s="23"/>
      <c r="K14" s="23"/>
      <c r="L14" s="35">
        <f>(INDEX(Q20:Q1048574,MATCH(L1,E20:E1048574,0),1)/INDEX(Q20:Q1048574,MATCH(J1,C20:C1048574,0)-1,1))^(1/(((MAX(E20:E1048574)-J1)/365)))-1</f>
        <v>7.3163021418312324E-2</v>
      </c>
      <c r="M14" s="23"/>
      <c r="N14" s="2"/>
    </row>
    <row r="15" spans="1:26" x14ac:dyDescent="0.25">
      <c r="A15" t="s">
        <v>34</v>
      </c>
      <c r="B15" s="35">
        <f>MIN($O$20:$O$1048576)</f>
        <v>-0.11230272000000002</v>
      </c>
      <c r="E15" s="35">
        <f>MIN($T$20:$T$1048576)</f>
        <v>-0.11924754191761226</v>
      </c>
      <c r="H15" t="s">
        <v>34</v>
      </c>
      <c r="I15" s="35">
        <f t="array" ref="I15">MIN(IF(H$1&lt;=C21:C1048576,O21:O1048576,""))</f>
        <v>-9.0549108021724889E-2</v>
      </c>
      <c r="L15" s="35">
        <f t="array" ref="L15">MIN(IF(J$1&lt;=C21:C1048576,T20:T1048575,""))</f>
        <v>-0.11924754191761226</v>
      </c>
      <c r="N15" s="2"/>
    </row>
    <row r="16" spans="1:26" x14ac:dyDescent="0.25">
      <c r="A16" t="s">
        <v>35</v>
      </c>
      <c r="B16" s="36">
        <f>ABS(B14/B15)</f>
        <v>1.1839491865132301</v>
      </c>
      <c r="E16" s="36">
        <f>ABS(E14/E15)</f>
        <v>0.77868680152379599</v>
      </c>
      <c r="H16" t="s">
        <v>35</v>
      </c>
      <c r="I16" s="36">
        <f>ABS(I14/I15)</f>
        <v>1.2524448451218322</v>
      </c>
      <c r="L16" s="36">
        <f>ABS(L14/L15)</f>
        <v>0.61353903184738534</v>
      </c>
      <c r="N16" s="2"/>
    </row>
    <row r="17" spans="1:39" x14ac:dyDescent="0.25">
      <c r="C17" s="1"/>
      <c r="E17" s="1"/>
      <c r="G17" s="2"/>
      <c r="I17" s="2"/>
      <c r="O17" s="2"/>
      <c r="P17" s="2"/>
    </row>
    <row r="18" spans="1:39" x14ac:dyDescent="0.25">
      <c r="C18" s="1"/>
      <c r="E18" s="1"/>
      <c r="G18" s="2"/>
      <c r="M18" t="s">
        <v>36</v>
      </c>
      <c r="R18" t="s">
        <v>37</v>
      </c>
    </row>
    <row r="19" spans="1:39" x14ac:dyDescent="0.25">
      <c r="C19" s="1"/>
      <c r="E19" s="1"/>
      <c r="G19" s="2"/>
      <c r="L19" t="s">
        <v>38</v>
      </c>
      <c r="M19" t="s">
        <v>39</v>
      </c>
      <c r="N19" t="s">
        <v>34</v>
      </c>
      <c r="O19" t="s">
        <v>40</v>
      </c>
      <c r="Q19" t="s">
        <v>38</v>
      </c>
      <c r="R19" t="s">
        <v>39</v>
      </c>
      <c r="S19" t="s">
        <v>34</v>
      </c>
      <c r="T19" t="s">
        <v>40</v>
      </c>
      <c r="U19" t="s">
        <v>41</v>
      </c>
      <c r="V19" t="s">
        <v>42</v>
      </c>
      <c r="Y19" s="45" t="s">
        <v>99</v>
      </c>
      <c r="Z19" s="45" t="s">
        <v>54</v>
      </c>
    </row>
    <row r="20" spans="1:39" x14ac:dyDescent="0.25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s="37" t="s">
        <v>5</v>
      </c>
      <c r="I20" s="23" t="s">
        <v>43</v>
      </c>
      <c r="J20" s="38" t="s">
        <v>3</v>
      </c>
      <c r="K20" s="38" t="s">
        <v>44</v>
      </c>
      <c r="L20">
        <v>100</v>
      </c>
      <c r="M20">
        <f t="shared" ref="M20:M23" si="3">MAX(L20,M19)</f>
        <v>100</v>
      </c>
      <c r="N20" t="str">
        <f t="shared" ref="N20:N23" si="4">IF(M20&gt;L20,L20-M20,"")</f>
        <v/>
      </c>
      <c r="O20" s="39"/>
      <c r="Q20">
        <v>100</v>
      </c>
      <c r="R20">
        <f t="shared" ref="R20:R23" si="5">MAX(Q20,R19)</f>
        <v>100</v>
      </c>
      <c r="S20" t="str">
        <f t="shared" ref="S20:S23" si="6">IF(R20&gt;Q20,Q20-R20,"")</f>
        <v/>
      </c>
      <c r="T20" s="39"/>
      <c r="Y20" s="45" t="s">
        <v>86</v>
      </c>
      <c r="Z20" t="s">
        <v>76</v>
      </c>
      <c r="AA20" t="s">
        <v>77</v>
      </c>
      <c r="AB20" t="s">
        <v>78</v>
      </c>
      <c r="AC20" t="s">
        <v>79</v>
      </c>
      <c r="AD20" t="s">
        <v>80</v>
      </c>
      <c r="AE20" t="s">
        <v>81</v>
      </c>
      <c r="AF20" t="s">
        <v>82</v>
      </c>
      <c r="AG20" t="s">
        <v>83</v>
      </c>
      <c r="AH20" t="s">
        <v>84</v>
      </c>
      <c r="AI20" t="s">
        <v>85</v>
      </c>
      <c r="AJ20" t="s">
        <v>74</v>
      </c>
      <c r="AK20" t="s">
        <v>75</v>
      </c>
      <c r="AL20" t="s">
        <v>55</v>
      </c>
      <c r="AM20" t="s">
        <v>87</v>
      </c>
    </row>
    <row r="21" spans="1:39" x14ac:dyDescent="0.25">
      <c r="A21" t="s">
        <v>52</v>
      </c>
      <c r="B21" t="s">
        <v>53</v>
      </c>
      <c r="C21" s="1">
        <v>39773</v>
      </c>
      <c r="D21">
        <v>2693.45</v>
      </c>
      <c r="E21" s="1">
        <v>39808</v>
      </c>
      <c r="F21">
        <v>2857.25</v>
      </c>
      <c r="G21" s="2">
        <v>6.08E-2</v>
      </c>
      <c r="H21" s="41">
        <f t="shared" ref="H21:H23" si="7">E21-C21</f>
        <v>35</v>
      </c>
      <c r="I21" s="42">
        <f t="shared" ref="I21:I23" si="8">C$1</f>
        <v>1.5E-3</v>
      </c>
      <c r="J21" s="42">
        <f t="shared" ref="J21:J23" si="9">H21/30*D$1</f>
        <v>5.8333333333333336E-3</v>
      </c>
      <c r="K21" s="42">
        <f t="shared" ref="K21:K23" si="10">G21-SUM(I21,J21)</f>
        <v>5.3466666666666662E-2</v>
      </c>
      <c r="L21" s="43">
        <f t="shared" ref="L21:L23" si="11">L20*(1+G21)</f>
        <v>106.08</v>
      </c>
      <c r="M21" s="43">
        <f t="shared" si="3"/>
        <v>106.08</v>
      </c>
      <c r="N21" s="43" t="str">
        <f t="shared" si="4"/>
        <v/>
      </c>
      <c r="O21" s="44">
        <f t="shared" ref="O21:O23" si="12">IFERROR(N21/M21,0)</f>
        <v>0</v>
      </c>
      <c r="P21" s="43"/>
      <c r="Q21" s="43">
        <f t="shared" ref="Q21:Q23" si="13">Q20*(1+K21)</f>
        <v>105.34666666666665</v>
      </c>
      <c r="R21" s="43">
        <f t="shared" si="5"/>
        <v>105.34666666666665</v>
      </c>
      <c r="S21" s="43" t="str">
        <f t="shared" si="6"/>
        <v/>
      </c>
      <c r="T21" s="44">
        <f t="shared" ref="T21:T23" si="14">IFERROR(S21/R21,0)</f>
        <v>0</v>
      </c>
      <c r="U21" s="43">
        <f t="shared" ref="U21:U23" si="15">YEAR(E21)</f>
        <v>2008</v>
      </c>
      <c r="V21" s="43">
        <f t="shared" ref="V21:V23" si="16">YEAR(C21)</f>
        <v>2008</v>
      </c>
      <c r="Y21" s="46" t="s">
        <v>56</v>
      </c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>
        <v>5.3466666666666662E-2</v>
      </c>
      <c r="AK21" s="48"/>
      <c r="AL21" s="48">
        <v>5.3466666666666662E-2</v>
      </c>
      <c r="AM21" s="47">
        <f>AVERAGE(Z21:AK21)</f>
        <v>5.3466666666666662E-2</v>
      </c>
    </row>
    <row r="22" spans="1:39" x14ac:dyDescent="0.25">
      <c r="A22" t="s">
        <v>52</v>
      </c>
      <c r="B22" t="s">
        <v>53</v>
      </c>
      <c r="C22" s="1">
        <v>39818</v>
      </c>
      <c r="D22">
        <v>3121.45</v>
      </c>
      <c r="E22" s="1">
        <v>39820</v>
      </c>
      <c r="F22">
        <v>2920.4</v>
      </c>
      <c r="G22" s="2">
        <v>-6.4399999999999999E-2</v>
      </c>
      <c r="H22" s="40">
        <f t="shared" si="7"/>
        <v>2</v>
      </c>
      <c r="I22" s="4">
        <f t="shared" si="8"/>
        <v>1.5E-3</v>
      </c>
      <c r="J22" s="4">
        <f t="shared" si="9"/>
        <v>3.3333333333333332E-4</v>
      </c>
      <c r="K22" s="4">
        <f t="shared" si="10"/>
        <v>-6.6233333333333338E-2</v>
      </c>
      <c r="L22">
        <f t="shared" si="11"/>
        <v>99.248447999999996</v>
      </c>
      <c r="M22">
        <f t="shared" si="3"/>
        <v>106.08</v>
      </c>
      <c r="N22">
        <f t="shared" si="4"/>
        <v>-6.8315520000000021</v>
      </c>
      <c r="O22" s="39">
        <f t="shared" si="12"/>
        <v>-6.4400000000000027E-2</v>
      </c>
      <c r="Q22">
        <f t="shared" si="13"/>
        <v>98.369205777777765</v>
      </c>
      <c r="R22">
        <f t="shared" si="5"/>
        <v>105.34666666666665</v>
      </c>
      <c r="S22">
        <f t="shared" si="6"/>
        <v>-6.9774608888888849</v>
      </c>
      <c r="T22" s="39">
        <f t="shared" si="14"/>
        <v>-6.6233333333333311E-2</v>
      </c>
      <c r="U22">
        <f t="shared" si="15"/>
        <v>2009</v>
      </c>
      <c r="V22">
        <f t="shared" si="16"/>
        <v>2009</v>
      </c>
      <c r="Y22" s="46" t="s">
        <v>57</v>
      </c>
      <c r="Z22" s="48">
        <v>-6.6233333333333338E-2</v>
      </c>
      <c r="AA22" s="48">
        <v>-5.4033333333333336E-2</v>
      </c>
      <c r="AB22" s="48">
        <v>0.55149999999999999</v>
      </c>
      <c r="AC22" s="48"/>
      <c r="AD22" s="48"/>
      <c r="AE22" s="48"/>
      <c r="AF22" s="48">
        <v>4.2366666666666664E-2</v>
      </c>
      <c r="AG22" s="48">
        <v>5.326666666666667E-2</v>
      </c>
      <c r="AH22" s="48"/>
      <c r="AI22" s="48"/>
      <c r="AJ22" s="48">
        <v>-1.6566666666666667E-2</v>
      </c>
      <c r="AK22" s="48">
        <v>-5.4066666666666666E-2</v>
      </c>
      <c r="AL22" s="48">
        <v>0.45623333333333332</v>
      </c>
      <c r="AM22" s="47">
        <f t="shared" ref="AM22:AM38" si="17">AVERAGE(Z22:AK22)</f>
        <v>6.5176190476190471E-2</v>
      </c>
    </row>
    <row r="23" spans="1:39" x14ac:dyDescent="0.25">
      <c r="A23" t="s">
        <v>52</v>
      </c>
      <c r="B23" t="s">
        <v>53</v>
      </c>
      <c r="C23" s="1">
        <v>39853</v>
      </c>
      <c r="D23">
        <v>2919.9</v>
      </c>
      <c r="E23" s="1">
        <v>39861</v>
      </c>
      <c r="F23">
        <v>2770.5</v>
      </c>
      <c r="G23" s="2">
        <v>-5.1200000000000002E-2</v>
      </c>
      <c r="H23" s="40">
        <f t="shared" si="7"/>
        <v>8</v>
      </c>
      <c r="I23" s="4">
        <f t="shared" si="8"/>
        <v>1.5E-3</v>
      </c>
      <c r="J23" s="4">
        <f t="shared" si="9"/>
        <v>1.3333333333333333E-3</v>
      </c>
      <c r="K23" s="4">
        <f t="shared" si="10"/>
        <v>-5.4033333333333336E-2</v>
      </c>
      <c r="L23">
        <f t="shared" si="11"/>
        <v>94.166927462399997</v>
      </c>
      <c r="M23">
        <f t="shared" si="3"/>
        <v>106.08</v>
      </c>
      <c r="N23">
        <f t="shared" si="4"/>
        <v>-11.913072537600002</v>
      </c>
      <c r="O23" s="39">
        <f t="shared" si="12"/>
        <v>-0.11230272000000002</v>
      </c>
      <c r="Q23">
        <f t="shared" si="13"/>
        <v>93.053989692251832</v>
      </c>
      <c r="R23">
        <f t="shared" si="5"/>
        <v>105.34666666666665</v>
      </c>
      <c r="S23">
        <f t="shared" si="6"/>
        <v>-12.292676974414817</v>
      </c>
      <c r="T23" s="39">
        <f t="shared" si="14"/>
        <v>-0.11668785888888893</v>
      </c>
      <c r="U23">
        <f t="shared" si="15"/>
        <v>2009</v>
      </c>
      <c r="V23">
        <f t="shared" si="16"/>
        <v>2009</v>
      </c>
      <c r="Y23" s="46" t="s">
        <v>58</v>
      </c>
      <c r="Z23" s="48"/>
      <c r="AA23" s="48"/>
      <c r="AB23" s="48">
        <v>2.7699999999999995E-2</v>
      </c>
      <c r="AC23" s="48"/>
      <c r="AD23" s="48"/>
      <c r="AE23" s="48">
        <v>4.2733333333333332E-2</v>
      </c>
      <c r="AF23" s="48"/>
      <c r="AG23" s="48"/>
      <c r="AH23" s="48">
        <v>6.3766666666666666E-2</v>
      </c>
      <c r="AI23" s="48"/>
      <c r="AJ23" s="48">
        <v>-1.7399999999999999E-2</v>
      </c>
      <c r="AK23" s="48">
        <v>1.0366666666666668E-2</v>
      </c>
      <c r="AL23" s="48">
        <v>0.12716666666666665</v>
      </c>
      <c r="AM23" s="47">
        <f t="shared" si="17"/>
        <v>2.5433333333333329E-2</v>
      </c>
    </row>
    <row r="24" spans="1:39" x14ac:dyDescent="0.25">
      <c r="A24" t="s">
        <v>52</v>
      </c>
      <c r="B24" t="s">
        <v>53</v>
      </c>
      <c r="C24" s="1">
        <v>39888</v>
      </c>
      <c r="D24">
        <v>2777.25</v>
      </c>
      <c r="E24" s="1">
        <v>39981</v>
      </c>
      <c r="F24">
        <v>4356.1499999999996</v>
      </c>
      <c r="G24" s="2">
        <v>0.56850000000000001</v>
      </c>
      <c r="H24" s="40">
        <f t="shared" ref="H24:H87" si="18">E24-C24</f>
        <v>93</v>
      </c>
      <c r="I24" s="4">
        <f t="shared" ref="I24:I87" si="19">C$1</f>
        <v>1.5E-3</v>
      </c>
      <c r="J24" s="4">
        <f t="shared" ref="J24:J87" si="20">H24/30*D$1</f>
        <v>1.5500000000000002E-2</v>
      </c>
      <c r="K24" s="4">
        <f t="shared" ref="K24:K87" si="21">G24-SUM(I24,J24)</f>
        <v>0.55149999999999999</v>
      </c>
      <c r="L24">
        <f t="shared" ref="L24:L87" si="22">L23*(1+G24)</f>
        <v>147.7008257247744</v>
      </c>
      <c r="M24">
        <f t="shared" ref="M24:M87" si="23">MAX(L24,M23)</f>
        <v>147.7008257247744</v>
      </c>
      <c r="N24" t="str">
        <f t="shared" ref="N24:N87" si="24">IF(M24&gt;L24,L24-M24,"")</f>
        <v/>
      </c>
      <c r="O24" s="39">
        <f t="shared" ref="O24:O87" si="25">IFERROR(N24/M24,0)</f>
        <v>0</v>
      </c>
      <c r="Q24">
        <f t="shared" ref="Q24:Q87" si="26">Q23*(1+K24)</f>
        <v>144.37326500752872</v>
      </c>
      <c r="R24">
        <f t="shared" ref="R24:R87" si="27">MAX(Q24,R23)</f>
        <v>144.37326500752872</v>
      </c>
      <c r="S24" t="str">
        <f t="shared" ref="S24:S87" si="28">IF(R24&gt;Q24,Q24-R24,"")</f>
        <v/>
      </c>
      <c r="T24" s="39">
        <f t="shared" ref="T24:T87" si="29">IFERROR(S24/R24,0)</f>
        <v>0</v>
      </c>
      <c r="U24">
        <f t="shared" ref="U24:U87" si="30">YEAR(E24)</f>
        <v>2009</v>
      </c>
      <c r="V24">
        <f t="shared" ref="V24:V87" si="31">YEAR(C24)</f>
        <v>2009</v>
      </c>
      <c r="Y24" s="46" t="s">
        <v>59</v>
      </c>
      <c r="Z24" s="48"/>
      <c r="AA24" s="48"/>
      <c r="AB24" s="48"/>
      <c r="AC24" s="48"/>
      <c r="AD24" s="48"/>
      <c r="AE24" s="48"/>
      <c r="AF24" s="48"/>
      <c r="AG24" s="48"/>
      <c r="AH24" s="48">
        <v>5.503333333333333E-2</v>
      </c>
      <c r="AI24" s="48"/>
      <c r="AJ24" s="48"/>
      <c r="AK24" s="48"/>
      <c r="AL24" s="48">
        <v>5.503333333333333E-2</v>
      </c>
      <c r="AM24" s="47">
        <f t="shared" si="17"/>
        <v>5.503333333333333E-2</v>
      </c>
    </row>
    <row r="25" spans="1:39" x14ac:dyDescent="0.25">
      <c r="A25" t="s">
        <v>52</v>
      </c>
      <c r="B25" t="s">
        <v>53</v>
      </c>
      <c r="C25" s="1">
        <v>40009</v>
      </c>
      <c r="D25">
        <v>4233.5</v>
      </c>
      <c r="E25" s="1">
        <v>40035</v>
      </c>
      <c r="F25">
        <v>4437.6499999999996</v>
      </c>
      <c r="G25" s="2">
        <v>4.82E-2</v>
      </c>
      <c r="H25" s="40">
        <f t="shared" si="18"/>
        <v>26</v>
      </c>
      <c r="I25" s="4">
        <f t="shared" si="19"/>
        <v>1.5E-3</v>
      </c>
      <c r="J25" s="4">
        <f t="shared" si="20"/>
        <v>4.333333333333334E-3</v>
      </c>
      <c r="K25" s="4">
        <f t="shared" si="21"/>
        <v>4.2366666666666664E-2</v>
      </c>
      <c r="L25">
        <f t="shared" si="22"/>
        <v>154.82000552470853</v>
      </c>
      <c r="M25">
        <f t="shared" si="23"/>
        <v>154.82000552470853</v>
      </c>
      <c r="N25" t="str">
        <f t="shared" si="24"/>
        <v/>
      </c>
      <c r="O25" s="39">
        <f t="shared" si="25"/>
        <v>0</v>
      </c>
      <c r="Q25">
        <f t="shared" si="26"/>
        <v>150.489879001681</v>
      </c>
      <c r="R25">
        <f t="shared" si="27"/>
        <v>150.489879001681</v>
      </c>
      <c r="S25" t="str">
        <f t="shared" si="28"/>
        <v/>
      </c>
      <c r="T25" s="39">
        <f t="shared" si="29"/>
        <v>0</v>
      </c>
      <c r="U25">
        <f t="shared" si="30"/>
        <v>2009</v>
      </c>
      <c r="V25">
        <f t="shared" si="31"/>
        <v>2009</v>
      </c>
      <c r="Y25" s="46" t="s">
        <v>60</v>
      </c>
      <c r="Z25" s="48"/>
      <c r="AA25" s="48"/>
      <c r="AB25" s="48"/>
      <c r="AC25" s="48"/>
      <c r="AD25" s="48">
        <v>-1.9033333333333333E-2</v>
      </c>
      <c r="AE25" s="48">
        <v>3.1933333333333327E-2</v>
      </c>
      <c r="AF25" s="48">
        <v>4.8666666666666667E-3</v>
      </c>
      <c r="AG25" s="48"/>
      <c r="AH25" s="48">
        <v>4.7966666666666671E-2</v>
      </c>
      <c r="AI25" s="48"/>
      <c r="AJ25" s="48">
        <v>7.6333333333333322E-3</v>
      </c>
      <c r="AK25" s="48"/>
      <c r="AL25" s="48">
        <v>7.3366666666666663E-2</v>
      </c>
      <c r="AM25" s="47">
        <f t="shared" si="17"/>
        <v>1.4673333333333333E-2</v>
      </c>
    </row>
    <row r="26" spans="1:39" x14ac:dyDescent="0.25">
      <c r="A26" t="s">
        <v>52</v>
      </c>
      <c r="B26" t="s">
        <v>53</v>
      </c>
      <c r="C26" s="1">
        <v>40052</v>
      </c>
      <c r="D26">
        <v>4688.2</v>
      </c>
      <c r="E26" s="1">
        <v>40108</v>
      </c>
      <c r="F26">
        <v>4988.6000000000004</v>
      </c>
      <c r="G26" s="2">
        <v>6.4100000000000004E-2</v>
      </c>
      <c r="H26" s="40">
        <f t="shared" si="18"/>
        <v>56</v>
      </c>
      <c r="I26" s="4">
        <f t="shared" si="19"/>
        <v>1.5E-3</v>
      </c>
      <c r="J26" s="4">
        <f t="shared" si="20"/>
        <v>9.3333333333333341E-3</v>
      </c>
      <c r="K26" s="4">
        <f t="shared" si="21"/>
        <v>5.326666666666667E-2</v>
      </c>
      <c r="L26">
        <f t="shared" si="22"/>
        <v>164.74396787884237</v>
      </c>
      <c r="M26">
        <f t="shared" si="23"/>
        <v>164.74396787884237</v>
      </c>
      <c r="N26" t="str">
        <f t="shared" si="24"/>
        <v/>
      </c>
      <c r="O26" s="39">
        <f t="shared" si="25"/>
        <v>0</v>
      </c>
      <c r="Q26">
        <f t="shared" si="26"/>
        <v>158.50597322317054</v>
      </c>
      <c r="R26">
        <f t="shared" si="27"/>
        <v>158.50597322317054</v>
      </c>
      <c r="S26" t="str">
        <f t="shared" si="28"/>
        <v/>
      </c>
      <c r="T26" s="39">
        <f t="shared" si="29"/>
        <v>0</v>
      </c>
      <c r="U26">
        <f t="shared" si="30"/>
        <v>2009</v>
      </c>
      <c r="V26">
        <f t="shared" si="31"/>
        <v>2009</v>
      </c>
      <c r="Y26" s="46" t="s">
        <v>61</v>
      </c>
      <c r="Z26" s="48"/>
      <c r="AA26" s="48"/>
      <c r="AB26" s="48"/>
      <c r="AC26" s="48"/>
      <c r="AD26" s="48"/>
      <c r="AE26" s="48"/>
      <c r="AF26" s="48"/>
      <c r="AG26" s="48">
        <v>5.8766666666666675E-2</v>
      </c>
      <c r="AH26" s="48"/>
      <c r="AI26" s="48">
        <v>2.9133333333333331E-2</v>
      </c>
      <c r="AJ26" s="48">
        <v>-3.27E-2</v>
      </c>
      <c r="AK26" s="48">
        <v>-2.46E-2</v>
      </c>
      <c r="AL26" s="48">
        <v>3.0600000000000006E-2</v>
      </c>
      <c r="AM26" s="47">
        <f t="shared" si="17"/>
        <v>7.6500000000000014E-3</v>
      </c>
    </row>
    <row r="27" spans="1:39" x14ac:dyDescent="0.25">
      <c r="A27" t="s">
        <v>52</v>
      </c>
      <c r="B27" t="s">
        <v>53</v>
      </c>
      <c r="C27" s="1">
        <v>40128</v>
      </c>
      <c r="D27">
        <v>5003.95</v>
      </c>
      <c r="E27" s="1">
        <v>40144</v>
      </c>
      <c r="F27">
        <v>4941.75</v>
      </c>
      <c r="G27" s="2">
        <v>-1.24E-2</v>
      </c>
      <c r="H27" s="40">
        <f t="shared" si="18"/>
        <v>16</v>
      </c>
      <c r="I27" s="4">
        <f t="shared" si="19"/>
        <v>1.5E-3</v>
      </c>
      <c r="J27" s="4">
        <f t="shared" si="20"/>
        <v>2.6666666666666666E-3</v>
      </c>
      <c r="K27" s="4">
        <f t="shared" si="21"/>
        <v>-1.6566666666666667E-2</v>
      </c>
      <c r="L27">
        <f t="shared" si="22"/>
        <v>162.70114267714473</v>
      </c>
      <c r="M27">
        <f t="shared" si="23"/>
        <v>164.74396787884237</v>
      </c>
      <c r="N27">
        <f t="shared" si="24"/>
        <v>-2.0428252016976387</v>
      </c>
      <c r="O27" s="39">
        <f t="shared" si="25"/>
        <v>-1.239999999999996E-2</v>
      </c>
      <c r="Q27">
        <f t="shared" si="26"/>
        <v>155.88005760010668</v>
      </c>
      <c r="R27">
        <f t="shared" si="27"/>
        <v>158.50597322317054</v>
      </c>
      <c r="S27">
        <f t="shared" si="28"/>
        <v>-2.6259156230638609</v>
      </c>
      <c r="T27" s="39">
        <f t="shared" si="29"/>
        <v>-1.6566666666666681E-2</v>
      </c>
      <c r="U27">
        <f t="shared" si="30"/>
        <v>2009</v>
      </c>
      <c r="V27">
        <f t="shared" si="31"/>
        <v>2009</v>
      </c>
      <c r="Y27" s="46" t="s">
        <v>62</v>
      </c>
      <c r="Z27" s="48">
        <v>-2.5633333333333334E-2</v>
      </c>
      <c r="AA27" s="48">
        <v>7.9566666666666661E-2</v>
      </c>
      <c r="AB27" s="48"/>
      <c r="AC27" s="48"/>
      <c r="AD27" s="48">
        <v>9.9900000000000003E-2</v>
      </c>
      <c r="AE27" s="48"/>
      <c r="AF27" s="48">
        <v>-2.4466666666666664E-2</v>
      </c>
      <c r="AG27" s="48">
        <v>1.11E-2</v>
      </c>
      <c r="AH27" s="48">
        <v>-2.7666666666666669E-2</v>
      </c>
      <c r="AI27" s="48">
        <v>3.3599999999999998E-2</v>
      </c>
      <c r="AJ27" s="48"/>
      <c r="AK27" s="48">
        <v>-2.76E-2</v>
      </c>
      <c r="AL27" s="48">
        <v>0.11879999999999998</v>
      </c>
      <c r="AM27" s="47">
        <f t="shared" si="17"/>
        <v>1.4849999999999997E-2</v>
      </c>
    </row>
    <row r="28" spans="1:39" x14ac:dyDescent="0.25">
      <c r="A28" t="s">
        <v>52</v>
      </c>
      <c r="B28" t="s">
        <v>53</v>
      </c>
      <c r="C28" s="1">
        <v>40148</v>
      </c>
      <c r="D28">
        <v>5122</v>
      </c>
      <c r="E28" s="1">
        <v>40168</v>
      </c>
      <c r="F28">
        <v>4952.6000000000004</v>
      </c>
      <c r="G28" s="2">
        <v>-3.3099999999999997E-2</v>
      </c>
      <c r="H28" s="40">
        <f t="shared" si="18"/>
        <v>20</v>
      </c>
      <c r="I28" s="4">
        <f t="shared" si="19"/>
        <v>1.5E-3</v>
      </c>
      <c r="J28" s="4">
        <f t="shared" si="20"/>
        <v>3.3333333333333331E-3</v>
      </c>
      <c r="K28" s="4">
        <f t="shared" si="21"/>
        <v>-3.7933333333333333E-2</v>
      </c>
      <c r="L28">
        <f t="shared" si="22"/>
        <v>157.31573485453123</v>
      </c>
      <c r="M28">
        <f t="shared" si="23"/>
        <v>164.74396787884237</v>
      </c>
      <c r="N28">
        <f t="shared" si="24"/>
        <v>-7.4282330243111403</v>
      </c>
      <c r="O28" s="39">
        <f t="shared" si="25"/>
        <v>-4.5089560000000029E-2</v>
      </c>
      <c r="Q28">
        <f t="shared" si="26"/>
        <v>149.96700741514263</v>
      </c>
      <c r="R28">
        <f t="shared" si="27"/>
        <v>158.50597322317054</v>
      </c>
      <c r="S28">
        <f t="shared" si="28"/>
        <v>-8.5389658080279105</v>
      </c>
      <c r="T28" s="39">
        <f t="shared" si="29"/>
        <v>-5.3871571111111141E-2</v>
      </c>
      <c r="U28">
        <f t="shared" si="30"/>
        <v>2009</v>
      </c>
      <c r="V28">
        <f t="shared" si="31"/>
        <v>2009</v>
      </c>
      <c r="Y28" s="46" t="s">
        <v>63</v>
      </c>
      <c r="Z28" s="48">
        <v>2.6233333333333334E-2</v>
      </c>
      <c r="AA28" s="48">
        <v>-1.7833333333333333E-2</v>
      </c>
      <c r="AB28" s="48"/>
      <c r="AC28" s="48">
        <v>-1.8666666666666666E-3</v>
      </c>
      <c r="AD28" s="48">
        <v>-2.0400000000000001E-2</v>
      </c>
      <c r="AE28" s="48">
        <v>7.7666666666666665E-3</v>
      </c>
      <c r="AF28" s="48">
        <v>-3.203333333333333E-2</v>
      </c>
      <c r="AG28" s="48">
        <v>-2.5700000000000001E-2</v>
      </c>
      <c r="AH28" s="48"/>
      <c r="AI28" s="48"/>
      <c r="AJ28" s="48"/>
      <c r="AK28" s="48"/>
      <c r="AL28" s="48">
        <v>-6.3833333333333325E-2</v>
      </c>
      <c r="AM28" s="47">
        <f t="shared" si="17"/>
        <v>-9.1190476190476186E-3</v>
      </c>
    </row>
    <row r="29" spans="1:39" x14ac:dyDescent="0.25">
      <c r="A29" t="s">
        <v>52</v>
      </c>
      <c r="B29" t="s">
        <v>53</v>
      </c>
      <c r="C29" s="1">
        <v>40170</v>
      </c>
      <c r="D29">
        <v>5144.6000000000004</v>
      </c>
      <c r="E29" s="1">
        <v>40199</v>
      </c>
      <c r="F29">
        <v>5094.1499999999996</v>
      </c>
      <c r="G29" s="2">
        <v>-9.7999999999999997E-3</v>
      </c>
      <c r="H29" s="40">
        <f t="shared" si="18"/>
        <v>29</v>
      </c>
      <c r="I29" s="4">
        <f t="shared" si="19"/>
        <v>1.5E-3</v>
      </c>
      <c r="J29" s="4">
        <f t="shared" si="20"/>
        <v>4.8333333333333336E-3</v>
      </c>
      <c r="K29" s="4">
        <f t="shared" si="21"/>
        <v>-1.6133333333333333E-2</v>
      </c>
      <c r="L29">
        <f t="shared" si="22"/>
        <v>155.77404065295681</v>
      </c>
      <c r="M29">
        <f t="shared" si="23"/>
        <v>164.74396787884237</v>
      </c>
      <c r="N29">
        <f t="shared" si="24"/>
        <v>-8.9699272258855558</v>
      </c>
      <c r="O29" s="39">
        <f t="shared" si="25"/>
        <v>-5.4447682312000083E-2</v>
      </c>
      <c r="Q29">
        <f t="shared" si="26"/>
        <v>147.54753969551166</v>
      </c>
      <c r="R29">
        <f t="shared" si="27"/>
        <v>158.50597322317054</v>
      </c>
      <c r="S29">
        <f t="shared" si="28"/>
        <v>-10.958433527658883</v>
      </c>
      <c r="T29" s="39">
        <f t="shared" si="29"/>
        <v>-6.9135776430518575E-2</v>
      </c>
      <c r="U29">
        <f t="shared" si="30"/>
        <v>2010</v>
      </c>
      <c r="V29">
        <f t="shared" si="31"/>
        <v>2009</v>
      </c>
      <c r="Y29" s="46" t="s">
        <v>64</v>
      </c>
      <c r="Z29" s="48"/>
      <c r="AA29" s="48">
        <v>5.2666666666666667E-2</v>
      </c>
      <c r="AB29" s="48"/>
      <c r="AC29" s="48">
        <v>-1.8033333333333332E-2</v>
      </c>
      <c r="AD29" s="48">
        <v>2.1033333333333334E-2</v>
      </c>
      <c r="AE29" s="48">
        <v>3.8800000000000001E-2</v>
      </c>
      <c r="AF29" s="48"/>
      <c r="AG29" s="48"/>
      <c r="AH29" s="48"/>
      <c r="AI29" s="48"/>
      <c r="AJ29" s="48"/>
      <c r="AK29" s="48">
        <v>0.11936666666666665</v>
      </c>
      <c r="AL29" s="48">
        <v>0.21383333333333332</v>
      </c>
      <c r="AM29" s="47">
        <f t="shared" si="17"/>
        <v>4.2766666666666661E-2</v>
      </c>
    </row>
    <row r="30" spans="1:39" x14ac:dyDescent="0.25">
      <c r="A30" t="s">
        <v>52</v>
      </c>
      <c r="B30" t="s">
        <v>53</v>
      </c>
      <c r="C30" s="1">
        <v>40239</v>
      </c>
      <c r="D30">
        <v>5017</v>
      </c>
      <c r="E30" s="1">
        <v>40287</v>
      </c>
      <c r="F30">
        <v>5203.6499999999996</v>
      </c>
      <c r="G30" s="2">
        <v>3.7199999999999997E-2</v>
      </c>
      <c r="H30" s="40">
        <f t="shared" si="18"/>
        <v>48</v>
      </c>
      <c r="I30" s="4">
        <f t="shared" si="19"/>
        <v>1.5E-3</v>
      </c>
      <c r="J30" s="4">
        <f t="shared" si="20"/>
        <v>8.0000000000000002E-3</v>
      </c>
      <c r="K30" s="4">
        <f t="shared" si="21"/>
        <v>2.7699999999999995E-2</v>
      </c>
      <c r="L30">
        <f t="shared" si="22"/>
        <v>161.56883496524679</v>
      </c>
      <c r="M30">
        <f t="shared" si="23"/>
        <v>164.74396787884237</v>
      </c>
      <c r="N30">
        <f t="shared" si="24"/>
        <v>-3.1751329135955757</v>
      </c>
      <c r="O30" s="39">
        <f t="shared" si="25"/>
        <v>-1.927313609400657E-2</v>
      </c>
      <c r="Q30">
        <f t="shared" si="26"/>
        <v>151.63460654507733</v>
      </c>
      <c r="R30">
        <f t="shared" si="27"/>
        <v>158.50597322317054</v>
      </c>
      <c r="S30">
        <f t="shared" si="28"/>
        <v>-6.8713666780932101</v>
      </c>
      <c r="T30" s="39">
        <f t="shared" si="29"/>
        <v>-4.3350837437643945E-2</v>
      </c>
      <c r="U30">
        <f t="shared" si="30"/>
        <v>2010</v>
      </c>
      <c r="V30">
        <f t="shared" si="31"/>
        <v>2010</v>
      </c>
      <c r="Y30" s="46" t="s">
        <v>65</v>
      </c>
      <c r="Z30" s="48"/>
      <c r="AA30" s="48"/>
      <c r="AB30" s="48"/>
      <c r="AC30" s="48">
        <v>2.3333333333333331E-3</v>
      </c>
      <c r="AD30" s="48">
        <v>-1.5533333333333333E-2</v>
      </c>
      <c r="AE30" s="48"/>
      <c r="AF30" s="48">
        <v>1.6933333333333335E-2</v>
      </c>
      <c r="AG30" s="48"/>
      <c r="AH30" s="48">
        <v>-5.9999999999999993E-3</v>
      </c>
      <c r="AI30" s="48">
        <v>1.4500000000000001E-2</v>
      </c>
      <c r="AJ30" s="48">
        <v>-1.2699999999999999E-2</v>
      </c>
      <c r="AK30" s="48">
        <v>3.216666666666667E-2</v>
      </c>
      <c r="AL30" s="48">
        <v>3.1700000000000006E-2</v>
      </c>
      <c r="AM30" s="47">
        <f t="shared" si="17"/>
        <v>4.5285714285714295E-3</v>
      </c>
    </row>
    <row r="31" spans="1:39" x14ac:dyDescent="0.25">
      <c r="A31" t="s">
        <v>52</v>
      </c>
      <c r="B31" t="s">
        <v>53</v>
      </c>
      <c r="C31" s="1">
        <v>40332</v>
      </c>
      <c r="D31">
        <v>5110.5</v>
      </c>
      <c r="E31" s="1">
        <v>40417</v>
      </c>
      <c r="F31">
        <v>5408.7</v>
      </c>
      <c r="G31" s="2">
        <v>5.8400000000000001E-2</v>
      </c>
      <c r="H31" s="40">
        <f t="shared" si="18"/>
        <v>85</v>
      </c>
      <c r="I31" s="4">
        <f t="shared" si="19"/>
        <v>1.5E-3</v>
      </c>
      <c r="J31" s="4">
        <f t="shared" si="20"/>
        <v>1.4166666666666668E-2</v>
      </c>
      <c r="K31" s="4">
        <f t="shared" si="21"/>
        <v>4.2733333333333332E-2</v>
      </c>
      <c r="L31">
        <f t="shared" si="22"/>
        <v>171.00445492721721</v>
      </c>
      <c r="M31">
        <f t="shared" si="23"/>
        <v>171.00445492721721</v>
      </c>
      <c r="N31" t="str">
        <f t="shared" si="24"/>
        <v/>
      </c>
      <c r="O31" s="39">
        <f t="shared" si="25"/>
        <v>0</v>
      </c>
      <c r="Q31">
        <f t="shared" si="26"/>
        <v>158.11445873143697</v>
      </c>
      <c r="R31">
        <f t="shared" si="27"/>
        <v>158.50597322317054</v>
      </c>
      <c r="S31">
        <f t="shared" si="28"/>
        <v>-0.39151449173357378</v>
      </c>
      <c r="T31" s="39">
        <f t="shared" si="29"/>
        <v>-2.4700298908126059E-3</v>
      </c>
      <c r="U31">
        <f t="shared" si="30"/>
        <v>2010</v>
      </c>
      <c r="V31">
        <f t="shared" si="31"/>
        <v>2010</v>
      </c>
      <c r="Y31" s="46" t="s">
        <v>67</v>
      </c>
      <c r="Z31" s="48"/>
      <c r="AA31" s="48">
        <v>6.306666666666666E-2</v>
      </c>
      <c r="AB31" s="48"/>
      <c r="AC31" s="48"/>
      <c r="AD31" s="48"/>
      <c r="AE31" s="48"/>
      <c r="AF31" s="48"/>
      <c r="AG31" s="48">
        <v>-6.7666666666666674E-3</v>
      </c>
      <c r="AH31" s="48">
        <v>-1.2633333333333333E-2</v>
      </c>
      <c r="AI31" s="48">
        <v>1.9066666666666666E-2</v>
      </c>
      <c r="AJ31" s="48"/>
      <c r="AK31" s="48">
        <v>-1.8933333333333333E-2</v>
      </c>
      <c r="AL31" s="48">
        <v>4.3799999999999992E-2</v>
      </c>
      <c r="AM31" s="47">
        <f t="shared" si="17"/>
        <v>8.7599999999999987E-3</v>
      </c>
    </row>
    <row r="32" spans="1:39" x14ac:dyDescent="0.25">
      <c r="A32" t="s">
        <v>52</v>
      </c>
      <c r="B32" t="s">
        <v>53</v>
      </c>
      <c r="C32" s="1">
        <v>40427</v>
      </c>
      <c r="D32">
        <v>5576.95</v>
      </c>
      <c r="E32" s="1">
        <v>40471</v>
      </c>
      <c r="F32">
        <v>5982.1</v>
      </c>
      <c r="G32" s="2">
        <v>7.2599999999999998E-2</v>
      </c>
      <c r="H32" s="40">
        <f t="shared" si="18"/>
        <v>44</v>
      </c>
      <c r="I32" s="4">
        <f t="shared" si="19"/>
        <v>1.5E-3</v>
      </c>
      <c r="J32" s="4">
        <f t="shared" si="20"/>
        <v>7.3333333333333332E-3</v>
      </c>
      <c r="K32" s="4">
        <f t="shared" si="21"/>
        <v>6.3766666666666666E-2</v>
      </c>
      <c r="L32">
        <f t="shared" si="22"/>
        <v>183.41937835493317</v>
      </c>
      <c r="M32">
        <f t="shared" si="23"/>
        <v>183.41937835493317</v>
      </c>
      <c r="N32" t="str">
        <f t="shared" si="24"/>
        <v/>
      </c>
      <c r="O32" s="39">
        <f t="shared" si="25"/>
        <v>0</v>
      </c>
      <c r="Q32">
        <f t="shared" si="26"/>
        <v>168.19689071654494</v>
      </c>
      <c r="R32">
        <f t="shared" si="27"/>
        <v>168.19689071654494</v>
      </c>
      <c r="S32" t="str">
        <f t="shared" si="28"/>
        <v/>
      </c>
      <c r="T32" s="39">
        <f t="shared" si="29"/>
        <v>0</v>
      </c>
      <c r="U32">
        <f t="shared" si="30"/>
        <v>2010</v>
      </c>
      <c r="V32">
        <f t="shared" si="31"/>
        <v>2010</v>
      </c>
      <c r="Y32" s="46" t="s">
        <v>68</v>
      </c>
      <c r="Z32" s="48">
        <v>-1.5833333333333331E-2</v>
      </c>
      <c r="AA32" s="48">
        <v>-2.6166666666666664E-2</v>
      </c>
      <c r="AB32" s="48">
        <v>0.18296666666666667</v>
      </c>
      <c r="AC32" s="48"/>
      <c r="AD32" s="48">
        <v>2.9599999999999998E-2</v>
      </c>
      <c r="AE32" s="48">
        <v>3.1866666666666668E-2</v>
      </c>
      <c r="AF32" s="48"/>
      <c r="AG32" s="48">
        <v>-3.4666666666666669E-3</v>
      </c>
      <c r="AH32" s="48">
        <v>-3.2833333333333332E-2</v>
      </c>
      <c r="AI32" s="48">
        <v>1.3366666666666666E-2</v>
      </c>
      <c r="AJ32" s="48">
        <v>9.0533333333333327E-2</v>
      </c>
      <c r="AK32" s="48">
        <v>2.9999999999999905E-4</v>
      </c>
      <c r="AL32" s="48">
        <v>0.27033333333333337</v>
      </c>
      <c r="AM32" s="47">
        <f t="shared" si="17"/>
        <v>2.7033333333333336E-2</v>
      </c>
    </row>
    <row r="33" spans="1:39" x14ac:dyDescent="0.25">
      <c r="A33" t="s">
        <v>52</v>
      </c>
      <c r="B33" t="s">
        <v>53</v>
      </c>
      <c r="C33" s="1">
        <v>40485</v>
      </c>
      <c r="D33">
        <v>6160.5</v>
      </c>
      <c r="E33" s="1">
        <v>40494</v>
      </c>
      <c r="F33">
        <v>6071.65</v>
      </c>
      <c r="G33" s="2">
        <v>-1.44E-2</v>
      </c>
      <c r="H33" s="40">
        <f t="shared" si="18"/>
        <v>9</v>
      </c>
      <c r="I33" s="4">
        <f t="shared" si="19"/>
        <v>1.5E-3</v>
      </c>
      <c r="J33" s="4">
        <f t="shared" si="20"/>
        <v>1.5E-3</v>
      </c>
      <c r="K33" s="4">
        <f t="shared" si="21"/>
        <v>-1.7399999999999999E-2</v>
      </c>
      <c r="L33">
        <f t="shared" si="22"/>
        <v>180.77813930662214</v>
      </c>
      <c r="M33">
        <f t="shared" si="23"/>
        <v>183.41937835493317</v>
      </c>
      <c r="N33">
        <f t="shared" si="24"/>
        <v>-2.6412390483110357</v>
      </c>
      <c r="O33" s="39">
        <f t="shared" si="25"/>
        <v>-1.4399999999999989E-2</v>
      </c>
      <c r="Q33">
        <f t="shared" si="26"/>
        <v>165.27026481807707</v>
      </c>
      <c r="R33">
        <f t="shared" si="27"/>
        <v>168.19689071654494</v>
      </c>
      <c r="S33">
        <f t="shared" si="28"/>
        <v>-2.9266258984678757</v>
      </c>
      <c r="T33" s="39">
        <f t="shared" si="29"/>
        <v>-1.7399999999999964E-2</v>
      </c>
      <c r="U33">
        <f t="shared" si="30"/>
        <v>2010</v>
      </c>
      <c r="V33">
        <f t="shared" si="31"/>
        <v>2010</v>
      </c>
      <c r="Y33" s="46" t="s">
        <v>69</v>
      </c>
      <c r="Z33" s="48"/>
      <c r="AA33" s="48">
        <v>1.8466666666666666E-2</v>
      </c>
      <c r="AB33" s="48">
        <v>-3.8233333333333334E-2</v>
      </c>
      <c r="AC33" s="48">
        <v>-2.7299999999999998E-2</v>
      </c>
      <c r="AD33" s="48">
        <v>2.2700000000000001E-2</v>
      </c>
      <c r="AE33" s="48"/>
      <c r="AF33" s="48"/>
      <c r="AG33" s="48">
        <v>0.10816666666666666</v>
      </c>
      <c r="AH33" s="48"/>
      <c r="AI33" s="48"/>
      <c r="AJ33" s="48"/>
      <c r="AK33" s="48"/>
      <c r="AL33" s="48">
        <v>8.3799999999999999E-2</v>
      </c>
      <c r="AM33" s="47">
        <f t="shared" si="17"/>
        <v>1.6760000000000001E-2</v>
      </c>
    </row>
    <row r="34" spans="1:39" x14ac:dyDescent="0.25">
      <c r="A34" t="s">
        <v>52</v>
      </c>
      <c r="B34" t="s">
        <v>53</v>
      </c>
      <c r="C34" s="1">
        <v>40541</v>
      </c>
      <c r="D34">
        <v>6060.35</v>
      </c>
      <c r="E34" s="1">
        <v>40543</v>
      </c>
      <c r="F34">
        <v>6134.5</v>
      </c>
      <c r="G34" s="2">
        <v>1.2200000000000001E-2</v>
      </c>
      <c r="H34" s="40">
        <f t="shared" si="18"/>
        <v>2</v>
      </c>
      <c r="I34" s="4">
        <f t="shared" si="19"/>
        <v>1.5E-3</v>
      </c>
      <c r="J34" s="4">
        <f t="shared" si="20"/>
        <v>3.3333333333333332E-4</v>
      </c>
      <c r="K34" s="4">
        <f t="shared" si="21"/>
        <v>1.0366666666666668E-2</v>
      </c>
      <c r="L34">
        <f t="shared" si="22"/>
        <v>182.98363260616293</v>
      </c>
      <c r="M34">
        <f t="shared" si="23"/>
        <v>183.41937835493317</v>
      </c>
      <c r="N34">
        <f t="shared" si="24"/>
        <v>-0.43574574877024475</v>
      </c>
      <c r="O34" s="39">
        <f t="shared" si="25"/>
        <v>-2.3756799999999842E-3</v>
      </c>
      <c r="Q34">
        <f t="shared" si="26"/>
        <v>166.98356656335778</v>
      </c>
      <c r="R34">
        <f t="shared" si="27"/>
        <v>168.19689071654494</v>
      </c>
      <c r="S34">
        <f t="shared" si="28"/>
        <v>-1.213324153187159</v>
      </c>
      <c r="T34" s="39">
        <f t="shared" si="29"/>
        <v>-7.2137133333333879E-3</v>
      </c>
      <c r="U34">
        <f t="shared" si="30"/>
        <v>2010</v>
      </c>
      <c r="V34">
        <f t="shared" si="31"/>
        <v>2010</v>
      </c>
      <c r="Y34" s="46" t="s">
        <v>70</v>
      </c>
      <c r="Z34" s="48"/>
      <c r="AA34" s="48"/>
      <c r="AB34" s="48"/>
      <c r="AC34" s="48"/>
      <c r="AD34" s="48"/>
      <c r="AE34" s="48">
        <v>0.10276666666666666</v>
      </c>
      <c r="AF34" s="48"/>
      <c r="AG34" s="48">
        <v>-1.7233333333333333E-2</v>
      </c>
      <c r="AH34" s="48"/>
      <c r="AI34" s="48">
        <v>4.753333333333333E-2</v>
      </c>
      <c r="AJ34" s="48"/>
      <c r="AK34" s="48"/>
      <c r="AL34" s="48">
        <v>0.13306666666666667</v>
      </c>
      <c r="AM34" s="47">
        <f t="shared" si="17"/>
        <v>4.4355555555555558E-2</v>
      </c>
    </row>
    <row r="35" spans="1:39" x14ac:dyDescent="0.25">
      <c r="A35" t="s">
        <v>52</v>
      </c>
      <c r="B35" t="s">
        <v>53</v>
      </c>
      <c r="C35" s="1">
        <v>40812</v>
      </c>
      <c r="D35">
        <v>4835.3999999999996</v>
      </c>
      <c r="E35" s="1">
        <v>40861</v>
      </c>
      <c r="F35">
        <v>5148.3500000000004</v>
      </c>
      <c r="G35" s="2">
        <v>6.4699999999999994E-2</v>
      </c>
      <c r="H35" s="40">
        <f t="shared" si="18"/>
        <v>49</v>
      </c>
      <c r="I35" s="4">
        <f t="shared" si="19"/>
        <v>1.5E-3</v>
      </c>
      <c r="J35" s="4">
        <f t="shared" si="20"/>
        <v>8.1666666666666658E-3</v>
      </c>
      <c r="K35" s="4">
        <f t="shared" si="21"/>
        <v>5.503333333333333E-2</v>
      </c>
      <c r="L35">
        <f t="shared" si="22"/>
        <v>194.82267363578165</v>
      </c>
      <c r="M35">
        <f t="shared" si="23"/>
        <v>194.82267363578165</v>
      </c>
      <c r="N35" t="str">
        <f t="shared" si="24"/>
        <v/>
      </c>
      <c r="O35" s="39">
        <f t="shared" si="25"/>
        <v>0</v>
      </c>
      <c r="Q35">
        <f t="shared" si="26"/>
        <v>176.17322884322789</v>
      </c>
      <c r="R35">
        <f t="shared" si="27"/>
        <v>176.17322884322789</v>
      </c>
      <c r="S35" t="str">
        <f t="shared" si="28"/>
        <v/>
      </c>
      <c r="T35" s="39">
        <f t="shared" si="29"/>
        <v>0</v>
      </c>
      <c r="U35">
        <f t="shared" si="30"/>
        <v>2011</v>
      </c>
      <c r="V35">
        <f t="shared" si="31"/>
        <v>2011</v>
      </c>
      <c r="Y35" s="46" t="s">
        <v>71</v>
      </c>
      <c r="Z35" s="48"/>
      <c r="AA35" s="48">
        <v>-2.7466666666666667E-2</v>
      </c>
      <c r="AB35" s="48">
        <v>0.10263333333333333</v>
      </c>
      <c r="AC35" s="48"/>
      <c r="AD35" s="48"/>
      <c r="AE35" s="48"/>
      <c r="AF35" s="48"/>
      <c r="AG35" s="48"/>
      <c r="AH35" s="48">
        <v>4.4333333333333334E-3</v>
      </c>
      <c r="AI35" s="48">
        <v>-1.66E-2</v>
      </c>
      <c r="AJ35" s="48">
        <v>9.7799999999999998E-2</v>
      </c>
      <c r="AK35" s="48"/>
      <c r="AL35" s="48">
        <v>0.1608</v>
      </c>
      <c r="AM35" s="47">
        <f t="shared" si="17"/>
        <v>3.2160000000000001E-2</v>
      </c>
    </row>
    <row r="36" spans="1:39" x14ac:dyDescent="0.25">
      <c r="A36" t="s">
        <v>52</v>
      </c>
      <c r="B36" t="s">
        <v>53</v>
      </c>
      <c r="C36" s="1">
        <v>41053</v>
      </c>
      <c r="D36">
        <v>4921.3999999999996</v>
      </c>
      <c r="E36" s="1">
        <v>41061</v>
      </c>
      <c r="F36">
        <v>4841.6000000000004</v>
      </c>
      <c r="G36" s="2">
        <v>-1.6199999999999999E-2</v>
      </c>
      <c r="H36" s="40">
        <f t="shared" si="18"/>
        <v>8</v>
      </c>
      <c r="I36" s="4">
        <f t="shared" si="19"/>
        <v>1.5E-3</v>
      </c>
      <c r="J36" s="4">
        <f t="shared" si="20"/>
        <v>1.3333333333333333E-3</v>
      </c>
      <c r="K36" s="4">
        <f t="shared" si="21"/>
        <v>-1.9033333333333333E-2</v>
      </c>
      <c r="L36">
        <f t="shared" si="22"/>
        <v>191.666546322882</v>
      </c>
      <c r="M36">
        <f t="shared" si="23"/>
        <v>194.82267363578165</v>
      </c>
      <c r="N36">
        <f t="shared" si="24"/>
        <v>-3.1561273128996561</v>
      </c>
      <c r="O36" s="39">
        <f t="shared" si="25"/>
        <v>-1.6199999999999964E-2</v>
      </c>
      <c r="Q36">
        <f t="shared" si="26"/>
        <v>172.82006505424511</v>
      </c>
      <c r="R36">
        <f t="shared" si="27"/>
        <v>176.17322884322789</v>
      </c>
      <c r="S36">
        <f t="shared" si="28"/>
        <v>-3.3531637889827834</v>
      </c>
      <c r="T36" s="39">
        <f t="shared" si="29"/>
        <v>-1.9033333333333406E-2</v>
      </c>
      <c r="U36">
        <f t="shared" si="30"/>
        <v>2012</v>
      </c>
      <c r="V36">
        <f t="shared" si="31"/>
        <v>2012</v>
      </c>
      <c r="Y36" s="46" t="s">
        <v>72</v>
      </c>
      <c r="Z36" s="48"/>
      <c r="AA36" s="48">
        <v>-7.8333333333333345E-3</v>
      </c>
      <c r="AB36" s="48">
        <v>-6.8999999999999999E-3</v>
      </c>
      <c r="AC36" s="48">
        <v>-3.1033333333333333E-2</v>
      </c>
      <c r="AD36" s="48">
        <v>-4.8000000000000004E-3</v>
      </c>
      <c r="AE36" s="48">
        <v>-5.5199999999999999E-2</v>
      </c>
      <c r="AF36" s="48"/>
      <c r="AG36" s="48">
        <v>1.8666666666666666E-3</v>
      </c>
      <c r="AH36" s="48">
        <v>1.21E-2</v>
      </c>
      <c r="AI36" s="48"/>
      <c r="AJ36" s="48"/>
      <c r="AK36" s="48"/>
      <c r="AL36" s="48">
        <v>-9.1799999999999993E-2</v>
      </c>
      <c r="AM36" s="47">
        <f t="shared" si="17"/>
        <v>-1.3114285714285714E-2</v>
      </c>
    </row>
    <row r="37" spans="1:39" x14ac:dyDescent="0.25">
      <c r="A37" t="s">
        <v>52</v>
      </c>
      <c r="B37" t="s">
        <v>53</v>
      </c>
      <c r="C37" s="1">
        <v>41066</v>
      </c>
      <c r="D37">
        <v>4997.1000000000004</v>
      </c>
      <c r="E37" s="1">
        <v>41106</v>
      </c>
      <c r="F37">
        <v>5197.25</v>
      </c>
      <c r="G37" s="2">
        <v>4.0099999999999997E-2</v>
      </c>
      <c r="H37" s="40">
        <f t="shared" si="18"/>
        <v>40</v>
      </c>
      <c r="I37" s="4">
        <f t="shared" si="19"/>
        <v>1.5E-3</v>
      </c>
      <c r="J37" s="4">
        <f t="shared" si="20"/>
        <v>6.6666666666666662E-3</v>
      </c>
      <c r="K37" s="4">
        <f t="shared" si="21"/>
        <v>3.1933333333333327E-2</v>
      </c>
      <c r="L37">
        <f t="shared" si="22"/>
        <v>199.35237483042957</v>
      </c>
      <c r="M37">
        <f t="shared" si="23"/>
        <v>199.35237483042957</v>
      </c>
      <c r="N37" t="str">
        <f t="shared" si="24"/>
        <v/>
      </c>
      <c r="O37" s="39">
        <f t="shared" si="25"/>
        <v>0</v>
      </c>
      <c r="Q37">
        <f t="shared" si="26"/>
        <v>178.33878579831068</v>
      </c>
      <c r="R37">
        <f t="shared" si="27"/>
        <v>178.33878579831068</v>
      </c>
      <c r="S37" t="str">
        <f t="shared" si="28"/>
        <v/>
      </c>
      <c r="T37" s="39">
        <f t="shared" si="29"/>
        <v>0</v>
      </c>
      <c r="U37">
        <f t="shared" si="30"/>
        <v>2012</v>
      </c>
      <c r="V37">
        <f t="shared" si="31"/>
        <v>2012</v>
      </c>
      <c r="Y37" s="46" t="s">
        <v>73</v>
      </c>
      <c r="Z37" s="48"/>
      <c r="AA37" s="48">
        <v>-3.2066666666666667E-2</v>
      </c>
      <c r="AB37" s="48">
        <v>2.1666666666666667E-2</v>
      </c>
      <c r="AC37" s="48">
        <v>6.2100000000000002E-2</v>
      </c>
      <c r="AD37" s="48"/>
      <c r="AE37" s="48"/>
      <c r="AF37" s="48"/>
      <c r="AG37" s="48">
        <v>-9.4333333333333335E-3</v>
      </c>
      <c r="AH37" s="48">
        <v>-4.3333333333333375E-4</v>
      </c>
      <c r="AI37" s="48">
        <v>1.4366666666666666E-2</v>
      </c>
      <c r="AJ37" s="48">
        <v>-1.0766666666666667E-2</v>
      </c>
      <c r="AK37" s="48">
        <v>-1.5633333333333332E-2</v>
      </c>
      <c r="AL37" s="48">
        <v>2.98E-2</v>
      </c>
      <c r="AM37" s="47">
        <f t="shared" si="17"/>
        <v>3.725E-3</v>
      </c>
    </row>
    <row r="38" spans="1:39" x14ac:dyDescent="0.25">
      <c r="A38" t="s">
        <v>52</v>
      </c>
      <c r="B38" t="s">
        <v>53</v>
      </c>
      <c r="C38" s="1">
        <v>41121</v>
      </c>
      <c r="D38">
        <v>5229</v>
      </c>
      <c r="E38" s="1">
        <v>41150</v>
      </c>
      <c r="F38">
        <v>5287.8</v>
      </c>
      <c r="G38" s="2">
        <v>1.12E-2</v>
      </c>
      <c r="H38" s="40">
        <f t="shared" si="18"/>
        <v>29</v>
      </c>
      <c r="I38" s="4">
        <f t="shared" si="19"/>
        <v>1.5E-3</v>
      </c>
      <c r="J38" s="4">
        <f t="shared" si="20"/>
        <v>4.8333333333333336E-3</v>
      </c>
      <c r="K38" s="4">
        <f t="shared" si="21"/>
        <v>4.8666666666666667E-3</v>
      </c>
      <c r="L38">
        <f t="shared" si="22"/>
        <v>201.58512142853039</v>
      </c>
      <c r="M38">
        <f t="shared" si="23"/>
        <v>201.58512142853039</v>
      </c>
      <c r="N38" t="str">
        <f t="shared" si="24"/>
        <v/>
      </c>
      <c r="O38" s="39">
        <f t="shared" si="25"/>
        <v>0</v>
      </c>
      <c r="Q38">
        <f t="shared" si="26"/>
        <v>179.20670122252912</v>
      </c>
      <c r="R38">
        <f t="shared" si="27"/>
        <v>179.20670122252912</v>
      </c>
      <c r="S38" t="str">
        <f t="shared" si="28"/>
        <v/>
      </c>
      <c r="T38" s="39">
        <f t="shared" si="29"/>
        <v>0</v>
      </c>
      <c r="U38">
        <f t="shared" si="30"/>
        <v>2012</v>
      </c>
      <c r="V38">
        <f t="shared" si="31"/>
        <v>2012</v>
      </c>
      <c r="Y38" s="46" t="s">
        <v>55</v>
      </c>
      <c r="Z38" s="48">
        <v>-8.1466666666666687E-2</v>
      </c>
      <c r="AA38" s="48">
        <v>4.8366666666666634E-2</v>
      </c>
      <c r="AB38" s="48">
        <v>0.84133333333333327</v>
      </c>
      <c r="AC38" s="48">
        <v>-1.3799999999999993E-2</v>
      </c>
      <c r="AD38" s="48">
        <v>0.11346666666666667</v>
      </c>
      <c r="AE38" s="48">
        <v>0.20066666666666669</v>
      </c>
      <c r="AF38" s="48">
        <v>7.6666666666666689E-3</v>
      </c>
      <c r="AG38" s="48">
        <v>0.17056666666666667</v>
      </c>
      <c r="AH38" s="48">
        <v>0.10373333333333334</v>
      </c>
      <c r="AI38" s="48">
        <v>0.15496666666666667</v>
      </c>
      <c r="AJ38" s="48">
        <v>0.15929999999999997</v>
      </c>
      <c r="AK38" s="48">
        <v>2.1366666666666652E-2</v>
      </c>
      <c r="AL38" s="48">
        <v>1.7261666666666671</v>
      </c>
      <c r="AM38" s="47">
        <f t="shared" si="17"/>
        <v>0.14384722222222224</v>
      </c>
    </row>
    <row r="39" spans="1:39" x14ac:dyDescent="0.25">
      <c r="A39" t="s">
        <v>52</v>
      </c>
      <c r="B39" t="s">
        <v>53</v>
      </c>
      <c r="C39" s="1">
        <v>41160</v>
      </c>
      <c r="D39">
        <v>5358.7</v>
      </c>
      <c r="E39" s="1">
        <v>41192</v>
      </c>
      <c r="F39">
        <v>5652.1490000000003</v>
      </c>
      <c r="G39" s="2">
        <v>5.4800000000000001E-2</v>
      </c>
      <c r="H39" s="40">
        <f t="shared" si="18"/>
        <v>32</v>
      </c>
      <c r="I39" s="4">
        <f t="shared" si="19"/>
        <v>1.5E-3</v>
      </c>
      <c r="J39" s="4">
        <f t="shared" si="20"/>
        <v>5.3333333333333332E-3</v>
      </c>
      <c r="K39" s="4">
        <f t="shared" si="21"/>
        <v>4.7966666666666671E-2</v>
      </c>
      <c r="L39">
        <f t="shared" si="22"/>
        <v>212.63198608281385</v>
      </c>
      <c r="M39">
        <f t="shared" si="23"/>
        <v>212.63198608281385</v>
      </c>
      <c r="N39" t="str">
        <f t="shared" si="24"/>
        <v/>
      </c>
      <c r="O39" s="39">
        <f t="shared" si="25"/>
        <v>0</v>
      </c>
      <c r="Q39">
        <f t="shared" si="26"/>
        <v>187.80264932450311</v>
      </c>
      <c r="R39">
        <f t="shared" si="27"/>
        <v>187.80264932450311</v>
      </c>
      <c r="S39" t="str">
        <f t="shared" si="28"/>
        <v/>
      </c>
      <c r="T39" s="39">
        <f t="shared" si="29"/>
        <v>0</v>
      </c>
      <c r="U39">
        <f t="shared" si="30"/>
        <v>2012</v>
      </c>
      <c r="V39">
        <f t="shared" si="31"/>
        <v>2012</v>
      </c>
    </row>
    <row r="40" spans="1:39" x14ac:dyDescent="0.25">
      <c r="A40" t="s">
        <v>52</v>
      </c>
      <c r="B40" t="s">
        <v>53</v>
      </c>
      <c r="C40" s="1">
        <v>41219</v>
      </c>
      <c r="D40">
        <v>5724.4</v>
      </c>
      <c r="E40" s="1">
        <v>41228</v>
      </c>
      <c r="F40">
        <v>5631</v>
      </c>
      <c r="G40" s="2">
        <v>-1.6299999999999999E-2</v>
      </c>
      <c r="H40" s="40">
        <f t="shared" si="18"/>
        <v>9</v>
      </c>
      <c r="I40" s="4">
        <f t="shared" si="19"/>
        <v>1.5E-3</v>
      </c>
      <c r="J40" s="4">
        <f t="shared" si="20"/>
        <v>1.5E-3</v>
      </c>
      <c r="K40" s="4">
        <f t="shared" si="21"/>
        <v>-1.9299999999999998E-2</v>
      </c>
      <c r="L40">
        <f t="shared" si="22"/>
        <v>209.16608470966401</v>
      </c>
      <c r="M40">
        <f t="shared" si="23"/>
        <v>212.63198608281385</v>
      </c>
      <c r="N40">
        <f t="shared" si="24"/>
        <v>-3.4659013731498476</v>
      </c>
      <c r="O40" s="39">
        <f t="shared" si="25"/>
        <v>-1.6299999999999915E-2</v>
      </c>
      <c r="Q40">
        <f t="shared" si="26"/>
        <v>184.17805819254019</v>
      </c>
      <c r="R40">
        <f t="shared" si="27"/>
        <v>187.80264932450311</v>
      </c>
      <c r="S40">
        <f t="shared" si="28"/>
        <v>-3.6245911319629158</v>
      </c>
      <c r="T40" s="39">
        <f t="shared" si="29"/>
        <v>-1.9300000000000032E-2</v>
      </c>
      <c r="U40">
        <f t="shared" si="30"/>
        <v>2012</v>
      </c>
      <c r="V40">
        <f t="shared" si="31"/>
        <v>2012</v>
      </c>
    </row>
    <row r="41" spans="1:39" x14ac:dyDescent="0.25">
      <c r="A41" t="s">
        <v>52</v>
      </c>
      <c r="B41" t="s">
        <v>53</v>
      </c>
      <c r="C41" s="1">
        <v>41240</v>
      </c>
      <c r="D41">
        <v>5727.45</v>
      </c>
      <c r="E41" s="1">
        <v>41310</v>
      </c>
      <c r="F41">
        <v>5956.9</v>
      </c>
      <c r="G41" s="2">
        <v>4.0099999999999997E-2</v>
      </c>
      <c r="H41" s="40">
        <f t="shared" si="18"/>
        <v>70</v>
      </c>
      <c r="I41" s="4">
        <f t="shared" si="19"/>
        <v>1.5E-3</v>
      </c>
      <c r="J41" s="4">
        <f t="shared" si="20"/>
        <v>1.1666666666666667E-2</v>
      </c>
      <c r="K41" s="4">
        <f t="shared" si="21"/>
        <v>2.693333333333333E-2</v>
      </c>
      <c r="L41">
        <f t="shared" si="22"/>
        <v>217.55364470652154</v>
      </c>
      <c r="M41">
        <f t="shared" si="23"/>
        <v>217.55364470652154</v>
      </c>
      <c r="N41" t="str">
        <f t="shared" si="24"/>
        <v/>
      </c>
      <c r="O41" s="39">
        <f t="shared" si="25"/>
        <v>0</v>
      </c>
      <c r="Q41">
        <f t="shared" si="26"/>
        <v>189.13858722652591</v>
      </c>
      <c r="R41">
        <f t="shared" si="27"/>
        <v>189.13858722652591</v>
      </c>
      <c r="S41" t="str">
        <f t="shared" si="28"/>
        <v/>
      </c>
      <c r="T41" s="39">
        <f t="shared" si="29"/>
        <v>0</v>
      </c>
      <c r="U41">
        <f t="shared" si="30"/>
        <v>2013</v>
      </c>
      <c r="V41">
        <f t="shared" si="31"/>
        <v>2012</v>
      </c>
    </row>
    <row r="42" spans="1:39" x14ac:dyDescent="0.25">
      <c r="A42" t="s">
        <v>52</v>
      </c>
      <c r="B42" t="s">
        <v>53</v>
      </c>
      <c r="C42" s="1">
        <v>41509</v>
      </c>
      <c r="D42">
        <v>5471.75</v>
      </c>
      <c r="E42" s="1">
        <v>41544</v>
      </c>
      <c r="F42">
        <v>5833.2</v>
      </c>
      <c r="G42" s="2">
        <v>6.6100000000000006E-2</v>
      </c>
      <c r="H42" s="40">
        <f t="shared" si="18"/>
        <v>35</v>
      </c>
      <c r="I42" s="4">
        <f t="shared" si="19"/>
        <v>1.5E-3</v>
      </c>
      <c r="J42" s="4">
        <f t="shared" si="20"/>
        <v>5.8333333333333336E-3</v>
      </c>
      <c r="K42" s="4">
        <f t="shared" si="21"/>
        <v>5.8766666666666675E-2</v>
      </c>
      <c r="L42">
        <f t="shared" si="22"/>
        <v>231.93394062162261</v>
      </c>
      <c r="M42">
        <f t="shared" si="23"/>
        <v>231.93394062162261</v>
      </c>
      <c r="N42" t="str">
        <f t="shared" si="24"/>
        <v/>
      </c>
      <c r="O42" s="39">
        <f t="shared" si="25"/>
        <v>0</v>
      </c>
      <c r="Q42">
        <f t="shared" si="26"/>
        <v>200.25363153587142</v>
      </c>
      <c r="R42">
        <f t="shared" si="27"/>
        <v>200.25363153587142</v>
      </c>
      <c r="S42" t="str">
        <f t="shared" si="28"/>
        <v/>
      </c>
      <c r="T42" s="39">
        <f t="shared" si="29"/>
        <v>0</v>
      </c>
      <c r="U42">
        <f t="shared" si="30"/>
        <v>2013</v>
      </c>
      <c r="V42">
        <f t="shared" si="31"/>
        <v>2013</v>
      </c>
    </row>
    <row r="43" spans="1:39" x14ac:dyDescent="0.25">
      <c r="A43" t="s">
        <v>52</v>
      </c>
      <c r="B43" t="s">
        <v>53</v>
      </c>
      <c r="C43" s="1">
        <v>41555</v>
      </c>
      <c r="D43">
        <v>5928.4</v>
      </c>
      <c r="E43" s="1">
        <v>41586</v>
      </c>
      <c r="F43">
        <v>6140.75</v>
      </c>
      <c r="G43" s="2">
        <v>3.5799999999999998E-2</v>
      </c>
      <c r="H43" s="40">
        <f t="shared" si="18"/>
        <v>31</v>
      </c>
      <c r="I43" s="4">
        <f t="shared" si="19"/>
        <v>1.5E-3</v>
      </c>
      <c r="J43" s="4">
        <f t="shared" si="20"/>
        <v>5.1666666666666675E-3</v>
      </c>
      <c r="K43" s="4">
        <f t="shared" si="21"/>
        <v>2.9133333333333331E-2</v>
      </c>
      <c r="L43">
        <f t="shared" si="22"/>
        <v>240.23717569587672</v>
      </c>
      <c r="M43">
        <f t="shared" si="23"/>
        <v>240.23717569587672</v>
      </c>
      <c r="N43" t="str">
        <f t="shared" si="24"/>
        <v/>
      </c>
      <c r="O43" s="39">
        <f t="shared" si="25"/>
        <v>0</v>
      </c>
      <c r="Q43">
        <f t="shared" si="26"/>
        <v>206.08768733461645</v>
      </c>
      <c r="R43">
        <f t="shared" si="27"/>
        <v>206.08768733461645</v>
      </c>
      <c r="S43" t="str">
        <f t="shared" si="28"/>
        <v/>
      </c>
      <c r="T43" s="39">
        <f t="shared" si="29"/>
        <v>0</v>
      </c>
      <c r="U43">
        <f t="shared" si="30"/>
        <v>2013</v>
      </c>
      <c r="V43">
        <f t="shared" si="31"/>
        <v>2013</v>
      </c>
    </row>
    <row r="44" spans="1:39" x14ac:dyDescent="0.25">
      <c r="A44" t="s">
        <v>52</v>
      </c>
      <c r="B44" t="s">
        <v>53</v>
      </c>
      <c r="C44" s="1">
        <v>41596</v>
      </c>
      <c r="D44">
        <v>6189</v>
      </c>
      <c r="E44" s="1">
        <v>41599</v>
      </c>
      <c r="F44">
        <v>5999.05</v>
      </c>
      <c r="G44" s="2">
        <v>-3.0700000000000002E-2</v>
      </c>
      <c r="H44" s="40">
        <f t="shared" si="18"/>
        <v>3</v>
      </c>
      <c r="I44" s="4">
        <f t="shared" si="19"/>
        <v>1.5E-3</v>
      </c>
      <c r="J44" s="4">
        <f t="shared" si="20"/>
        <v>5.0000000000000001E-4</v>
      </c>
      <c r="K44" s="4">
        <f t="shared" si="21"/>
        <v>-3.27E-2</v>
      </c>
      <c r="L44">
        <f t="shared" si="22"/>
        <v>232.86189440201332</v>
      </c>
      <c r="M44">
        <f t="shared" si="23"/>
        <v>240.23717569587672</v>
      </c>
      <c r="N44">
        <f t="shared" si="24"/>
        <v>-7.3752812938633951</v>
      </c>
      <c r="O44" s="39">
        <f t="shared" si="25"/>
        <v>-3.0699999999999918E-2</v>
      </c>
      <c r="Q44">
        <f t="shared" si="26"/>
        <v>199.34861995877449</v>
      </c>
      <c r="R44">
        <f t="shared" si="27"/>
        <v>206.08768733461645</v>
      </c>
      <c r="S44">
        <f t="shared" si="28"/>
        <v>-6.7390673758419553</v>
      </c>
      <c r="T44" s="39">
        <f t="shared" si="29"/>
        <v>-3.2699999999999986E-2</v>
      </c>
      <c r="U44">
        <f t="shared" si="30"/>
        <v>2013</v>
      </c>
      <c r="V44">
        <f t="shared" si="31"/>
        <v>2013</v>
      </c>
    </row>
    <row r="45" spans="1:39" x14ac:dyDescent="0.25">
      <c r="A45" t="s">
        <v>52</v>
      </c>
      <c r="B45" t="s">
        <v>53</v>
      </c>
      <c r="C45" s="1">
        <v>41610</v>
      </c>
      <c r="D45">
        <v>6217.85</v>
      </c>
      <c r="E45" s="1">
        <v>41621</v>
      </c>
      <c r="F45">
        <v>6168.4</v>
      </c>
      <c r="G45" s="2">
        <v>-8.0000000000000002E-3</v>
      </c>
      <c r="H45" s="40">
        <f t="shared" si="18"/>
        <v>11</v>
      </c>
      <c r="I45" s="4">
        <f t="shared" si="19"/>
        <v>1.5E-3</v>
      </c>
      <c r="J45" s="4">
        <f t="shared" si="20"/>
        <v>1.8333333333333333E-3</v>
      </c>
      <c r="K45" s="4">
        <f t="shared" si="21"/>
        <v>-1.1333333333333334E-2</v>
      </c>
      <c r="L45">
        <f t="shared" si="22"/>
        <v>230.99899924679721</v>
      </c>
      <c r="M45">
        <f t="shared" si="23"/>
        <v>240.23717569587672</v>
      </c>
      <c r="N45">
        <f t="shared" si="24"/>
        <v>-9.2381764490795035</v>
      </c>
      <c r="O45" s="39">
        <f t="shared" si="25"/>
        <v>-3.8454399999999923E-2</v>
      </c>
      <c r="Q45">
        <f t="shared" si="26"/>
        <v>197.08933559924171</v>
      </c>
      <c r="R45">
        <f t="shared" si="27"/>
        <v>206.08768733461645</v>
      </c>
      <c r="S45">
        <f t="shared" si="28"/>
        <v>-8.9983517353747402</v>
      </c>
      <c r="T45" s="39">
        <f t="shared" si="29"/>
        <v>-4.3662733333333356E-2</v>
      </c>
      <c r="U45">
        <f t="shared" si="30"/>
        <v>2013</v>
      </c>
      <c r="V45">
        <f t="shared" si="31"/>
        <v>2013</v>
      </c>
    </row>
    <row r="46" spans="1:39" x14ac:dyDescent="0.25">
      <c r="A46" t="s">
        <v>52</v>
      </c>
      <c r="B46" t="s">
        <v>53</v>
      </c>
      <c r="C46" s="1">
        <v>41631</v>
      </c>
      <c r="D46">
        <v>6284.5</v>
      </c>
      <c r="E46" s="1">
        <v>41641</v>
      </c>
      <c r="F46">
        <v>6221.15</v>
      </c>
      <c r="G46" s="2">
        <v>-1.01E-2</v>
      </c>
      <c r="H46" s="40">
        <f t="shared" si="18"/>
        <v>10</v>
      </c>
      <c r="I46" s="4">
        <f t="shared" si="19"/>
        <v>1.5E-3</v>
      </c>
      <c r="J46" s="4">
        <f t="shared" si="20"/>
        <v>1.6666666666666666E-3</v>
      </c>
      <c r="K46" s="4">
        <f t="shared" si="21"/>
        <v>-1.3266666666666666E-2</v>
      </c>
      <c r="L46">
        <f t="shared" si="22"/>
        <v>228.66590935440456</v>
      </c>
      <c r="M46">
        <f t="shared" si="23"/>
        <v>240.23717569587672</v>
      </c>
      <c r="N46">
        <f t="shared" si="24"/>
        <v>-11.571266341472153</v>
      </c>
      <c r="O46" s="39">
        <f t="shared" si="25"/>
        <v>-4.8166010559999917E-2</v>
      </c>
      <c r="Q46">
        <f t="shared" si="26"/>
        <v>194.47461708029178</v>
      </c>
      <c r="R46">
        <f t="shared" si="27"/>
        <v>206.08768733461645</v>
      </c>
      <c r="S46">
        <f t="shared" si="28"/>
        <v>-11.613070254324668</v>
      </c>
      <c r="T46" s="39">
        <f t="shared" si="29"/>
        <v>-5.6350141071111075E-2</v>
      </c>
      <c r="U46">
        <f t="shared" si="30"/>
        <v>2014</v>
      </c>
      <c r="V46">
        <f t="shared" si="31"/>
        <v>2013</v>
      </c>
    </row>
    <row r="47" spans="1:39" x14ac:dyDescent="0.25">
      <c r="A47" t="s">
        <v>52</v>
      </c>
      <c r="B47" t="s">
        <v>53</v>
      </c>
      <c r="C47" s="1">
        <v>41652</v>
      </c>
      <c r="D47">
        <v>6272.75</v>
      </c>
      <c r="E47" s="1">
        <v>41666</v>
      </c>
      <c r="F47">
        <v>6135.85</v>
      </c>
      <c r="G47" s="2">
        <v>-2.18E-2</v>
      </c>
      <c r="H47" s="40">
        <f t="shared" si="18"/>
        <v>14</v>
      </c>
      <c r="I47" s="4">
        <f t="shared" si="19"/>
        <v>1.5E-3</v>
      </c>
      <c r="J47" s="4">
        <f t="shared" si="20"/>
        <v>2.3333333333333335E-3</v>
      </c>
      <c r="K47" s="4">
        <f t="shared" si="21"/>
        <v>-2.5633333333333334E-2</v>
      </c>
      <c r="L47">
        <f t="shared" si="22"/>
        <v>223.68099253047853</v>
      </c>
      <c r="M47">
        <f t="shared" si="23"/>
        <v>240.23717569587672</v>
      </c>
      <c r="N47">
        <f t="shared" si="24"/>
        <v>-16.556183165398181</v>
      </c>
      <c r="O47" s="39">
        <f t="shared" si="25"/>
        <v>-6.8915991529791956E-2</v>
      </c>
      <c r="Q47">
        <f t="shared" si="26"/>
        <v>189.48958439580031</v>
      </c>
      <c r="R47">
        <f t="shared" si="27"/>
        <v>206.08768733461645</v>
      </c>
      <c r="S47">
        <f t="shared" si="28"/>
        <v>-16.59810293881614</v>
      </c>
      <c r="T47" s="39">
        <f t="shared" si="29"/>
        <v>-8.0539032454988224E-2</v>
      </c>
      <c r="U47">
        <f t="shared" si="30"/>
        <v>2014</v>
      </c>
      <c r="V47">
        <f t="shared" si="31"/>
        <v>2014</v>
      </c>
    </row>
    <row r="48" spans="1:39" x14ac:dyDescent="0.25">
      <c r="A48" t="s">
        <v>52</v>
      </c>
      <c r="B48" t="s">
        <v>53</v>
      </c>
      <c r="C48" s="1">
        <v>41688</v>
      </c>
      <c r="D48">
        <v>6127.1</v>
      </c>
      <c r="E48" s="1">
        <v>41759</v>
      </c>
      <c r="F48">
        <v>6696.4</v>
      </c>
      <c r="G48" s="2">
        <v>9.2899999999999996E-2</v>
      </c>
      <c r="H48" s="40">
        <f t="shared" si="18"/>
        <v>71</v>
      </c>
      <c r="I48" s="4">
        <f t="shared" si="19"/>
        <v>1.5E-3</v>
      </c>
      <c r="J48" s="4">
        <f t="shared" si="20"/>
        <v>1.1833333333333335E-2</v>
      </c>
      <c r="K48" s="4">
        <f t="shared" si="21"/>
        <v>7.9566666666666661E-2</v>
      </c>
      <c r="L48">
        <f t="shared" si="22"/>
        <v>244.46095673655998</v>
      </c>
      <c r="M48">
        <f t="shared" si="23"/>
        <v>244.46095673655998</v>
      </c>
      <c r="N48" t="str">
        <f t="shared" si="24"/>
        <v/>
      </c>
      <c r="O48" s="39">
        <f t="shared" si="25"/>
        <v>0</v>
      </c>
      <c r="Q48">
        <f t="shared" si="26"/>
        <v>204.56663899422614</v>
      </c>
      <c r="R48">
        <f t="shared" si="27"/>
        <v>206.08768733461645</v>
      </c>
      <c r="S48">
        <f t="shared" si="28"/>
        <v>-1.5210483403903083</v>
      </c>
      <c r="T48" s="39">
        <f t="shared" si="29"/>
        <v>-7.3805881373235176E-3</v>
      </c>
      <c r="U48">
        <f t="shared" si="30"/>
        <v>2014</v>
      </c>
      <c r="V48">
        <f t="shared" si="31"/>
        <v>2014</v>
      </c>
    </row>
    <row r="49" spans="1:22" x14ac:dyDescent="0.25">
      <c r="A49" t="s">
        <v>52</v>
      </c>
      <c r="B49" t="s">
        <v>53</v>
      </c>
      <c r="C49" s="1">
        <v>41768</v>
      </c>
      <c r="D49">
        <v>6858.8</v>
      </c>
      <c r="E49" s="1">
        <v>41828</v>
      </c>
      <c r="F49">
        <v>7623.2</v>
      </c>
      <c r="G49" s="2">
        <v>0.1114</v>
      </c>
      <c r="H49" s="40">
        <f t="shared" si="18"/>
        <v>60</v>
      </c>
      <c r="I49" s="4">
        <f t="shared" si="19"/>
        <v>1.5E-3</v>
      </c>
      <c r="J49" s="4">
        <f t="shared" si="20"/>
        <v>0.01</v>
      </c>
      <c r="K49" s="4">
        <f t="shared" si="21"/>
        <v>9.9900000000000003E-2</v>
      </c>
      <c r="L49">
        <f t="shared" si="22"/>
        <v>271.69390731701276</v>
      </c>
      <c r="M49">
        <f t="shared" si="23"/>
        <v>271.69390731701276</v>
      </c>
      <c r="N49" t="str">
        <f t="shared" si="24"/>
        <v/>
      </c>
      <c r="O49" s="39">
        <f t="shared" si="25"/>
        <v>0</v>
      </c>
      <c r="Q49">
        <f t="shared" si="26"/>
        <v>225.00284622974934</v>
      </c>
      <c r="R49">
        <f t="shared" si="27"/>
        <v>225.00284622974934</v>
      </c>
      <c r="S49" t="str">
        <f t="shared" si="28"/>
        <v/>
      </c>
      <c r="T49" s="39">
        <f t="shared" si="29"/>
        <v>0</v>
      </c>
      <c r="U49">
        <f t="shared" si="30"/>
        <v>2014</v>
      </c>
      <c r="V49">
        <f t="shared" si="31"/>
        <v>2014</v>
      </c>
    </row>
    <row r="50" spans="1:22" x14ac:dyDescent="0.25">
      <c r="A50" t="s">
        <v>52</v>
      </c>
      <c r="B50" t="s">
        <v>53</v>
      </c>
      <c r="C50" s="1">
        <v>41842</v>
      </c>
      <c r="D50">
        <v>7767.85</v>
      </c>
      <c r="E50" s="1">
        <v>41852</v>
      </c>
      <c r="F50">
        <v>7602.6</v>
      </c>
      <c r="G50" s="2">
        <v>-2.1299999999999999E-2</v>
      </c>
      <c r="H50" s="40">
        <f t="shared" si="18"/>
        <v>10</v>
      </c>
      <c r="I50" s="4">
        <f t="shared" si="19"/>
        <v>1.5E-3</v>
      </c>
      <c r="J50" s="4">
        <f t="shared" si="20"/>
        <v>1.6666666666666666E-3</v>
      </c>
      <c r="K50" s="4">
        <f t="shared" si="21"/>
        <v>-2.4466666666666664E-2</v>
      </c>
      <c r="L50">
        <f t="shared" si="22"/>
        <v>265.90682709116038</v>
      </c>
      <c r="M50">
        <f t="shared" si="23"/>
        <v>271.69390731701276</v>
      </c>
      <c r="N50">
        <f t="shared" si="24"/>
        <v>-5.7870802258523781</v>
      </c>
      <c r="O50" s="39">
        <f t="shared" si="25"/>
        <v>-2.1300000000000024E-2</v>
      </c>
      <c r="Q50">
        <f t="shared" si="26"/>
        <v>219.49777659199481</v>
      </c>
      <c r="R50">
        <f t="shared" si="27"/>
        <v>225.00284622974934</v>
      </c>
      <c r="S50">
        <f t="shared" si="28"/>
        <v>-5.5050696377545307</v>
      </c>
      <c r="T50" s="39">
        <f t="shared" si="29"/>
        <v>-2.4466666666666654E-2</v>
      </c>
      <c r="U50">
        <f t="shared" si="30"/>
        <v>2014</v>
      </c>
      <c r="V50">
        <f t="shared" si="31"/>
        <v>2014</v>
      </c>
    </row>
    <row r="51" spans="1:22" x14ac:dyDescent="0.25">
      <c r="A51" t="s">
        <v>52</v>
      </c>
      <c r="B51" t="s">
        <v>53</v>
      </c>
      <c r="C51" s="1">
        <v>41865</v>
      </c>
      <c r="D51">
        <v>7791.7</v>
      </c>
      <c r="E51" s="1">
        <v>41898</v>
      </c>
      <c r="F51">
        <v>7932.8990000000003</v>
      </c>
      <c r="G51" s="2">
        <v>1.8100000000000002E-2</v>
      </c>
      <c r="H51" s="40">
        <f t="shared" si="18"/>
        <v>33</v>
      </c>
      <c r="I51" s="4">
        <f t="shared" si="19"/>
        <v>1.5E-3</v>
      </c>
      <c r="J51" s="4">
        <f t="shared" si="20"/>
        <v>5.5000000000000005E-3</v>
      </c>
      <c r="K51" s="4">
        <f t="shared" si="21"/>
        <v>1.11E-2</v>
      </c>
      <c r="L51">
        <f t="shared" si="22"/>
        <v>270.7197406615104</v>
      </c>
      <c r="M51">
        <f t="shared" si="23"/>
        <v>271.69390731701276</v>
      </c>
      <c r="N51">
        <f t="shared" si="24"/>
        <v>-0.97416665550235848</v>
      </c>
      <c r="O51" s="39">
        <f t="shared" si="25"/>
        <v>-3.5855299999999622E-3</v>
      </c>
      <c r="Q51">
        <f t="shared" si="26"/>
        <v>221.93420191216597</v>
      </c>
      <c r="R51">
        <f t="shared" si="27"/>
        <v>225.00284622974934</v>
      </c>
      <c r="S51">
        <f t="shared" si="28"/>
        <v>-3.0686443175833631</v>
      </c>
      <c r="T51" s="39">
        <f t="shared" si="29"/>
        <v>-1.3638246666666541E-2</v>
      </c>
      <c r="U51">
        <f t="shared" si="30"/>
        <v>2014</v>
      </c>
      <c r="V51">
        <f t="shared" si="31"/>
        <v>2014</v>
      </c>
    </row>
    <row r="52" spans="1:22" x14ac:dyDescent="0.25">
      <c r="A52" t="s">
        <v>52</v>
      </c>
      <c r="B52" t="s">
        <v>53</v>
      </c>
      <c r="C52" s="1">
        <v>41900</v>
      </c>
      <c r="D52">
        <v>8114.75</v>
      </c>
      <c r="E52" s="1">
        <v>41907</v>
      </c>
      <c r="F52">
        <v>7911.85</v>
      </c>
      <c r="G52" s="2">
        <v>-2.5000000000000001E-2</v>
      </c>
      <c r="H52" s="40">
        <f t="shared" si="18"/>
        <v>7</v>
      </c>
      <c r="I52" s="4">
        <f t="shared" si="19"/>
        <v>1.5E-3</v>
      </c>
      <c r="J52" s="4">
        <f t="shared" si="20"/>
        <v>1.1666666666666668E-3</v>
      </c>
      <c r="K52" s="4">
        <f t="shared" si="21"/>
        <v>-2.7666666666666669E-2</v>
      </c>
      <c r="L52">
        <f t="shared" si="22"/>
        <v>263.95174714497261</v>
      </c>
      <c r="M52">
        <f t="shared" si="23"/>
        <v>271.69390731701276</v>
      </c>
      <c r="N52">
        <f t="shared" si="24"/>
        <v>-7.7421601720401441</v>
      </c>
      <c r="O52" s="39">
        <f t="shared" si="25"/>
        <v>-2.8495891750000057E-2</v>
      </c>
      <c r="Q52">
        <f t="shared" si="26"/>
        <v>215.7940223259294</v>
      </c>
      <c r="R52">
        <f t="shared" si="27"/>
        <v>225.00284622974934</v>
      </c>
      <c r="S52">
        <f t="shared" si="28"/>
        <v>-9.2088239038199333</v>
      </c>
      <c r="T52" s="39">
        <f t="shared" si="29"/>
        <v>-4.0927588508888668E-2</v>
      </c>
      <c r="U52">
        <f t="shared" si="30"/>
        <v>2014</v>
      </c>
      <c r="V52">
        <f t="shared" si="31"/>
        <v>2014</v>
      </c>
    </row>
    <row r="53" spans="1:22" x14ac:dyDescent="0.25">
      <c r="A53" t="s">
        <v>52</v>
      </c>
      <c r="B53" t="s">
        <v>53</v>
      </c>
      <c r="C53" s="1">
        <v>41934</v>
      </c>
      <c r="D53">
        <v>7995.9</v>
      </c>
      <c r="E53" s="1">
        <v>41982</v>
      </c>
      <c r="F53">
        <v>8340.7000000000007</v>
      </c>
      <c r="G53" s="2">
        <v>4.3099999999999999E-2</v>
      </c>
      <c r="H53" s="40">
        <f t="shared" si="18"/>
        <v>48</v>
      </c>
      <c r="I53" s="4">
        <f t="shared" si="19"/>
        <v>1.5E-3</v>
      </c>
      <c r="J53" s="4">
        <f t="shared" si="20"/>
        <v>8.0000000000000002E-3</v>
      </c>
      <c r="K53" s="4">
        <f t="shared" si="21"/>
        <v>3.3599999999999998E-2</v>
      </c>
      <c r="L53">
        <f t="shared" si="22"/>
        <v>275.3280674469209</v>
      </c>
      <c r="M53">
        <f t="shared" si="23"/>
        <v>275.3280674469209</v>
      </c>
      <c r="N53" t="str">
        <f t="shared" si="24"/>
        <v/>
      </c>
      <c r="O53" s="39">
        <f t="shared" si="25"/>
        <v>0</v>
      </c>
      <c r="Q53">
        <f t="shared" si="26"/>
        <v>223.04470147608066</v>
      </c>
      <c r="R53">
        <f t="shared" si="27"/>
        <v>225.00284622974934</v>
      </c>
      <c r="S53">
        <f t="shared" si="28"/>
        <v>-1.9581447536686767</v>
      </c>
      <c r="T53" s="39">
        <f t="shared" si="29"/>
        <v>-8.7027554827872021E-3</v>
      </c>
      <c r="U53">
        <f t="shared" si="30"/>
        <v>2014</v>
      </c>
      <c r="V53">
        <f t="shared" si="31"/>
        <v>2014</v>
      </c>
    </row>
    <row r="54" spans="1:22" x14ac:dyDescent="0.25">
      <c r="A54" t="s">
        <v>52</v>
      </c>
      <c r="B54" t="s">
        <v>53</v>
      </c>
      <c r="C54" s="1">
        <v>41995</v>
      </c>
      <c r="D54">
        <v>8324</v>
      </c>
      <c r="E54" s="1">
        <v>42010</v>
      </c>
      <c r="F54">
        <v>8127.35</v>
      </c>
      <c r="G54" s="2">
        <v>-2.3599999999999999E-2</v>
      </c>
      <c r="H54" s="40">
        <f t="shared" si="18"/>
        <v>15</v>
      </c>
      <c r="I54" s="4">
        <f t="shared" si="19"/>
        <v>1.5E-3</v>
      </c>
      <c r="J54" s="4">
        <f t="shared" si="20"/>
        <v>2.5000000000000001E-3</v>
      </c>
      <c r="K54" s="4">
        <f t="shared" si="21"/>
        <v>-2.76E-2</v>
      </c>
      <c r="L54">
        <f t="shared" si="22"/>
        <v>268.8303250551736</v>
      </c>
      <c r="M54">
        <f t="shared" si="23"/>
        <v>275.3280674469209</v>
      </c>
      <c r="N54">
        <f t="shared" si="24"/>
        <v>-6.4977423917472947</v>
      </c>
      <c r="O54" s="39">
        <f t="shared" si="25"/>
        <v>-2.3599999999999861E-2</v>
      </c>
      <c r="Q54">
        <f t="shared" si="26"/>
        <v>216.88866771534083</v>
      </c>
      <c r="R54">
        <f t="shared" si="27"/>
        <v>225.00284622974934</v>
      </c>
      <c r="S54">
        <f t="shared" si="28"/>
        <v>-8.1141785144085077</v>
      </c>
      <c r="T54" s="39">
        <f t="shared" si="29"/>
        <v>-3.6062559431462297E-2</v>
      </c>
      <c r="U54">
        <f t="shared" si="30"/>
        <v>2015</v>
      </c>
      <c r="V54">
        <f t="shared" si="31"/>
        <v>2014</v>
      </c>
    </row>
    <row r="55" spans="1:22" x14ac:dyDescent="0.25">
      <c r="A55" t="s">
        <v>52</v>
      </c>
      <c r="B55" t="s">
        <v>53</v>
      </c>
      <c r="C55" s="1">
        <v>42019</v>
      </c>
      <c r="D55">
        <v>8494.15</v>
      </c>
      <c r="E55" s="1">
        <v>42038</v>
      </c>
      <c r="F55">
        <v>8756.5499999999993</v>
      </c>
      <c r="G55" s="2">
        <v>3.09E-2</v>
      </c>
      <c r="H55" s="40">
        <f t="shared" si="18"/>
        <v>19</v>
      </c>
      <c r="I55" s="4">
        <f t="shared" si="19"/>
        <v>1.5E-3</v>
      </c>
      <c r="J55" s="4">
        <f t="shared" si="20"/>
        <v>3.1666666666666666E-3</v>
      </c>
      <c r="K55" s="4">
        <f t="shared" si="21"/>
        <v>2.6233333333333334E-2</v>
      </c>
      <c r="L55">
        <f t="shared" si="22"/>
        <v>277.13718209937844</v>
      </c>
      <c r="M55">
        <f t="shared" si="23"/>
        <v>277.13718209937844</v>
      </c>
      <c r="N55" t="str">
        <f t="shared" si="24"/>
        <v/>
      </c>
      <c r="O55" s="39">
        <f t="shared" si="25"/>
        <v>0</v>
      </c>
      <c r="Q55">
        <f t="shared" si="26"/>
        <v>222.57838043173993</v>
      </c>
      <c r="R55">
        <f t="shared" si="27"/>
        <v>225.00284622974934</v>
      </c>
      <c r="S55">
        <f t="shared" si="28"/>
        <v>-2.4244657980094075</v>
      </c>
      <c r="T55" s="39">
        <f t="shared" si="29"/>
        <v>-1.0775267240547691E-2</v>
      </c>
      <c r="U55">
        <f t="shared" si="30"/>
        <v>2015</v>
      </c>
      <c r="V55">
        <f t="shared" si="31"/>
        <v>2015</v>
      </c>
    </row>
    <row r="56" spans="1:22" x14ac:dyDescent="0.25">
      <c r="A56" t="s">
        <v>52</v>
      </c>
      <c r="B56" t="s">
        <v>53</v>
      </c>
      <c r="C56" s="1">
        <v>42048</v>
      </c>
      <c r="D56">
        <v>8805.5</v>
      </c>
      <c r="E56" s="1">
        <v>42074</v>
      </c>
      <c r="F56">
        <v>8699.9500000000007</v>
      </c>
      <c r="G56" s="2">
        <v>-1.2E-2</v>
      </c>
      <c r="H56" s="40">
        <f t="shared" si="18"/>
        <v>26</v>
      </c>
      <c r="I56" s="4">
        <f t="shared" si="19"/>
        <v>1.5E-3</v>
      </c>
      <c r="J56" s="4">
        <f t="shared" si="20"/>
        <v>4.333333333333334E-3</v>
      </c>
      <c r="K56" s="4">
        <f t="shared" si="21"/>
        <v>-1.7833333333333333E-2</v>
      </c>
      <c r="L56">
        <f t="shared" si="22"/>
        <v>273.81153591418587</v>
      </c>
      <c r="M56">
        <f t="shared" si="23"/>
        <v>277.13718209937844</v>
      </c>
      <c r="N56">
        <f t="shared" si="24"/>
        <v>-3.3256461851925678</v>
      </c>
      <c r="O56" s="39">
        <f t="shared" si="25"/>
        <v>-1.2000000000000096E-2</v>
      </c>
      <c r="Q56">
        <f t="shared" si="26"/>
        <v>218.60906598070721</v>
      </c>
      <c r="R56">
        <f t="shared" si="27"/>
        <v>225.00284622974934</v>
      </c>
      <c r="S56">
        <f t="shared" si="28"/>
        <v>-6.3937802490421234</v>
      </c>
      <c r="T56" s="39">
        <f t="shared" si="29"/>
        <v>-2.8416441641424681E-2</v>
      </c>
      <c r="U56">
        <f t="shared" si="30"/>
        <v>2015</v>
      </c>
      <c r="V56">
        <f t="shared" si="31"/>
        <v>2015</v>
      </c>
    </row>
    <row r="57" spans="1:22" x14ac:dyDescent="0.25">
      <c r="A57" t="s">
        <v>52</v>
      </c>
      <c r="B57" t="s">
        <v>53</v>
      </c>
      <c r="C57" s="1">
        <v>42095</v>
      </c>
      <c r="D57">
        <v>8586.25</v>
      </c>
      <c r="E57" s="1">
        <v>42111</v>
      </c>
      <c r="F57">
        <v>8606</v>
      </c>
      <c r="G57" s="2">
        <v>2.3E-3</v>
      </c>
      <c r="H57" s="40">
        <f t="shared" si="18"/>
        <v>16</v>
      </c>
      <c r="I57" s="4">
        <f t="shared" si="19"/>
        <v>1.5E-3</v>
      </c>
      <c r="J57" s="4">
        <f t="shared" si="20"/>
        <v>2.6666666666666666E-3</v>
      </c>
      <c r="K57" s="4">
        <f t="shared" si="21"/>
        <v>-1.8666666666666666E-3</v>
      </c>
      <c r="L57">
        <f t="shared" si="22"/>
        <v>274.44130244678848</v>
      </c>
      <c r="M57">
        <f t="shared" si="23"/>
        <v>277.13718209937844</v>
      </c>
      <c r="N57">
        <f t="shared" si="24"/>
        <v>-2.6958796525899515</v>
      </c>
      <c r="O57" s="39">
        <f t="shared" si="25"/>
        <v>-9.7276000000001365E-3</v>
      </c>
      <c r="Q57">
        <f t="shared" si="26"/>
        <v>218.20099572420989</v>
      </c>
      <c r="R57">
        <f t="shared" si="27"/>
        <v>225.00284622974934</v>
      </c>
      <c r="S57">
        <f t="shared" si="28"/>
        <v>-6.8018505055394485</v>
      </c>
      <c r="T57" s="39">
        <f t="shared" si="29"/>
        <v>-3.0230064283694045E-2</v>
      </c>
      <c r="U57">
        <f t="shared" si="30"/>
        <v>2015</v>
      </c>
      <c r="V57">
        <f t="shared" si="31"/>
        <v>2015</v>
      </c>
    </row>
    <row r="58" spans="1:22" x14ac:dyDescent="0.25">
      <c r="A58" t="s">
        <v>52</v>
      </c>
      <c r="B58" t="s">
        <v>53</v>
      </c>
      <c r="C58" s="1">
        <v>42142</v>
      </c>
      <c r="D58">
        <v>8373.65</v>
      </c>
      <c r="E58" s="1">
        <v>42157</v>
      </c>
      <c r="F58">
        <v>8236.4500000000007</v>
      </c>
      <c r="G58" s="2">
        <v>-1.6400000000000001E-2</v>
      </c>
      <c r="H58" s="40">
        <f t="shared" si="18"/>
        <v>15</v>
      </c>
      <c r="I58" s="4">
        <f t="shared" si="19"/>
        <v>1.5E-3</v>
      </c>
      <c r="J58" s="4">
        <f t="shared" si="20"/>
        <v>2.5000000000000001E-3</v>
      </c>
      <c r="K58" s="4">
        <f t="shared" si="21"/>
        <v>-2.0400000000000001E-2</v>
      </c>
      <c r="L58">
        <f t="shared" si="22"/>
        <v>269.94046508666116</v>
      </c>
      <c r="M58">
        <f t="shared" si="23"/>
        <v>277.13718209937844</v>
      </c>
      <c r="N58">
        <f t="shared" si="24"/>
        <v>-7.1967170127172722</v>
      </c>
      <c r="O58" s="39">
        <f t="shared" si="25"/>
        <v>-2.5968067360000097E-2</v>
      </c>
      <c r="Q58">
        <f t="shared" si="26"/>
        <v>213.74969541143602</v>
      </c>
      <c r="R58">
        <f t="shared" si="27"/>
        <v>225.00284622974934</v>
      </c>
      <c r="S58">
        <f t="shared" si="28"/>
        <v>-11.253150818313316</v>
      </c>
      <c r="T58" s="39">
        <f t="shared" si="29"/>
        <v>-5.0013370972306619E-2</v>
      </c>
      <c r="U58">
        <f t="shared" si="30"/>
        <v>2015</v>
      </c>
      <c r="V58">
        <f t="shared" si="31"/>
        <v>2015</v>
      </c>
    </row>
    <row r="59" spans="1:22" x14ac:dyDescent="0.25">
      <c r="A59" t="s">
        <v>52</v>
      </c>
      <c r="B59" t="s">
        <v>53</v>
      </c>
      <c r="C59" s="1">
        <v>42174</v>
      </c>
      <c r="D59">
        <v>8224.9500000000007</v>
      </c>
      <c r="E59" s="1">
        <v>42194</v>
      </c>
      <c r="F59">
        <v>8328.5499999999993</v>
      </c>
      <c r="G59" s="2">
        <v>1.26E-2</v>
      </c>
      <c r="H59" s="40">
        <f t="shared" si="18"/>
        <v>20</v>
      </c>
      <c r="I59" s="4">
        <f t="shared" si="19"/>
        <v>1.5E-3</v>
      </c>
      <c r="J59" s="4">
        <f t="shared" si="20"/>
        <v>3.3333333333333331E-3</v>
      </c>
      <c r="K59" s="4">
        <f t="shared" si="21"/>
        <v>7.7666666666666665E-3</v>
      </c>
      <c r="L59">
        <f t="shared" si="22"/>
        <v>273.34171494675309</v>
      </c>
      <c r="M59">
        <f t="shared" si="23"/>
        <v>277.13718209937844</v>
      </c>
      <c r="N59">
        <f t="shared" si="24"/>
        <v>-3.7954671526253492</v>
      </c>
      <c r="O59" s="39">
        <f t="shared" si="25"/>
        <v>-1.3695265008736125E-2</v>
      </c>
      <c r="Q59">
        <f t="shared" si="26"/>
        <v>215.40981804579818</v>
      </c>
      <c r="R59">
        <f t="shared" si="27"/>
        <v>225.00284622974934</v>
      </c>
      <c r="S59">
        <f t="shared" si="28"/>
        <v>-9.5930281839511622</v>
      </c>
      <c r="T59" s="39">
        <f t="shared" si="29"/>
        <v>-4.2635141486858201E-2</v>
      </c>
      <c r="U59">
        <f t="shared" si="30"/>
        <v>2015</v>
      </c>
      <c r="V59">
        <f t="shared" si="31"/>
        <v>2015</v>
      </c>
    </row>
    <row r="60" spans="1:22" x14ac:dyDescent="0.25">
      <c r="A60" t="s">
        <v>52</v>
      </c>
      <c r="B60" t="s">
        <v>53</v>
      </c>
      <c r="C60" s="1">
        <v>42201</v>
      </c>
      <c r="D60">
        <v>8608.0499999999993</v>
      </c>
      <c r="E60" s="1">
        <v>42212</v>
      </c>
      <c r="F60">
        <v>8361</v>
      </c>
      <c r="G60" s="2">
        <v>-2.87E-2</v>
      </c>
      <c r="H60" s="40">
        <f t="shared" si="18"/>
        <v>11</v>
      </c>
      <c r="I60" s="4">
        <f t="shared" si="19"/>
        <v>1.5E-3</v>
      </c>
      <c r="J60" s="4">
        <f t="shared" si="20"/>
        <v>1.8333333333333333E-3</v>
      </c>
      <c r="K60" s="4">
        <f t="shared" si="21"/>
        <v>-3.203333333333333E-2</v>
      </c>
      <c r="L60">
        <f t="shared" si="22"/>
        <v>265.49680772778129</v>
      </c>
      <c r="M60">
        <f t="shared" si="23"/>
        <v>277.13718209937844</v>
      </c>
      <c r="N60">
        <f t="shared" si="24"/>
        <v>-11.640374371597147</v>
      </c>
      <c r="O60" s="39">
        <f t="shared" si="25"/>
        <v>-4.2002210902985344E-2</v>
      </c>
      <c r="Q60">
        <f t="shared" si="26"/>
        <v>208.50952354106442</v>
      </c>
      <c r="R60">
        <f t="shared" si="27"/>
        <v>225.00284622974934</v>
      </c>
      <c r="S60">
        <f t="shared" si="28"/>
        <v>-16.493322688684913</v>
      </c>
      <c r="T60" s="39">
        <f t="shared" si="29"/>
        <v>-7.3302729121229246E-2</v>
      </c>
      <c r="U60">
        <f t="shared" si="30"/>
        <v>2015</v>
      </c>
      <c r="V60">
        <f t="shared" si="31"/>
        <v>2015</v>
      </c>
    </row>
    <row r="61" spans="1:22" x14ac:dyDescent="0.25">
      <c r="A61" t="s">
        <v>52</v>
      </c>
      <c r="B61" t="s">
        <v>53</v>
      </c>
      <c r="C61" s="1">
        <v>42219</v>
      </c>
      <c r="D61">
        <v>8543.0499999999993</v>
      </c>
      <c r="E61" s="1">
        <v>42228</v>
      </c>
      <c r="F61">
        <v>8349.4500000000007</v>
      </c>
      <c r="G61" s="2">
        <v>-2.2700000000000001E-2</v>
      </c>
      <c r="H61" s="40">
        <f t="shared" si="18"/>
        <v>9</v>
      </c>
      <c r="I61" s="4">
        <f t="shared" si="19"/>
        <v>1.5E-3</v>
      </c>
      <c r="J61" s="4">
        <f t="shared" si="20"/>
        <v>1.5E-3</v>
      </c>
      <c r="K61" s="4">
        <f t="shared" si="21"/>
        <v>-2.5700000000000001E-2</v>
      </c>
      <c r="L61">
        <f t="shared" si="22"/>
        <v>259.47003019236064</v>
      </c>
      <c r="M61">
        <f t="shared" si="23"/>
        <v>277.13718209937844</v>
      </c>
      <c r="N61">
        <f t="shared" si="24"/>
        <v>-17.667151907017796</v>
      </c>
      <c r="O61" s="39">
        <f t="shared" si="25"/>
        <v>-6.3748760715487629E-2</v>
      </c>
      <c r="Q61">
        <f t="shared" si="26"/>
        <v>203.15082878605907</v>
      </c>
      <c r="R61">
        <f t="shared" si="27"/>
        <v>225.00284622974934</v>
      </c>
      <c r="S61">
        <f t="shared" si="28"/>
        <v>-21.852017443690272</v>
      </c>
      <c r="T61" s="39">
        <f t="shared" si="29"/>
        <v>-9.7118848982813671E-2</v>
      </c>
      <c r="U61">
        <f t="shared" si="30"/>
        <v>2015</v>
      </c>
      <c r="V61">
        <f t="shared" si="31"/>
        <v>2015</v>
      </c>
    </row>
    <row r="62" spans="1:22" x14ac:dyDescent="0.25">
      <c r="A62" t="s">
        <v>52</v>
      </c>
      <c r="B62" t="s">
        <v>53</v>
      </c>
      <c r="C62" s="1">
        <v>42423</v>
      </c>
      <c r="D62">
        <v>7109.55</v>
      </c>
      <c r="E62" s="1">
        <v>42467</v>
      </c>
      <c r="F62">
        <v>7546.45</v>
      </c>
      <c r="G62" s="2">
        <v>6.1499999999999999E-2</v>
      </c>
      <c r="H62" s="40">
        <f t="shared" si="18"/>
        <v>44</v>
      </c>
      <c r="I62" s="4">
        <f t="shared" si="19"/>
        <v>1.5E-3</v>
      </c>
      <c r="J62" s="4">
        <f t="shared" si="20"/>
        <v>7.3333333333333332E-3</v>
      </c>
      <c r="K62" s="4">
        <f t="shared" si="21"/>
        <v>5.2666666666666667E-2</v>
      </c>
      <c r="L62">
        <f t="shared" si="22"/>
        <v>275.42743704919087</v>
      </c>
      <c r="M62">
        <f t="shared" si="23"/>
        <v>277.13718209937844</v>
      </c>
      <c r="N62">
        <f t="shared" si="24"/>
        <v>-1.7097450501875642</v>
      </c>
      <c r="O62" s="39">
        <f t="shared" si="25"/>
        <v>-6.1693094994899238E-3</v>
      </c>
      <c r="Q62">
        <f t="shared" si="26"/>
        <v>213.85010576879151</v>
      </c>
      <c r="R62">
        <f t="shared" si="27"/>
        <v>225.00284622974934</v>
      </c>
      <c r="S62">
        <f t="shared" si="28"/>
        <v>-11.15274046095783</v>
      </c>
      <c r="T62" s="39">
        <f t="shared" si="29"/>
        <v>-4.9567108362575198E-2</v>
      </c>
      <c r="U62">
        <f t="shared" si="30"/>
        <v>2016</v>
      </c>
      <c r="V62">
        <f t="shared" si="31"/>
        <v>2016</v>
      </c>
    </row>
    <row r="63" spans="1:22" x14ac:dyDescent="0.25">
      <c r="A63" t="s">
        <v>52</v>
      </c>
      <c r="B63" t="s">
        <v>53</v>
      </c>
      <c r="C63" s="1">
        <v>42473</v>
      </c>
      <c r="D63">
        <v>7850.45</v>
      </c>
      <c r="E63" s="1">
        <v>42493</v>
      </c>
      <c r="F63">
        <v>7747</v>
      </c>
      <c r="G63" s="2">
        <v>-1.32E-2</v>
      </c>
      <c r="H63" s="40">
        <f t="shared" si="18"/>
        <v>20</v>
      </c>
      <c r="I63" s="4">
        <f t="shared" si="19"/>
        <v>1.5E-3</v>
      </c>
      <c r="J63" s="4">
        <f t="shared" si="20"/>
        <v>3.3333333333333331E-3</v>
      </c>
      <c r="K63" s="4">
        <f t="shared" si="21"/>
        <v>-1.8033333333333332E-2</v>
      </c>
      <c r="L63">
        <f t="shared" si="22"/>
        <v>271.79179488014154</v>
      </c>
      <c r="M63">
        <f t="shared" si="23"/>
        <v>277.13718209937844</v>
      </c>
      <c r="N63">
        <f t="shared" si="24"/>
        <v>-5.3453872192368976</v>
      </c>
      <c r="O63" s="39">
        <f t="shared" si="25"/>
        <v>-1.9287874614096708E-2</v>
      </c>
      <c r="Q63">
        <f t="shared" si="26"/>
        <v>209.99367552809429</v>
      </c>
      <c r="R63">
        <f t="shared" si="27"/>
        <v>225.00284622974934</v>
      </c>
      <c r="S63">
        <f t="shared" si="28"/>
        <v>-15.009170701655052</v>
      </c>
      <c r="T63" s="39">
        <f t="shared" si="29"/>
        <v>-6.6706581508436821E-2</v>
      </c>
      <c r="U63">
        <f t="shared" si="30"/>
        <v>2016</v>
      </c>
      <c r="V63">
        <f t="shared" si="31"/>
        <v>2016</v>
      </c>
    </row>
    <row r="64" spans="1:22" x14ac:dyDescent="0.25">
      <c r="A64" t="s">
        <v>52</v>
      </c>
      <c r="B64" t="s">
        <v>53</v>
      </c>
      <c r="C64" s="1">
        <v>42500</v>
      </c>
      <c r="D64">
        <v>7887.8</v>
      </c>
      <c r="E64" s="1">
        <v>42534</v>
      </c>
      <c r="F64">
        <v>8110.6</v>
      </c>
      <c r="G64" s="2">
        <v>2.8199999999999999E-2</v>
      </c>
      <c r="H64" s="40">
        <f t="shared" si="18"/>
        <v>34</v>
      </c>
      <c r="I64" s="4">
        <f t="shared" si="19"/>
        <v>1.5E-3</v>
      </c>
      <c r="J64" s="4">
        <f t="shared" si="20"/>
        <v>5.6666666666666662E-3</v>
      </c>
      <c r="K64" s="4">
        <f t="shared" si="21"/>
        <v>2.1033333333333334E-2</v>
      </c>
      <c r="L64">
        <f t="shared" si="22"/>
        <v>279.45632349576152</v>
      </c>
      <c r="M64">
        <f t="shared" si="23"/>
        <v>279.45632349576152</v>
      </c>
      <c r="N64" t="str">
        <f t="shared" si="24"/>
        <v/>
      </c>
      <c r="O64" s="39">
        <f t="shared" si="25"/>
        <v>0</v>
      </c>
      <c r="Q64">
        <f t="shared" si="26"/>
        <v>214.4105425033685</v>
      </c>
      <c r="R64">
        <f t="shared" si="27"/>
        <v>225.00284622974934</v>
      </c>
      <c r="S64">
        <f t="shared" si="28"/>
        <v>-10.592303726380834</v>
      </c>
      <c r="T64" s="39">
        <f t="shared" si="29"/>
        <v>-4.7076309939497754E-2</v>
      </c>
      <c r="U64">
        <f t="shared" si="30"/>
        <v>2016</v>
      </c>
      <c r="V64">
        <f t="shared" si="31"/>
        <v>2016</v>
      </c>
    </row>
    <row r="65" spans="1:22" x14ac:dyDescent="0.25">
      <c r="A65" t="s">
        <v>52</v>
      </c>
      <c r="B65" t="s">
        <v>53</v>
      </c>
      <c r="C65" s="1">
        <v>42544</v>
      </c>
      <c r="D65">
        <v>8270.4500000000007</v>
      </c>
      <c r="E65" s="1">
        <v>42625</v>
      </c>
      <c r="F65">
        <v>8715.6</v>
      </c>
      <c r="G65" s="2">
        <v>5.3800000000000001E-2</v>
      </c>
      <c r="H65" s="40">
        <f t="shared" si="18"/>
        <v>81</v>
      </c>
      <c r="I65" s="4">
        <f t="shared" si="19"/>
        <v>1.5E-3</v>
      </c>
      <c r="J65" s="4">
        <f t="shared" si="20"/>
        <v>1.3500000000000002E-2</v>
      </c>
      <c r="K65" s="4">
        <f t="shared" si="21"/>
        <v>3.8800000000000001E-2</v>
      </c>
      <c r="L65">
        <f t="shared" si="22"/>
        <v>294.49107369983352</v>
      </c>
      <c r="M65">
        <f t="shared" si="23"/>
        <v>294.49107369983352</v>
      </c>
      <c r="N65" t="str">
        <f t="shared" si="24"/>
        <v/>
      </c>
      <c r="O65" s="39">
        <f t="shared" si="25"/>
        <v>0</v>
      </c>
      <c r="Q65">
        <f t="shared" si="26"/>
        <v>222.72967155249918</v>
      </c>
      <c r="R65">
        <f t="shared" si="27"/>
        <v>225.00284622974934</v>
      </c>
      <c r="S65">
        <f t="shared" si="28"/>
        <v>-2.2731746772501538</v>
      </c>
      <c r="T65" s="39">
        <f t="shared" si="29"/>
        <v>-1.0102870765150348E-2</v>
      </c>
      <c r="U65">
        <f t="shared" si="30"/>
        <v>2016</v>
      </c>
      <c r="V65">
        <f t="shared" si="31"/>
        <v>2016</v>
      </c>
    </row>
    <row r="66" spans="1:22" x14ac:dyDescent="0.25">
      <c r="A66" t="s">
        <v>52</v>
      </c>
      <c r="B66" t="s">
        <v>53</v>
      </c>
      <c r="C66" s="1">
        <v>42727</v>
      </c>
      <c r="D66">
        <v>7985.75</v>
      </c>
      <c r="E66" s="1">
        <v>42843</v>
      </c>
      <c r="F66">
        <v>9105.15</v>
      </c>
      <c r="G66" s="2">
        <v>0.14019999999999999</v>
      </c>
      <c r="H66" s="40">
        <f t="shared" si="18"/>
        <v>116</v>
      </c>
      <c r="I66" s="4">
        <f t="shared" si="19"/>
        <v>1.5E-3</v>
      </c>
      <c r="J66" s="4">
        <f t="shared" si="20"/>
        <v>1.9333333333333334E-2</v>
      </c>
      <c r="K66" s="4">
        <f t="shared" si="21"/>
        <v>0.11936666666666665</v>
      </c>
      <c r="L66">
        <f t="shared" si="22"/>
        <v>335.77872223255019</v>
      </c>
      <c r="M66">
        <f t="shared" si="23"/>
        <v>335.77872223255019</v>
      </c>
      <c r="N66" t="str">
        <f t="shared" si="24"/>
        <v/>
      </c>
      <c r="O66" s="39">
        <f t="shared" si="25"/>
        <v>0</v>
      </c>
      <c r="Q66">
        <f t="shared" si="26"/>
        <v>249.31617001348249</v>
      </c>
      <c r="R66">
        <f t="shared" si="27"/>
        <v>249.31617001348249</v>
      </c>
      <c r="S66" t="str">
        <f t="shared" si="28"/>
        <v/>
      </c>
      <c r="T66" s="39">
        <f t="shared" si="29"/>
        <v>0</v>
      </c>
      <c r="U66">
        <f t="shared" si="30"/>
        <v>2017</v>
      </c>
      <c r="V66">
        <f t="shared" si="31"/>
        <v>2016</v>
      </c>
    </row>
    <row r="67" spans="1:22" x14ac:dyDescent="0.25">
      <c r="A67" t="s">
        <v>52</v>
      </c>
      <c r="B67" t="s">
        <v>53</v>
      </c>
      <c r="C67" s="1">
        <v>42850</v>
      </c>
      <c r="D67">
        <v>9306.6</v>
      </c>
      <c r="E67" s="1">
        <v>42878</v>
      </c>
      <c r="F67">
        <v>9386.15</v>
      </c>
      <c r="G67" s="2">
        <v>8.5000000000000006E-3</v>
      </c>
      <c r="H67" s="40">
        <f t="shared" si="18"/>
        <v>28</v>
      </c>
      <c r="I67" s="4">
        <f t="shared" si="19"/>
        <v>1.5E-3</v>
      </c>
      <c r="J67" s="4">
        <f t="shared" si="20"/>
        <v>4.6666666666666671E-3</v>
      </c>
      <c r="K67" s="4">
        <f t="shared" si="21"/>
        <v>2.3333333333333331E-3</v>
      </c>
      <c r="L67">
        <f t="shared" si="22"/>
        <v>338.63284137152687</v>
      </c>
      <c r="M67">
        <f t="shared" si="23"/>
        <v>338.63284137152687</v>
      </c>
      <c r="N67" t="str">
        <f t="shared" si="24"/>
        <v/>
      </c>
      <c r="O67" s="39">
        <f t="shared" si="25"/>
        <v>0</v>
      </c>
      <c r="Q67">
        <f t="shared" si="26"/>
        <v>249.89790774351394</v>
      </c>
      <c r="R67">
        <f t="shared" si="27"/>
        <v>249.89790774351394</v>
      </c>
      <c r="S67" t="str">
        <f t="shared" si="28"/>
        <v/>
      </c>
      <c r="T67" s="39">
        <f t="shared" si="29"/>
        <v>0</v>
      </c>
      <c r="U67">
        <f t="shared" si="30"/>
        <v>2017</v>
      </c>
      <c r="V67">
        <f t="shared" si="31"/>
        <v>2017</v>
      </c>
    </row>
    <row r="68" spans="1:22" x14ac:dyDescent="0.25">
      <c r="A68" t="s">
        <v>52</v>
      </c>
      <c r="B68" t="s">
        <v>53</v>
      </c>
      <c r="C68" s="1">
        <v>42881</v>
      </c>
      <c r="D68">
        <v>9595.1</v>
      </c>
      <c r="E68" s="1">
        <v>42913</v>
      </c>
      <c r="F68">
        <v>9511.4</v>
      </c>
      <c r="G68" s="2">
        <v>-8.6999999999999994E-3</v>
      </c>
      <c r="H68" s="40">
        <f t="shared" si="18"/>
        <v>32</v>
      </c>
      <c r="I68" s="4">
        <f t="shared" si="19"/>
        <v>1.5E-3</v>
      </c>
      <c r="J68" s="4">
        <f t="shared" si="20"/>
        <v>5.3333333333333332E-3</v>
      </c>
      <c r="K68" s="4">
        <f t="shared" si="21"/>
        <v>-1.5533333333333333E-2</v>
      </c>
      <c r="L68">
        <f t="shared" si="22"/>
        <v>335.68673565159457</v>
      </c>
      <c r="M68">
        <f t="shared" si="23"/>
        <v>338.63284137152687</v>
      </c>
      <c r="N68">
        <f t="shared" si="24"/>
        <v>-2.9461057199322909</v>
      </c>
      <c r="O68" s="39">
        <f t="shared" si="25"/>
        <v>-8.7000000000000202E-3</v>
      </c>
      <c r="Q68">
        <f t="shared" si="26"/>
        <v>246.01616024323135</v>
      </c>
      <c r="R68">
        <f t="shared" si="27"/>
        <v>249.89790774351394</v>
      </c>
      <c r="S68">
        <f t="shared" si="28"/>
        <v>-3.8817475002825859</v>
      </c>
      <c r="T68" s="39">
        <f t="shared" si="29"/>
        <v>-1.5533333333333343E-2</v>
      </c>
      <c r="U68">
        <f t="shared" si="30"/>
        <v>2017</v>
      </c>
      <c r="V68">
        <f t="shared" si="31"/>
        <v>2017</v>
      </c>
    </row>
    <row r="69" spans="1:22" x14ac:dyDescent="0.25">
      <c r="A69" t="s">
        <v>52</v>
      </c>
      <c r="B69" t="s">
        <v>53</v>
      </c>
      <c r="C69" s="1">
        <v>42922</v>
      </c>
      <c r="D69">
        <v>9674.5499999999993</v>
      </c>
      <c r="E69" s="1">
        <v>42956</v>
      </c>
      <c r="F69">
        <v>9908.0499999999993</v>
      </c>
      <c r="G69" s="2">
        <v>2.41E-2</v>
      </c>
      <c r="H69" s="40">
        <f t="shared" si="18"/>
        <v>34</v>
      </c>
      <c r="I69" s="4">
        <f t="shared" si="19"/>
        <v>1.5E-3</v>
      </c>
      <c r="J69" s="4">
        <f t="shared" si="20"/>
        <v>5.6666666666666662E-3</v>
      </c>
      <c r="K69" s="4">
        <f t="shared" si="21"/>
        <v>1.6933333333333335E-2</v>
      </c>
      <c r="L69">
        <f t="shared" si="22"/>
        <v>343.77678598079802</v>
      </c>
      <c r="M69">
        <f t="shared" si="23"/>
        <v>343.77678598079802</v>
      </c>
      <c r="N69" t="str">
        <f t="shared" si="24"/>
        <v/>
      </c>
      <c r="O69" s="39">
        <f t="shared" si="25"/>
        <v>0</v>
      </c>
      <c r="Q69">
        <f t="shared" si="26"/>
        <v>250.18203389001673</v>
      </c>
      <c r="R69">
        <f t="shared" si="27"/>
        <v>250.18203389001673</v>
      </c>
      <c r="S69" t="str">
        <f t="shared" si="28"/>
        <v/>
      </c>
      <c r="T69" s="39">
        <f t="shared" si="29"/>
        <v>0</v>
      </c>
      <c r="U69">
        <f t="shared" si="30"/>
        <v>2017</v>
      </c>
      <c r="V69">
        <f t="shared" si="31"/>
        <v>2017</v>
      </c>
    </row>
    <row r="70" spans="1:22" x14ac:dyDescent="0.25">
      <c r="A70" t="s">
        <v>52</v>
      </c>
      <c r="B70" t="s">
        <v>53</v>
      </c>
      <c r="C70" s="1">
        <v>42979</v>
      </c>
      <c r="D70">
        <v>9974.4</v>
      </c>
      <c r="E70" s="1">
        <v>43000</v>
      </c>
      <c r="F70">
        <v>9964.4</v>
      </c>
      <c r="G70" s="2">
        <v>-1E-3</v>
      </c>
      <c r="H70" s="40">
        <f t="shared" si="18"/>
        <v>21</v>
      </c>
      <c r="I70" s="4">
        <f t="shared" si="19"/>
        <v>1.5E-3</v>
      </c>
      <c r="J70" s="4">
        <f t="shared" si="20"/>
        <v>3.4999999999999996E-3</v>
      </c>
      <c r="K70" s="4">
        <f t="shared" si="21"/>
        <v>-5.9999999999999993E-3</v>
      </c>
      <c r="L70">
        <f t="shared" si="22"/>
        <v>343.4330091948172</v>
      </c>
      <c r="M70">
        <f t="shared" si="23"/>
        <v>343.77678598079802</v>
      </c>
      <c r="N70">
        <f t="shared" si="24"/>
        <v>-0.34377678598082184</v>
      </c>
      <c r="O70" s="39">
        <f t="shared" si="25"/>
        <v>-1.0000000000000692E-3</v>
      </c>
      <c r="Q70">
        <f t="shared" si="26"/>
        <v>248.68094168667662</v>
      </c>
      <c r="R70">
        <f t="shared" si="27"/>
        <v>250.18203389001673</v>
      </c>
      <c r="S70">
        <f t="shared" si="28"/>
        <v>-1.5010922033401073</v>
      </c>
      <c r="T70" s="39">
        <f t="shared" si="29"/>
        <v>-6.0000000000000279E-3</v>
      </c>
      <c r="U70">
        <f t="shared" si="30"/>
        <v>2017</v>
      </c>
      <c r="V70">
        <f t="shared" si="31"/>
        <v>2017</v>
      </c>
    </row>
    <row r="71" spans="1:22" x14ac:dyDescent="0.25">
      <c r="A71" t="s">
        <v>52</v>
      </c>
      <c r="B71" t="s">
        <v>53</v>
      </c>
      <c r="C71" s="1">
        <v>43020</v>
      </c>
      <c r="D71">
        <v>10096.4</v>
      </c>
      <c r="E71" s="1">
        <v>43047</v>
      </c>
      <c r="F71">
        <v>10303.15</v>
      </c>
      <c r="G71" s="2">
        <v>2.0500000000000001E-2</v>
      </c>
      <c r="H71" s="40">
        <f t="shared" si="18"/>
        <v>27</v>
      </c>
      <c r="I71" s="4">
        <f t="shared" si="19"/>
        <v>1.5E-3</v>
      </c>
      <c r="J71" s="4">
        <f t="shared" si="20"/>
        <v>4.5000000000000005E-3</v>
      </c>
      <c r="K71" s="4">
        <f t="shared" si="21"/>
        <v>1.4500000000000001E-2</v>
      </c>
      <c r="L71">
        <f t="shared" si="22"/>
        <v>350.47338588331093</v>
      </c>
      <c r="M71">
        <f t="shared" si="23"/>
        <v>350.47338588331093</v>
      </c>
      <c r="N71" t="str">
        <f t="shared" si="24"/>
        <v/>
      </c>
      <c r="O71" s="39">
        <f t="shared" si="25"/>
        <v>0</v>
      </c>
      <c r="Q71">
        <f t="shared" si="26"/>
        <v>252.2868153411334</v>
      </c>
      <c r="R71">
        <f t="shared" si="27"/>
        <v>252.2868153411334</v>
      </c>
      <c r="S71" t="str">
        <f t="shared" si="28"/>
        <v/>
      </c>
      <c r="T71" s="39">
        <f t="shared" si="29"/>
        <v>0</v>
      </c>
      <c r="U71">
        <f t="shared" si="30"/>
        <v>2017</v>
      </c>
      <c r="V71">
        <f t="shared" si="31"/>
        <v>2017</v>
      </c>
    </row>
    <row r="72" spans="1:22" x14ac:dyDescent="0.25">
      <c r="A72" t="s">
        <v>52</v>
      </c>
      <c r="B72" t="s">
        <v>53</v>
      </c>
      <c r="C72" s="1">
        <v>43060</v>
      </c>
      <c r="D72">
        <v>10326.9</v>
      </c>
      <c r="E72" s="1">
        <v>43069</v>
      </c>
      <c r="F72">
        <v>10226.549999999999</v>
      </c>
      <c r="G72" s="2">
        <v>-9.7000000000000003E-3</v>
      </c>
      <c r="H72" s="40">
        <f t="shared" si="18"/>
        <v>9</v>
      </c>
      <c r="I72" s="4">
        <f t="shared" si="19"/>
        <v>1.5E-3</v>
      </c>
      <c r="J72" s="4">
        <f t="shared" si="20"/>
        <v>1.5E-3</v>
      </c>
      <c r="K72" s="4">
        <f t="shared" si="21"/>
        <v>-1.2699999999999999E-2</v>
      </c>
      <c r="L72">
        <f t="shared" si="22"/>
        <v>347.07379404024277</v>
      </c>
      <c r="M72">
        <f t="shared" si="23"/>
        <v>350.47338588331093</v>
      </c>
      <c r="N72">
        <f t="shared" si="24"/>
        <v>-3.3995918430681513</v>
      </c>
      <c r="O72" s="39">
        <f t="shared" si="25"/>
        <v>-9.7000000000001009E-3</v>
      </c>
      <c r="Q72">
        <f t="shared" si="26"/>
        <v>249.08277278630101</v>
      </c>
      <c r="R72">
        <f t="shared" si="27"/>
        <v>252.2868153411334</v>
      </c>
      <c r="S72">
        <f t="shared" si="28"/>
        <v>-3.2040425548323981</v>
      </c>
      <c r="T72" s="39">
        <f t="shared" si="29"/>
        <v>-1.2700000000000015E-2</v>
      </c>
      <c r="U72">
        <f t="shared" si="30"/>
        <v>2017</v>
      </c>
      <c r="V72">
        <f t="shared" si="31"/>
        <v>2017</v>
      </c>
    </row>
    <row r="73" spans="1:22" x14ac:dyDescent="0.25">
      <c r="A73" t="s">
        <v>52</v>
      </c>
      <c r="B73" t="s">
        <v>53</v>
      </c>
      <c r="C73" s="1">
        <v>43080</v>
      </c>
      <c r="D73">
        <v>10322.25</v>
      </c>
      <c r="E73" s="1">
        <v>43133</v>
      </c>
      <c r="F73">
        <v>10760.6</v>
      </c>
      <c r="G73" s="2">
        <v>4.2500000000000003E-2</v>
      </c>
      <c r="H73" s="40">
        <f t="shared" si="18"/>
        <v>53</v>
      </c>
      <c r="I73" s="4">
        <f t="shared" si="19"/>
        <v>1.5E-3</v>
      </c>
      <c r="J73" s="4">
        <f t="shared" si="20"/>
        <v>8.8333333333333337E-3</v>
      </c>
      <c r="K73" s="4">
        <f t="shared" si="21"/>
        <v>3.216666666666667E-2</v>
      </c>
      <c r="L73">
        <f t="shared" si="22"/>
        <v>361.82443028695309</v>
      </c>
      <c r="M73">
        <f t="shared" si="23"/>
        <v>361.82443028695309</v>
      </c>
      <c r="N73" t="str">
        <f t="shared" si="24"/>
        <v/>
      </c>
      <c r="O73" s="39">
        <f t="shared" si="25"/>
        <v>0</v>
      </c>
      <c r="Q73">
        <f t="shared" si="26"/>
        <v>257.09493531092704</v>
      </c>
      <c r="R73">
        <f t="shared" si="27"/>
        <v>257.09493531092704</v>
      </c>
      <c r="S73" t="str">
        <f t="shared" si="28"/>
        <v/>
      </c>
      <c r="T73" s="39">
        <f t="shared" si="29"/>
        <v>0</v>
      </c>
      <c r="U73">
        <f t="shared" si="30"/>
        <v>2018</v>
      </c>
      <c r="V73">
        <f t="shared" si="31"/>
        <v>2017</v>
      </c>
    </row>
    <row r="74" spans="1:22" x14ac:dyDescent="0.25">
      <c r="A74" t="s">
        <v>52</v>
      </c>
      <c r="B74" t="s">
        <v>53</v>
      </c>
      <c r="C74" s="1">
        <v>43518</v>
      </c>
      <c r="D74">
        <v>10791.65</v>
      </c>
      <c r="E74" s="1">
        <v>43577</v>
      </c>
      <c r="F74">
        <v>11594.45</v>
      </c>
      <c r="G74" s="2">
        <v>7.4399999999999994E-2</v>
      </c>
      <c r="H74" s="40">
        <f t="shared" si="18"/>
        <v>59</v>
      </c>
      <c r="I74" s="4">
        <f t="shared" si="19"/>
        <v>1.5E-3</v>
      </c>
      <c r="J74" s="4">
        <f t="shared" si="20"/>
        <v>9.8333333333333328E-3</v>
      </c>
      <c r="K74" s="4">
        <f t="shared" si="21"/>
        <v>6.306666666666666E-2</v>
      </c>
      <c r="L74">
        <f t="shared" si="22"/>
        <v>388.74416790030239</v>
      </c>
      <c r="M74">
        <f t="shared" si="23"/>
        <v>388.74416790030239</v>
      </c>
      <c r="N74" t="str">
        <f t="shared" si="24"/>
        <v/>
      </c>
      <c r="O74" s="39">
        <f t="shared" si="25"/>
        <v>0</v>
      </c>
      <c r="Q74">
        <f t="shared" si="26"/>
        <v>273.30905589786948</v>
      </c>
      <c r="R74">
        <f t="shared" si="27"/>
        <v>273.30905589786948</v>
      </c>
      <c r="S74" t="str">
        <f t="shared" si="28"/>
        <v/>
      </c>
      <c r="T74" s="39">
        <f t="shared" si="29"/>
        <v>0</v>
      </c>
      <c r="U74">
        <f t="shared" si="30"/>
        <v>2019</v>
      </c>
      <c r="V74">
        <f t="shared" si="31"/>
        <v>2019</v>
      </c>
    </row>
    <row r="75" spans="1:22" x14ac:dyDescent="0.25">
      <c r="A75" t="s">
        <v>52</v>
      </c>
      <c r="B75" t="s">
        <v>53</v>
      </c>
      <c r="C75" s="1">
        <v>43700</v>
      </c>
      <c r="D75">
        <v>10829.35</v>
      </c>
      <c r="E75" s="1">
        <v>43725</v>
      </c>
      <c r="F75">
        <v>10817.6</v>
      </c>
      <c r="G75" s="2">
        <v>-1.1000000000000001E-3</v>
      </c>
      <c r="H75" s="40">
        <f t="shared" si="18"/>
        <v>25</v>
      </c>
      <c r="I75" s="4">
        <f t="shared" si="19"/>
        <v>1.5E-3</v>
      </c>
      <c r="J75" s="4">
        <f t="shared" si="20"/>
        <v>4.1666666666666666E-3</v>
      </c>
      <c r="K75" s="4">
        <f t="shared" si="21"/>
        <v>-6.7666666666666674E-3</v>
      </c>
      <c r="L75">
        <f t="shared" si="22"/>
        <v>388.31654931561206</v>
      </c>
      <c r="M75">
        <f t="shared" si="23"/>
        <v>388.74416790030239</v>
      </c>
      <c r="N75">
        <f t="shared" si="24"/>
        <v>-0.42761858469032177</v>
      </c>
      <c r="O75" s="39">
        <f t="shared" si="25"/>
        <v>-1.0999999999999721E-3</v>
      </c>
      <c r="Q75">
        <f t="shared" si="26"/>
        <v>271.45966461962723</v>
      </c>
      <c r="R75">
        <f t="shared" si="27"/>
        <v>273.30905589786948</v>
      </c>
      <c r="S75">
        <f t="shared" si="28"/>
        <v>-1.8493912782422512</v>
      </c>
      <c r="T75" s="39">
        <f t="shared" si="29"/>
        <v>-6.7666666666666708E-3</v>
      </c>
      <c r="U75">
        <f t="shared" si="30"/>
        <v>2019</v>
      </c>
      <c r="V75">
        <f t="shared" si="31"/>
        <v>2019</v>
      </c>
    </row>
    <row r="76" spans="1:22" x14ac:dyDescent="0.25">
      <c r="A76" t="s">
        <v>52</v>
      </c>
      <c r="B76" t="s">
        <v>53</v>
      </c>
      <c r="C76" s="1">
        <v>43728</v>
      </c>
      <c r="D76">
        <v>11274.2</v>
      </c>
      <c r="E76" s="1">
        <v>43742</v>
      </c>
      <c r="F76">
        <v>11174.75</v>
      </c>
      <c r="G76" s="2">
        <v>-8.8000000000000005E-3</v>
      </c>
      <c r="H76" s="40">
        <f t="shared" si="18"/>
        <v>14</v>
      </c>
      <c r="I76" s="4">
        <f t="shared" si="19"/>
        <v>1.5E-3</v>
      </c>
      <c r="J76" s="4">
        <f t="shared" si="20"/>
        <v>2.3333333333333335E-3</v>
      </c>
      <c r="K76" s="4">
        <f t="shared" si="21"/>
        <v>-1.2633333333333333E-2</v>
      </c>
      <c r="L76">
        <f t="shared" si="22"/>
        <v>384.89936368163467</v>
      </c>
      <c r="M76">
        <f t="shared" si="23"/>
        <v>388.74416790030239</v>
      </c>
      <c r="N76">
        <f t="shared" si="24"/>
        <v>-3.8448042186677185</v>
      </c>
      <c r="O76" s="39">
        <f t="shared" si="25"/>
        <v>-9.8903199999999993E-3</v>
      </c>
      <c r="Q76">
        <f t="shared" si="26"/>
        <v>268.0302241899326</v>
      </c>
      <c r="R76">
        <f t="shared" si="27"/>
        <v>273.30905589786948</v>
      </c>
      <c r="S76">
        <f t="shared" si="28"/>
        <v>-5.2788317079368881</v>
      </c>
      <c r="T76" s="39">
        <f t="shared" si="29"/>
        <v>-1.9314514444444496E-2</v>
      </c>
      <c r="U76">
        <f t="shared" si="30"/>
        <v>2019</v>
      </c>
      <c r="V76">
        <f t="shared" si="31"/>
        <v>2019</v>
      </c>
    </row>
    <row r="77" spans="1:22" x14ac:dyDescent="0.25">
      <c r="A77" t="s">
        <v>52</v>
      </c>
      <c r="B77" t="s">
        <v>53</v>
      </c>
      <c r="C77" s="1">
        <v>43755</v>
      </c>
      <c r="D77">
        <v>11586.35</v>
      </c>
      <c r="E77" s="1">
        <v>43805</v>
      </c>
      <c r="F77">
        <v>11921.5</v>
      </c>
      <c r="G77" s="2">
        <v>2.8899999999999999E-2</v>
      </c>
      <c r="H77" s="40">
        <f t="shared" si="18"/>
        <v>50</v>
      </c>
      <c r="I77" s="4">
        <f t="shared" si="19"/>
        <v>1.5E-3</v>
      </c>
      <c r="J77" s="4">
        <f t="shared" si="20"/>
        <v>8.3333333333333332E-3</v>
      </c>
      <c r="K77" s="4">
        <f t="shared" si="21"/>
        <v>1.9066666666666666E-2</v>
      </c>
      <c r="L77">
        <f t="shared" si="22"/>
        <v>396.02295529203388</v>
      </c>
      <c r="M77">
        <f t="shared" si="23"/>
        <v>396.02295529203388</v>
      </c>
      <c r="N77" t="str">
        <f t="shared" si="24"/>
        <v/>
      </c>
      <c r="O77" s="39">
        <f t="shared" si="25"/>
        <v>0</v>
      </c>
      <c r="Q77">
        <f t="shared" si="26"/>
        <v>273.14066713115398</v>
      </c>
      <c r="R77">
        <f t="shared" si="27"/>
        <v>273.30905589786948</v>
      </c>
      <c r="S77">
        <f t="shared" si="28"/>
        <v>-0.16838876671550906</v>
      </c>
      <c r="T77" s="39">
        <f t="shared" si="29"/>
        <v>-6.1611118651857925E-4</v>
      </c>
      <c r="U77">
        <f t="shared" si="30"/>
        <v>2019</v>
      </c>
      <c r="V77">
        <f t="shared" si="31"/>
        <v>2019</v>
      </c>
    </row>
    <row r="78" spans="1:22" x14ac:dyDescent="0.25">
      <c r="A78" t="s">
        <v>52</v>
      </c>
      <c r="B78" t="s">
        <v>53</v>
      </c>
      <c r="C78" s="1">
        <v>43816</v>
      </c>
      <c r="D78">
        <v>12165</v>
      </c>
      <c r="E78" s="1">
        <v>43836</v>
      </c>
      <c r="F78">
        <v>11993.05</v>
      </c>
      <c r="G78" s="2">
        <v>-1.41E-2</v>
      </c>
      <c r="H78" s="40">
        <f t="shared" si="18"/>
        <v>20</v>
      </c>
      <c r="I78" s="4">
        <f t="shared" si="19"/>
        <v>1.5E-3</v>
      </c>
      <c r="J78" s="4">
        <f t="shared" si="20"/>
        <v>3.3333333333333331E-3</v>
      </c>
      <c r="K78" s="4">
        <f t="shared" si="21"/>
        <v>-1.8933333333333333E-2</v>
      </c>
      <c r="L78">
        <f t="shared" si="22"/>
        <v>390.43903162241622</v>
      </c>
      <c r="M78">
        <f t="shared" si="23"/>
        <v>396.02295529203388</v>
      </c>
      <c r="N78">
        <f t="shared" si="24"/>
        <v>-5.5839236696176613</v>
      </c>
      <c r="O78" s="39">
        <f t="shared" si="25"/>
        <v>-1.4099999999999958E-2</v>
      </c>
      <c r="Q78">
        <f t="shared" si="26"/>
        <v>267.96920383347077</v>
      </c>
      <c r="R78">
        <f t="shared" si="27"/>
        <v>273.30905589786948</v>
      </c>
      <c r="S78">
        <f t="shared" si="28"/>
        <v>-5.3398520643987126</v>
      </c>
      <c r="T78" s="39">
        <f t="shared" si="29"/>
        <v>-1.9537779481387241E-2</v>
      </c>
      <c r="U78">
        <f t="shared" si="30"/>
        <v>2020</v>
      </c>
      <c r="V78">
        <f t="shared" si="31"/>
        <v>2019</v>
      </c>
    </row>
    <row r="79" spans="1:22" x14ac:dyDescent="0.25">
      <c r="A79" t="s">
        <v>52</v>
      </c>
      <c r="B79" t="s">
        <v>53</v>
      </c>
      <c r="C79" s="1">
        <v>43843</v>
      </c>
      <c r="D79">
        <v>12329.55</v>
      </c>
      <c r="E79" s="1">
        <v>43851</v>
      </c>
      <c r="F79">
        <v>12169.85</v>
      </c>
      <c r="G79" s="2">
        <v>-1.2999999999999999E-2</v>
      </c>
      <c r="H79" s="40">
        <f t="shared" si="18"/>
        <v>8</v>
      </c>
      <c r="I79" s="4">
        <f t="shared" si="19"/>
        <v>1.5E-3</v>
      </c>
      <c r="J79" s="4">
        <f t="shared" si="20"/>
        <v>1.3333333333333333E-3</v>
      </c>
      <c r="K79" s="4">
        <f t="shared" si="21"/>
        <v>-1.5833333333333331E-2</v>
      </c>
      <c r="L79">
        <f t="shared" si="22"/>
        <v>385.36332421132482</v>
      </c>
      <c r="M79">
        <f t="shared" si="23"/>
        <v>396.02295529203388</v>
      </c>
      <c r="N79">
        <f t="shared" si="24"/>
        <v>-10.659631080709062</v>
      </c>
      <c r="O79" s="39">
        <f t="shared" si="25"/>
        <v>-2.6916699999999932E-2</v>
      </c>
      <c r="Q79">
        <f t="shared" si="26"/>
        <v>263.72635810610745</v>
      </c>
      <c r="R79">
        <f t="shared" si="27"/>
        <v>273.30905589786948</v>
      </c>
      <c r="S79">
        <f t="shared" si="28"/>
        <v>-9.5826977917620297</v>
      </c>
      <c r="T79" s="39">
        <f t="shared" si="29"/>
        <v>-3.5061764639598716E-2</v>
      </c>
      <c r="U79">
        <f t="shared" si="30"/>
        <v>2020</v>
      </c>
      <c r="V79">
        <f t="shared" si="31"/>
        <v>2020</v>
      </c>
    </row>
    <row r="80" spans="1:22" x14ac:dyDescent="0.25">
      <c r="A80" t="s">
        <v>52</v>
      </c>
      <c r="B80" t="s">
        <v>53</v>
      </c>
      <c r="C80" s="1">
        <v>43866</v>
      </c>
      <c r="D80">
        <v>12089.15</v>
      </c>
      <c r="E80" s="1">
        <v>43885</v>
      </c>
      <c r="F80">
        <v>11829.4</v>
      </c>
      <c r="G80" s="2">
        <v>-2.1499999999999998E-2</v>
      </c>
      <c r="H80" s="40">
        <f t="shared" si="18"/>
        <v>19</v>
      </c>
      <c r="I80" s="4">
        <f t="shared" si="19"/>
        <v>1.5E-3</v>
      </c>
      <c r="J80" s="4">
        <f t="shared" si="20"/>
        <v>3.1666666666666666E-3</v>
      </c>
      <c r="K80" s="4">
        <f t="shared" si="21"/>
        <v>-2.6166666666666664E-2</v>
      </c>
      <c r="L80">
        <f t="shared" si="22"/>
        <v>377.07801274078133</v>
      </c>
      <c r="M80">
        <f t="shared" si="23"/>
        <v>396.02295529203388</v>
      </c>
      <c r="N80">
        <f t="shared" si="24"/>
        <v>-18.944942551252552</v>
      </c>
      <c r="O80" s="39">
        <f t="shared" si="25"/>
        <v>-4.7837990949999951E-2</v>
      </c>
      <c r="Q80">
        <f t="shared" si="26"/>
        <v>256.825518402331</v>
      </c>
      <c r="R80">
        <f t="shared" si="27"/>
        <v>273.30905589786948</v>
      </c>
      <c r="S80">
        <f t="shared" si="28"/>
        <v>-16.483537495538485</v>
      </c>
      <c r="T80" s="39">
        <f t="shared" si="29"/>
        <v>-6.0310981798195801E-2</v>
      </c>
      <c r="U80">
        <f t="shared" si="30"/>
        <v>2020</v>
      </c>
      <c r="V80">
        <f t="shared" si="31"/>
        <v>2020</v>
      </c>
    </row>
    <row r="81" spans="1:22" x14ac:dyDescent="0.25">
      <c r="A81" t="s">
        <v>52</v>
      </c>
      <c r="B81" t="s">
        <v>53</v>
      </c>
      <c r="C81" s="1">
        <v>43914</v>
      </c>
      <c r="D81">
        <v>7801.05</v>
      </c>
      <c r="E81" s="1">
        <v>43955</v>
      </c>
      <c r="F81">
        <v>9293.5</v>
      </c>
      <c r="G81" s="2">
        <v>0.1913</v>
      </c>
      <c r="H81" s="40">
        <f t="shared" si="18"/>
        <v>41</v>
      </c>
      <c r="I81" s="4">
        <f t="shared" si="19"/>
        <v>1.5E-3</v>
      </c>
      <c r="J81" s="4">
        <f t="shared" si="20"/>
        <v>6.8333333333333336E-3</v>
      </c>
      <c r="K81" s="4">
        <f t="shared" si="21"/>
        <v>0.18296666666666667</v>
      </c>
      <c r="L81">
        <f t="shared" si="22"/>
        <v>449.21303657809278</v>
      </c>
      <c r="M81">
        <f t="shared" si="23"/>
        <v>449.21303657809278</v>
      </c>
      <c r="N81" t="str">
        <f t="shared" si="24"/>
        <v/>
      </c>
      <c r="O81" s="39">
        <f t="shared" si="25"/>
        <v>0</v>
      </c>
      <c r="Q81">
        <f t="shared" si="26"/>
        <v>303.81602741934415</v>
      </c>
      <c r="R81">
        <f t="shared" si="27"/>
        <v>303.81602741934415</v>
      </c>
      <c r="S81" t="str">
        <f t="shared" si="28"/>
        <v/>
      </c>
      <c r="T81" s="39">
        <f t="shared" si="29"/>
        <v>0</v>
      </c>
      <c r="U81">
        <f t="shared" si="30"/>
        <v>2020</v>
      </c>
      <c r="V81">
        <f t="shared" si="31"/>
        <v>2020</v>
      </c>
    </row>
    <row r="82" spans="1:22" x14ac:dyDescent="0.25">
      <c r="A82" t="s">
        <v>52</v>
      </c>
      <c r="B82" t="s">
        <v>53</v>
      </c>
      <c r="C82" s="1">
        <v>43979</v>
      </c>
      <c r="D82">
        <v>9490.1</v>
      </c>
      <c r="E82" s="1">
        <v>43997</v>
      </c>
      <c r="F82">
        <v>9813.7000000000007</v>
      </c>
      <c r="G82" s="2">
        <v>3.4099999999999998E-2</v>
      </c>
      <c r="H82" s="40">
        <f t="shared" si="18"/>
        <v>18</v>
      </c>
      <c r="I82" s="4">
        <f t="shared" si="19"/>
        <v>1.5E-3</v>
      </c>
      <c r="J82" s="4">
        <f t="shared" si="20"/>
        <v>3.0000000000000001E-3</v>
      </c>
      <c r="K82" s="4">
        <f t="shared" si="21"/>
        <v>2.9599999999999998E-2</v>
      </c>
      <c r="L82">
        <f t="shared" si="22"/>
        <v>464.53120112540574</v>
      </c>
      <c r="M82">
        <f t="shared" si="23"/>
        <v>464.53120112540574</v>
      </c>
      <c r="N82" t="str">
        <f t="shared" si="24"/>
        <v/>
      </c>
      <c r="O82" s="39">
        <f t="shared" si="25"/>
        <v>0</v>
      </c>
      <c r="Q82">
        <f t="shared" si="26"/>
        <v>312.80898183095678</v>
      </c>
      <c r="R82">
        <f t="shared" si="27"/>
        <v>312.80898183095678</v>
      </c>
      <c r="S82" t="str">
        <f t="shared" si="28"/>
        <v/>
      </c>
      <c r="T82" s="39">
        <f t="shared" si="29"/>
        <v>0</v>
      </c>
      <c r="U82">
        <f t="shared" si="30"/>
        <v>2020</v>
      </c>
      <c r="V82">
        <f t="shared" si="31"/>
        <v>2020</v>
      </c>
    </row>
    <row r="83" spans="1:22" x14ac:dyDescent="0.25">
      <c r="A83" t="s">
        <v>52</v>
      </c>
      <c r="B83" t="s">
        <v>53</v>
      </c>
      <c r="C83" s="1">
        <v>44005</v>
      </c>
      <c r="D83">
        <v>10471</v>
      </c>
      <c r="E83" s="1">
        <v>44046</v>
      </c>
      <c r="F83">
        <v>10891.6</v>
      </c>
      <c r="G83" s="2">
        <v>4.02E-2</v>
      </c>
      <c r="H83" s="40">
        <f t="shared" si="18"/>
        <v>41</v>
      </c>
      <c r="I83" s="4">
        <f t="shared" si="19"/>
        <v>1.5E-3</v>
      </c>
      <c r="J83" s="4">
        <f t="shared" si="20"/>
        <v>6.8333333333333336E-3</v>
      </c>
      <c r="K83" s="4">
        <f t="shared" si="21"/>
        <v>3.1866666666666668E-2</v>
      </c>
      <c r="L83">
        <f t="shared" si="22"/>
        <v>483.20535541064709</v>
      </c>
      <c r="M83">
        <f t="shared" si="23"/>
        <v>483.20535541064709</v>
      </c>
      <c r="N83" t="str">
        <f t="shared" si="24"/>
        <v/>
      </c>
      <c r="O83" s="39">
        <f t="shared" si="25"/>
        <v>0</v>
      </c>
      <c r="Q83">
        <f t="shared" si="26"/>
        <v>322.77716138530326</v>
      </c>
      <c r="R83">
        <f t="shared" si="27"/>
        <v>322.77716138530326</v>
      </c>
      <c r="S83" t="str">
        <f t="shared" si="28"/>
        <v/>
      </c>
      <c r="T83" s="39">
        <f t="shared" si="29"/>
        <v>0</v>
      </c>
      <c r="U83">
        <f t="shared" si="30"/>
        <v>2020</v>
      </c>
      <c r="V83">
        <f t="shared" si="31"/>
        <v>2020</v>
      </c>
    </row>
    <row r="84" spans="1:22" x14ac:dyDescent="0.25">
      <c r="A84" t="s">
        <v>52</v>
      </c>
      <c r="B84" t="s">
        <v>53</v>
      </c>
      <c r="C84" s="1">
        <v>44061</v>
      </c>
      <c r="D84">
        <v>11385.35</v>
      </c>
      <c r="E84" s="1">
        <v>44074</v>
      </c>
      <c r="F84">
        <v>11387.5</v>
      </c>
      <c r="G84" s="2">
        <v>2.0000000000000001E-4</v>
      </c>
      <c r="H84" s="40">
        <f t="shared" si="18"/>
        <v>13</v>
      </c>
      <c r="I84" s="4">
        <f t="shared" si="19"/>
        <v>1.5E-3</v>
      </c>
      <c r="J84" s="4">
        <f t="shared" si="20"/>
        <v>2.166666666666667E-3</v>
      </c>
      <c r="K84" s="4">
        <f t="shared" si="21"/>
        <v>-3.4666666666666669E-3</v>
      </c>
      <c r="L84">
        <f t="shared" si="22"/>
        <v>483.30199648172919</v>
      </c>
      <c r="M84">
        <f t="shared" si="23"/>
        <v>483.30199648172919</v>
      </c>
      <c r="N84" t="str">
        <f t="shared" si="24"/>
        <v/>
      </c>
      <c r="O84" s="39">
        <f t="shared" si="25"/>
        <v>0</v>
      </c>
      <c r="Q84">
        <f t="shared" si="26"/>
        <v>321.65820055916754</v>
      </c>
      <c r="R84">
        <f t="shared" si="27"/>
        <v>322.77716138530326</v>
      </c>
      <c r="S84">
        <f t="shared" si="28"/>
        <v>-1.1189608261357193</v>
      </c>
      <c r="T84" s="39">
        <f t="shared" si="29"/>
        <v>-3.4666666666666708E-3</v>
      </c>
      <c r="U84">
        <f t="shared" si="30"/>
        <v>2020</v>
      </c>
      <c r="V84">
        <f t="shared" si="31"/>
        <v>2020</v>
      </c>
    </row>
    <row r="85" spans="1:22" x14ac:dyDescent="0.25">
      <c r="A85" t="s">
        <v>52</v>
      </c>
      <c r="B85" t="s">
        <v>53</v>
      </c>
      <c r="C85" s="1">
        <v>44090</v>
      </c>
      <c r="D85">
        <v>11604.55</v>
      </c>
      <c r="E85" s="1">
        <v>44095</v>
      </c>
      <c r="F85">
        <v>11250.55</v>
      </c>
      <c r="G85" s="2">
        <v>-3.0499999999999999E-2</v>
      </c>
      <c r="H85" s="40">
        <f t="shared" si="18"/>
        <v>5</v>
      </c>
      <c r="I85" s="4">
        <f t="shared" si="19"/>
        <v>1.5E-3</v>
      </c>
      <c r="J85" s="4">
        <f t="shared" si="20"/>
        <v>8.3333333333333328E-4</v>
      </c>
      <c r="K85" s="4">
        <f t="shared" si="21"/>
        <v>-3.2833333333333332E-2</v>
      </c>
      <c r="L85">
        <f t="shared" si="22"/>
        <v>468.56128558903646</v>
      </c>
      <c r="M85">
        <f t="shared" si="23"/>
        <v>483.30199648172919</v>
      </c>
      <c r="N85">
        <f t="shared" si="24"/>
        <v>-14.740710892692732</v>
      </c>
      <c r="O85" s="39">
        <f t="shared" si="25"/>
        <v>-3.0499999999999982E-2</v>
      </c>
      <c r="Q85">
        <f t="shared" si="26"/>
        <v>311.09708964080818</v>
      </c>
      <c r="R85">
        <f t="shared" si="27"/>
        <v>322.77716138530326</v>
      </c>
      <c r="S85">
        <f t="shared" si="28"/>
        <v>-11.680071744495081</v>
      </c>
      <c r="T85" s="39">
        <f t="shared" si="29"/>
        <v>-3.6186177777777863E-2</v>
      </c>
      <c r="U85">
        <f t="shared" si="30"/>
        <v>2020</v>
      </c>
      <c r="V85">
        <f t="shared" si="31"/>
        <v>2020</v>
      </c>
    </row>
    <row r="86" spans="1:22" x14ac:dyDescent="0.25">
      <c r="A86" t="s">
        <v>52</v>
      </c>
      <c r="B86" t="s">
        <v>53</v>
      </c>
      <c r="C86" s="1">
        <v>44105</v>
      </c>
      <c r="D86">
        <v>11416.95</v>
      </c>
      <c r="E86" s="1">
        <v>44134</v>
      </c>
      <c r="F86">
        <v>11642.4</v>
      </c>
      <c r="G86" s="2">
        <v>1.9699999999999999E-2</v>
      </c>
      <c r="H86" s="40">
        <f t="shared" si="18"/>
        <v>29</v>
      </c>
      <c r="I86" s="4">
        <f t="shared" si="19"/>
        <v>1.5E-3</v>
      </c>
      <c r="J86" s="4">
        <f t="shared" si="20"/>
        <v>4.8333333333333336E-3</v>
      </c>
      <c r="K86" s="4">
        <f t="shared" si="21"/>
        <v>1.3366666666666666E-2</v>
      </c>
      <c r="L86">
        <f t="shared" si="22"/>
        <v>477.79194291514051</v>
      </c>
      <c r="M86">
        <f t="shared" si="23"/>
        <v>483.30199648172919</v>
      </c>
      <c r="N86">
        <f t="shared" si="24"/>
        <v>-5.510053566588681</v>
      </c>
      <c r="O86" s="39">
        <f t="shared" si="25"/>
        <v>-1.1400849999999914E-2</v>
      </c>
      <c r="Q86">
        <f t="shared" si="26"/>
        <v>315.25542073900698</v>
      </c>
      <c r="R86">
        <f t="shared" si="27"/>
        <v>322.77716138530326</v>
      </c>
      <c r="S86">
        <f t="shared" si="28"/>
        <v>-7.5217406462962799</v>
      </c>
      <c r="T86" s="39">
        <f t="shared" si="29"/>
        <v>-2.3303199687407503E-2</v>
      </c>
      <c r="U86">
        <f t="shared" si="30"/>
        <v>2020</v>
      </c>
      <c r="V86">
        <f t="shared" si="31"/>
        <v>2020</v>
      </c>
    </row>
    <row r="87" spans="1:22" x14ac:dyDescent="0.25">
      <c r="A87" t="s">
        <v>52</v>
      </c>
      <c r="B87" t="s">
        <v>53</v>
      </c>
      <c r="C87" s="1">
        <v>44140</v>
      </c>
      <c r="D87">
        <v>12120.3</v>
      </c>
      <c r="E87" s="1">
        <v>44186</v>
      </c>
      <c r="F87">
        <v>13328.4</v>
      </c>
      <c r="G87" s="2">
        <v>9.9699999999999997E-2</v>
      </c>
      <c r="H87" s="40">
        <f t="shared" si="18"/>
        <v>46</v>
      </c>
      <c r="I87" s="4">
        <f t="shared" si="19"/>
        <v>1.5E-3</v>
      </c>
      <c r="J87" s="4">
        <f t="shared" si="20"/>
        <v>7.6666666666666671E-3</v>
      </c>
      <c r="K87" s="4">
        <f t="shared" si="21"/>
        <v>9.0533333333333327E-2</v>
      </c>
      <c r="L87">
        <f t="shared" si="22"/>
        <v>525.42779962377995</v>
      </c>
      <c r="M87">
        <f t="shared" si="23"/>
        <v>525.42779962377995</v>
      </c>
      <c r="N87" t="str">
        <f t="shared" si="24"/>
        <v/>
      </c>
      <c r="O87" s="39">
        <f t="shared" si="25"/>
        <v>0</v>
      </c>
      <c r="Q87">
        <f t="shared" si="26"/>
        <v>343.79654482991174</v>
      </c>
      <c r="R87">
        <f t="shared" si="27"/>
        <v>343.79654482991174</v>
      </c>
      <c r="S87" t="str">
        <f t="shared" si="28"/>
        <v/>
      </c>
      <c r="T87" s="39">
        <f t="shared" si="29"/>
        <v>0</v>
      </c>
      <c r="U87">
        <f t="shared" si="30"/>
        <v>2020</v>
      </c>
      <c r="V87">
        <f t="shared" si="31"/>
        <v>2020</v>
      </c>
    </row>
    <row r="88" spans="1:22" x14ac:dyDescent="0.25">
      <c r="A88" t="s">
        <v>52</v>
      </c>
      <c r="B88" t="s">
        <v>53</v>
      </c>
      <c r="C88" s="1">
        <v>44193</v>
      </c>
      <c r="D88">
        <v>13873.2</v>
      </c>
      <c r="E88" s="1">
        <v>44223</v>
      </c>
      <c r="F88">
        <v>13967.5</v>
      </c>
      <c r="G88" s="2">
        <v>6.7999999999999996E-3</v>
      </c>
      <c r="H88" s="40">
        <f t="shared" ref="H88:H112" si="32">E88-C88</f>
        <v>30</v>
      </c>
      <c r="I88" s="4">
        <f t="shared" ref="I88:I112" si="33">C$1</f>
        <v>1.5E-3</v>
      </c>
      <c r="J88" s="4">
        <f t="shared" ref="J88:J112" si="34">H88/30*D$1</f>
        <v>5.0000000000000001E-3</v>
      </c>
      <c r="K88" s="4">
        <f t="shared" ref="K88:K112" si="35">G88-SUM(I88,J88)</f>
        <v>2.9999999999999905E-4</v>
      </c>
      <c r="L88">
        <f t="shared" ref="L88:L112" si="36">L87*(1+G88)</f>
        <v>529.00070866122155</v>
      </c>
      <c r="M88">
        <f t="shared" ref="M88:M112" si="37">MAX(L88,M87)</f>
        <v>529.00070866122155</v>
      </c>
      <c r="N88" t="str">
        <f t="shared" ref="N88:N112" si="38">IF(M88&gt;L88,L88-M88,"")</f>
        <v/>
      </c>
      <c r="O88" s="39">
        <f t="shared" ref="O88:O112" si="39">IFERROR(N88/M88,0)</f>
        <v>0</v>
      </c>
      <c r="Q88">
        <f t="shared" ref="Q88:Q112" si="40">Q87*(1+K88)</f>
        <v>343.89968379336068</v>
      </c>
      <c r="R88">
        <f t="shared" ref="R88:R112" si="41">MAX(Q88,R87)</f>
        <v>343.89968379336068</v>
      </c>
      <c r="S88" t="str">
        <f t="shared" ref="S88:S112" si="42">IF(R88&gt;Q88,Q88-R88,"")</f>
        <v/>
      </c>
      <c r="T88" s="39">
        <f t="shared" ref="T88:T112" si="43">IFERROR(S88/R88,0)</f>
        <v>0</v>
      </c>
      <c r="U88">
        <f t="shared" ref="U88:U112" si="44">YEAR(E88)</f>
        <v>2021</v>
      </c>
      <c r="V88">
        <f t="shared" ref="V88:V112" si="45">YEAR(C88)</f>
        <v>2020</v>
      </c>
    </row>
    <row r="89" spans="1:22" x14ac:dyDescent="0.25">
      <c r="A89" t="s">
        <v>52</v>
      </c>
      <c r="B89" t="s">
        <v>53</v>
      </c>
      <c r="C89" s="1">
        <v>44229</v>
      </c>
      <c r="D89">
        <v>14647.85</v>
      </c>
      <c r="E89" s="1">
        <v>44246</v>
      </c>
      <c r="F89">
        <v>14981.75</v>
      </c>
      <c r="G89" s="2">
        <v>2.2800000000000001E-2</v>
      </c>
      <c r="H89" s="40">
        <f t="shared" si="32"/>
        <v>17</v>
      </c>
      <c r="I89" s="4">
        <f t="shared" si="33"/>
        <v>1.5E-3</v>
      </c>
      <c r="J89" s="4">
        <f t="shared" si="34"/>
        <v>2.8333333333333331E-3</v>
      </c>
      <c r="K89" s="4">
        <f t="shared" si="35"/>
        <v>1.8466666666666666E-2</v>
      </c>
      <c r="L89">
        <f t="shared" si="36"/>
        <v>541.06192481869732</v>
      </c>
      <c r="M89">
        <f t="shared" si="37"/>
        <v>541.06192481869732</v>
      </c>
      <c r="N89" t="str">
        <f t="shared" si="38"/>
        <v/>
      </c>
      <c r="O89" s="39">
        <f t="shared" si="39"/>
        <v>0</v>
      </c>
      <c r="Q89">
        <f t="shared" si="40"/>
        <v>350.25036462074473</v>
      </c>
      <c r="R89">
        <f t="shared" si="41"/>
        <v>350.25036462074473</v>
      </c>
      <c r="S89" t="str">
        <f t="shared" si="42"/>
        <v/>
      </c>
      <c r="T89" s="39">
        <f t="shared" si="43"/>
        <v>0</v>
      </c>
      <c r="U89">
        <f t="shared" si="44"/>
        <v>2021</v>
      </c>
      <c r="V89">
        <f t="shared" si="45"/>
        <v>2021</v>
      </c>
    </row>
    <row r="90" spans="1:22" x14ac:dyDescent="0.25">
      <c r="A90" t="s">
        <v>52</v>
      </c>
      <c r="B90" t="s">
        <v>53</v>
      </c>
      <c r="C90" s="1">
        <v>44258</v>
      </c>
      <c r="D90">
        <v>15245.6</v>
      </c>
      <c r="E90" s="1">
        <v>44272</v>
      </c>
      <c r="F90">
        <v>14721.3</v>
      </c>
      <c r="G90" s="2">
        <v>-3.44E-2</v>
      </c>
      <c r="H90" s="40">
        <f t="shared" si="32"/>
        <v>14</v>
      </c>
      <c r="I90" s="4">
        <f t="shared" si="33"/>
        <v>1.5E-3</v>
      </c>
      <c r="J90" s="4">
        <f t="shared" si="34"/>
        <v>2.3333333333333335E-3</v>
      </c>
      <c r="K90" s="4">
        <f t="shared" si="35"/>
        <v>-3.8233333333333334E-2</v>
      </c>
      <c r="L90">
        <f t="shared" si="36"/>
        <v>522.44939460493413</v>
      </c>
      <c r="M90">
        <f t="shared" si="37"/>
        <v>541.06192481869732</v>
      </c>
      <c r="N90">
        <f t="shared" si="38"/>
        <v>-18.612530213763193</v>
      </c>
      <c r="O90" s="39">
        <f t="shared" si="39"/>
        <v>-3.4400000000000007E-2</v>
      </c>
      <c r="Q90">
        <f t="shared" si="40"/>
        <v>336.85912568007825</v>
      </c>
      <c r="R90">
        <f t="shared" si="41"/>
        <v>350.25036462074473</v>
      </c>
      <c r="S90">
        <f t="shared" si="42"/>
        <v>-13.391238940666483</v>
      </c>
      <c r="T90" s="39">
        <f t="shared" si="43"/>
        <v>-3.8233333333333362E-2</v>
      </c>
      <c r="U90">
        <f t="shared" si="44"/>
        <v>2021</v>
      </c>
      <c r="V90">
        <f t="shared" si="45"/>
        <v>2021</v>
      </c>
    </row>
    <row r="91" spans="1:22" x14ac:dyDescent="0.25">
      <c r="A91" t="s">
        <v>52</v>
      </c>
      <c r="B91" t="s">
        <v>53</v>
      </c>
      <c r="C91" s="1">
        <v>44314</v>
      </c>
      <c r="D91">
        <v>14864.55</v>
      </c>
      <c r="E91" s="1">
        <v>44320</v>
      </c>
      <c r="F91">
        <v>14496.5</v>
      </c>
      <c r="G91" s="2">
        <v>-2.4799999999999999E-2</v>
      </c>
      <c r="H91" s="40">
        <f t="shared" si="32"/>
        <v>6</v>
      </c>
      <c r="I91" s="4">
        <f t="shared" si="33"/>
        <v>1.5E-3</v>
      </c>
      <c r="J91" s="4">
        <f t="shared" si="34"/>
        <v>1E-3</v>
      </c>
      <c r="K91" s="4">
        <f t="shared" si="35"/>
        <v>-2.7299999999999998E-2</v>
      </c>
      <c r="L91">
        <f t="shared" si="36"/>
        <v>509.49264961873172</v>
      </c>
      <c r="M91">
        <f t="shared" si="37"/>
        <v>541.06192481869732</v>
      </c>
      <c r="N91">
        <f t="shared" si="38"/>
        <v>-31.569275199965602</v>
      </c>
      <c r="O91" s="39">
        <f t="shared" si="39"/>
        <v>-5.8346880000000087E-2</v>
      </c>
      <c r="Q91">
        <f t="shared" si="40"/>
        <v>327.6628715490121</v>
      </c>
      <c r="R91">
        <f t="shared" si="41"/>
        <v>350.25036462074473</v>
      </c>
      <c r="S91">
        <f t="shared" si="42"/>
        <v>-22.587493071732638</v>
      </c>
      <c r="T91" s="39">
        <f t="shared" si="43"/>
        <v>-6.4489563333333416E-2</v>
      </c>
      <c r="U91">
        <f t="shared" si="44"/>
        <v>2021</v>
      </c>
      <c r="V91">
        <f t="shared" si="45"/>
        <v>2021</v>
      </c>
    </row>
    <row r="92" spans="1:22" x14ac:dyDescent="0.25">
      <c r="A92" t="s">
        <v>52</v>
      </c>
      <c r="B92" t="s">
        <v>53</v>
      </c>
      <c r="C92" s="1">
        <v>44334</v>
      </c>
      <c r="D92">
        <v>15108.1</v>
      </c>
      <c r="E92" s="1">
        <v>44397</v>
      </c>
      <c r="F92">
        <v>15632.1</v>
      </c>
      <c r="G92" s="2">
        <v>3.4700000000000002E-2</v>
      </c>
      <c r="H92" s="40">
        <f t="shared" si="32"/>
        <v>63</v>
      </c>
      <c r="I92" s="4">
        <f t="shared" si="33"/>
        <v>1.5E-3</v>
      </c>
      <c r="J92" s="4">
        <f t="shared" si="34"/>
        <v>1.0500000000000001E-2</v>
      </c>
      <c r="K92" s="4">
        <f t="shared" si="35"/>
        <v>2.2700000000000001E-2</v>
      </c>
      <c r="L92">
        <f t="shared" si="36"/>
        <v>527.17204456050172</v>
      </c>
      <c r="M92">
        <f t="shared" si="37"/>
        <v>541.06192481869732</v>
      </c>
      <c r="N92">
        <f t="shared" si="38"/>
        <v>-13.889880258195603</v>
      </c>
      <c r="O92" s="39">
        <f t="shared" si="39"/>
        <v>-2.5671516736000075E-2</v>
      </c>
      <c r="Q92">
        <f t="shared" si="40"/>
        <v>335.10081873317466</v>
      </c>
      <c r="R92">
        <f t="shared" si="41"/>
        <v>350.25036462074473</v>
      </c>
      <c r="S92">
        <f t="shared" si="42"/>
        <v>-15.149545887570071</v>
      </c>
      <c r="T92" s="39">
        <f t="shared" si="43"/>
        <v>-4.3253476421000102E-2</v>
      </c>
      <c r="U92">
        <f t="shared" si="44"/>
        <v>2021</v>
      </c>
      <c r="V92">
        <f t="shared" si="45"/>
        <v>2021</v>
      </c>
    </row>
    <row r="93" spans="1:22" x14ac:dyDescent="0.25">
      <c r="A93" t="s">
        <v>52</v>
      </c>
      <c r="B93" t="s">
        <v>53</v>
      </c>
      <c r="C93" s="1">
        <v>44411</v>
      </c>
      <c r="D93">
        <v>16130.75</v>
      </c>
      <c r="E93" s="1">
        <v>44491</v>
      </c>
      <c r="F93">
        <v>18114.900000000001</v>
      </c>
      <c r="G93" s="2">
        <v>0.123</v>
      </c>
      <c r="H93" s="40">
        <f t="shared" si="32"/>
        <v>80</v>
      </c>
      <c r="I93" s="4">
        <f t="shared" si="33"/>
        <v>1.5E-3</v>
      </c>
      <c r="J93" s="4">
        <f t="shared" si="34"/>
        <v>1.3333333333333332E-2</v>
      </c>
      <c r="K93" s="4">
        <f t="shared" si="35"/>
        <v>0.10816666666666666</v>
      </c>
      <c r="L93">
        <f t="shared" si="36"/>
        <v>592.01420604144346</v>
      </c>
      <c r="M93">
        <f t="shared" si="37"/>
        <v>592.01420604144346</v>
      </c>
      <c r="N93" t="str">
        <f t="shared" si="38"/>
        <v/>
      </c>
      <c r="O93" s="39">
        <f t="shared" si="39"/>
        <v>0</v>
      </c>
      <c r="Q93">
        <f t="shared" si="40"/>
        <v>371.34755729281306</v>
      </c>
      <c r="R93">
        <f t="shared" si="41"/>
        <v>371.34755729281306</v>
      </c>
      <c r="S93" t="str">
        <f t="shared" si="42"/>
        <v/>
      </c>
      <c r="T93" s="39">
        <f t="shared" si="43"/>
        <v>0</v>
      </c>
      <c r="U93">
        <f t="shared" si="44"/>
        <v>2021</v>
      </c>
      <c r="V93">
        <f t="shared" si="45"/>
        <v>2021</v>
      </c>
    </row>
    <row r="94" spans="1:22" x14ac:dyDescent="0.25">
      <c r="A94" t="s">
        <v>52</v>
      </c>
      <c r="B94" t="s">
        <v>53</v>
      </c>
      <c r="C94" s="1">
        <v>44736</v>
      </c>
      <c r="D94">
        <v>15699.25</v>
      </c>
      <c r="E94" s="1">
        <v>44795</v>
      </c>
      <c r="F94">
        <v>17490.7</v>
      </c>
      <c r="G94" s="2">
        <v>0.11409999999999999</v>
      </c>
      <c r="H94" s="40">
        <f t="shared" si="32"/>
        <v>59</v>
      </c>
      <c r="I94" s="4">
        <f t="shared" si="33"/>
        <v>1.5E-3</v>
      </c>
      <c r="J94" s="4">
        <f t="shared" si="34"/>
        <v>9.8333333333333328E-3</v>
      </c>
      <c r="K94" s="4">
        <f t="shared" si="35"/>
        <v>0.10276666666666666</v>
      </c>
      <c r="L94">
        <f t="shared" si="36"/>
        <v>659.56302695077216</v>
      </c>
      <c r="M94">
        <f t="shared" si="37"/>
        <v>659.56302695077216</v>
      </c>
      <c r="N94" t="str">
        <f t="shared" si="38"/>
        <v/>
      </c>
      <c r="O94" s="39">
        <f t="shared" si="39"/>
        <v>0</v>
      </c>
      <c r="Q94">
        <f t="shared" si="40"/>
        <v>409.50970793060446</v>
      </c>
      <c r="R94">
        <f t="shared" si="41"/>
        <v>409.50970793060446</v>
      </c>
      <c r="S94" t="str">
        <f t="shared" si="42"/>
        <v/>
      </c>
      <c r="T94" s="39">
        <f t="shared" si="43"/>
        <v>0</v>
      </c>
      <c r="U94">
        <f t="shared" si="44"/>
        <v>2022</v>
      </c>
      <c r="V94">
        <f t="shared" si="45"/>
        <v>2022</v>
      </c>
    </row>
    <row r="95" spans="1:22" x14ac:dyDescent="0.25">
      <c r="A95" t="s">
        <v>52</v>
      </c>
      <c r="B95" t="s">
        <v>53</v>
      </c>
      <c r="C95" s="1">
        <v>44803</v>
      </c>
      <c r="D95">
        <v>17759.3</v>
      </c>
      <c r="E95" s="1">
        <v>44820</v>
      </c>
      <c r="F95">
        <v>17530.849999999999</v>
      </c>
      <c r="G95" s="2">
        <v>-1.29E-2</v>
      </c>
      <c r="H95" s="40">
        <f t="shared" si="32"/>
        <v>17</v>
      </c>
      <c r="I95" s="4">
        <f t="shared" si="33"/>
        <v>1.5E-3</v>
      </c>
      <c r="J95" s="4">
        <f t="shared" si="34"/>
        <v>2.8333333333333331E-3</v>
      </c>
      <c r="K95" s="4">
        <f t="shared" si="35"/>
        <v>-1.7233333333333333E-2</v>
      </c>
      <c r="L95">
        <f t="shared" si="36"/>
        <v>651.05466390310721</v>
      </c>
      <c r="M95">
        <f t="shared" si="37"/>
        <v>659.56302695077216</v>
      </c>
      <c r="N95">
        <f t="shared" si="38"/>
        <v>-8.5083630476649432</v>
      </c>
      <c r="O95" s="39">
        <f t="shared" si="39"/>
        <v>-1.2899999999999974E-2</v>
      </c>
      <c r="Q95">
        <f t="shared" si="40"/>
        <v>402.45249063060038</v>
      </c>
      <c r="R95">
        <f t="shared" si="41"/>
        <v>409.50970793060446</v>
      </c>
      <c r="S95">
        <f t="shared" si="42"/>
        <v>-7.0572173000040834</v>
      </c>
      <c r="T95" s="39">
        <f t="shared" si="43"/>
        <v>-1.7233333333333333E-2</v>
      </c>
      <c r="U95">
        <f t="shared" si="44"/>
        <v>2022</v>
      </c>
      <c r="V95">
        <f t="shared" si="45"/>
        <v>2022</v>
      </c>
    </row>
    <row r="96" spans="1:22" x14ac:dyDescent="0.25">
      <c r="A96" t="s">
        <v>52</v>
      </c>
      <c r="B96" t="s">
        <v>53</v>
      </c>
      <c r="C96" s="1">
        <v>44852</v>
      </c>
      <c r="D96">
        <v>17486.95</v>
      </c>
      <c r="E96" s="1">
        <v>44904</v>
      </c>
      <c r="F96">
        <v>18496.599999999999</v>
      </c>
      <c r="G96" s="2">
        <v>5.7700000000000001E-2</v>
      </c>
      <c r="H96" s="40">
        <f t="shared" si="32"/>
        <v>52</v>
      </c>
      <c r="I96" s="4">
        <f t="shared" si="33"/>
        <v>1.5E-3</v>
      </c>
      <c r="J96" s="4">
        <f t="shared" si="34"/>
        <v>8.666666666666668E-3</v>
      </c>
      <c r="K96" s="4">
        <f t="shared" si="35"/>
        <v>4.753333333333333E-2</v>
      </c>
      <c r="L96">
        <f t="shared" si="36"/>
        <v>688.62051801031657</v>
      </c>
      <c r="M96">
        <f t="shared" si="37"/>
        <v>688.62051801031657</v>
      </c>
      <c r="N96" t="str">
        <f t="shared" si="38"/>
        <v/>
      </c>
      <c r="O96" s="39">
        <f t="shared" si="39"/>
        <v>0</v>
      </c>
      <c r="Q96">
        <f t="shared" si="40"/>
        <v>421.58239901857496</v>
      </c>
      <c r="R96">
        <f t="shared" si="41"/>
        <v>421.58239901857496</v>
      </c>
      <c r="S96" t="str">
        <f t="shared" si="42"/>
        <v/>
      </c>
      <c r="T96" s="39">
        <f t="shared" si="43"/>
        <v>0</v>
      </c>
      <c r="U96">
        <f t="shared" si="44"/>
        <v>2022</v>
      </c>
      <c r="V96">
        <f t="shared" si="45"/>
        <v>2022</v>
      </c>
    </row>
    <row r="97" spans="1:22" x14ac:dyDescent="0.25">
      <c r="A97" t="s">
        <v>52</v>
      </c>
      <c r="B97" t="s">
        <v>53</v>
      </c>
      <c r="C97" s="1">
        <v>44979</v>
      </c>
      <c r="D97">
        <v>17554.3</v>
      </c>
      <c r="E97" s="1">
        <v>44998</v>
      </c>
      <c r="F97">
        <v>17154.3</v>
      </c>
      <c r="G97" s="2">
        <v>-2.2800000000000001E-2</v>
      </c>
      <c r="H97" s="40">
        <f t="shared" si="32"/>
        <v>19</v>
      </c>
      <c r="I97" s="4">
        <f t="shared" si="33"/>
        <v>1.5E-3</v>
      </c>
      <c r="J97" s="4">
        <f t="shared" si="34"/>
        <v>3.1666666666666666E-3</v>
      </c>
      <c r="K97" s="4">
        <f t="shared" si="35"/>
        <v>-2.7466666666666667E-2</v>
      </c>
      <c r="L97">
        <f t="shared" si="36"/>
        <v>672.9199701996813</v>
      </c>
      <c r="M97">
        <f t="shared" si="37"/>
        <v>688.62051801031657</v>
      </c>
      <c r="N97">
        <f t="shared" si="38"/>
        <v>-15.700547810635271</v>
      </c>
      <c r="O97" s="39">
        <f t="shared" si="39"/>
        <v>-2.2800000000000077E-2</v>
      </c>
      <c r="Q97">
        <f t="shared" si="40"/>
        <v>410.00293579219812</v>
      </c>
      <c r="R97">
        <f t="shared" si="41"/>
        <v>421.58239901857496</v>
      </c>
      <c r="S97">
        <f t="shared" si="42"/>
        <v>-11.579463226376845</v>
      </c>
      <c r="T97" s="39">
        <f t="shared" si="43"/>
        <v>-2.7466666666666632E-2</v>
      </c>
      <c r="U97">
        <f t="shared" si="44"/>
        <v>2023</v>
      </c>
      <c r="V97">
        <f t="shared" si="45"/>
        <v>2023</v>
      </c>
    </row>
    <row r="98" spans="1:22" x14ac:dyDescent="0.25">
      <c r="A98" t="s">
        <v>52</v>
      </c>
      <c r="B98" t="s">
        <v>53</v>
      </c>
      <c r="C98" s="1">
        <v>45016</v>
      </c>
      <c r="D98">
        <v>17359.75</v>
      </c>
      <c r="E98" s="1">
        <v>45140</v>
      </c>
      <c r="F98">
        <v>19526.55</v>
      </c>
      <c r="G98" s="2">
        <v>0.12479999999999999</v>
      </c>
      <c r="H98" s="40">
        <f t="shared" si="32"/>
        <v>124</v>
      </c>
      <c r="I98" s="4">
        <f t="shared" si="33"/>
        <v>1.5E-3</v>
      </c>
      <c r="J98" s="4">
        <f t="shared" si="34"/>
        <v>2.066666666666667E-2</v>
      </c>
      <c r="K98" s="4">
        <f t="shared" si="35"/>
        <v>0.10263333333333333</v>
      </c>
      <c r="L98">
        <f t="shared" si="36"/>
        <v>756.90038248060159</v>
      </c>
      <c r="M98">
        <f t="shared" si="37"/>
        <v>756.90038248060159</v>
      </c>
      <c r="N98" t="str">
        <f t="shared" si="38"/>
        <v/>
      </c>
      <c r="O98" s="39">
        <f t="shared" si="39"/>
        <v>0</v>
      </c>
      <c r="Q98">
        <f t="shared" si="40"/>
        <v>452.08290376900408</v>
      </c>
      <c r="R98">
        <f t="shared" si="41"/>
        <v>452.08290376900408</v>
      </c>
      <c r="S98" t="str">
        <f t="shared" si="42"/>
        <v/>
      </c>
      <c r="T98" s="39">
        <f t="shared" si="43"/>
        <v>0</v>
      </c>
      <c r="U98">
        <f t="shared" si="44"/>
        <v>2023</v>
      </c>
      <c r="V98">
        <f t="shared" si="45"/>
        <v>2023</v>
      </c>
    </row>
    <row r="99" spans="1:22" x14ac:dyDescent="0.25">
      <c r="A99" t="s">
        <v>52</v>
      </c>
      <c r="B99" t="s">
        <v>53</v>
      </c>
      <c r="C99" s="1">
        <v>45174</v>
      </c>
      <c r="D99">
        <v>19574.900000000001</v>
      </c>
      <c r="E99" s="1">
        <v>45190</v>
      </c>
      <c r="F99">
        <v>19742.349999999999</v>
      </c>
      <c r="G99" s="2">
        <v>8.6E-3</v>
      </c>
      <c r="H99" s="40">
        <f t="shared" si="32"/>
        <v>16</v>
      </c>
      <c r="I99" s="4">
        <f t="shared" si="33"/>
        <v>1.5E-3</v>
      </c>
      <c r="J99" s="4">
        <f t="shared" si="34"/>
        <v>2.6666666666666666E-3</v>
      </c>
      <c r="K99" s="4">
        <f t="shared" si="35"/>
        <v>4.4333333333333334E-3</v>
      </c>
      <c r="L99">
        <f t="shared" si="36"/>
        <v>763.40972576993477</v>
      </c>
      <c r="M99">
        <f t="shared" si="37"/>
        <v>763.40972576993477</v>
      </c>
      <c r="N99" t="str">
        <f t="shared" si="38"/>
        <v/>
      </c>
      <c r="O99" s="39">
        <f t="shared" si="39"/>
        <v>0</v>
      </c>
      <c r="Q99">
        <f t="shared" si="40"/>
        <v>454.08713797571329</v>
      </c>
      <c r="R99">
        <f t="shared" si="41"/>
        <v>454.08713797571329</v>
      </c>
      <c r="S99" t="str">
        <f t="shared" si="42"/>
        <v/>
      </c>
      <c r="T99" s="39">
        <f t="shared" si="43"/>
        <v>0</v>
      </c>
      <c r="U99">
        <f t="shared" si="44"/>
        <v>2023</v>
      </c>
      <c r="V99">
        <f t="shared" si="45"/>
        <v>2023</v>
      </c>
    </row>
    <row r="100" spans="1:22" x14ac:dyDescent="0.25">
      <c r="A100" t="s">
        <v>52</v>
      </c>
      <c r="B100" t="s">
        <v>53</v>
      </c>
      <c r="C100" s="1">
        <v>45210</v>
      </c>
      <c r="D100">
        <v>19811.349999999999</v>
      </c>
      <c r="E100" s="1">
        <v>45219</v>
      </c>
      <c r="F100">
        <v>19542.650000000001</v>
      </c>
      <c r="G100" s="2">
        <v>-1.3599999999999999E-2</v>
      </c>
      <c r="H100" s="40">
        <f t="shared" si="32"/>
        <v>9</v>
      </c>
      <c r="I100" s="4">
        <f t="shared" si="33"/>
        <v>1.5E-3</v>
      </c>
      <c r="J100" s="4">
        <f t="shared" si="34"/>
        <v>1.5E-3</v>
      </c>
      <c r="K100" s="4">
        <f t="shared" si="35"/>
        <v>-1.66E-2</v>
      </c>
      <c r="L100">
        <f t="shared" si="36"/>
        <v>753.02735349946374</v>
      </c>
      <c r="M100">
        <f t="shared" si="37"/>
        <v>763.40972576993477</v>
      </c>
      <c r="N100">
        <f t="shared" si="38"/>
        <v>-10.382372270471024</v>
      </c>
      <c r="O100" s="39">
        <f t="shared" si="39"/>
        <v>-1.3599999999999883E-2</v>
      </c>
      <c r="Q100">
        <f t="shared" si="40"/>
        <v>446.54929148531647</v>
      </c>
      <c r="R100">
        <f t="shared" si="41"/>
        <v>454.08713797571329</v>
      </c>
      <c r="S100">
        <f t="shared" si="42"/>
        <v>-7.5378464903968165</v>
      </c>
      <c r="T100" s="39">
        <f t="shared" si="43"/>
        <v>-1.6599999999999948E-2</v>
      </c>
      <c r="U100">
        <f t="shared" si="44"/>
        <v>2023</v>
      </c>
      <c r="V100">
        <f t="shared" si="45"/>
        <v>2023</v>
      </c>
    </row>
    <row r="101" spans="1:22" x14ac:dyDescent="0.25">
      <c r="A101" t="s">
        <v>52</v>
      </c>
      <c r="B101" t="s">
        <v>53</v>
      </c>
      <c r="C101" s="1">
        <v>45236</v>
      </c>
      <c r="D101">
        <v>19411.75</v>
      </c>
      <c r="E101" s="1">
        <v>45308</v>
      </c>
      <c r="F101">
        <v>21571.95</v>
      </c>
      <c r="G101" s="2">
        <v>0.1113</v>
      </c>
      <c r="H101" s="40">
        <f t="shared" si="32"/>
        <v>72</v>
      </c>
      <c r="I101" s="4">
        <f t="shared" si="33"/>
        <v>1.5E-3</v>
      </c>
      <c r="J101" s="4">
        <f t="shared" si="34"/>
        <v>1.2E-2</v>
      </c>
      <c r="K101" s="4">
        <f t="shared" si="35"/>
        <v>9.7799999999999998E-2</v>
      </c>
      <c r="L101">
        <f t="shared" si="36"/>
        <v>836.83929794395408</v>
      </c>
      <c r="M101">
        <f t="shared" si="37"/>
        <v>836.83929794395408</v>
      </c>
      <c r="N101" t="str">
        <f t="shared" si="38"/>
        <v/>
      </c>
      <c r="O101" s="39">
        <f t="shared" si="39"/>
        <v>0</v>
      </c>
      <c r="Q101">
        <f t="shared" si="40"/>
        <v>490.22181219258039</v>
      </c>
      <c r="R101">
        <f t="shared" si="41"/>
        <v>490.22181219258039</v>
      </c>
      <c r="S101" t="str">
        <f t="shared" si="42"/>
        <v/>
      </c>
      <c r="T101" s="39">
        <f t="shared" si="43"/>
        <v>0</v>
      </c>
      <c r="U101">
        <f t="shared" si="44"/>
        <v>2024</v>
      </c>
      <c r="V101">
        <f t="shared" si="45"/>
        <v>2023</v>
      </c>
    </row>
    <row r="102" spans="1:22" x14ac:dyDescent="0.25">
      <c r="A102" t="s">
        <v>52</v>
      </c>
      <c r="B102" t="s">
        <v>53</v>
      </c>
      <c r="C102" s="1">
        <v>45338</v>
      </c>
      <c r="D102">
        <v>22040.7</v>
      </c>
      <c r="E102" s="1">
        <v>45364</v>
      </c>
      <c r="F102">
        <v>21997.7</v>
      </c>
      <c r="G102" s="2">
        <v>-2E-3</v>
      </c>
      <c r="H102" s="40">
        <f t="shared" si="32"/>
        <v>26</v>
      </c>
      <c r="I102" s="4">
        <f t="shared" si="33"/>
        <v>1.5E-3</v>
      </c>
      <c r="J102" s="4">
        <f t="shared" si="34"/>
        <v>4.333333333333334E-3</v>
      </c>
      <c r="K102" s="4">
        <f t="shared" si="35"/>
        <v>-7.8333333333333345E-3</v>
      </c>
      <c r="L102">
        <f t="shared" si="36"/>
        <v>835.16561934806612</v>
      </c>
      <c r="M102">
        <f t="shared" si="37"/>
        <v>836.83929794395408</v>
      </c>
      <c r="N102">
        <f t="shared" si="38"/>
        <v>-1.6736785958879636</v>
      </c>
      <c r="O102" s="39">
        <f t="shared" si="39"/>
        <v>-2.0000000000000664E-3</v>
      </c>
      <c r="Q102">
        <f t="shared" si="40"/>
        <v>486.38174133040513</v>
      </c>
      <c r="R102">
        <f t="shared" si="41"/>
        <v>490.22181219258039</v>
      </c>
      <c r="S102">
        <f t="shared" si="42"/>
        <v>-3.8400708621752528</v>
      </c>
      <c r="T102" s="39">
        <f t="shared" si="43"/>
        <v>-7.8333333333334143E-3</v>
      </c>
      <c r="U102">
        <f t="shared" si="44"/>
        <v>2024</v>
      </c>
      <c r="V102">
        <f t="shared" si="45"/>
        <v>2024</v>
      </c>
    </row>
    <row r="103" spans="1:22" x14ac:dyDescent="0.25">
      <c r="A103" t="s">
        <v>52</v>
      </c>
      <c r="B103" t="s">
        <v>53</v>
      </c>
      <c r="C103" s="1">
        <v>45379</v>
      </c>
      <c r="D103">
        <v>22326.9</v>
      </c>
      <c r="E103" s="1">
        <v>45397</v>
      </c>
      <c r="F103">
        <v>22272.5</v>
      </c>
      <c r="G103" s="2">
        <v>-2.3999999999999998E-3</v>
      </c>
      <c r="H103" s="40">
        <f t="shared" si="32"/>
        <v>18</v>
      </c>
      <c r="I103" s="4">
        <f t="shared" si="33"/>
        <v>1.5E-3</v>
      </c>
      <c r="J103" s="4">
        <f t="shared" si="34"/>
        <v>3.0000000000000001E-3</v>
      </c>
      <c r="K103" s="4">
        <f t="shared" si="35"/>
        <v>-6.8999999999999999E-3</v>
      </c>
      <c r="L103">
        <f t="shared" si="36"/>
        <v>833.16122186163079</v>
      </c>
      <c r="M103">
        <f t="shared" si="37"/>
        <v>836.83929794395408</v>
      </c>
      <c r="N103">
        <f t="shared" si="38"/>
        <v>-3.6780760823232868</v>
      </c>
      <c r="O103" s="39">
        <f t="shared" si="39"/>
        <v>-4.3952000000000236E-3</v>
      </c>
      <c r="Q103">
        <f t="shared" si="40"/>
        <v>483.0257073152253</v>
      </c>
      <c r="R103">
        <f t="shared" si="41"/>
        <v>490.22181219258039</v>
      </c>
      <c r="S103">
        <f t="shared" si="42"/>
        <v>-7.1961048773550829</v>
      </c>
      <c r="T103" s="39">
        <f t="shared" si="43"/>
        <v>-1.4679283333333485E-2</v>
      </c>
      <c r="U103">
        <f t="shared" si="44"/>
        <v>2024</v>
      </c>
      <c r="V103">
        <f t="shared" si="45"/>
        <v>2024</v>
      </c>
    </row>
    <row r="104" spans="1:22" x14ac:dyDescent="0.25">
      <c r="A104" t="s">
        <v>52</v>
      </c>
      <c r="B104" t="s">
        <v>53</v>
      </c>
      <c r="C104" s="1">
        <v>45407</v>
      </c>
      <c r="D104">
        <v>22570.35</v>
      </c>
      <c r="E104" s="1">
        <v>45421</v>
      </c>
      <c r="F104">
        <v>21957.5</v>
      </c>
      <c r="G104" s="2">
        <v>-2.7199999999999998E-2</v>
      </c>
      <c r="H104" s="40">
        <f t="shared" si="32"/>
        <v>14</v>
      </c>
      <c r="I104" s="4">
        <f t="shared" si="33"/>
        <v>1.5E-3</v>
      </c>
      <c r="J104" s="4">
        <f t="shared" si="34"/>
        <v>2.3333333333333335E-3</v>
      </c>
      <c r="K104" s="4">
        <f t="shared" si="35"/>
        <v>-3.1033333333333333E-2</v>
      </c>
      <c r="L104">
        <f t="shared" si="36"/>
        <v>810.49923662699439</v>
      </c>
      <c r="M104">
        <f t="shared" si="37"/>
        <v>836.83929794395408</v>
      </c>
      <c r="N104">
        <f t="shared" si="38"/>
        <v>-26.340061316959691</v>
      </c>
      <c r="O104" s="39">
        <f t="shared" si="39"/>
        <v>-3.1475650560000082E-2</v>
      </c>
      <c r="Q104">
        <f t="shared" si="40"/>
        <v>468.03580953154278</v>
      </c>
      <c r="R104">
        <f t="shared" si="41"/>
        <v>490.22181219258039</v>
      </c>
      <c r="S104">
        <f t="shared" si="42"/>
        <v>-22.186002661037605</v>
      </c>
      <c r="T104" s="39">
        <f t="shared" si="43"/>
        <v>-4.52570695738891E-2</v>
      </c>
      <c r="U104">
        <f t="shared" si="44"/>
        <v>2024</v>
      </c>
      <c r="V104">
        <f t="shared" si="45"/>
        <v>2024</v>
      </c>
    </row>
    <row r="105" spans="1:22" x14ac:dyDescent="0.25">
      <c r="A105" t="s">
        <v>52</v>
      </c>
      <c r="B105" t="s">
        <v>53</v>
      </c>
      <c r="C105" s="1">
        <v>45433</v>
      </c>
      <c r="D105">
        <v>22529.05</v>
      </c>
      <c r="E105" s="1">
        <v>45442</v>
      </c>
      <c r="F105">
        <v>22488.65</v>
      </c>
      <c r="G105" s="2">
        <v>-1.8E-3</v>
      </c>
      <c r="H105" s="40">
        <f t="shared" si="32"/>
        <v>9</v>
      </c>
      <c r="I105" s="4">
        <f t="shared" si="33"/>
        <v>1.5E-3</v>
      </c>
      <c r="J105" s="4">
        <f t="shared" si="34"/>
        <v>1.5E-3</v>
      </c>
      <c r="K105" s="4">
        <f t="shared" si="35"/>
        <v>-4.8000000000000004E-3</v>
      </c>
      <c r="L105">
        <f t="shared" si="36"/>
        <v>809.04033800106583</v>
      </c>
      <c r="M105">
        <f t="shared" si="37"/>
        <v>836.83929794395408</v>
      </c>
      <c r="N105">
        <f t="shared" si="38"/>
        <v>-27.798959942888246</v>
      </c>
      <c r="O105" s="39">
        <f t="shared" si="39"/>
        <v>-3.3218994388992035E-2</v>
      </c>
      <c r="Q105">
        <f t="shared" si="40"/>
        <v>465.78923764579139</v>
      </c>
      <c r="R105">
        <f t="shared" si="41"/>
        <v>490.22181219258039</v>
      </c>
      <c r="S105">
        <f t="shared" si="42"/>
        <v>-24.432574546788999</v>
      </c>
      <c r="T105" s="39">
        <f t="shared" si="43"/>
        <v>-4.9839835639934403E-2</v>
      </c>
      <c r="U105">
        <f t="shared" si="44"/>
        <v>2024</v>
      </c>
      <c r="V105">
        <f t="shared" si="45"/>
        <v>2024</v>
      </c>
    </row>
    <row r="106" spans="1:22" x14ac:dyDescent="0.25">
      <c r="A106" t="s">
        <v>52</v>
      </c>
      <c r="B106" t="s">
        <v>53</v>
      </c>
      <c r="C106" s="1">
        <v>45446</v>
      </c>
      <c r="D106">
        <v>23263.9</v>
      </c>
      <c r="E106" s="1">
        <v>45447</v>
      </c>
      <c r="F106">
        <v>21884.5</v>
      </c>
      <c r="G106" s="2">
        <v>-5.9299999999999999E-2</v>
      </c>
      <c r="H106" s="40">
        <f t="shared" si="32"/>
        <v>1</v>
      </c>
      <c r="I106" s="4">
        <f t="shared" si="33"/>
        <v>1.5E-3</v>
      </c>
      <c r="J106" s="4">
        <f t="shared" si="34"/>
        <v>1.6666666666666666E-4</v>
      </c>
      <c r="K106" s="4">
        <f t="shared" si="35"/>
        <v>-6.0966666666666662E-2</v>
      </c>
      <c r="L106">
        <f t="shared" si="36"/>
        <v>761.06424595760257</v>
      </c>
      <c r="M106">
        <f t="shared" si="37"/>
        <v>836.83929794395408</v>
      </c>
      <c r="N106">
        <f t="shared" si="38"/>
        <v>-75.775051986351514</v>
      </c>
      <c r="O106" s="39">
        <f t="shared" si="39"/>
        <v>-9.0549108021724889E-2</v>
      </c>
      <c r="Q106">
        <f t="shared" si="40"/>
        <v>437.39162045731968</v>
      </c>
      <c r="R106">
        <f t="shared" si="41"/>
        <v>490.22181219258039</v>
      </c>
      <c r="S106">
        <f t="shared" si="42"/>
        <v>-52.830191735260712</v>
      </c>
      <c r="T106" s="39">
        <f t="shared" si="43"/>
        <v>-0.10776793366041966</v>
      </c>
      <c r="U106">
        <f t="shared" si="44"/>
        <v>2024</v>
      </c>
      <c r="V106">
        <f t="shared" si="45"/>
        <v>2024</v>
      </c>
    </row>
    <row r="107" spans="1:22" x14ac:dyDescent="0.25">
      <c r="A107" t="s">
        <v>52</v>
      </c>
      <c r="B107" t="s">
        <v>53</v>
      </c>
      <c r="C107" s="1">
        <v>45468</v>
      </c>
      <c r="D107">
        <v>23721.3</v>
      </c>
      <c r="E107" s="1">
        <v>45509</v>
      </c>
      <c r="F107">
        <v>24055.599999999999</v>
      </c>
      <c r="G107" s="2">
        <v>1.41E-2</v>
      </c>
      <c r="H107" s="40">
        <f t="shared" si="32"/>
        <v>41</v>
      </c>
      <c r="I107" s="4">
        <f t="shared" si="33"/>
        <v>1.5E-3</v>
      </c>
      <c r="J107" s="4">
        <f t="shared" si="34"/>
        <v>6.8333333333333336E-3</v>
      </c>
      <c r="K107" s="4">
        <f t="shared" si="35"/>
        <v>5.7666666666666665E-3</v>
      </c>
      <c r="L107">
        <f t="shared" si="36"/>
        <v>771.79525182560474</v>
      </c>
      <c r="M107">
        <f t="shared" si="37"/>
        <v>836.83929794395408</v>
      </c>
      <c r="N107">
        <f t="shared" si="38"/>
        <v>-65.044046118349343</v>
      </c>
      <c r="O107" s="39">
        <f t="shared" si="39"/>
        <v>-7.772585044483124E-2</v>
      </c>
      <c r="Q107">
        <f t="shared" si="40"/>
        <v>439.91391213529022</v>
      </c>
      <c r="R107">
        <f t="shared" si="41"/>
        <v>490.22181219258039</v>
      </c>
      <c r="S107">
        <f t="shared" si="42"/>
        <v>-50.307900057290169</v>
      </c>
      <c r="T107" s="39">
        <f t="shared" si="43"/>
        <v>-0.10262272874452809</v>
      </c>
      <c r="U107">
        <f t="shared" si="44"/>
        <v>2024</v>
      </c>
      <c r="V107">
        <f t="shared" si="45"/>
        <v>2024</v>
      </c>
    </row>
    <row r="108" spans="1:22" x14ac:dyDescent="0.25">
      <c r="A108" t="s">
        <v>52</v>
      </c>
      <c r="B108" t="s">
        <v>53</v>
      </c>
      <c r="C108" s="1">
        <v>45524</v>
      </c>
      <c r="D108">
        <v>24698.85</v>
      </c>
      <c r="E108" s="1">
        <v>45541</v>
      </c>
      <c r="F108">
        <v>24852.15</v>
      </c>
      <c r="G108" s="2">
        <v>6.1999999999999998E-3</v>
      </c>
      <c r="H108" s="40">
        <f t="shared" si="32"/>
        <v>17</v>
      </c>
      <c r="I108" s="4">
        <f t="shared" si="33"/>
        <v>1.5E-3</v>
      </c>
      <c r="J108" s="4">
        <f t="shared" si="34"/>
        <v>2.8333333333333331E-3</v>
      </c>
      <c r="K108" s="4">
        <f t="shared" si="35"/>
        <v>1.8666666666666666E-3</v>
      </c>
      <c r="L108">
        <f t="shared" si="36"/>
        <v>776.58038238692347</v>
      </c>
      <c r="M108">
        <f t="shared" si="37"/>
        <v>836.83929794395408</v>
      </c>
      <c r="N108">
        <f t="shared" si="38"/>
        <v>-60.258915557030605</v>
      </c>
      <c r="O108" s="39">
        <f t="shared" si="39"/>
        <v>-7.2007750717589206E-2</v>
      </c>
      <c r="Q108">
        <f t="shared" si="40"/>
        <v>440.73508477127609</v>
      </c>
      <c r="R108">
        <f t="shared" si="41"/>
        <v>490.22181219258039</v>
      </c>
      <c r="S108">
        <f t="shared" si="42"/>
        <v>-49.486727421304295</v>
      </c>
      <c r="T108" s="39">
        <f t="shared" si="43"/>
        <v>-0.1009476245048512</v>
      </c>
      <c r="U108">
        <f t="shared" si="44"/>
        <v>2024</v>
      </c>
      <c r="V108">
        <f t="shared" si="45"/>
        <v>2024</v>
      </c>
    </row>
    <row r="109" spans="1:22" x14ac:dyDescent="0.25">
      <c r="A109" t="s">
        <v>52</v>
      </c>
      <c r="B109" t="s">
        <v>53</v>
      </c>
      <c r="C109" s="1">
        <v>45547</v>
      </c>
      <c r="D109">
        <v>25388.9</v>
      </c>
      <c r="E109" s="1">
        <v>45565</v>
      </c>
      <c r="F109">
        <v>25810.85</v>
      </c>
      <c r="G109" s="2">
        <v>1.66E-2</v>
      </c>
      <c r="H109" s="40">
        <f t="shared" si="32"/>
        <v>18</v>
      </c>
      <c r="I109" s="4">
        <f t="shared" si="33"/>
        <v>1.5E-3</v>
      </c>
      <c r="J109" s="4">
        <f t="shared" si="34"/>
        <v>3.0000000000000001E-3</v>
      </c>
      <c r="K109" s="4">
        <f t="shared" si="35"/>
        <v>1.21E-2</v>
      </c>
      <c r="L109">
        <f t="shared" si="36"/>
        <v>789.47161673454639</v>
      </c>
      <c r="M109">
        <f t="shared" si="37"/>
        <v>836.83929794395408</v>
      </c>
      <c r="N109">
        <f t="shared" si="38"/>
        <v>-47.367681209407692</v>
      </c>
      <c r="O109" s="39">
        <f t="shared" si="39"/>
        <v>-5.6603079379501202E-2</v>
      </c>
      <c r="Q109">
        <f t="shared" si="40"/>
        <v>446.06797929700855</v>
      </c>
      <c r="R109">
        <f t="shared" si="41"/>
        <v>490.22181219258039</v>
      </c>
      <c r="S109">
        <f t="shared" si="42"/>
        <v>-44.153832895571838</v>
      </c>
      <c r="T109" s="39">
        <f t="shared" si="43"/>
        <v>-9.0069090761359882E-2</v>
      </c>
      <c r="U109">
        <f t="shared" si="44"/>
        <v>2024</v>
      </c>
      <c r="V109">
        <f t="shared" si="45"/>
        <v>2024</v>
      </c>
    </row>
    <row r="110" spans="1:22" x14ac:dyDescent="0.25">
      <c r="A110" t="s">
        <v>52</v>
      </c>
      <c r="B110" t="s">
        <v>53</v>
      </c>
      <c r="C110" s="1">
        <v>45709</v>
      </c>
      <c r="D110">
        <v>22795.9</v>
      </c>
      <c r="E110" s="1">
        <v>45716</v>
      </c>
      <c r="F110">
        <v>22124.7</v>
      </c>
      <c r="G110" s="2">
        <v>-2.9399999999999999E-2</v>
      </c>
      <c r="H110" s="40">
        <f t="shared" si="32"/>
        <v>7</v>
      </c>
      <c r="I110" s="4">
        <f t="shared" si="33"/>
        <v>1.5E-3</v>
      </c>
      <c r="J110" s="4">
        <f t="shared" si="34"/>
        <v>1.1666666666666668E-3</v>
      </c>
      <c r="K110" s="4">
        <f t="shared" si="35"/>
        <v>-3.2066666666666667E-2</v>
      </c>
      <c r="L110">
        <f t="shared" si="36"/>
        <v>766.26115120255076</v>
      </c>
      <c r="M110">
        <f t="shared" si="37"/>
        <v>836.83929794395408</v>
      </c>
      <c r="N110">
        <f t="shared" si="38"/>
        <v>-70.578146741403316</v>
      </c>
      <c r="O110" s="39">
        <f t="shared" si="39"/>
        <v>-8.4338948845743819E-2</v>
      </c>
      <c r="Q110">
        <f t="shared" si="40"/>
        <v>431.76406609421781</v>
      </c>
      <c r="R110">
        <f t="shared" si="41"/>
        <v>490.22181219258039</v>
      </c>
      <c r="S110">
        <f t="shared" si="42"/>
        <v>-58.457746098362577</v>
      </c>
      <c r="T110" s="39">
        <f t="shared" si="43"/>
        <v>-0.11924754191761226</v>
      </c>
      <c r="U110">
        <f t="shared" si="44"/>
        <v>2025</v>
      </c>
      <c r="V110">
        <f t="shared" si="45"/>
        <v>2025</v>
      </c>
    </row>
    <row r="111" spans="1:22" x14ac:dyDescent="0.25">
      <c r="A111" t="s">
        <v>52</v>
      </c>
      <c r="B111" t="s">
        <v>53</v>
      </c>
      <c r="C111" s="1">
        <v>45722</v>
      </c>
      <c r="D111">
        <v>22544.7</v>
      </c>
      <c r="E111" s="1">
        <v>45748</v>
      </c>
      <c r="F111">
        <v>23165.7</v>
      </c>
      <c r="G111" s="2">
        <v>2.75E-2</v>
      </c>
      <c r="H111" s="40">
        <f t="shared" si="32"/>
        <v>26</v>
      </c>
      <c r="I111" s="4">
        <f t="shared" si="33"/>
        <v>1.5E-3</v>
      </c>
      <c r="J111" s="4">
        <f t="shared" si="34"/>
        <v>4.333333333333334E-3</v>
      </c>
      <c r="K111" s="4">
        <f t="shared" si="35"/>
        <v>2.1666666666666667E-2</v>
      </c>
      <c r="L111">
        <f t="shared" si="36"/>
        <v>787.333332860621</v>
      </c>
      <c r="M111">
        <f t="shared" si="37"/>
        <v>836.83929794395408</v>
      </c>
      <c r="N111">
        <f t="shared" si="38"/>
        <v>-49.505965083333081</v>
      </c>
      <c r="O111" s="39">
        <f t="shared" si="39"/>
        <v>-5.9158269939001668E-2</v>
      </c>
      <c r="Q111">
        <f t="shared" si="40"/>
        <v>441.11895419292591</v>
      </c>
      <c r="R111">
        <f t="shared" si="41"/>
        <v>490.22181219258039</v>
      </c>
      <c r="S111">
        <f t="shared" si="42"/>
        <v>-49.102857999654475</v>
      </c>
      <c r="T111" s="39">
        <f t="shared" si="43"/>
        <v>-0.10016457199249376</v>
      </c>
      <c r="U111">
        <f t="shared" si="44"/>
        <v>2025</v>
      </c>
      <c r="V111">
        <f t="shared" si="45"/>
        <v>2025</v>
      </c>
    </row>
    <row r="112" spans="1:22" x14ac:dyDescent="0.25">
      <c r="A112" t="s">
        <v>52</v>
      </c>
      <c r="B112" t="s">
        <v>53</v>
      </c>
      <c r="C112" s="1">
        <v>45762</v>
      </c>
      <c r="D112">
        <v>23328.55</v>
      </c>
      <c r="E112" s="1">
        <v>45849</v>
      </c>
      <c r="F112">
        <v>25149.85</v>
      </c>
      <c r="G112" s="2">
        <v>7.8100000000000003E-2</v>
      </c>
      <c r="H112" s="40">
        <f t="shared" si="32"/>
        <v>87</v>
      </c>
      <c r="I112" s="4">
        <f t="shared" si="33"/>
        <v>1.5E-3</v>
      </c>
      <c r="J112" s="4">
        <f t="shared" si="34"/>
        <v>1.4499999999999999E-2</v>
      </c>
      <c r="K112" s="4">
        <f t="shared" si="35"/>
        <v>6.2100000000000002E-2</v>
      </c>
      <c r="L112">
        <f t="shared" si="36"/>
        <v>848.82406615703553</v>
      </c>
      <c r="M112">
        <f t="shared" si="37"/>
        <v>848.82406615703553</v>
      </c>
      <c r="N112" t="str">
        <f t="shared" si="38"/>
        <v/>
      </c>
      <c r="O112" s="39">
        <f t="shared" si="39"/>
        <v>0</v>
      </c>
      <c r="Q112">
        <f t="shared" si="40"/>
        <v>468.51244124830663</v>
      </c>
      <c r="R112">
        <f t="shared" si="41"/>
        <v>490.22181219258039</v>
      </c>
      <c r="S112">
        <f t="shared" si="42"/>
        <v>-21.709370944273758</v>
      </c>
      <c r="T112" s="39">
        <f t="shared" si="43"/>
        <v>-4.4284791913227588E-2</v>
      </c>
      <c r="U112">
        <f t="shared" si="44"/>
        <v>2025</v>
      </c>
      <c r="V112">
        <f t="shared" si="45"/>
        <v>2025</v>
      </c>
    </row>
    <row r="113" spans="1:22" x14ac:dyDescent="0.25">
      <c r="A113" t="s">
        <v>52</v>
      </c>
      <c r="B113" t="s">
        <v>53</v>
      </c>
      <c r="C113" s="1">
        <v>45887</v>
      </c>
      <c r="D113">
        <v>24876.95</v>
      </c>
      <c r="E113" s="1">
        <v>45895</v>
      </c>
      <c r="F113">
        <v>24712.05</v>
      </c>
      <c r="G113" s="2">
        <v>-6.6E-3</v>
      </c>
      <c r="H113" s="40">
        <f t="shared" ref="H113:H114" si="46">E113-C113</f>
        <v>8</v>
      </c>
      <c r="I113" s="4">
        <f t="shared" ref="I113:I114" si="47">C$1</f>
        <v>1.5E-3</v>
      </c>
      <c r="J113" s="4">
        <f t="shared" ref="J113:J114" si="48">H113/30*D$1</f>
        <v>1.3333333333333333E-3</v>
      </c>
      <c r="K113" s="4">
        <f t="shared" ref="K113:K114" si="49">G113-SUM(I113,J113)</f>
        <v>-9.4333333333333335E-3</v>
      </c>
      <c r="L113">
        <f t="shared" ref="L113:L114" si="50">L112*(1+G113)</f>
        <v>843.22182732039903</v>
      </c>
      <c r="M113">
        <f t="shared" ref="M113:M114" si="51">MAX(L113,M112)</f>
        <v>848.82406615703553</v>
      </c>
      <c r="N113">
        <f t="shared" ref="N113:N114" si="52">IF(M113&gt;L113,L113-M113,"")</f>
        <v>-5.6022388366365021</v>
      </c>
      <c r="O113" s="39">
        <f t="shared" ref="O113:O114" si="53">IFERROR(N113/M113,0)</f>
        <v>-6.6000000000000798E-3</v>
      </c>
      <c r="Q113">
        <f t="shared" ref="Q113:Q114" si="54">Q112*(1+K113)</f>
        <v>464.0928072191976</v>
      </c>
      <c r="R113">
        <f t="shared" ref="R113:R114" si="55">MAX(Q113,R112)</f>
        <v>490.22181219258039</v>
      </c>
      <c r="S113">
        <f t="shared" ref="S113:S114" si="56">IF(R113&gt;Q113,Q113-R113,"")</f>
        <v>-26.129004973382791</v>
      </c>
      <c r="T113" s="39">
        <f t="shared" ref="T113:T114" si="57">IFERROR(S113/R113,0)</f>
        <v>-5.3300372042846156E-2</v>
      </c>
      <c r="U113">
        <f t="shared" ref="U113:U114" si="58">YEAR(E113)</f>
        <v>2025</v>
      </c>
      <c r="V113">
        <f t="shared" ref="V113:V114" si="59">YEAR(C113)</f>
        <v>2025</v>
      </c>
    </row>
    <row r="114" spans="1:22" x14ac:dyDescent="0.25">
      <c r="A114" t="s">
        <v>52</v>
      </c>
      <c r="B114" t="s">
        <v>53</v>
      </c>
      <c r="C114" s="1">
        <v>45910</v>
      </c>
      <c r="D114">
        <v>24973.1</v>
      </c>
      <c r="E114" s="1">
        <v>45924</v>
      </c>
      <c r="F114">
        <v>25056.9</v>
      </c>
      <c r="G114" s="2">
        <v>3.3999999999999998E-3</v>
      </c>
      <c r="H114" s="40">
        <f t="shared" si="46"/>
        <v>14</v>
      </c>
      <c r="I114" s="4">
        <f t="shared" si="47"/>
        <v>1.5E-3</v>
      </c>
      <c r="J114" s="4">
        <f t="shared" si="48"/>
        <v>2.3333333333333335E-3</v>
      </c>
      <c r="K114" s="4">
        <f t="shared" si="49"/>
        <v>-4.3333333333333375E-4</v>
      </c>
      <c r="L114">
        <f t="shared" si="50"/>
        <v>846.0887815332884</v>
      </c>
      <c r="M114">
        <f t="shared" si="51"/>
        <v>848.82406615703553</v>
      </c>
      <c r="N114">
        <f t="shared" si="52"/>
        <v>-2.735284623747134</v>
      </c>
      <c r="O114" s="39">
        <f t="shared" si="53"/>
        <v>-3.2224400000000664E-3</v>
      </c>
      <c r="Q114">
        <f t="shared" si="54"/>
        <v>463.89170033606928</v>
      </c>
      <c r="R114">
        <f t="shared" si="55"/>
        <v>490.22181219258039</v>
      </c>
      <c r="S114">
        <f t="shared" si="56"/>
        <v>-26.33011185651111</v>
      </c>
      <c r="T114" s="39">
        <f t="shared" si="57"/>
        <v>-5.3710608548294257E-2</v>
      </c>
      <c r="U114">
        <f t="shared" si="58"/>
        <v>2025</v>
      </c>
      <c r="V114">
        <f t="shared" si="59"/>
        <v>2025</v>
      </c>
    </row>
    <row r="115" spans="1:22" x14ac:dyDescent="0.25">
      <c r="A115" t="s">
        <v>52</v>
      </c>
      <c r="B115" t="s">
        <v>53</v>
      </c>
      <c r="C115" s="1">
        <v>45936</v>
      </c>
      <c r="D115">
        <v>25077.65</v>
      </c>
      <c r="E115" s="1">
        <v>45965</v>
      </c>
      <c r="F115">
        <v>25597.65</v>
      </c>
      <c r="G115" s="2">
        <v>2.07E-2</v>
      </c>
      <c r="H115" s="40">
        <f t="shared" ref="H115:H117" si="60">E115-C115</f>
        <v>29</v>
      </c>
      <c r="I115" s="4">
        <f t="shared" ref="I115:I117" si="61">C$1</f>
        <v>1.5E-3</v>
      </c>
      <c r="J115" s="4">
        <f t="shared" ref="J115:J117" si="62">H115/30*D$1</f>
        <v>4.8333333333333336E-3</v>
      </c>
      <c r="K115" s="4">
        <f t="shared" ref="K115:K117" si="63">G115-SUM(I115,J115)</f>
        <v>1.4366666666666666E-2</v>
      </c>
      <c r="L115">
        <f t="shared" ref="L115:L117" si="64">L114*(1+G115)</f>
        <v>863.60281931102736</v>
      </c>
      <c r="M115">
        <f t="shared" ref="M115:M117" si="65">MAX(L115,M114)</f>
        <v>863.60281931102736</v>
      </c>
      <c r="N115" t="str">
        <f t="shared" ref="N115:N117" si="66">IF(M115&gt;L115,L115-M115,"")</f>
        <v/>
      </c>
      <c r="O115" s="39">
        <f t="shared" ref="O115:O117" si="67">IFERROR(N115/M115,0)</f>
        <v>0</v>
      </c>
      <c r="Q115">
        <f t="shared" ref="Q115:Q117" si="68">Q114*(1+K115)</f>
        <v>470.5562777642308</v>
      </c>
      <c r="R115">
        <f t="shared" ref="R115:R117" si="69">MAX(Q115,R114)</f>
        <v>490.22181219258039</v>
      </c>
      <c r="S115">
        <f t="shared" ref="S115:S117" si="70">IF(R115&gt;Q115,Q115-R115,"")</f>
        <v>-19.665534428349588</v>
      </c>
      <c r="T115" s="39">
        <f t="shared" ref="T115:T117" si="71">IFERROR(S115/R115,0)</f>
        <v>-4.0115584291104761E-2</v>
      </c>
      <c r="U115">
        <f t="shared" ref="U115:U117" si="72">YEAR(E115)</f>
        <v>2025</v>
      </c>
      <c r="V115">
        <f t="shared" ref="V115:V117" si="73">YEAR(C115)</f>
        <v>2025</v>
      </c>
    </row>
    <row r="116" spans="1:22" x14ac:dyDescent="0.25">
      <c r="A116" t="s">
        <v>52</v>
      </c>
      <c r="B116" t="s">
        <v>53</v>
      </c>
      <c r="C116" s="1">
        <v>45973</v>
      </c>
      <c r="D116">
        <v>25875.8</v>
      </c>
      <c r="E116" s="1">
        <v>46001</v>
      </c>
      <c r="F116">
        <v>25758</v>
      </c>
      <c r="G116" s="2">
        <v>-4.5999999999999999E-3</v>
      </c>
      <c r="H116" s="40">
        <f t="shared" si="60"/>
        <v>28</v>
      </c>
      <c r="I116" s="4">
        <f t="shared" si="61"/>
        <v>1.5E-3</v>
      </c>
      <c r="J116" s="4">
        <f t="shared" si="62"/>
        <v>4.6666666666666671E-3</v>
      </c>
      <c r="K116" s="4">
        <f t="shared" si="63"/>
        <v>-1.0766666666666667E-2</v>
      </c>
      <c r="L116">
        <f t="shared" si="64"/>
        <v>859.63024634219664</v>
      </c>
      <c r="M116">
        <f t="shared" si="65"/>
        <v>863.60281931102736</v>
      </c>
      <c r="N116">
        <f t="shared" si="66"/>
        <v>-3.9725729688307183</v>
      </c>
      <c r="O116" s="39">
        <f t="shared" si="67"/>
        <v>-4.5999999999999912E-3</v>
      </c>
      <c r="Q116">
        <f t="shared" si="68"/>
        <v>465.48995517363591</v>
      </c>
      <c r="R116">
        <f t="shared" si="69"/>
        <v>490.22181219258039</v>
      </c>
      <c r="S116">
        <f t="shared" si="70"/>
        <v>-24.731857018944481</v>
      </c>
      <c r="T116" s="39">
        <f t="shared" si="71"/>
        <v>-5.0450339833570557E-2</v>
      </c>
      <c r="U116">
        <f t="shared" si="72"/>
        <v>2025</v>
      </c>
      <c r="V116">
        <f t="shared" si="73"/>
        <v>2025</v>
      </c>
    </row>
    <row r="117" spans="1:22" x14ac:dyDescent="0.25">
      <c r="A117" t="s">
        <v>52</v>
      </c>
      <c r="B117" t="s">
        <v>53</v>
      </c>
      <c r="C117" s="1">
        <v>46013</v>
      </c>
      <c r="D117">
        <v>26172.400000000001</v>
      </c>
      <c r="E117" s="1">
        <v>46030</v>
      </c>
      <c r="F117">
        <v>25876.85</v>
      </c>
      <c r="G117" s="2">
        <v>-1.1299999999999999E-2</v>
      </c>
      <c r="H117" s="40">
        <f t="shared" si="60"/>
        <v>17</v>
      </c>
      <c r="I117" s="4">
        <f t="shared" si="61"/>
        <v>1.5E-3</v>
      </c>
      <c r="J117" s="4">
        <f t="shared" si="62"/>
        <v>2.8333333333333331E-3</v>
      </c>
      <c r="K117" s="4">
        <f t="shared" si="63"/>
        <v>-1.5633333333333332E-2</v>
      </c>
      <c r="L117">
        <f t="shared" si="64"/>
        <v>849.9164245585298</v>
      </c>
      <c r="M117">
        <f t="shared" si="65"/>
        <v>863.60281931102736</v>
      </c>
      <c r="N117">
        <f t="shared" si="66"/>
        <v>-13.686394752497563</v>
      </c>
      <c r="O117" s="39">
        <f t="shared" si="67"/>
        <v>-1.5848020000000018E-2</v>
      </c>
      <c r="Q117">
        <f t="shared" si="68"/>
        <v>458.21279554108804</v>
      </c>
      <c r="R117">
        <f t="shared" si="69"/>
        <v>490.22181219258039</v>
      </c>
      <c r="S117">
        <f t="shared" si="70"/>
        <v>-32.009016651492345</v>
      </c>
      <c r="T117" s="39">
        <f t="shared" si="71"/>
        <v>-6.5294966187505785E-2</v>
      </c>
      <c r="U117">
        <f t="shared" si="72"/>
        <v>2026</v>
      </c>
      <c r="V117">
        <f t="shared" si="73"/>
        <v>2025</v>
      </c>
    </row>
    <row r="118" spans="1:22" x14ac:dyDescent="0.25">
      <c r="C118" s="1"/>
      <c r="E118" s="1"/>
      <c r="G118" s="2"/>
      <c r="I118" s="2"/>
      <c r="O118" s="2"/>
      <c r="P118" s="2"/>
    </row>
    <row r="119" spans="1:22" x14ac:dyDescent="0.25">
      <c r="C119" s="1"/>
      <c r="E119" s="1"/>
      <c r="G119" s="2"/>
      <c r="I119" s="2"/>
      <c r="O119" s="2"/>
      <c r="P119" s="2"/>
    </row>
    <row r="120" spans="1:22" x14ac:dyDescent="0.25">
      <c r="C120" s="1"/>
      <c r="E120" s="1"/>
      <c r="G120" s="2"/>
      <c r="I120" s="2"/>
      <c r="O120" s="2"/>
      <c r="P120" s="2"/>
    </row>
    <row r="121" spans="1:22" x14ac:dyDescent="0.25">
      <c r="C121" s="1"/>
      <c r="E121" s="1"/>
      <c r="G121" s="2"/>
      <c r="I121" s="2"/>
      <c r="O121" s="2"/>
      <c r="P121" s="2"/>
    </row>
    <row r="122" spans="1:22" x14ac:dyDescent="0.25">
      <c r="C122" s="1"/>
      <c r="E122" s="1"/>
      <c r="G122" s="2"/>
      <c r="I122" s="2"/>
      <c r="O122" s="2"/>
      <c r="P122" s="2"/>
    </row>
    <row r="123" spans="1:22" x14ac:dyDescent="0.25">
      <c r="C123" s="1"/>
      <c r="E123" s="1"/>
      <c r="G123" s="2"/>
      <c r="I123" s="2"/>
      <c r="O123" s="2"/>
      <c r="P123" s="2"/>
    </row>
    <row r="124" spans="1:22" x14ac:dyDescent="0.25">
      <c r="C124" s="1"/>
      <c r="E124" s="1"/>
      <c r="G124" s="2"/>
      <c r="I124" s="2"/>
      <c r="O124" s="2"/>
      <c r="P124" s="2"/>
    </row>
    <row r="125" spans="1:22" x14ac:dyDescent="0.25">
      <c r="C125" s="1"/>
      <c r="E125" s="1"/>
      <c r="G125" s="2"/>
      <c r="I125" s="2"/>
      <c r="O125" s="2"/>
      <c r="P125" s="2"/>
    </row>
    <row r="126" spans="1:22" x14ac:dyDescent="0.25">
      <c r="C126" s="1"/>
      <c r="E126" s="1"/>
      <c r="G126" s="2"/>
      <c r="I126" s="2"/>
      <c r="O126" s="2"/>
      <c r="P126" s="2"/>
    </row>
    <row r="127" spans="1:22" x14ac:dyDescent="0.25">
      <c r="C127" s="1"/>
      <c r="E127" s="1"/>
      <c r="G127" s="2"/>
      <c r="I127" s="2"/>
      <c r="O127" s="2"/>
      <c r="P127" s="2"/>
    </row>
    <row r="128" spans="1:22" x14ac:dyDescent="0.25">
      <c r="C128" s="1"/>
      <c r="E128" s="1"/>
      <c r="G128" s="2"/>
      <c r="I128" s="2"/>
      <c r="O128" s="2"/>
      <c r="P128" s="2"/>
    </row>
    <row r="129" spans="3:16" x14ac:dyDescent="0.25">
      <c r="C129" s="1"/>
      <c r="E129" s="1"/>
      <c r="G129" s="2"/>
      <c r="I129" s="2"/>
      <c r="O129" s="2"/>
      <c r="P129" s="2"/>
    </row>
    <row r="130" spans="3:16" x14ac:dyDescent="0.25">
      <c r="C130" s="1"/>
      <c r="E130" s="1"/>
      <c r="G130" s="2"/>
      <c r="I130" s="2"/>
      <c r="O130" s="2"/>
      <c r="P130" s="2"/>
    </row>
    <row r="131" spans="3:16" x14ac:dyDescent="0.25">
      <c r="C131" s="1"/>
      <c r="E131" s="1"/>
      <c r="G131" s="2"/>
      <c r="I131" s="2"/>
      <c r="O131" s="2"/>
      <c r="P131" s="2"/>
    </row>
    <row r="132" spans="3:16" x14ac:dyDescent="0.25">
      <c r="C132" s="1"/>
      <c r="E132" s="1"/>
      <c r="G132" s="2"/>
      <c r="I132" s="2"/>
      <c r="O132" s="2"/>
      <c r="P132" s="2"/>
    </row>
    <row r="133" spans="3:16" x14ac:dyDescent="0.25">
      <c r="C133" s="1"/>
      <c r="E133" s="1"/>
      <c r="G133" s="2"/>
      <c r="I133" s="2"/>
      <c r="O133" s="2"/>
      <c r="P133" s="2"/>
    </row>
    <row r="134" spans="3:16" x14ac:dyDescent="0.25">
      <c r="C134" s="1"/>
      <c r="E134" s="1"/>
      <c r="G134" s="2"/>
      <c r="I134" s="2"/>
      <c r="O134" s="2"/>
      <c r="P134" s="2"/>
    </row>
    <row r="135" spans="3:16" x14ac:dyDescent="0.25">
      <c r="C135" s="1"/>
      <c r="E135" s="1"/>
      <c r="G135" s="2"/>
      <c r="I135" s="2"/>
      <c r="O135" s="2"/>
      <c r="P135" s="2"/>
    </row>
    <row r="136" spans="3:16" x14ac:dyDescent="0.25">
      <c r="C136" s="1"/>
      <c r="E136" s="1"/>
      <c r="G136" s="2"/>
      <c r="I136" s="2"/>
      <c r="O136" s="2"/>
      <c r="P136" s="2"/>
    </row>
    <row r="137" spans="3:16" x14ac:dyDescent="0.25">
      <c r="C137" s="1"/>
      <c r="E137" s="1"/>
      <c r="G137" s="2"/>
      <c r="I137" s="2"/>
      <c r="O137" s="2"/>
      <c r="P137" s="2"/>
    </row>
    <row r="138" spans="3:16" x14ac:dyDescent="0.25">
      <c r="C138" s="1"/>
      <c r="E138" s="1"/>
      <c r="G138" s="2"/>
      <c r="I138" s="2"/>
      <c r="O138" s="2"/>
      <c r="P138" s="2"/>
    </row>
    <row r="139" spans="3:16" x14ac:dyDescent="0.25">
      <c r="C139" s="1"/>
      <c r="E139" s="1"/>
      <c r="G139" s="2"/>
      <c r="I139" s="2"/>
      <c r="O139" s="2"/>
      <c r="P139" s="2"/>
    </row>
    <row r="140" spans="3:16" x14ac:dyDescent="0.25">
      <c r="C140" s="1"/>
      <c r="E140" s="1"/>
      <c r="G140" s="2"/>
      <c r="I140" s="2"/>
      <c r="O140" s="2"/>
      <c r="P140" s="2"/>
    </row>
    <row r="141" spans="3:16" x14ac:dyDescent="0.25">
      <c r="C141" s="1"/>
      <c r="E141" s="1"/>
      <c r="G141" s="2"/>
      <c r="I141" s="2"/>
      <c r="O141" s="2"/>
      <c r="P141" s="2"/>
    </row>
    <row r="142" spans="3:16" x14ac:dyDescent="0.25">
      <c r="C142" s="1"/>
      <c r="E142" s="1"/>
      <c r="G142" s="2"/>
      <c r="I142" s="2"/>
      <c r="O142" s="2"/>
      <c r="P142" s="2"/>
    </row>
    <row r="143" spans="3:16" x14ac:dyDescent="0.25">
      <c r="C143" s="1"/>
      <c r="E143" s="1"/>
      <c r="G143" s="2"/>
      <c r="I143" s="2"/>
      <c r="O143" s="2"/>
      <c r="P143" s="2"/>
    </row>
    <row r="144" spans="3:16" x14ac:dyDescent="0.25">
      <c r="C144" s="1"/>
      <c r="E144" s="1"/>
      <c r="G144" s="2"/>
      <c r="I144" s="2"/>
      <c r="O144" s="2"/>
      <c r="P144" s="2"/>
    </row>
    <row r="145" spans="3:16" x14ac:dyDescent="0.25">
      <c r="C145" s="1"/>
      <c r="E145" s="1"/>
      <c r="G145" s="2"/>
      <c r="I145" s="2"/>
      <c r="O145" s="2"/>
      <c r="P145" s="2"/>
    </row>
    <row r="146" spans="3:16" x14ac:dyDescent="0.25">
      <c r="C146" s="1"/>
      <c r="E146" s="1"/>
      <c r="G146" s="2"/>
      <c r="I146" s="2"/>
      <c r="O146" s="2"/>
      <c r="P146" s="2"/>
    </row>
    <row r="147" spans="3:16" x14ac:dyDescent="0.25">
      <c r="C147" s="1"/>
      <c r="E147" s="1"/>
      <c r="G147" s="2"/>
      <c r="I147" s="2"/>
      <c r="O147" s="2"/>
      <c r="P147" s="2"/>
    </row>
    <row r="148" spans="3:16" x14ac:dyDescent="0.25">
      <c r="C148" s="1"/>
      <c r="E148" s="1"/>
      <c r="G148" s="2"/>
      <c r="I148" s="2"/>
      <c r="O148" s="2"/>
      <c r="P148" s="2"/>
    </row>
    <row r="149" spans="3:16" x14ac:dyDescent="0.25">
      <c r="C149" s="1"/>
      <c r="E149" s="1"/>
      <c r="G149" s="2"/>
      <c r="I149" s="2"/>
      <c r="O149" s="2"/>
      <c r="P149" s="2"/>
    </row>
    <row r="150" spans="3:16" x14ac:dyDescent="0.25">
      <c r="C150" s="1"/>
      <c r="E150" s="1"/>
      <c r="G150" s="2"/>
      <c r="I150" s="2"/>
      <c r="O150" s="2"/>
      <c r="P150" s="2"/>
    </row>
    <row r="151" spans="3:16" x14ac:dyDescent="0.25">
      <c r="C151" s="1"/>
      <c r="E151" s="1"/>
      <c r="G151" s="2"/>
      <c r="I151" s="2"/>
      <c r="O151" s="2"/>
      <c r="P151" s="2"/>
    </row>
    <row r="152" spans="3:16" x14ac:dyDescent="0.25">
      <c r="C152" s="1"/>
      <c r="E152" s="1"/>
      <c r="G152" s="2"/>
      <c r="I152" s="2"/>
      <c r="O152" s="2"/>
      <c r="P152" s="2"/>
    </row>
    <row r="153" spans="3:16" x14ac:dyDescent="0.25">
      <c r="C153" s="1"/>
      <c r="E153" s="1"/>
      <c r="G153" s="2"/>
      <c r="I153" s="2"/>
      <c r="O153" s="2"/>
      <c r="P153" s="2"/>
    </row>
    <row r="154" spans="3:16" x14ac:dyDescent="0.25">
      <c r="C154" s="1"/>
      <c r="E154" s="1"/>
      <c r="G154" s="2"/>
      <c r="I154" s="2"/>
      <c r="O154" s="2"/>
      <c r="P154" s="2"/>
    </row>
    <row r="155" spans="3:16" x14ac:dyDescent="0.25">
      <c r="C155" s="1"/>
      <c r="E155" s="1"/>
      <c r="G155" s="2"/>
      <c r="I155" s="2"/>
      <c r="O155" s="2"/>
      <c r="P155" s="2"/>
    </row>
    <row r="156" spans="3:16" x14ac:dyDescent="0.25">
      <c r="C156" s="1"/>
      <c r="E156" s="1"/>
      <c r="G156" s="2"/>
      <c r="I156" s="2"/>
      <c r="O156" s="2"/>
      <c r="P156" s="2"/>
    </row>
    <row r="157" spans="3:16" x14ac:dyDescent="0.25">
      <c r="C157" s="1"/>
      <c r="E157" s="1"/>
      <c r="G157" s="2"/>
      <c r="I157" s="2"/>
      <c r="O157" s="2"/>
      <c r="P157" s="2"/>
    </row>
    <row r="158" spans="3:16" x14ac:dyDescent="0.25">
      <c r="C158" s="1"/>
      <c r="E158" s="1"/>
      <c r="G158" s="2"/>
      <c r="I158" s="2"/>
      <c r="O158" s="2"/>
      <c r="P158" s="2"/>
    </row>
    <row r="159" spans="3:16" x14ac:dyDescent="0.25">
      <c r="C159" s="1"/>
      <c r="E159" s="1"/>
      <c r="G159" s="2"/>
      <c r="I159" s="2"/>
      <c r="O159" s="2"/>
      <c r="P159" s="2"/>
    </row>
    <row r="160" spans="3:16" x14ac:dyDescent="0.25">
      <c r="C160" s="1"/>
      <c r="E160" s="1"/>
      <c r="G160" s="2"/>
      <c r="I160" s="2"/>
      <c r="O160" s="2"/>
      <c r="P160" s="2"/>
    </row>
    <row r="161" spans="3:16" x14ac:dyDescent="0.25">
      <c r="C161" s="1"/>
      <c r="E161" s="1"/>
      <c r="G161" s="2"/>
      <c r="I161" s="2"/>
      <c r="O161" s="2"/>
      <c r="P161" s="2"/>
    </row>
    <row r="162" spans="3:16" x14ac:dyDescent="0.25">
      <c r="C162" s="1"/>
      <c r="E162" s="1"/>
      <c r="G162" s="2"/>
      <c r="I162" s="2"/>
      <c r="O162" s="2"/>
      <c r="P162" s="2"/>
    </row>
    <row r="163" spans="3:16" x14ac:dyDescent="0.25">
      <c r="C163" s="1"/>
      <c r="E163" s="1"/>
      <c r="G163" s="2"/>
      <c r="I163" s="2"/>
      <c r="O163" s="2"/>
      <c r="P163" s="2"/>
    </row>
    <row r="164" spans="3:16" x14ac:dyDescent="0.25">
      <c r="C164" s="1"/>
      <c r="E164" s="1"/>
      <c r="G164" s="2"/>
      <c r="I164" s="2"/>
      <c r="O164" s="2"/>
      <c r="P164" s="2"/>
    </row>
    <row r="165" spans="3:16" x14ac:dyDescent="0.25">
      <c r="C165" s="1"/>
      <c r="E165" s="1"/>
      <c r="G165" s="2"/>
      <c r="I165" s="2"/>
      <c r="O165" s="2"/>
      <c r="P165" s="2"/>
    </row>
    <row r="166" spans="3:16" x14ac:dyDescent="0.25">
      <c r="C166" s="1"/>
      <c r="E166" s="1"/>
      <c r="G166" s="2"/>
      <c r="I166" s="2"/>
      <c r="O166" s="2"/>
      <c r="P166" s="2"/>
    </row>
    <row r="167" spans="3:16" x14ac:dyDescent="0.25">
      <c r="C167" s="1"/>
      <c r="E167" s="1"/>
      <c r="G167" s="2"/>
      <c r="I167" s="2"/>
      <c r="O167" s="2"/>
      <c r="P167" s="2"/>
    </row>
    <row r="168" spans="3:16" x14ac:dyDescent="0.25">
      <c r="C168" s="1"/>
      <c r="E168" s="1"/>
      <c r="G168" s="2"/>
      <c r="I168" s="2"/>
      <c r="O168" s="2"/>
      <c r="P168" s="2"/>
    </row>
    <row r="169" spans="3:16" x14ac:dyDescent="0.25">
      <c r="C169" s="1"/>
      <c r="E169" s="1"/>
      <c r="G169" s="2"/>
      <c r="I169" s="2"/>
      <c r="O169" s="2"/>
      <c r="P169" s="2"/>
    </row>
    <row r="170" spans="3:16" x14ac:dyDescent="0.25">
      <c r="C170" s="1"/>
      <c r="E170" s="1"/>
      <c r="G170" s="2"/>
      <c r="I170" s="2"/>
      <c r="O170" s="2"/>
      <c r="P170" s="2"/>
    </row>
    <row r="171" spans="3:16" x14ac:dyDescent="0.25">
      <c r="C171" s="1"/>
      <c r="E171" s="1"/>
      <c r="G171" s="2"/>
      <c r="I171" s="2"/>
      <c r="O171" s="2"/>
      <c r="P171" s="2"/>
    </row>
    <row r="172" spans="3:16" x14ac:dyDescent="0.25">
      <c r="C172" s="1"/>
      <c r="E172" s="1"/>
      <c r="G172" s="2"/>
      <c r="I172" s="2"/>
      <c r="O172" s="2"/>
      <c r="P172" s="2"/>
    </row>
    <row r="173" spans="3:16" x14ac:dyDescent="0.25">
      <c r="C173" s="1"/>
      <c r="E173" s="1"/>
      <c r="G173" s="2"/>
      <c r="I173" s="2"/>
      <c r="O173" s="2"/>
      <c r="P173" s="2"/>
    </row>
    <row r="174" spans="3:16" x14ac:dyDescent="0.25">
      <c r="C174" s="1"/>
      <c r="E174" s="1"/>
      <c r="G174" s="2"/>
      <c r="I174" s="2"/>
      <c r="O174" s="2"/>
      <c r="P174" s="2"/>
    </row>
    <row r="175" spans="3:16" x14ac:dyDescent="0.25">
      <c r="C175" s="1"/>
      <c r="E175" s="1"/>
      <c r="G175" s="2"/>
      <c r="I175" s="2"/>
      <c r="O175" s="2"/>
      <c r="P175" s="2"/>
    </row>
    <row r="176" spans="3:16" x14ac:dyDescent="0.25">
      <c r="C176" s="1"/>
      <c r="E176" s="1"/>
      <c r="G176" s="2"/>
      <c r="I176" s="2"/>
      <c r="O176" s="2"/>
      <c r="P176" s="2"/>
    </row>
    <row r="177" spans="3:16" x14ac:dyDescent="0.25">
      <c r="C177" s="1"/>
      <c r="E177" s="1"/>
      <c r="G177" s="2"/>
      <c r="I177" s="2"/>
      <c r="O177" s="2"/>
      <c r="P177" s="2"/>
    </row>
    <row r="178" spans="3:16" x14ac:dyDescent="0.25">
      <c r="C178" s="1"/>
      <c r="E178" s="1"/>
      <c r="G178" s="2"/>
      <c r="I178" s="2"/>
      <c r="O178" s="2"/>
      <c r="P178" s="2"/>
    </row>
    <row r="179" spans="3:16" x14ac:dyDescent="0.25">
      <c r="C179" s="1"/>
      <c r="E179" s="1"/>
      <c r="G179" s="2"/>
      <c r="I179" s="2"/>
      <c r="O179" s="2"/>
      <c r="P179" s="2"/>
    </row>
    <row r="180" spans="3:16" x14ac:dyDescent="0.25">
      <c r="C180" s="1"/>
      <c r="E180" s="1"/>
      <c r="G180" s="2"/>
      <c r="I180" s="2"/>
      <c r="O180" s="2"/>
      <c r="P180" s="2"/>
    </row>
    <row r="181" spans="3:16" x14ac:dyDescent="0.25">
      <c r="C181" s="1"/>
      <c r="E181" s="1"/>
      <c r="G181" s="2"/>
      <c r="I181" s="2"/>
      <c r="O181" s="2"/>
      <c r="P181" s="2"/>
    </row>
    <row r="182" spans="3:16" x14ac:dyDescent="0.25">
      <c r="C182" s="1"/>
      <c r="E182" s="1"/>
      <c r="G182" s="2"/>
      <c r="I182" s="2"/>
      <c r="O182" s="2"/>
      <c r="P182" s="2"/>
    </row>
    <row r="183" spans="3:16" x14ac:dyDescent="0.25">
      <c r="C183" s="1"/>
      <c r="E183" s="1"/>
      <c r="G183" s="2"/>
      <c r="I183" s="2"/>
      <c r="O183" s="2"/>
      <c r="P183" s="2"/>
    </row>
    <row r="184" spans="3:16" x14ac:dyDescent="0.25">
      <c r="C184" s="1"/>
      <c r="E184" s="1"/>
      <c r="G184" s="2"/>
      <c r="I184" s="2"/>
      <c r="O184" s="2"/>
      <c r="P184" s="2"/>
    </row>
    <row r="185" spans="3:16" x14ac:dyDescent="0.25">
      <c r="C185" s="1"/>
      <c r="E185" s="1"/>
      <c r="G185" s="2"/>
      <c r="I185" s="2"/>
      <c r="O185" s="2"/>
      <c r="P185" s="2"/>
    </row>
    <row r="186" spans="3:16" x14ac:dyDescent="0.25">
      <c r="C186" s="1"/>
      <c r="E186" s="1"/>
      <c r="G186" s="2"/>
      <c r="I186" s="2"/>
      <c r="O186" s="2"/>
      <c r="P186" s="2"/>
    </row>
    <row r="187" spans="3:16" x14ac:dyDescent="0.25">
      <c r="C187" s="1"/>
      <c r="E187" s="1"/>
      <c r="G187" s="2"/>
      <c r="I187" s="2"/>
      <c r="O187" s="2"/>
      <c r="P187" s="2"/>
    </row>
    <row r="188" spans="3:16" x14ac:dyDescent="0.25">
      <c r="C188" s="1"/>
      <c r="E188" s="1"/>
      <c r="G188" s="2"/>
      <c r="I188" s="2"/>
      <c r="O188" s="2"/>
      <c r="P188" s="2"/>
    </row>
    <row r="189" spans="3:16" x14ac:dyDescent="0.25">
      <c r="C189" s="1"/>
      <c r="E189" s="1"/>
      <c r="G189" s="2"/>
      <c r="I189" s="2"/>
      <c r="O189" s="2"/>
      <c r="P189" s="2"/>
    </row>
    <row r="190" spans="3:16" x14ac:dyDescent="0.25">
      <c r="C190" s="1"/>
      <c r="E190" s="1"/>
      <c r="G190" s="2"/>
      <c r="I190" s="2"/>
      <c r="O190" s="2"/>
      <c r="P190" s="2"/>
    </row>
    <row r="191" spans="3:16" x14ac:dyDescent="0.25">
      <c r="C191" s="1"/>
      <c r="E191" s="1"/>
      <c r="G191" s="2"/>
      <c r="I191" s="2"/>
      <c r="O191" s="2"/>
      <c r="P191" s="2"/>
    </row>
    <row r="192" spans="3:16" x14ac:dyDescent="0.25">
      <c r="C192" s="1"/>
      <c r="E192" s="1"/>
      <c r="G192" s="2"/>
      <c r="I192" s="2"/>
      <c r="O192" s="2"/>
      <c r="P192" s="2"/>
    </row>
    <row r="193" spans="3:16" x14ac:dyDescent="0.25">
      <c r="C193" s="1"/>
      <c r="E193" s="1"/>
      <c r="G193" s="2"/>
      <c r="I193" s="2"/>
      <c r="O193" s="2"/>
      <c r="P193" s="2"/>
    </row>
    <row r="194" spans="3:16" x14ac:dyDescent="0.25">
      <c r="C194" s="1"/>
      <c r="E194" s="1"/>
      <c r="G194" s="2"/>
      <c r="I194" s="2"/>
      <c r="O194" s="2"/>
      <c r="P194" s="2"/>
    </row>
    <row r="195" spans="3:16" x14ac:dyDescent="0.25">
      <c r="C195" s="1"/>
      <c r="E195" s="1"/>
      <c r="G195" s="2"/>
      <c r="I195" s="2"/>
      <c r="O195" s="2"/>
      <c r="P195" s="2"/>
    </row>
    <row r="196" spans="3:16" x14ac:dyDescent="0.25">
      <c r="C196" s="1"/>
      <c r="E196" s="1"/>
      <c r="G196" s="2"/>
      <c r="I196" s="2"/>
      <c r="O196" s="2"/>
      <c r="P196" s="2"/>
    </row>
    <row r="197" spans="3:16" x14ac:dyDescent="0.25">
      <c r="C197" s="1"/>
      <c r="E197" s="1"/>
      <c r="G197" s="2"/>
      <c r="I197" s="2"/>
      <c r="O197" s="2"/>
      <c r="P197" s="2"/>
    </row>
    <row r="198" spans="3:16" x14ac:dyDescent="0.25">
      <c r="C198" s="1"/>
      <c r="E198" s="1"/>
      <c r="G198" s="2"/>
      <c r="I198" s="2"/>
      <c r="O198" s="2"/>
      <c r="P198" s="2"/>
    </row>
    <row r="199" spans="3:16" x14ac:dyDescent="0.25">
      <c r="C199" s="1"/>
      <c r="E199" s="1"/>
      <c r="G199" s="2"/>
      <c r="I199" s="2"/>
      <c r="O199" s="2"/>
      <c r="P199" s="2"/>
    </row>
    <row r="200" spans="3:16" x14ac:dyDescent="0.25">
      <c r="C200" s="1"/>
      <c r="E200" s="1"/>
      <c r="G200" s="2"/>
      <c r="I200" s="2"/>
      <c r="O200" s="2"/>
      <c r="P200" s="2"/>
    </row>
  </sheetData>
  <conditionalFormatting sqref="AM21:AM38">
    <cfRule type="cellIs" dxfId="7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M199"/>
  <sheetViews>
    <sheetView zoomScale="85" zoomScaleNormal="85" workbookViewId="0">
      <selection activeCell="Q13" sqref="Q13"/>
    </sheetView>
  </sheetViews>
  <sheetFormatPr defaultRowHeight="15" x14ac:dyDescent="0.25"/>
  <cols>
    <col min="1" max="1" width="16.28515625" bestFit="1" customWidth="1"/>
    <col min="2" max="2" width="8.140625" bestFit="1" customWidth="1"/>
    <col min="3" max="3" width="10.42578125" bestFit="1" customWidth="1"/>
    <col min="4" max="4" width="9" bestFit="1" customWidth="1"/>
    <col min="5" max="5" width="10.42578125" bestFit="1" customWidth="1"/>
    <col min="6" max="6" width="9" bestFit="1" customWidth="1"/>
    <col min="7" max="7" width="7.85546875" bestFit="1" customWidth="1"/>
    <col min="8" max="8" width="11" bestFit="1" customWidth="1"/>
    <col min="9" max="9" width="8" bestFit="1" customWidth="1"/>
    <col min="10" max="10" width="6.85546875" bestFit="1" customWidth="1"/>
    <col min="11" max="11" width="13.7109375" bestFit="1" customWidth="1"/>
    <col min="12" max="12" width="12" bestFit="1" customWidth="1"/>
    <col min="13" max="13" width="6.140625" bestFit="1" customWidth="1"/>
    <col min="14" max="14" width="10.7109375" bestFit="1" customWidth="1"/>
    <col min="15" max="15" width="6.85546875" bestFit="1" customWidth="1"/>
    <col min="16" max="16" width="7.140625" bestFit="1" customWidth="1"/>
    <col min="17" max="17" width="11.85546875" bestFit="1" customWidth="1"/>
    <col min="25" max="25" width="16.42578125" customWidth="1"/>
    <col min="26" max="26" width="16.28515625" bestFit="1" customWidth="1"/>
    <col min="27" max="28" width="6.140625" customWidth="1"/>
    <col min="29" max="29" width="5.85546875" customWidth="1"/>
    <col min="30" max="32" width="6.140625" customWidth="1"/>
    <col min="33" max="34" width="5.85546875" customWidth="1"/>
    <col min="35" max="35" width="6.140625" customWidth="1"/>
    <col min="36" max="36" width="5.85546875" customWidth="1"/>
    <col min="37" max="37" width="6.140625" customWidth="1"/>
    <col min="38" max="38" width="11.28515625" bestFit="1" customWidth="1"/>
  </cols>
  <sheetData>
    <row r="1" spans="1:26" x14ac:dyDescent="0.25">
      <c r="A1" s="1" t="s">
        <v>0</v>
      </c>
      <c r="B1" s="3"/>
      <c r="C1" s="4">
        <v>1.5E-3</v>
      </c>
      <c r="D1" s="4">
        <v>5.0000000000000001E-3</v>
      </c>
      <c r="E1" s="3"/>
      <c r="F1" s="3"/>
      <c r="G1" s="3"/>
      <c r="H1" s="5">
        <v>40544</v>
      </c>
      <c r="I1" s="3">
        <f>YEAR(H1)</f>
        <v>2011</v>
      </c>
      <c r="J1" s="5">
        <f>INDEX(C21:C1048576,MATCH(I1,V21:V1048575,0),1)</f>
        <v>40812</v>
      </c>
      <c r="K1" s="4"/>
      <c r="L1" s="5">
        <f>MAX(E21:E1048576)</f>
        <v>46041</v>
      </c>
      <c r="M1" s="3"/>
    </row>
    <row r="2" spans="1:26" ht="15.75" thickBot="1" x14ac:dyDescent="0.3">
      <c r="A2" s="3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  <c r="N2" s="2"/>
    </row>
    <row r="3" spans="1:26" ht="45" x14ac:dyDescent="0.25">
      <c r="A3" s="7" t="s">
        <v>6</v>
      </c>
      <c r="B3" s="8">
        <f>SUM(G21:G1048576)</f>
        <v>2.5501999999999998</v>
      </c>
      <c r="C3" s="8">
        <f>SUM(I21:I1048576)</f>
        <v>9.7500000000000059E-2</v>
      </c>
      <c r="D3" s="8">
        <f>SUM(J21:J1048576)</f>
        <v>0.60049999999999981</v>
      </c>
      <c r="E3" s="8">
        <f>SUM(K21:K1048576)</f>
        <v>1.8521999999999998</v>
      </c>
      <c r="F3" s="9">
        <f>SUM(H21:H1048576)</f>
        <v>3603</v>
      </c>
      <c r="G3" s="3"/>
      <c r="H3" s="7" t="s">
        <v>6</v>
      </c>
      <c r="I3" s="8">
        <f t="array" ref="I3">SUM(IF(H$1&lt;=C21:C1048576,G21:G1048576,""))</f>
        <v>1.8312000000000004</v>
      </c>
      <c r="J3" s="8">
        <f t="array" ref="J3">SUM(IF(H$1&lt;=C21:C1048576,I21:I1048576,""))</f>
        <v>8.2500000000000046E-2</v>
      </c>
      <c r="K3" s="8">
        <f t="array" ref="K3">SUM(IF(H$1&lt;=C21:C1048576,J21:J1048576,""))</f>
        <v>0.50616666666666676</v>
      </c>
      <c r="L3" s="8">
        <f t="array" ref="L3">SUM(IF(H$1&lt;=C21:C1048576,K21:K1048576,""))</f>
        <v>1.2425333333333333</v>
      </c>
      <c r="M3" s="10">
        <f t="array" ref="M3">SUM(IF(H$1&lt;=C21:C1048576,H21:H1048576,""))</f>
        <v>3037</v>
      </c>
      <c r="N3" s="2"/>
      <c r="O3" s="11" t="s">
        <v>7</v>
      </c>
      <c r="P3" s="12" t="s">
        <v>8</v>
      </c>
      <c r="Q3" s="12" t="s">
        <v>9</v>
      </c>
      <c r="R3" s="12" t="s">
        <v>10</v>
      </c>
      <c r="S3" s="13" t="s">
        <v>11</v>
      </c>
      <c r="T3" s="13" t="s">
        <v>12</v>
      </c>
      <c r="U3" s="13" t="s">
        <v>13</v>
      </c>
      <c r="V3" s="14" t="s">
        <v>14</v>
      </c>
      <c r="W3" s="14" t="s">
        <v>15</v>
      </c>
      <c r="X3" s="14" t="s">
        <v>16</v>
      </c>
      <c r="Y3" s="12" t="s">
        <v>17</v>
      </c>
      <c r="Z3" s="15" t="s">
        <v>18</v>
      </c>
    </row>
    <row r="4" spans="1:26" ht="15.75" x14ac:dyDescent="0.25">
      <c r="A4" s="7" t="s">
        <v>19</v>
      </c>
      <c r="B4" s="8">
        <f>AVERAGE(G21:G1048576)</f>
        <v>3.9233846153846154E-2</v>
      </c>
      <c r="C4" s="9"/>
      <c r="D4" s="9"/>
      <c r="E4" s="8">
        <f>AVERAGE(K21:K1048576)</f>
        <v>2.8495384615384613E-2</v>
      </c>
      <c r="F4" s="16">
        <f>AVERAGE(H21:H1048576)</f>
        <v>55.430769230769229</v>
      </c>
      <c r="G4" s="3"/>
      <c r="H4" s="7" t="s">
        <v>19</v>
      </c>
      <c r="I4" s="8">
        <f t="array" ref="I4">AVERAGE(IF(H$1&lt;=C21:C1048576,G21:G1048576,""))</f>
        <v>3.3294545454545459E-2</v>
      </c>
      <c r="J4" s="9"/>
      <c r="K4" s="9"/>
      <c r="L4" s="8">
        <f t="array" ref="L4">AVERAGE(IF(H$1&lt;=C21:C1048576,K21:K1048576,""))</f>
        <v>2.2591515151515151E-2</v>
      </c>
      <c r="M4" s="16">
        <f t="array" ref="M4">AVERAGE(IF(H$1&lt;=C21:C1048576,H21:H1048576,""))</f>
        <v>55.218181818181819</v>
      </c>
      <c r="N4" s="2"/>
      <c r="O4" s="17" t="s">
        <v>20</v>
      </c>
      <c r="P4" s="18">
        <v>39447</v>
      </c>
      <c r="Q4" s="18">
        <v>45869</v>
      </c>
      <c r="R4" s="19">
        <f t="array" ref="R4">COUNT(IF((P4&lt;=$C$21:$C$1048576)*(Q4&gt;=$E$21:$E$1048576),$G$21:$G$1048576,""))</f>
        <v>62</v>
      </c>
      <c r="S4" s="20">
        <f t="array" ref="S4">SUM(IF((P4&lt;=$C$21:$C$1048576)*(Q4&gt;=$E$21:$E$1048576),$G$21:$G$1048576,""))</f>
        <v>2.5491999999999999</v>
      </c>
      <c r="T4" s="20">
        <f t="array" ref="T4">AVERAGE(IF((P4&lt;=$C$21:$C$1048576)*(Q4&gt;=$E$21:$E$1048576),$G$21:$G$1048576,""))</f>
        <v>4.1116129032258066E-2</v>
      </c>
      <c r="U4" s="20">
        <f>T4/Z4</f>
        <v>2.238071387449626E-2</v>
      </c>
      <c r="V4" s="20">
        <f t="array" ref="V4">SUM(IF((P4&lt;=$C$21:$C$1048576)*(Q4&gt;=$E$21:$E$1048576),$K$21:$K$1048576,""))</f>
        <v>1.8771999999999998</v>
      </c>
      <c r="W4" s="20">
        <f t="array" ref="W4">AVERAGE(IF((P4&lt;=$C$21:$C$1048576)*(Q4&gt;=$E$21:$E$1048576),$K$21:$K$1048576,""))</f>
        <v>3.0277419354838707E-2</v>
      </c>
      <c r="X4" s="20">
        <f>W4/Z4</f>
        <v>1.648088658606793E-2</v>
      </c>
      <c r="Y4" s="21">
        <f t="array" ref="Y4">AVERAGE(IF((P4&lt;=$C$21:$C$1048576)*(Q4&gt;=$E$21:$E$1048576),$H$21:$H$1048576,""))</f>
        <v>56.032258064516128</v>
      </c>
      <c r="Z4" s="22">
        <f>Y4/30.5</f>
        <v>1.837123215230037</v>
      </c>
    </row>
    <row r="5" spans="1:26" ht="15.75" x14ac:dyDescent="0.25">
      <c r="A5" s="3" t="s">
        <v>21</v>
      </c>
      <c r="B5" s="23">
        <f>COUNT(G21:G1048576)</f>
        <v>65</v>
      </c>
      <c r="C5" s="23"/>
      <c r="D5" s="23"/>
      <c r="E5" s="23">
        <f>COUNT(K21:K1048576)</f>
        <v>65</v>
      </c>
      <c r="F5" s="24">
        <f>F4/30.5</f>
        <v>1.8174022698612862</v>
      </c>
      <c r="G5" s="3"/>
      <c r="H5" s="3" t="s">
        <v>21</v>
      </c>
      <c r="I5" s="23">
        <f t="array" ref="I5">COUNT(IF(H$1&lt;=C21:C1048576,G21:G1048576,""))</f>
        <v>55</v>
      </c>
      <c r="J5" s="23"/>
      <c r="K5" s="23"/>
      <c r="L5" s="23">
        <f t="array" ref="L5">COUNT(IF(H$1&lt;=C21:C1048576,K21:K1048576,""))</f>
        <v>55</v>
      </c>
      <c r="M5" s="24">
        <f>M4/30.5</f>
        <v>1.8104321907600596</v>
      </c>
      <c r="N5" s="2"/>
      <c r="O5" s="17" t="s">
        <v>22</v>
      </c>
      <c r="P5" s="18">
        <v>39447</v>
      </c>
      <c r="Q5" s="18">
        <v>40543</v>
      </c>
      <c r="R5" s="19">
        <f t="array" ref="R5">COUNT(IF((P5&lt;=$C$21:$C$1048576)*(Q5&gt;=$E$21:$E$1048576),$G$21:$G$1048576,""))</f>
        <v>10</v>
      </c>
      <c r="S5" s="20">
        <f t="array" ref="S5">SUM(IF((P5&lt;=$C$21:$C$1048576)*(Q5&gt;=$E$21:$E$1048576),$G$21:$G$1048576,""))</f>
        <v>0.71900000000000008</v>
      </c>
      <c r="T5" s="20">
        <f t="array" ref="T5">AVERAGE(IF((P5&lt;=$C$21:$C$1048576)*(Q5&gt;=$E$21:$E$1048576),$G$21:$G$1048576,""))</f>
        <v>7.1900000000000006E-2</v>
      </c>
      <c r="U5" s="20">
        <f t="shared" ref="U5:U7" si="0">T5/Z5</f>
        <v>3.8744699646643115E-2</v>
      </c>
      <c r="V5" s="20">
        <f t="array" ref="V5">SUM(IF((P5&lt;=$C$21:$C$1048576)*(Q5&gt;=$E$21:$E$1048576),$K$21:$K$1048576,""))</f>
        <v>0.60966666666666658</v>
      </c>
      <c r="W5" s="20">
        <f t="array" ref="W5">AVERAGE(IF((P5&lt;=$C$21:$C$1048576)*(Q5&gt;=$E$21:$E$1048576),$K$21:$K$1048576,""))</f>
        <v>6.0966666666666655E-2</v>
      </c>
      <c r="X5" s="20">
        <f t="shared" ref="X5:X7" si="1">W5/Z5</f>
        <v>3.2853062426383972E-2</v>
      </c>
      <c r="Y5" s="21">
        <f t="array" ref="Y5">AVERAGE(IF((P5&lt;=$C$21:$C$1048576)*(Q5&gt;=$E$21:$E$1048576),$H$21:$H$1048576,""))</f>
        <v>56.6</v>
      </c>
      <c r="Z5" s="22">
        <f t="shared" ref="Z5:Z7" si="2">Y5/30.5</f>
        <v>1.8557377049180328</v>
      </c>
    </row>
    <row r="6" spans="1:26" ht="15.75" x14ac:dyDescent="0.25">
      <c r="A6" s="7" t="s">
        <v>23</v>
      </c>
      <c r="B6" s="25">
        <f>COUNTIF(G21:G1048576,"&gt;0")/B5</f>
        <v>0.50769230769230766</v>
      </c>
      <c r="C6" s="9"/>
      <c r="D6" s="9"/>
      <c r="E6" s="25">
        <f>COUNTIF(K21:K1048576,"&gt;0")/E5</f>
        <v>0.44615384615384618</v>
      </c>
      <c r="F6" s="9"/>
      <c r="G6" s="3"/>
      <c r="H6" s="7" t="s">
        <v>23</v>
      </c>
      <c r="I6" s="25">
        <f t="array" ref="I6">COUNT(IF((H$1&lt;=C21:C1048576)*(0&lt;G21:G1048576),G21:G1048576,""))/I5</f>
        <v>0.49090909090909091</v>
      </c>
      <c r="J6" s="9"/>
      <c r="K6" s="9"/>
      <c r="L6" s="25">
        <f t="array" ref="L6">COUNT(IF((H$1&lt;=C21:C1048576)*(0&lt;K21:K1048576),K21:K1048576,""))/L5</f>
        <v>0.41818181818181815</v>
      </c>
      <c r="M6" s="9"/>
      <c r="N6" s="2"/>
      <c r="O6" s="17" t="s">
        <v>24</v>
      </c>
      <c r="P6" s="18">
        <v>40543</v>
      </c>
      <c r="Q6" s="18">
        <v>43830</v>
      </c>
      <c r="R6" s="19">
        <f t="array" ref="R6">COUNT(IF((P6&lt;=$C$21:$C$1048576)*(Q6&gt;=$E$21:$E$1048576),$G$21:$G$1048576,""))</f>
        <v>26</v>
      </c>
      <c r="S6" s="20">
        <f t="array" ref="S6">SUM(IF((P6&lt;=$C$21:$C$1048576)*(Q6&gt;=$E$21:$E$1048576),$G$21:$G$1048576,""))</f>
        <v>0.8446999999999999</v>
      </c>
      <c r="T6" s="20">
        <f t="array" ref="T6">AVERAGE(IF((P6&lt;=$C$21:$C$1048576)*(Q6&gt;=$E$21:$E$1048576),$G$21:$G$1048576,""))</f>
        <v>3.2488461538461536E-2</v>
      </c>
      <c r="U6" s="20">
        <f t="shared" si="0"/>
        <v>1.669692158133506E-2</v>
      </c>
      <c r="V6" s="20">
        <f t="array" ref="V6">SUM(IF((P6&lt;=$C$21:$C$1048576)*(Q6&gt;=$E$21:$E$1048576),$K$21:$K$1048576,""))</f>
        <v>0.54853333333333332</v>
      </c>
      <c r="W6" s="20">
        <f t="array" ref="W6">AVERAGE(IF((P6&lt;=$C$21:$C$1048576)*(Q6&gt;=$E$21:$E$1048576),$K$21:$K$1048576,""))</f>
        <v>2.1097435897435898E-2</v>
      </c>
      <c r="X6" s="20">
        <f t="shared" si="1"/>
        <v>1.0842687405487146E-2</v>
      </c>
      <c r="Y6" s="21">
        <f t="array" ref="Y6">AVERAGE(IF((P6&lt;=$C$21:$C$1048576)*(Q6&gt;=$E$21:$E$1048576),$H$21:$H$1048576,""))</f>
        <v>59.346153846153847</v>
      </c>
      <c r="Z6" s="22">
        <f t="shared" si="2"/>
        <v>1.9457755359394704</v>
      </c>
    </row>
    <row r="7" spans="1:26" ht="16.5" thickBot="1" x14ac:dyDescent="0.3">
      <c r="A7" s="3" t="s">
        <v>25</v>
      </c>
      <c r="B7" s="26">
        <f>AVERAGEIF(G21:G1048576,"&gt;0",G21:G1048576)</f>
        <v>9.7642424242424267E-2</v>
      </c>
      <c r="C7" s="23"/>
      <c r="D7" s="23"/>
      <c r="E7" s="26">
        <f>AVERAGEIF(K21:K1048576,"&gt;0",K21:K1048576)</f>
        <v>9.2410344827586199E-2</v>
      </c>
      <c r="F7" s="23"/>
      <c r="G7" s="3"/>
      <c r="H7" s="3" t="s">
        <v>25</v>
      </c>
      <c r="I7" s="26">
        <f t="array" ref="I7">AVERAGE(IF((H$1&lt;=C21:C1048576)*(0&lt;G21:G1048576),G21:G1048576,""))</f>
        <v>8.5600000000000009E-2</v>
      </c>
      <c r="J7" s="23"/>
      <c r="K7" s="23"/>
      <c r="L7" s="26">
        <f t="array" ref="L7">AVERAGE(IF((H$1&lt;=C21:C1048576)*(0&lt;K21:K1048576),K21:K1048576,""))</f>
        <v>8.0800000000000011E-2</v>
      </c>
      <c r="M7" s="23"/>
      <c r="N7" s="2"/>
      <c r="O7" s="27" t="s">
        <v>26</v>
      </c>
      <c r="P7" s="28">
        <v>40543</v>
      </c>
      <c r="Q7" s="28">
        <v>45869</v>
      </c>
      <c r="R7" s="29">
        <f t="array" ref="R7">COUNT(IF((P7&lt;=$C$21:$C$1048576)*(Q7&gt;=$E$21:$E$1048576),$G$21:$G$1048576,""))</f>
        <v>52</v>
      </c>
      <c r="S7" s="30">
        <f t="array" ref="S7">SUM(IF((P7&lt;=$C$21:$C$1048576)*(Q7&gt;=$E$21:$E$1048576),$G$21:$G$1048576,""))</f>
        <v>1.8302000000000003</v>
      </c>
      <c r="T7" s="30">
        <f t="array" ref="T7">AVERAGE(IF((P7&lt;=$C$21:$C$1048576)*(Q7&gt;=$E$21:$E$1048576),$G$21:$G$1048576,""))</f>
        <v>3.5196153846153849E-2</v>
      </c>
      <c r="U7" s="30">
        <f t="shared" si="0"/>
        <v>1.9195701513067404E-2</v>
      </c>
      <c r="V7" s="30">
        <f t="array" ref="V7">SUM(IF((P7&lt;=$C$21:$C$1048576)*(Q7&gt;=$E$21:$E$1048576),$K$21:$K$1048576,""))</f>
        <v>1.2675333333333332</v>
      </c>
      <c r="W7" s="30">
        <f t="array" ref="W7">AVERAGE(IF((P7&lt;=$C$21:$C$1048576)*(Q7&gt;=$E$21:$E$1048576),$K$21:$K$1048576,""))</f>
        <v>2.4375641025641024E-2</v>
      </c>
      <c r="X7" s="30">
        <f t="shared" si="1"/>
        <v>1.3294280146721687E-2</v>
      </c>
      <c r="Y7" s="31">
        <f t="array" ref="Y7">AVERAGE(IF((P7&lt;=$C$21:$C$1048576)*(Q7&gt;=$E$21:$E$1048576),$H$21:$H$1048576,""))</f>
        <v>55.92307692307692</v>
      </c>
      <c r="Z7" s="32">
        <f t="shared" si="2"/>
        <v>1.8335435056746532</v>
      </c>
    </row>
    <row r="8" spans="1:26" x14ac:dyDescent="0.25">
      <c r="A8" s="3" t="s">
        <v>27</v>
      </c>
      <c r="B8" s="26">
        <f>AVERAGEIF(G21:G1048576,"&lt;0",G21:G1048576)</f>
        <v>-2.1000000000000005E-2</v>
      </c>
      <c r="C8" s="23"/>
      <c r="D8" s="23"/>
      <c r="E8" s="26">
        <f>AVERAGEIF(K21:K1048576,"&lt;0",K21:K1048576)</f>
        <v>-2.2991666666666667E-2</v>
      </c>
      <c r="F8" s="23"/>
      <c r="G8" s="3"/>
      <c r="H8" s="3" t="s">
        <v>27</v>
      </c>
      <c r="I8" s="26">
        <f t="array" ref="I8">AVERAGE(IF((H$1&lt;=C21:C1048576)*(0&gt;G21:G1048576),G21:G1048576,""))</f>
        <v>-1.7142857142857144E-2</v>
      </c>
      <c r="J8" s="23"/>
      <c r="K8" s="23"/>
      <c r="L8" s="26">
        <f t="array" ref="L8">AVERAGE(IF((H$1&lt;=C21:C1048576)*(0&gt;K21:K1048576),K21:K1048576,""))</f>
        <v>-1.9245833333333334E-2</v>
      </c>
      <c r="M8" s="23"/>
      <c r="N8" s="2"/>
    </row>
    <row r="9" spans="1:26" x14ac:dyDescent="0.25">
      <c r="A9" s="3" t="s">
        <v>28</v>
      </c>
      <c r="B9" s="33">
        <f>MAX(G21:G1048576)</f>
        <v>0.49990000000000001</v>
      </c>
      <c r="C9" s="23"/>
      <c r="D9" s="23"/>
      <c r="E9" s="33">
        <f>MAX(K21:K501)</f>
        <v>0.47973333333333334</v>
      </c>
      <c r="F9" s="23"/>
      <c r="G9" s="3"/>
      <c r="H9" s="3" t="s">
        <v>28</v>
      </c>
      <c r="I9" s="33">
        <f t="array" ref="I9">MAX(IF(H$1&lt;=C21:C1048576,G21:G1048576,""))</f>
        <v>0.2175</v>
      </c>
      <c r="J9" s="23"/>
      <c r="K9" s="23"/>
      <c r="L9" s="33">
        <f t="array" ref="L9">MAX(IF(H$1&lt;=C21:C1048576,K21:K1048576,""))</f>
        <v>0.19216666666666665</v>
      </c>
      <c r="M9" s="23"/>
      <c r="N9" s="2"/>
    </row>
    <row r="10" spans="1:26" x14ac:dyDescent="0.25">
      <c r="A10" s="3" t="s">
        <v>29</v>
      </c>
      <c r="B10" s="33">
        <f>MIN(G21:G1048576)</f>
        <v>-0.1116</v>
      </c>
      <c r="C10" s="23"/>
      <c r="D10" s="23"/>
      <c r="E10" s="33">
        <f>MIN(K21:K501)</f>
        <v>-0.11426666666666667</v>
      </c>
      <c r="F10" s="23"/>
      <c r="G10" s="3"/>
      <c r="H10" s="3" t="s">
        <v>29</v>
      </c>
      <c r="I10" s="33">
        <f t="array" ref="I10">MIN(IF(H$1&lt;=C21:C1048576,G21:G1048576,""))</f>
        <v>-5.9299999999999999E-2</v>
      </c>
      <c r="J10" s="23"/>
      <c r="K10" s="23"/>
      <c r="L10" s="33">
        <f t="array" ref="L10">MIN(IF(H$1&lt;=C21:C1048576,K21:K1048576,""))</f>
        <v>-6.0966666666666662E-2</v>
      </c>
      <c r="M10" s="23"/>
      <c r="N10" s="2"/>
    </row>
    <row r="11" spans="1:26" x14ac:dyDescent="0.25">
      <c r="A11" s="7" t="s">
        <v>30</v>
      </c>
      <c r="B11" s="16">
        <f>((B6*B7)-((1-B6)*ABS(B8)))/(ABS(B8))</f>
        <v>1.8682783882783882</v>
      </c>
      <c r="C11" s="9"/>
      <c r="D11" s="9"/>
      <c r="E11" s="16">
        <f>((E6*E7)-((1-E6)*ABS(E8)))/(ABS(E8))</f>
        <v>1.2393788161820056</v>
      </c>
      <c r="F11" s="9"/>
      <c r="G11" s="3"/>
      <c r="H11" s="7" t="s">
        <v>30</v>
      </c>
      <c r="I11" s="16">
        <f>((I6*I7)-((1-I6)*ABS(I8)))/(ABS(I8))</f>
        <v>1.9421818181818182</v>
      </c>
      <c r="J11" s="9"/>
      <c r="K11" s="9"/>
      <c r="L11" s="16">
        <f>((L6*L7)-((1-L6)*ABS(L8)))/(ABS(L8))</f>
        <v>1.1738392804424416</v>
      </c>
      <c r="M11" s="9"/>
      <c r="N11" s="2"/>
    </row>
    <row r="12" spans="1:26" x14ac:dyDescent="0.25">
      <c r="A12" s="3" t="s">
        <v>31</v>
      </c>
      <c r="B12" s="33">
        <f>B4/F4*30</f>
        <v>2.1233971690258119E-2</v>
      </c>
      <c r="C12" s="23"/>
      <c r="D12" s="23"/>
      <c r="E12" s="33">
        <f>E4/F4*30</f>
        <v>1.5422148209825143E-2</v>
      </c>
      <c r="F12" s="23"/>
      <c r="G12" s="3"/>
      <c r="H12" s="3" t="s">
        <v>31</v>
      </c>
      <c r="I12" s="33">
        <f>I4/M4*30</f>
        <v>1.8088903523213701E-2</v>
      </c>
      <c r="J12" s="23"/>
      <c r="K12" s="23"/>
      <c r="L12" s="33">
        <f>L4/M4*30</f>
        <v>1.2273954560421468E-2</v>
      </c>
      <c r="M12" s="23"/>
      <c r="N12" s="2"/>
    </row>
    <row r="13" spans="1:26" x14ac:dyDescent="0.25">
      <c r="A13" s="3" t="s">
        <v>32</v>
      </c>
      <c r="B13" s="34">
        <f>ABS(B7/B8)</f>
        <v>4.6496392496392493</v>
      </c>
      <c r="C13" s="23"/>
      <c r="D13" s="23"/>
      <c r="E13" s="34">
        <f>ABS(E7/E8)</f>
        <v>4.0192973466148398</v>
      </c>
      <c r="F13" s="23"/>
      <c r="G13" s="3"/>
      <c r="H13" s="3" t="s">
        <v>32</v>
      </c>
      <c r="I13" s="34">
        <f>ABS(I7/I8)</f>
        <v>4.9933333333333341</v>
      </c>
      <c r="J13" s="23"/>
      <c r="K13" s="23"/>
      <c r="L13" s="34">
        <f>ABS(L7/L8)</f>
        <v>4.1983113227971431</v>
      </c>
      <c r="M13" s="23"/>
      <c r="N13" s="2"/>
    </row>
    <row r="14" spans="1:26" x14ac:dyDescent="0.25">
      <c r="A14" s="3" t="s">
        <v>33</v>
      </c>
      <c r="B14" s="35">
        <f>(INDEX($L$20:$L$1048576,MATCH(MAX($E$20:$E$1048576),$E$20:$E$1048576,0),1)/100)^(1/(((MAX(E20:E1048573)-MIN(C20:C1048576))/365)))-1</f>
        <v>0.1406720052234911</v>
      </c>
      <c r="C14" s="23"/>
      <c r="D14" s="23"/>
      <c r="E14" s="35">
        <f>(INDEX($Q$20:$Q$1048576,MATCH(MAX($E$20:$E$1048576),$E$20:$E$1048576,0),1)/100)^(1/(((MAX(E20:E1048576)-MIN(C20:C1048576))/365)))-1</f>
        <v>9.8582161062081175E-2</v>
      </c>
      <c r="F14" s="23"/>
      <c r="G14" s="3"/>
      <c r="H14" s="3" t="s">
        <v>33</v>
      </c>
      <c r="I14" s="35">
        <f>(INDEX(L20:L1048573,MATCH(L1,E20:E1048573,0),1)/INDEX(L20:L1048573,MATCH(J1,C20:C1048573,0)-1,1))^(1/(((MAX(E20:E1048573)-J1)/365)))-1</f>
        <v>0.12355387202861623</v>
      </c>
      <c r="J14" s="23"/>
      <c r="K14" s="23"/>
      <c r="L14" s="35">
        <f>(INDEX(Q20:Q1048573,MATCH(L1,E20:E1048573,0),1)/INDEX(Q20:Q1048573,MATCH(J1,C20:C1048573,0)-1,1))^(1/(((MAX(E20:E1048573)-J1)/365)))-1</f>
        <v>8.1314777731698928E-2</v>
      </c>
      <c r="M14" s="23"/>
      <c r="N14" s="2"/>
    </row>
    <row r="15" spans="1:26" x14ac:dyDescent="0.25">
      <c r="A15" t="s">
        <v>34</v>
      </c>
      <c r="B15" s="35">
        <f>MIN($O$20:$O$1048576)</f>
        <v>-0.15708608000000002</v>
      </c>
      <c r="E15" s="35">
        <f>MIN($T$20:$T$1048576)</f>
        <v>-0.16212579111111106</v>
      </c>
      <c r="H15" t="s">
        <v>34</v>
      </c>
      <c r="I15" s="35">
        <f t="array" ref="I15">MIN(IF(H$1&lt;=C21:C1048576,O21:O1048576,""))</f>
        <v>-0.11161715359019479</v>
      </c>
      <c r="L15" s="35">
        <f t="array" ref="L15">MIN(IF(J$1&lt;=C21:C1048576,T20:T1048575,""))</f>
        <v>-0.15184413261566987</v>
      </c>
      <c r="N15" s="2"/>
    </row>
    <row r="16" spans="1:26" x14ac:dyDescent="0.25">
      <c r="A16" t="s">
        <v>35</v>
      </c>
      <c r="B16" s="36">
        <f>ABS(B14/B15)</f>
        <v>0.89550904334420389</v>
      </c>
      <c r="E16" s="36">
        <f>ABS(E14/E15)</f>
        <v>0.60805970713517765</v>
      </c>
      <c r="H16" t="s">
        <v>35</v>
      </c>
      <c r="I16" s="36">
        <f>ABS(I14/I15)</f>
        <v>1.1069434047946376</v>
      </c>
      <c r="L16" s="36">
        <f>ABS(L14/L15)</f>
        <v>0.53551478302762867</v>
      </c>
      <c r="N16" s="2"/>
    </row>
    <row r="17" spans="1:39" x14ac:dyDescent="0.25">
      <c r="C17" s="1"/>
      <c r="E17" s="1"/>
      <c r="G17" s="2"/>
      <c r="I17" s="2"/>
      <c r="O17" s="2"/>
      <c r="P17" s="2"/>
    </row>
    <row r="18" spans="1:39" x14ac:dyDescent="0.25">
      <c r="C18" s="1"/>
      <c r="E18" s="1"/>
      <c r="G18" s="2"/>
      <c r="M18" t="s">
        <v>36</v>
      </c>
      <c r="R18" t="s">
        <v>37</v>
      </c>
    </row>
    <row r="19" spans="1:39" x14ac:dyDescent="0.25">
      <c r="C19" s="1"/>
      <c r="E19" s="1"/>
      <c r="G19" s="2"/>
      <c r="L19" t="s">
        <v>38</v>
      </c>
      <c r="M19" t="s">
        <v>39</v>
      </c>
      <c r="N19" t="s">
        <v>34</v>
      </c>
      <c r="O19" t="s">
        <v>40</v>
      </c>
      <c r="Q19" t="s">
        <v>38</v>
      </c>
      <c r="R19" t="s">
        <v>39</v>
      </c>
      <c r="S19" t="s">
        <v>34</v>
      </c>
      <c r="T19" t="s">
        <v>40</v>
      </c>
      <c r="U19" t="s">
        <v>41</v>
      </c>
      <c r="V19" t="s">
        <v>42</v>
      </c>
      <c r="Y19" s="45" t="s">
        <v>99</v>
      </c>
      <c r="Z19" s="45" t="s">
        <v>54</v>
      </c>
    </row>
    <row r="20" spans="1:39" x14ac:dyDescent="0.25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s="37" t="s">
        <v>5</v>
      </c>
      <c r="I20" s="23" t="s">
        <v>43</v>
      </c>
      <c r="J20" s="38" t="s">
        <v>3</v>
      </c>
      <c r="K20" s="38" t="s">
        <v>44</v>
      </c>
      <c r="L20">
        <v>100</v>
      </c>
      <c r="M20">
        <f t="shared" ref="M20:M23" si="3">MAX(L20,M19)</f>
        <v>100</v>
      </c>
      <c r="N20" t="str">
        <f t="shared" ref="N20:N23" si="4">IF(M20&gt;L20,L20-M20,"")</f>
        <v/>
      </c>
      <c r="O20" s="39"/>
      <c r="Q20">
        <v>100</v>
      </c>
      <c r="R20">
        <f t="shared" ref="R20:R23" si="5">MAX(Q20,R19)</f>
        <v>100</v>
      </c>
      <c r="S20" t="str">
        <f t="shared" ref="S20:S23" si="6">IF(R20&gt;Q20,Q20-R20,"")</f>
        <v/>
      </c>
      <c r="T20" s="39"/>
      <c r="Y20" s="45" t="s">
        <v>86</v>
      </c>
      <c r="Z20" t="s">
        <v>76</v>
      </c>
      <c r="AA20" t="s">
        <v>77</v>
      </c>
      <c r="AB20" t="s">
        <v>78</v>
      </c>
      <c r="AC20" t="s">
        <v>79</v>
      </c>
      <c r="AD20" t="s">
        <v>80</v>
      </c>
      <c r="AE20" t="s">
        <v>81</v>
      </c>
      <c r="AF20" t="s">
        <v>82</v>
      </c>
      <c r="AG20" t="s">
        <v>83</v>
      </c>
      <c r="AH20" t="s">
        <v>84</v>
      </c>
      <c r="AI20" t="s">
        <v>85</v>
      </c>
      <c r="AJ20" t="s">
        <v>74</v>
      </c>
      <c r="AK20" t="s">
        <v>75</v>
      </c>
      <c r="AL20" t="s">
        <v>55</v>
      </c>
      <c r="AM20" t="s">
        <v>87</v>
      </c>
    </row>
    <row r="21" spans="1:39" x14ac:dyDescent="0.25">
      <c r="A21" t="s">
        <v>52</v>
      </c>
      <c r="B21" t="s">
        <v>53</v>
      </c>
      <c r="C21" s="1">
        <v>39773</v>
      </c>
      <c r="D21">
        <v>2693.45</v>
      </c>
      <c r="E21" s="1">
        <v>39808</v>
      </c>
      <c r="F21">
        <v>2857.25</v>
      </c>
      <c r="G21" s="2">
        <v>6.08E-2</v>
      </c>
      <c r="H21" s="41">
        <f t="shared" ref="H21:H23" si="7">E21-C21</f>
        <v>35</v>
      </c>
      <c r="I21" s="42">
        <f t="shared" ref="I21:I23" si="8">C$1</f>
        <v>1.5E-3</v>
      </c>
      <c r="J21" s="42">
        <f t="shared" ref="J21:J23" si="9">H21/30*D$1</f>
        <v>5.8333333333333336E-3</v>
      </c>
      <c r="K21" s="42">
        <f t="shared" ref="K21:K23" si="10">G21-SUM(I21,J21)</f>
        <v>5.3466666666666662E-2</v>
      </c>
      <c r="L21" s="43">
        <f t="shared" ref="L21:L23" si="11">L20*(1+G21)</f>
        <v>106.08</v>
      </c>
      <c r="M21" s="43">
        <f t="shared" si="3"/>
        <v>106.08</v>
      </c>
      <c r="N21" s="43" t="str">
        <f t="shared" si="4"/>
        <v/>
      </c>
      <c r="O21" s="44">
        <f t="shared" ref="O21:O23" si="12">IFERROR(N21/M21,0)</f>
        <v>0</v>
      </c>
      <c r="P21" s="43"/>
      <c r="Q21" s="43">
        <f t="shared" ref="Q21:Q23" si="13">Q20*(1+K21)</f>
        <v>105.34666666666665</v>
      </c>
      <c r="R21" s="43">
        <f t="shared" si="5"/>
        <v>105.34666666666665</v>
      </c>
      <c r="S21" s="43" t="str">
        <f t="shared" si="6"/>
        <v/>
      </c>
      <c r="T21" s="44">
        <f t="shared" ref="T21:T23" si="14">IFERROR(S21/R21,0)</f>
        <v>0</v>
      </c>
      <c r="U21" s="43">
        <f t="shared" ref="U21:U23" si="15">YEAR(E21)</f>
        <v>2008</v>
      </c>
      <c r="V21" s="43">
        <f t="shared" ref="V21:V23" si="16">YEAR(C21)</f>
        <v>2008</v>
      </c>
      <c r="Y21" s="46" t="s">
        <v>56</v>
      </c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>
        <v>5.3466666666666662E-2</v>
      </c>
      <c r="AK21" s="48"/>
      <c r="AL21" s="48">
        <v>5.3466666666666662E-2</v>
      </c>
      <c r="AM21" s="47">
        <f>AVERAGE(Z21:AK21)</f>
        <v>5.3466666666666662E-2</v>
      </c>
    </row>
    <row r="22" spans="1:39" x14ac:dyDescent="0.25">
      <c r="A22" t="s">
        <v>52</v>
      </c>
      <c r="B22" t="s">
        <v>53</v>
      </c>
      <c r="C22" s="1">
        <v>39818</v>
      </c>
      <c r="D22">
        <v>3121.45</v>
      </c>
      <c r="E22" s="1">
        <v>39825</v>
      </c>
      <c r="F22">
        <v>2773.1</v>
      </c>
      <c r="G22" s="2">
        <v>-0.1116</v>
      </c>
      <c r="H22" s="40">
        <f t="shared" si="7"/>
        <v>7</v>
      </c>
      <c r="I22" s="4">
        <f t="shared" si="8"/>
        <v>1.5E-3</v>
      </c>
      <c r="J22" s="4">
        <f t="shared" si="9"/>
        <v>1.1666666666666668E-3</v>
      </c>
      <c r="K22" s="4">
        <f t="shared" si="10"/>
        <v>-0.11426666666666667</v>
      </c>
      <c r="L22">
        <f t="shared" si="11"/>
        <v>94.241472000000002</v>
      </c>
      <c r="M22">
        <f t="shared" si="3"/>
        <v>106.08</v>
      </c>
      <c r="N22">
        <f t="shared" si="4"/>
        <v>-11.838527999999997</v>
      </c>
      <c r="O22" s="39">
        <f t="shared" si="12"/>
        <v>-0.11159999999999996</v>
      </c>
      <c r="Q22">
        <f t="shared" si="13"/>
        <v>93.309054222222215</v>
      </c>
      <c r="R22">
        <f t="shared" si="5"/>
        <v>105.34666666666665</v>
      </c>
      <c r="S22">
        <f t="shared" si="6"/>
        <v>-12.037612444444434</v>
      </c>
      <c r="T22" s="39">
        <f t="shared" si="14"/>
        <v>-0.11426666666666659</v>
      </c>
      <c r="U22">
        <f t="shared" si="15"/>
        <v>2009</v>
      </c>
      <c r="V22">
        <f t="shared" si="16"/>
        <v>2009</v>
      </c>
      <c r="Y22" s="46" t="s">
        <v>57</v>
      </c>
      <c r="Z22" s="48">
        <v>-0.11426666666666667</v>
      </c>
      <c r="AA22" s="48">
        <v>-5.4033333333333336E-2</v>
      </c>
      <c r="AB22" s="48">
        <v>0.47973333333333334</v>
      </c>
      <c r="AC22" s="48"/>
      <c r="AD22" s="48"/>
      <c r="AE22" s="48"/>
      <c r="AF22" s="48">
        <v>0.12596666666666667</v>
      </c>
      <c r="AG22" s="48"/>
      <c r="AH22" s="48"/>
      <c r="AI22" s="48"/>
      <c r="AJ22" s="48">
        <v>-1.6566666666666667E-2</v>
      </c>
      <c r="AK22" s="48">
        <v>-2.6966666666666667E-2</v>
      </c>
      <c r="AL22" s="48">
        <v>0.3938666666666667</v>
      </c>
      <c r="AM22" s="47">
        <f t="shared" ref="AM22:AM38" si="17">AVERAGE(Z22:AK22)</f>
        <v>6.564444444444445E-2</v>
      </c>
    </row>
    <row r="23" spans="1:39" x14ac:dyDescent="0.25">
      <c r="A23" t="s">
        <v>52</v>
      </c>
      <c r="B23" t="s">
        <v>53</v>
      </c>
      <c r="C23" s="1">
        <v>39853</v>
      </c>
      <c r="D23">
        <v>2919.9</v>
      </c>
      <c r="E23" s="1">
        <v>39861</v>
      </c>
      <c r="F23">
        <v>2770.5</v>
      </c>
      <c r="G23" s="2">
        <v>-5.1200000000000002E-2</v>
      </c>
      <c r="H23" s="40">
        <f t="shared" si="7"/>
        <v>8</v>
      </c>
      <c r="I23" s="4">
        <f t="shared" si="8"/>
        <v>1.5E-3</v>
      </c>
      <c r="J23" s="4">
        <f t="shared" si="9"/>
        <v>1.3333333333333333E-3</v>
      </c>
      <c r="K23" s="4">
        <f t="shared" si="10"/>
        <v>-5.4033333333333336E-2</v>
      </c>
      <c r="L23">
        <f t="shared" si="11"/>
        <v>89.416308633599996</v>
      </c>
      <c r="M23">
        <f t="shared" si="3"/>
        <v>106.08</v>
      </c>
      <c r="N23">
        <f t="shared" si="4"/>
        <v>-16.663691366400002</v>
      </c>
      <c r="O23" s="39">
        <f t="shared" si="12"/>
        <v>-0.15708608000000002</v>
      </c>
      <c r="Q23">
        <f t="shared" si="13"/>
        <v>88.267254992414806</v>
      </c>
      <c r="R23">
        <f t="shared" si="5"/>
        <v>105.34666666666665</v>
      </c>
      <c r="S23">
        <f t="shared" si="6"/>
        <v>-17.079411674251844</v>
      </c>
      <c r="T23" s="39">
        <f t="shared" si="14"/>
        <v>-0.16212579111111106</v>
      </c>
      <c r="U23">
        <f t="shared" si="15"/>
        <v>2009</v>
      </c>
      <c r="V23">
        <f t="shared" si="16"/>
        <v>2009</v>
      </c>
      <c r="Y23" s="46" t="s">
        <v>58</v>
      </c>
      <c r="Z23" s="48"/>
      <c r="AA23" s="48"/>
      <c r="AB23" s="48">
        <v>9.3333333333333324E-3</v>
      </c>
      <c r="AC23" s="48"/>
      <c r="AD23" s="48"/>
      <c r="AE23" s="48">
        <v>0.14263333333333333</v>
      </c>
      <c r="AF23" s="48"/>
      <c r="AG23" s="48"/>
      <c r="AH23" s="48"/>
      <c r="AI23" s="48"/>
      <c r="AJ23" s="48"/>
      <c r="AK23" s="48">
        <v>1.0366666666666668E-2</v>
      </c>
      <c r="AL23" s="48">
        <v>0.16233333333333333</v>
      </c>
      <c r="AM23" s="47">
        <f t="shared" si="17"/>
        <v>5.411111111111111E-2</v>
      </c>
    </row>
    <row r="24" spans="1:39" x14ac:dyDescent="0.25">
      <c r="A24" t="s">
        <v>52</v>
      </c>
      <c r="B24" t="s">
        <v>53</v>
      </c>
      <c r="C24" s="1">
        <v>39888</v>
      </c>
      <c r="D24">
        <v>2777.25</v>
      </c>
      <c r="E24" s="1">
        <v>40000</v>
      </c>
      <c r="F24">
        <v>4165.7</v>
      </c>
      <c r="G24" s="2">
        <v>0.49990000000000001</v>
      </c>
      <c r="H24" s="40">
        <f t="shared" ref="H24:H82" si="18">E24-C24</f>
        <v>112</v>
      </c>
      <c r="I24" s="4">
        <f t="shared" ref="I24:I82" si="19">C$1</f>
        <v>1.5E-3</v>
      </c>
      <c r="J24" s="4">
        <f t="shared" ref="J24:J82" si="20">H24/30*D$1</f>
        <v>1.8666666666666668E-2</v>
      </c>
      <c r="K24" s="4">
        <f t="shared" ref="K24:K82" si="21">G24-SUM(I24,J24)</f>
        <v>0.47973333333333334</v>
      </c>
      <c r="L24">
        <f t="shared" ref="L24:L82" si="22">L23*(1+G24)</f>
        <v>134.11552131953664</v>
      </c>
      <c r="M24">
        <f t="shared" ref="M24:M82" si="23">MAX(L24,M23)</f>
        <v>134.11552131953664</v>
      </c>
      <c r="N24" t="str">
        <f t="shared" ref="N24:N82" si="24">IF(M24&gt;L24,L24-M24,"")</f>
        <v/>
      </c>
      <c r="O24" s="39">
        <f t="shared" ref="O24:O82" si="25">IFERROR(N24/M24,0)</f>
        <v>0</v>
      </c>
      <c r="Q24">
        <f t="shared" ref="Q24:Q82" si="26">Q23*(1+K24)</f>
        <v>130.61199945410928</v>
      </c>
      <c r="R24">
        <f t="shared" ref="R24:R82" si="27">MAX(Q24,R23)</f>
        <v>130.61199945410928</v>
      </c>
      <c r="S24" t="str">
        <f t="shared" ref="S24:S82" si="28">IF(R24&gt;Q24,Q24-R24,"")</f>
        <v/>
      </c>
      <c r="T24" s="39">
        <f t="shared" ref="T24:T82" si="29">IFERROR(S24/R24,0)</f>
        <v>0</v>
      </c>
      <c r="U24">
        <f t="shared" ref="U24:U82" si="30">YEAR(E24)</f>
        <v>2009</v>
      </c>
      <c r="V24">
        <f t="shared" ref="V24:V82" si="31">YEAR(C24)</f>
        <v>2009</v>
      </c>
      <c r="Y24" s="46" t="s">
        <v>59</v>
      </c>
      <c r="Z24" s="48"/>
      <c r="AA24" s="48"/>
      <c r="AB24" s="48"/>
      <c r="AC24" s="48"/>
      <c r="AD24" s="48"/>
      <c r="AE24" s="48"/>
      <c r="AF24" s="48"/>
      <c r="AG24" s="48"/>
      <c r="AH24" s="48">
        <v>1.0333333333333333E-2</v>
      </c>
      <c r="AI24" s="48"/>
      <c r="AJ24" s="48"/>
      <c r="AK24" s="48"/>
      <c r="AL24" s="48">
        <v>1.0333333333333333E-2</v>
      </c>
      <c r="AM24" s="47">
        <f t="shared" si="17"/>
        <v>1.0333333333333333E-2</v>
      </c>
    </row>
    <row r="25" spans="1:39" x14ac:dyDescent="0.25">
      <c r="A25" t="s">
        <v>52</v>
      </c>
      <c r="B25" t="s">
        <v>53</v>
      </c>
      <c r="C25" s="1">
        <v>40009</v>
      </c>
      <c r="D25">
        <v>4233.5</v>
      </c>
      <c r="E25" s="1">
        <v>40113</v>
      </c>
      <c r="F25">
        <v>4846.7</v>
      </c>
      <c r="G25" s="2">
        <v>0.14480000000000001</v>
      </c>
      <c r="H25" s="40">
        <f t="shared" si="18"/>
        <v>104</v>
      </c>
      <c r="I25" s="4">
        <f t="shared" si="19"/>
        <v>1.5E-3</v>
      </c>
      <c r="J25" s="4">
        <f t="shared" si="20"/>
        <v>1.7333333333333336E-2</v>
      </c>
      <c r="K25" s="4">
        <f t="shared" si="21"/>
        <v>0.12596666666666667</v>
      </c>
      <c r="L25">
        <f t="shared" si="22"/>
        <v>153.53544880660556</v>
      </c>
      <c r="M25">
        <f t="shared" si="23"/>
        <v>153.53544880660556</v>
      </c>
      <c r="N25" t="str">
        <f t="shared" si="24"/>
        <v/>
      </c>
      <c r="O25" s="39">
        <f t="shared" si="25"/>
        <v>0</v>
      </c>
      <c r="Q25">
        <f t="shared" si="26"/>
        <v>147.06475765201193</v>
      </c>
      <c r="R25">
        <f t="shared" si="27"/>
        <v>147.06475765201193</v>
      </c>
      <c r="S25" t="str">
        <f t="shared" si="28"/>
        <v/>
      </c>
      <c r="T25" s="39">
        <f t="shared" si="29"/>
        <v>0</v>
      </c>
      <c r="U25">
        <f t="shared" si="30"/>
        <v>2009</v>
      </c>
      <c r="V25">
        <f t="shared" si="31"/>
        <v>2009</v>
      </c>
      <c r="Y25" s="46" t="s">
        <v>60</v>
      </c>
      <c r="Z25" s="48"/>
      <c r="AA25" s="48"/>
      <c r="AB25" s="48"/>
      <c r="AC25" s="48"/>
      <c r="AD25" s="48">
        <v>-1.9033333333333333E-2</v>
      </c>
      <c r="AE25" s="48">
        <v>1.4866666666666667E-2</v>
      </c>
      <c r="AF25" s="48">
        <v>-8.0999999999999996E-3</v>
      </c>
      <c r="AG25" s="48"/>
      <c r="AH25" s="48">
        <v>6.2933333333333341E-2</v>
      </c>
      <c r="AI25" s="48"/>
      <c r="AJ25" s="48"/>
      <c r="AK25" s="48"/>
      <c r="AL25" s="48">
        <v>5.0666666666666679E-2</v>
      </c>
      <c r="AM25" s="47">
        <f t="shared" si="17"/>
        <v>1.266666666666667E-2</v>
      </c>
    </row>
    <row r="26" spans="1:39" x14ac:dyDescent="0.25">
      <c r="A26" t="s">
        <v>52</v>
      </c>
      <c r="B26" t="s">
        <v>53</v>
      </c>
      <c r="C26" s="1">
        <v>40128</v>
      </c>
      <c r="D26">
        <v>5003.95</v>
      </c>
      <c r="E26" s="1">
        <v>40144</v>
      </c>
      <c r="F26">
        <v>4941.75</v>
      </c>
      <c r="G26" s="2">
        <v>-1.24E-2</v>
      </c>
      <c r="H26" s="40">
        <f t="shared" si="18"/>
        <v>16</v>
      </c>
      <c r="I26" s="4">
        <f t="shared" si="19"/>
        <v>1.5E-3</v>
      </c>
      <c r="J26" s="4">
        <f t="shared" si="20"/>
        <v>2.6666666666666666E-3</v>
      </c>
      <c r="K26" s="4">
        <f t="shared" si="21"/>
        <v>-1.6566666666666667E-2</v>
      </c>
      <c r="L26">
        <f t="shared" si="22"/>
        <v>151.63160924140365</v>
      </c>
      <c r="M26">
        <f t="shared" si="23"/>
        <v>153.53544880660556</v>
      </c>
      <c r="N26">
        <f t="shared" si="24"/>
        <v>-1.9038395652019062</v>
      </c>
      <c r="O26" s="39">
        <f t="shared" si="25"/>
        <v>-1.2399999999999982E-2</v>
      </c>
      <c r="Q26">
        <f t="shared" si="26"/>
        <v>144.62838483357694</v>
      </c>
      <c r="R26">
        <f t="shared" si="27"/>
        <v>147.06475765201193</v>
      </c>
      <c r="S26">
        <f t="shared" si="28"/>
        <v>-2.4363728184349895</v>
      </c>
      <c r="T26" s="39">
        <f t="shared" si="29"/>
        <v>-1.6566666666666612E-2</v>
      </c>
      <c r="U26">
        <f t="shared" si="30"/>
        <v>2009</v>
      </c>
      <c r="V26">
        <f t="shared" si="31"/>
        <v>2009</v>
      </c>
      <c r="Y26" s="46" t="s">
        <v>61</v>
      </c>
      <c r="Z26" s="48"/>
      <c r="AA26" s="48"/>
      <c r="AB26" s="48"/>
      <c r="AC26" s="48"/>
      <c r="AD26" s="48"/>
      <c r="AE26" s="48"/>
      <c r="AF26" s="48"/>
      <c r="AG26" s="48">
        <v>8.48E-2</v>
      </c>
      <c r="AH26" s="48"/>
      <c r="AI26" s="48"/>
      <c r="AJ26" s="48">
        <v>-3.27E-2</v>
      </c>
      <c r="AK26" s="48">
        <v>-2.4033333333333334E-2</v>
      </c>
      <c r="AL26" s="48">
        <v>2.8066666666666667E-2</v>
      </c>
      <c r="AM26" s="47">
        <f t="shared" si="17"/>
        <v>9.3555555555555562E-3</v>
      </c>
    </row>
    <row r="27" spans="1:39" x14ac:dyDescent="0.25">
      <c r="A27" t="s">
        <v>52</v>
      </c>
      <c r="B27" t="s">
        <v>53</v>
      </c>
      <c r="C27" s="1">
        <v>40148</v>
      </c>
      <c r="D27">
        <v>5122</v>
      </c>
      <c r="E27" s="1">
        <v>40200</v>
      </c>
      <c r="F27">
        <v>5036</v>
      </c>
      <c r="G27" s="2">
        <v>-1.6799999999999999E-2</v>
      </c>
      <c r="H27" s="40">
        <f t="shared" si="18"/>
        <v>52</v>
      </c>
      <c r="I27" s="4">
        <f t="shared" si="19"/>
        <v>1.5E-3</v>
      </c>
      <c r="J27" s="4">
        <f t="shared" si="20"/>
        <v>8.666666666666668E-3</v>
      </c>
      <c r="K27" s="4">
        <f t="shared" si="21"/>
        <v>-2.6966666666666667E-2</v>
      </c>
      <c r="L27">
        <f t="shared" si="22"/>
        <v>149.08419820614807</v>
      </c>
      <c r="M27">
        <f t="shared" si="23"/>
        <v>153.53544880660556</v>
      </c>
      <c r="N27">
        <f t="shared" si="24"/>
        <v>-4.4512506004574846</v>
      </c>
      <c r="O27" s="39">
        <f t="shared" si="25"/>
        <v>-2.8991679999999964E-2</v>
      </c>
      <c r="Q27">
        <f t="shared" si="26"/>
        <v>140.72823938923148</v>
      </c>
      <c r="R27">
        <f t="shared" si="27"/>
        <v>147.06475765201193</v>
      </c>
      <c r="S27">
        <f t="shared" si="28"/>
        <v>-6.3365182627804586</v>
      </c>
      <c r="T27" s="39">
        <f t="shared" si="29"/>
        <v>-4.3086585555555577E-2</v>
      </c>
      <c r="U27">
        <f t="shared" si="30"/>
        <v>2010</v>
      </c>
      <c r="V27">
        <f t="shared" si="31"/>
        <v>2009</v>
      </c>
      <c r="Y27" s="46" t="s">
        <v>62</v>
      </c>
      <c r="Z27" s="48"/>
      <c r="AA27" s="48">
        <v>0.19216666666666665</v>
      </c>
      <c r="AB27" s="48"/>
      <c r="AC27" s="48"/>
      <c r="AD27" s="48"/>
      <c r="AE27" s="48"/>
      <c r="AF27" s="48">
        <v>-2.4466666666666664E-2</v>
      </c>
      <c r="AG27" s="48">
        <v>-2.700000000000001E-3</v>
      </c>
      <c r="AH27" s="48"/>
      <c r="AI27" s="48">
        <v>1.8500000000000003E-2</v>
      </c>
      <c r="AJ27" s="48"/>
      <c r="AK27" s="48">
        <v>-2.76E-2</v>
      </c>
      <c r="AL27" s="48">
        <v>0.15589999999999998</v>
      </c>
      <c r="AM27" s="47">
        <f t="shared" si="17"/>
        <v>3.1179999999999996E-2</v>
      </c>
    </row>
    <row r="28" spans="1:39" x14ac:dyDescent="0.25">
      <c r="A28" t="s">
        <v>52</v>
      </c>
      <c r="B28" t="s">
        <v>53</v>
      </c>
      <c r="C28" s="1">
        <v>40239</v>
      </c>
      <c r="D28">
        <v>5017</v>
      </c>
      <c r="E28" s="1">
        <v>40303</v>
      </c>
      <c r="F28">
        <v>5124.8999999999996</v>
      </c>
      <c r="G28" s="2">
        <v>2.1499999999999998E-2</v>
      </c>
      <c r="H28" s="40">
        <f t="shared" si="18"/>
        <v>64</v>
      </c>
      <c r="I28" s="4">
        <f t="shared" si="19"/>
        <v>1.5E-3</v>
      </c>
      <c r="J28" s="4">
        <f t="shared" si="20"/>
        <v>1.0666666666666666E-2</v>
      </c>
      <c r="K28" s="4">
        <f t="shared" si="21"/>
        <v>9.3333333333333324E-3</v>
      </c>
      <c r="L28">
        <f t="shared" si="22"/>
        <v>152.28950846758028</v>
      </c>
      <c r="M28">
        <f t="shared" si="23"/>
        <v>153.53544880660556</v>
      </c>
      <c r="N28">
        <f t="shared" si="24"/>
        <v>-1.2459403390252817</v>
      </c>
      <c r="O28" s="39">
        <f t="shared" si="25"/>
        <v>-8.1150011199998366E-3</v>
      </c>
      <c r="Q28">
        <f t="shared" si="26"/>
        <v>142.04170295686433</v>
      </c>
      <c r="R28">
        <f t="shared" si="27"/>
        <v>147.06475765201193</v>
      </c>
      <c r="S28">
        <f t="shared" si="28"/>
        <v>-5.0230546951476072</v>
      </c>
      <c r="T28" s="39">
        <f t="shared" si="29"/>
        <v>-3.4155393687407262E-2</v>
      </c>
      <c r="U28">
        <f t="shared" si="30"/>
        <v>2010</v>
      </c>
      <c r="V28">
        <f t="shared" si="31"/>
        <v>2010</v>
      </c>
      <c r="Y28" s="46" t="s">
        <v>63</v>
      </c>
      <c r="Z28" s="48">
        <v>-1.8666666666666671E-3</v>
      </c>
      <c r="AA28" s="48">
        <v>-1.7833333333333333E-2</v>
      </c>
      <c r="AB28" s="48"/>
      <c r="AC28" s="48">
        <v>-2.0766666666666666E-2</v>
      </c>
      <c r="AD28" s="48">
        <v>-2.0400000000000001E-2</v>
      </c>
      <c r="AE28" s="48">
        <v>-2.8999999999999998E-3</v>
      </c>
      <c r="AF28" s="48"/>
      <c r="AG28" s="48"/>
      <c r="AH28" s="48"/>
      <c r="AI28" s="48"/>
      <c r="AJ28" s="48"/>
      <c r="AK28" s="48"/>
      <c r="AL28" s="48">
        <v>-6.3766666666666666E-2</v>
      </c>
      <c r="AM28" s="47">
        <f t="shared" si="17"/>
        <v>-1.2753333333333334E-2</v>
      </c>
    </row>
    <row r="29" spans="1:39" x14ac:dyDescent="0.25">
      <c r="A29" t="s">
        <v>52</v>
      </c>
      <c r="B29" t="s">
        <v>53</v>
      </c>
      <c r="C29" s="1">
        <v>40332</v>
      </c>
      <c r="D29">
        <v>5110.5</v>
      </c>
      <c r="E29" s="1">
        <v>40498</v>
      </c>
      <c r="F29">
        <v>5988.7</v>
      </c>
      <c r="G29" s="2">
        <v>0.17180000000000001</v>
      </c>
      <c r="H29" s="40">
        <f t="shared" si="18"/>
        <v>166</v>
      </c>
      <c r="I29" s="4">
        <f t="shared" si="19"/>
        <v>1.5E-3</v>
      </c>
      <c r="J29" s="4">
        <f t="shared" si="20"/>
        <v>2.7666666666666666E-2</v>
      </c>
      <c r="K29" s="4">
        <f t="shared" si="21"/>
        <v>0.14263333333333333</v>
      </c>
      <c r="L29">
        <f t="shared" si="22"/>
        <v>178.45284602231055</v>
      </c>
      <c r="M29">
        <f t="shared" si="23"/>
        <v>178.45284602231055</v>
      </c>
      <c r="N29" t="str">
        <f t="shared" si="24"/>
        <v/>
      </c>
      <c r="O29" s="39">
        <f t="shared" si="25"/>
        <v>0</v>
      </c>
      <c r="Q29">
        <f t="shared" si="26"/>
        <v>162.30158452194507</v>
      </c>
      <c r="R29">
        <f t="shared" si="27"/>
        <v>162.30158452194507</v>
      </c>
      <c r="S29" t="str">
        <f t="shared" si="28"/>
        <v/>
      </c>
      <c r="T29" s="39">
        <f t="shared" si="29"/>
        <v>0</v>
      </c>
      <c r="U29">
        <f t="shared" si="30"/>
        <v>2010</v>
      </c>
      <c r="V29">
        <f t="shared" si="31"/>
        <v>2010</v>
      </c>
      <c r="Y29" s="46" t="s">
        <v>64</v>
      </c>
      <c r="Z29" s="48"/>
      <c r="AA29" s="48">
        <v>0.1704</v>
      </c>
      <c r="AB29" s="48"/>
      <c r="AC29" s="48"/>
      <c r="AD29" s="48"/>
      <c r="AE29" s="48"/>
      <c r="AF29" s="48"/>
      <c r="AG29" s="48"/>
      <c r="AH29" s="48"/>
      <c r="AI29" s="48"/>
      <c r="AJ29" s="48"/>
      <c r="AK29" s="48">
        <v>0.17599999999999999</v>
      </c>
      <c r="AL29" s="48">
        <v>0.34639999999999999</v>
      </c>
      <c r="AM29" s="47">
        <f t="shared" si="17"/>
        <v>0.17319999999999999</v>
      </c>
    </row>
    <row r="30" spans="1:39" x14ac:dyDescent="0.25">
      <c r="A30" t="s">
        <v>52</v>
      </c>
      <c r="B30" t="s">
        <v>53</v>
      </c>
      <c r="C30" s="1">
        <v>40541</v>
      </c>
      <c r="D30">
        <v>6060.35</v>
      </c>
      <c r="E30" s="1">
        <v>40543</v>
      </c>
      <c r="F30">
        <v>6134.5</v>
      </c>
      <c r="G30" s="2">
        <v>1.2200000000000001E-2</v>
      </c>
      <c r="H30" s="40">
        <f t="shared" si="18"/>
        <v>2</v>
      </c>
      <c r="I30" s="4">
        <f t="shared" si="19"/>
        <v>1.5E-3</v>
      </c>
      <c r="J30" s="4">
        <f t="shared" si="20"/>
        <v>3.3333333333333332E-4</v>
      </c>
      <c r="K30" s="4">
        <f t="shared" si="21"/>
        <v>1.0366666666666668E-2</v>
      </c>
      <c r="L30">
        <f t="shared" si="22"/>
        <v>180.62997074378274</v>
      </c>
      <c r="M30">
        <f t="shared" si="23"/>
        <v>180.62997074378274</v>
      </c>
      <c r="N30" t="str">
        <f t="shared" si="24"/>
        <v/>
      </c>
      <c r="O30" s="39">
        <f t="shared" si="25"/>
        <v>0</v>
      </c>
      <c r="Q30">
        <f t="shared" si="26"/>
        <v>163.98411094815589</v>
      </c>
      <c r="R30">
        <f t="shared" si="27"/>
        <v>163.98411094815589</v>
      </c>
      <c r="S30" t="str">
        <f t="shared" si="28"/>
        <v/>
      </c>
      <c r="T30" s="39">
        <f t="shared" si="29"/>
        <v>0</v>
      </c>
      <c r="U30">
        <f t="shared" si="30"/>
        <v>2010</v>
      </c>
      <c r="V30">
        <f t="shared" si="31"/>
        <v>2010</v>
      </c>
      <c r="Y30" s="46" t="s">
        <v>65</v>
      </c>
      <c r="Z30" s="48"/>
      <c r="AA30" s="48"/>
      <c r="AB30" s="48"/>
      <c r="AC30" s="48"/>
      <c r="AD30" s="48"/>
      <c r="AE30" s="48"/>
      <c r="AF30" s="48"/>
      <c r="AG30" s="48"/>
      <c r="AH30" s="48">
        <v>-1.5699999999999999E-2</v>
      </c>
      <c r="AI30" s="48">
        <v>-5.0666666666666672E-3</v>
      </c>
      <c r="AJ30" s="48">
        <v>-1.2699999999999999E-2</v>
      </c>
      <c r="AK30" s="48">
        <v>2.2566666666666665E-2</v>
      </c>
      <c r="AL30" s="48">
        <v>-1.09E-2</v>
      </c>
      <c r="AM30" s="47">
        <f t="shared" si="17"/>
        <v>-2.725E-3</v>
      </c>
    </row>
    <row r="31" spans="1:39" x14ac:dyDescent="0.25">
      <c r="A31" t="s">
        <v>52</v>
      </c>
      <c r="B31" t="s">
        <v>53</v>
      </c>
      <c r="C31" s="1">
        <v>40812</v>
      </c>
      <c r="D31">
        <v>4835.3999999999996</v>
      </c>
      <c r="E31" s="1">
        <v>40864</v>
      </c>
      <c r="F31">
        <v>4934.75</v>
      </c>
      <c r="G31" s="2">
        <v>2.0500000000000001E-2</v>
      </c>
      <c r="H31" s="40">
        <f t="shared" si="18"/>
        <v>52</v>
      </c>
      <c r="I31" s="4">
        <f t="shared" si="19"/>
        <v>1.5E-3</v>
      </c>
      <c r="J31" s="4">
        <f t="shared" si="20"/>
        <v>8.666666666666668E-3</v>
      </c>
      <c r="K31" s="4">
        <f t="shared" si="21"/>
        <v>1.0333333333333333E-2</v>
      </c>
      <c r="L31">
        <f t="shared" si="22"/>
        <v>184.33288514403029</v>
      </c>
      <c r="M31">
        <f t="shared" si="23"/>
        <v>184.33288514403029</v>
      </c>
      <c r="N31" t="str">
        <f t="shared" si="24"/>
        <v/>
      </c>
      <c r="O31" s="39">
        <f t="shared" si="25"/>
        <v>0</v>
      </c>
      <c r="Q31">
        <f t="shared" si="26"/>
        <v>165.67861342795351</v>
      </c>
      <c r="R31">
        <f t="shared" si="27"/>
        <v>165.67861342795351</v>
      </c>
      <c r="S31" t="str">
        <f t="shared" si="28"/>
        <v/>
      </c>
      <c r="T31" s="39">
        <f t="shared" si="29"/>
        <v>0</v>
      </c>
      <c r="U31">
        <f t="shared" si="30"/>
        <v>2011</v>
      </c>
      <c r="V31">
        <f t="shared" si="31"/>
        <v>2011</v>
      </c>
      <c r="Y31" s="46" t="s">
        <v>67</v>
      </c>
      <c r="Z31" s="48"/>
      <c r="AA31" s="48">
        <v>3.8600000000000002E-2</v>
      </c>
      <c r="AB31" s="48"/>
      <c r="AC31" s="48"/>
      <c r="AD31" s="48"/>
      <c r="AE31" s="48"/>
      <c r="AF31" s="48"/>
      <c r="AG31" s="48">
        <v>-6.7666666666666674E-3</v>
      </c>
      <c r="AH31" s="48">
        <v>4.6133333333333332E-2</v>
      </c>
      <c r="AI31" s="48"/>
      <c r="AJ31" s="48"/>
      <c r="AK31" s="48"/>
      <c r="AL31" s="48">
        <v>7.796666666666667E-2</v>
      </c>
      <c r="AM31" s="47">
        <f t="shared" si="17"/>
        <v>2.5988888888888891E-2</v>
      </c>
    </row>
    <row r="32" spans="1:39" x14ac:dyDescent="0.25">
      <c r="A32" t="s">
        <v>52</v>
      </c>
      <c r="B32" t="s">
        <v>53</v>
      </c>
      <c r="C32" s="1">
        <v>41053</v>
      </c>
      <c r="D32">
        <v>4921.3999999999996</v>
      </c>
      <c r="E32" s="1">
        <v>41061</v>
      </c>
      <c r="F32">
        <v>4841.6000000000004</v>
      </c>
      <c r="G32" s="2">
        <v>-1.6199999999999999E-2</v>
      </c>
      <c r="H32" s="40">
        <f t="shared" si="18"/>
        <v>8</v>
      </c>
      <c r="I32" s="4">
        <f t="shared" si="19"/>
        <v>1.5E-3</v>
      </c>
      <c r="J32" s="4">
        <f t="shared" si="20"/>
        <v>1.3333333333333333E-3</v>
      </c>
      <c r="K32" s="4">
        <f t="shared" si="21"/>
        <v>-1.9033333333333333E-2</v>
      </c>
      <c r="L32">
        <f t="shared" si="22"/>
        <v>181.346692404697</v>
      </c>
      <c r="M32">
        <f t="shared" si="23"/>
        <v>184.33288514403029</v>
      </c>
      <c r="N32">
        <f t="shared" si="24"/>
        <v>-2.9861927393332905</v>
      </c>
      <c r="O32" s="39">
        <f t="shared" si="25"/>
        <v>-1.6199999999999999E-2</v>
      </c>
      <c r="Q32">
        <f t="shared" si="26"/>
        <v>162.5251971523748</v>
      </c>
      <c r="R32">
        <f t="shared" si="27"/>
        <v>165.67861342795351</v>
      </c>
      <c r="S32">
        <f t="shared" si="28"/>
        <v>-3.1534162755787065</v>
      </c>
      <c r="T32" s="39">
        <f t="shared" si="29"/>
        <v>-1.9033333333333281E-2</v>
      </c>
      <c r="U32">
        <f t="shared" si="30"/>
        <v>2012</v>
      </c>
      <c r="V32">
        <f t="shared" si="31"/>
        <v>2012</v>
      </c>
      <c r="Y32" s="46" t="s">
        <v>68</v>
      </c>
      <c r="Z32" s="48"/>
      <c r="AA32" s="48">
        <v>-2.6166666666666664E-2</v>
      </c>
      <c r="AB32" s="48">
        <v>0.18296666666666667</v>
      </c>
      <c r="AC32" s="48"/>
      <c r="AD32" s="48">
        <v>0.15430000000000002</v>
      </c>
      <c r="AE32" s="48"/>
      <c r="AF32" s="48"/>
      <c r="AG32" s="48"/>
      <c r="AH32" s="48"/>
      <c r="AI32" s="48">
        <v>0.18896666666666664</v>
      </c>
      <c r="AJ32" s="48"/>
      <c r="AK32" s="48"/>
      <c r="AL32" s="48">
        <v>0.50006666666666666</v>
      </c>
      <c r="AM32" s="47">
        <f t="shared" si="17"/>
        <v>0.12501666666666666</v>
      </c>
    </row>
    <row r="33" spans="1:39" x14ac:dyDescent="0.25">
      <c r="A33" t="s">
        <v>52</v>
      </c>
      <c r="B33" t="s">
        <v>53</v>
      </c>
      <c r="C33" s="1">
        <v>41066</v>
      </c>
      <c r="D33">
        <v>4997.1000000000004</v>
      </c>
      <c r="E33" s="1">
        <v>41113</v>
      </c>
      <c r="F33">
        <v>5117.95</v>
      </c>
      <c r="G33" s="2">
        <v>2.4199999999999999E-2</v>
      </c>
      <c r="H33" s="40">
        <f t="shared" si="18"/>
        <v>47</v>
      </c>
      <c r="I33" s="4">
        <f t="shared" si="19"/>
        <v>1.5E-3</v>
      </c>
      <c r="J33" s="4">
        <f t="shared" si="20"/>
        <v>7.8333333333333328E-3</v>
      </c>
      <c r="K33" s="4">
        <f t="shared" si="21"/>
        <v>1.4866666666666667E-2</v>
      </c>
      <c r="L33">
        <f t="shared" si="22"/>
        <v>185.73528236089066</v>
      </c>
      <c r="M33">
        <f t="shared" si="23"/>
        <v>185.73528236089066</v>
      </c>
      <c r="N33" t="str">
        <f t="shared" si="24"/>
        <v/>
      </c>
      <c r="O33" s="39">
        <f t="shared" si="25"/>
        <v>0</v>
      </c>
      <c r="Q33">
        <f t="shared" si="26"/>
        <v>164.94140508337344</v>
      </c>
      <c r="R33">
        <f t="shared" si="27"/>
        <v>165.67861342795351</v>
      </c>
      <c r="S33">
        <f t="shared" si="28"/>
        <v>-0.73720834458006834</v>
      </c>
      <c r="T33" s="39">
        <f t="shared" si="29"/>
        <v>-4.4496288888888399E-3</v>
      </c>
      <c r="U33">
        <f t="shared" si="30"/>
        <v>2012</v>
      </c>
      <c r="V33">
        <f t="shared" si="31"/>
        <v>2012</v>
      </c>
      <c r="Y33" s="46" t="s">
        <v>69</v>
      </c>
      <c r="Z33" s="48"/>
      <c r="AA33" s="48">
        <v>-1.3599999999999999E-2</v>
      </c>
      <c r="AB33" s="48">
        <v>-3.8233333333333334E-2</v>
      </c>
      <c r="AC33" s="48">
        <v>-2.7299999999999998E-2</v>
      </c>
      <c r="AD33" s="48">
        <v>0.14086666666666664</v>
      </c>
      <c r="AE33" s="48"/>
      <c r="AF33" s="48"/>
      <c r="AG33" s="48"/>
      <c r="AH33" s="48"/>
      <c r="AI33" s="48"/>
      <c r="AJ33" s="48"/>
      <c r="AK33" s="48"/>
      <c r="AL33" s="48">
        <v>6.1733333333333307E-2</v>
      </c>
      <c r="AM33" s="47">
        <f t="shared" si="17"/>
        <v>1.5433333333333327E-2</v>
      </c>
    </row>
    <row r="34" spans="1:39" x14ac:dyDescent="0.25">
      <c r="A34" t="s">
        <v>52</v>
      </c>
      <c r="B34" t="s">
        <v>53</v>
      </c>
      <c r="C34" s="1">
        <v>41121</v>
      </c>
      <c r="D34">
        <v>5229</v>
      </c>
      <c r="E34" s="1">
        <v>41157</v>
      </c>
      <c r="F34">
        <v>5225.7</v>
      </c>
      <c r="G34" s="2">
        <v>-5.9999999999999995E-4</v>
      </c>
      <c r="H34" s="40">
        <f t="shared" si="18"/>
        <v>36</v>
      </c>
      <c r="I34" s="4">
        <f t="shared" si="19"/>
        <v>1.5E-3</v>
      </c>
      <c r="J34" s="4">
        <f t="shared" si="20"/>
        <v>6.0000000000000001E-3</v>
      </c>
      <c r="K34" s="4">
        <f t="shared" si="21"/>
        <v>-8.0999999999999996E-3</v>
      </c>
      <c r="L34">
        <f t="shared" si="22"/>
        <v>185.62384119147413</v>
      </c>
      <c r="M34">
        <f t="shared" si="23"/>
        <v>185.73528236089066</v>
      </c>
      <c r="N34">
        <f t="shared" si="24"/>
        <v>-0.11144116941653692</v>
      </c>
      <c r="O34" s="39">
        <f t="shared" si="25"/>
        <v>-6.0000000000001361E-4</v>
      </c>
      <c r="Q34">
        <f t="shared" si="26"/>
        <v>163.60537970219812</v>
      </c>
      <c r="R34">
        <f t="shared" si="27"/>
        <v>165.67861342795351</v>
      </c>
      <c r="S34">
        <f t="shared" si="28"/>
        <v>-2.0732337257553866</v>
      </c>
      <c r="T34" s="39">
        <f t="shared" si="29"/>
        <v>-1.25135868948888E-2</v>
      </c>
      <c r="U34">
        <f t="shared" si="30"/>
        <v>2012</v>
      </c>
      <c r="V34">
        <f t="shared" si="31"/>
        <v>2012</v>
      </c>
      <c r="Y34" s="46" t="s">
        <v>70</v>
      </c>
      <c r="Z34" s="48"/>
      <c r="AA34" s="48"/>
      <c r="AB34" s="48"/>
      <c r="AC34" s="48"/>
      <c r="AD34" s="48"/>
      <c r="AE34" s="48">
        <v>9.0300000000000005E-2</v>
      </c>
      <c r="AF34" s="48"/>
      <c r="AG34" s="48">
        <v>-1.7233333333333333E-2</v>
      </c>
      <c r="AH34" s="48"/>
      <c r="AI34" s="48">
        <v>2.4266666666666669E-2</v>
      </c>
      <c r="AJ34" s="48"/>
      <c r="AK34" s="48"/>
      <c r="AL34" s="48">
        <v>9.7333333333333341E-2</v>
      </c>
      <c r="AM34" s="47">
        <f t="shared" si="17"/>
        <v>3.2444444444444449E-2</v>
      </c>
    </row>
    <row r="35" spans="1:39" x14ac:dyDescent="0.25">
      <c r="A35" t="s">
        <v>52</v>
      </c>
      <c r="B35" t="s">
        <v>53</v>
      </c>
      <c r="C35" s="1">
        <v>41160</v>
      </c>
      <c r="D35">
        <v>5358.7</v>
      </c>
      <c r="E35" s="1">
        <v>41326</v>
      </c>
      <c r="F35">
        <v>5852.25</v>
      </c>
      <c r="G35" s="2">
        <v>9.2100000000000001E-2</v>
      </c>
      <c r="H35" s="40">
        <f t="shared" si="18"/>
        <v>166</v>
      </c>
      <c r="I35" s="4">
        <f t="shared" si="19"/>
        <v>1.5E-3</v>
      </c>
      <c r="J35" s="4">
        <f t="shared" si="20"/>
        <v>2.7666666666666666E-2</v>
      </c>
      <c r="K35" s="4">
        <f t="shared" si="21"/>
        <v>6.2933333333333341E-2</v>
      </c>
      <c r="L35">
        <f t="shared" si="22"/>
        <v>202.7197969652089</v>
      </c>
      <c r="M35">
        <f t="shared" si="23"/>
        <v>202.7197969652089</v>
      </c>
      <c r="N35" t="str">
        <f t="shared" si="24"/>
        <v/>
      </c>
      <c r="O35" s="39">
        <f t="shared" si="25"/>
        <v>0</v>
      </c>
      <c r="Q35">
        <f t="shared" si="26"/>
        <v>173.90161159812311</v>
      </c>
      <c r="R35">
        <f t="shared" si="27"/>
        <v>173.90161159812311</v>
      </c>
      <c r="S35" t="str">
        <f t="shared" si="28"/>
        <v/>
      </c>
      <c r="T35" s="39">
        <f t="shared" si="29"/>
        <v>0</v>
      </c>
      <c r="U35">
        <f t="shared" si="30"/>
        <v>2013</v>
      </c>
      <c r="V35">
        <f t="shared" si="31"/>
        <v>2012</v>
      </c>
      <c r="Y35" s="46" t="s">
        <v>71</v>
      </c>
      <c r="Z35" s="48"/>
      <c r="AA35" s="48">
        <v>-2.7466666666666667E-2</v>
      </c>
      <c r="AB35" s="48">
        <v>9.293333333333334E-2</v>
      </c>
      <c r="AC35" s="48"/>
      <c r="AD35" s="48"/>
      <c r="AE35" s="48"/>
      <c r="AF35" s="48"/>
      <c r="AG35" s="48"/>
      <c r="AH35" s="48"/>
      <c r="AI35" s="48">
        <v>-1.66E-2</v>
      </c>
      <c r="AJ35" s="48">
        <v>7.9600000000000004E-2</v>
      </c>
      <c r="AK35" s="48"/>
      <c r="AL35" s="48">
        <v>0.12846666666666667</v>
      </c>
      <c r="AM35" s="47">
        <f t="shared" si="17"/>
        <v>3.2116666666666668E-2</v>
      </c>
    </row>
    <row r="36" spans="1:39" x14ac:dyDescent="0.25">
      <c r="A36" t="s">
        <v>52</v>
      </c>
      <c r="B36" t="s">
        <v>53</v>
      </c>
      <c r="C36" s="1">
        <v>41509</v>
      </c>
      <c r="D36">
        <v>5471.75</v>
      </c>
      <c r="E36" s="1">
        <v>41590</v>
      </c>
      <c r="F36">
        <v>6018.05</v>
      </c>
      <c r="G36" s="2">
        <v>9.98E-2</v>
      </c>
      <c r="H36" s="40">
        <f t="shared" si="18"/>
        <v>81</v>
      </c>
      <c r="I36" s="4">
        <f t="shared" si="19"/>
        <v>1.5E-3</v>
      </c>
      <c r="J36" s="4">
        <f t="shared" si="20"/>
        <v>1.3500000000000002E-2</v>
      </c>
      <c r="K36" s="4">
        <f t="shared" si="21"/>
        <v>8.48E-2</v>
      </c>
      <c r="L36">
        <f t="shared" si="22"/>
        <v>222.95123270233677</v>
      </c>
      <c r="M36">
        <f t="shared" si="23"/>
        <v>222.95123270233677</v>
      </c>
      <c r="N36" t="str">
        <f t="shared" si="24"/>
        <v/>
      </c>
      <c r="O36" s="39">
        <f t="shared" si="25"/>
        <v>0</v>
      </c>
      <c r="Q36">
        <f t="shared" si="26"/>
        <v>188.64846826164396</v>
      </c>
      <c r="R36">
        <f t="shared" si="27"/>
        <v>188.64846826164396</v>
      </c>
      <c r="S36" t="str">
        <f t="shared" si="28"/>
        <v/>
      </c>
      <c r="T36" s="39">
        <f t="shared" si="29"/>
        <v>0</v>
      </c>
      <c r="U36">
        <f t="shared" si="30"/>
        <v>2013</v>
      </c>
      <c r="V36">
        <f t="shared" si="31"/>
        <v>2013</v>
      </c>
      <c r="Y36" s="46" t="s">
        <v>72</v>
      </c>
      <c r="Z36" s="48"/>
      <c r="AA36" s="48">
        <v>-7.8333333333333345E-3</v>
      </c>
      <c r="AB36" s="48">
        <v>-1.9799999999999998E-2</v>
      </c>
      <c r="AC36" s="48">
        <v>-3.1033333333333333E-2</v>
      </c>
      <c r="AD36" s="48">
        <v>-4.8000000000000004E-3</v>
      </c>
      <c r="AE36" s="48">
        <v>-5.5199999999999999E-2</v>
      </c>
      <c r="AF36" s="48"/>
      <c r="AG36" s="48">
        <v>1.3466666666666667E-2</v>
      </c>
      <c r="AH36" s="48"/>
      <c r="AI36" s="48"/>
      <c r="AJ36" s="48"/>
      <c r="AK36" s="48"/>
      <c r="AL36" s="48">
        <v>-0.1052</v>
      </c>
      <c r="AM36" s="47">
        <f t="shared" si="17"/>
        <v>-1.7533333333333335E-2</v>
      </c>
    </row>
    <row r="37" spans="1:39" x14ac:dyDescent="0.25">
      <c r="A37" t="s">
        <v>52</v>
      </c>
      <c r="B37" t="s">
        <v>53</v>
      </c>
      <c r="C37" s="1">
        <v>41596</v>
      </c>
      <c r="D37">
        <v>6189</v>
      </c>
      <c r="E37" s="1">
        <v>41599</v>
      </c>
      <c r="F37">
        <v>5999.05</v>
      </c>
      <c r="G37" s="2">
        <v>-3.0700000000000002E-2</v>
      </c>
      <c r="H37" s="40">
        <f t="shared" si="18"/>
        <v>3</v>
      </c>
      <c r="I37" s="4">
        <f t="shared" si="19"/>
        <v>1.5E-3</v>
      </c>
      <c r="J37" s="4">
        <f t="shared" si="20"/>
        <v>5.0000000000000001E-4</v>
      </c>
      <c r="K37" s="4">
        <f t="shared" si="21"/>
        <v>-3.27E-2</v>
      </c>
      <c r="L37">
        <f t="shared" si="22"/>
        <v>216.10662985837504</v>
      </c>
      <c r="M37">
        <f t="shared" si="23"/>
        <v>222.95123270233677</v>
      </c>
      <c r="N37">
        <f t="shared" si="24"/>
        <v>-6.8446028439617237</v>
      </c>
      <c r="O37" s="39">
        <f t="shared" si="25"/>
        <v>-3.0699999999999932E-2</v>
      </c>
      <c r="Q37">
        <f t="shared" si="26"/>
        <v>182.47966334948822</v>
      </c>
      <c r="R37">
        <f t="shared" si="27"/>
        <v>188.64846826164396</v>
      </c>
      <c r="S37">
        <f t="shared" si="28"/>
        <v>-6.1688049121557356</v>
      </c>
      <c r="T37" s="39">
        <f t="shared" si="29"/>
        <v>-3.2699999999999882E-2</v>
      </c>
      <c r="U37">
        <f t="shared" si="30"/>
        <v>2013</v>
      </c>
      <c r="V37">
        <f t="shared" si="31"/>
        <v>2013</v>
      </c>
      <c r="Y37" s="46" t="s">
        <v>73</v>
      </c>
      <c r="Z37" s="48"/>
      <c r="AA37" s="48">
        <v>-3.2066666666666667E-2</v>
      </c>
      <c r="AB37" s="48">
        <v>-2.3833333333333335E-2</v>
      </c>
      <c r="AC37" s="48">
        <v>4.6366666666666653E-2</v>
      </c>
      <c r="AD37" s="48"/>
      <c r="AE37" s="48"/>
      <c r="AF37" s="48"/>
      <c r="AG37" s="48">
        <v>-9.4333333333333335E-3</v>
      </c>
      <c r="AH37" s="48">
        <v>-1.6866666666666665E-2</v>
      </c>
      <c r="AI37" s="48">
        <v>1.2999999999999956E-3</v>
      </c>
      <c r="AJ37" s="48"/>
      <c r="AK37" s="48"/>
      <c r="AL37" s="48">
        <v>-3.453333333333336E-2</v>
      </c>
      <c r="AM37" s="47">
        <f t="shared" si="17"/>
        <v>-5.7555555555555598E-3</v>
      </c>
    </row>
    <row r="38" spans="1:39" x14ac:dyDescent="0.25">
      <c r="A38" t="s">
        <v>52</v>
      </c>
      <c r="B38" t="s">
        <v>53</v>
      </c>
      <c r="C38" s="1">
        <v>41610</v>
      </c>
      <c r="D38">
        <v>6217.85</v>
      </c>
      <c r="E38" s="1">
        <v>41666</v>
      </c>
      <c r="F38">
        <v>6135.85</v>
      </c>
      <c r="G38" s="2">
        <v>-1.32E-2</v>
      </c>
      <c r="H38" s="40">
        <f t="shared" si="18"/>
        <v>56</v>
      </c>
      <c r="I38" s="4">
        <f t="shared" si="19"/>
        <v>1.5E-3</v>
      </c>
      <c r="J38" s="4">
        <f t="shared" si="20"/>
        <v>9.3333333333333341E-3</v>
      </c>
      <c r="K38" s="4">
        <f t="shared" si="21"/>
        <v>-2.4033333333333334E-2</v>
      </c>
      <c r="L38">
        <f t="shared" si="22"/>
        <v>213.2540223442445</v>
      </c>
      <c r="M38">
        <f t="shared" si="23"/>
        <v>222.95123270233677</v>
      </c>
      <c r="N38">
        <f t="shared" si="24"/>
        <v>-9.6972103580922635</v>
      </c>
      <c r="O38" s="39">
        <f t="shared" si="25"/>
        <v>-4.3494759999999882E-2</v>
      </c>
      <c r="Q38">
        <f t="shared" si="26"/>
        <v>178.09406877365552</v>
      </c>
      <c r="R38">
        <f t="shared" si="27"/>
        <v>188.64846826164396</v>
      </c>
      <c r="S38">
        <f t="shared" si="28"/>
        <v>-10.554399487988434</v>
      </c>
      <c r="T38" s="39">
        <f t="shared" si="29"/>
        <v>-5.5947443333333208E-2</v>
      </c>
      <c r="U38">
        <f t="shared" si="30"/>
        <v>2014</v>
      </c>
      <c r="V38">
        <f t="shared" si="31"/>
        <v>2013</v>
      </c>
      <c r="Y38" s="46" t="s">
        <v>55</v>
      </c>
      <c r="Z38" s="48">
        <v>-0.11613333333333334</v>
      </c>
      <c r="AA38" s="48">
        <v>0.22216666666666665</v>
      </c>
      <c r="AB38" s="48">
        <v>0.68309999999999982</v>
      </c>
      <c r="AC38" s="48">
        <v>-3.2733333333333337E-2</v>
      </c>
      <c r="AD38" s="48">
        <v>0.25093333333333329</v>
      </c>
      <c r="AE38" s="48">
        <v>0.18970000000000001</v>
      </c>
      <c r="AF38" s="48">
        <v>9.3400000000000011E-2</v>
      </c>
      <c r="AG38" s="48">
        <v>6.2133333333333332E-2</v>
      </c>
      <c r="AH38" s="48">
        <v>8.6833333333333346E-2</v>
      </c>
      <c r="AI38" s="48">
        <v>0.21136666666666662</v>
      </c>
      <c r="AJ38" s="48">
        <v>7.1099999999999997E-2</v>
      </c>
      <c r="AK38" s="48">
        <v>0.13033333333333333</v>
      </c>
      <c r="AL38" s="48">
        <v>1.8522000000000001</v>
      </c>
      <c r="AM38" s="47">
        <f t="shared" si="17"/>
        <v>0.15434999999999996</v>
      </c>
    </row>
    <row r="39" spans="1:39" x14ac:dyDescent="0.25">
      <c r="A39" t="s">
        <v>52</v>
      </c>
      <c r="B39" t="s">
        <v>53</v>
      </c>
      <c r="C39" s="1">
        <v>41688</v>
      </c>
      <c r="D39">
        <v>6127.1</v>
      </c>
      <c r="E39" s="1">
        <v>41831</v>
      </c>
      <c r="F39">
        <v>7459.6</v>
      </c>
      <c r="G39" s="2">
        <v>0.2175</v>
      </c>
      <c r="H39" s="40">
        <f t="shared" si="18"/>
        <v>143</v>
      </c>
      <c r="I39" s="4">
        <f t="shared" si="19"/>
        <v>1.5E-3</v>
      </c>
      <c r="J39" s="4">
        <f t="shared" si="20"/>
        <v>2.3833333333333335E-2</v>
      </c>
      <c r="K39" s="4">
        <f t="shared" si="21"/>
        <v>0.19216666666666665</v>
      </c>
      <c r="L39">
        <f t="shared" si="22"/>
        <v>259.63677220411768</v>
      </c>
      <c r="M39">
        <f t="shared" si="23"/>
        <v>259.63677220411768</v>
      </c>
      <c r="N39" t="str">
        <f t="shared" si="24"/>
        <v/>
      </c>
      <c r="O39" s="39">
        <f t="shared" si="25"/>
        <v>0</v>
      </c>
      <c r="Q39">
        <f t="shared" si="26"/>
        <v>212.31781232299298</v>
      </c>
      <c r="R39">
        <f t="shared" si="27"/>
        <v>212.31781232299298</v>
      </c>
      <c r="S39" t="str">
        <f t="shared" si="28"/>
        <v/>
      </c>
      <c r="T39" s="39">
        <f t="shared" si="29"/>
        <v>0</v>
      </c>
      <c r="U39">
        <f t="shared" si="30"/>
        <v>2014</v>
      </c>
      <c r="V39">
        <f t="shared" si="31"/>
        <v>2014</v>
      </c>
    </row>
    <row r="40" spans="1:39" x14ac:dyDescent="0.25">
      <c r="A40" t="s">
        <v>52</v>
      </c>
      <c r="B40" t="s">
        <v>53</v>
      </c>
      <c r="C40" s="1">
        <v>41842</v>
      </c>
      <c r="D40">
        <v>7767.85</v>
      </c>
      <c r="E40" s="1">
        <v>41852</v>
      </c>
      <c r="F40">
        <v>7602.6</v>
      </c>
      <c r="G40" s="2">
        <v>-2.1299999999999999E-2</v>
      </c>
      <c r="H40" s="40">
        <f t="shared" si="18"/>
        <v>10</v>
      </c>
      <c r="I40" s="4">
        <f t="shared" si="19"/>
        <v>1.5E-3</v>
      </c>
      <c r="J40" s="4">
        <f t="shared" si="20"/>
        <v>1.6666666666666666E-3</v>
      </c>
      <c r="K40" s="4">
        <f t="shared" si="21"/>
        <v>-2.4466666666666664E-2</v>
      </c>
      <c r="L40">
        <f t="shared" si="22"/>
        <v>254.10650895616996</v>
      </c>
      <c r="M40">
        <f t="shared" si="23"/>
        <v>259.63677220411768</v>
      </c>
      <c r="N40">
        <f t="shared" si="24"/>
        <v>-5.5302632479477154</v>
      </c>
      <c r="O40" s="39">
        <f t="shared" si="25"/>
        <v>-2.1300000000000034E-2</v>
      </c>
      <c r="Q40">
        <f t="shared" si="26"/>
        <v>207.12310318149042</v>
      </c>
      <c r="R40">
        <f t="shared" si="27"/>
        <v>212.31781232299298</v>
      </c>
      <c r="S40">
        <f t="shared" si="28"/>
        <v>-5.1947091415025568</v>
      </c>
      <c r="T40" s="39">
        <f t="shared" si="29"/>
        <v>-2.4466666666666644E-2</v>
      </c>
      <c r="U40">
        <f t="shared" si="30"/>
        <v>2014</v>
      </c>
      <c r="V40">
        <f t="shared" si="31"/>
        <v>2014</v>
      </c>
    </row>
    <row r="41" spans="1:39" x14ac:dyDescent="0.25">
      <c r="A41" t="s">
        <v>52</v>
      </c>
      <c r="B41" t="s">
        <v>53</v>
      </c>
      <c r="C41" s="1">
        <v>41865</v>
      </c>
      <c r="D41">
        <v>7791.7</v>
      </c>
      <c r="E41" s="1">
        <v>41919</v>
      </c>
      <c r="F41">
        <v>7852.3990000000003</v>
      </c>
      <c r="G41" s="2">
        <v>7.7999999999999996E-3</v>
      </c>
      <c r="H41" s="40">
        <f t="shared" si="18"/>
        <v>54</v>
      </c>
      <c r="I41" s="4">
        <f t="shared" si="19"/>
        <v>1.5E-3</v>
      </c>
      <c r="J41" s="4">
        <f t="shared" si="20"/>
        <v>9.0000000000000011E-3</v>
      </c>
      <c r="K41" s="4">
        <f t="shared" si="21"/>
        <v>-2.700000000000001E-3</v>
      </c>
      <c r="L41">
        <f t="shared" si="22"/>
        <v>256.0885397260281</v>
      </c>
      <c r="M41">
        <f t="shared" si="23"/>
        <v>259.63677220411768</v>
      </c>
      <c r="N41">
        <f t="shared" si="24"/>
        <v>-3.5482324780895738</v>
      </c>
      <c r="O41" s="39">
        <f t="shared" si="25"/>
        <v>-1.3666139999999972E-2</v>
      </c>
      <c r="Q41">
        <f t="shared" si="26"/>
        <v>206.5638708029004</v>
      </c>
      <c r="R41">
        <f t="shared" si="27"/>
        <v>212.31781232299298</v>
      </c>
      <c r="S41">
        <f t="shared" si="28"/>
        <v>-5.7539415200925816</v>
      </c>
      <c r="T41" s="39">
        <f t="shared" si="29"/>
        <v>-2.7100606666666648E-2</v>
      </c>
      <c r="U41">
        <f t="shared" si="30"/>
        <v>2014</v>
      </c>
      <c r="V41">
        <f t="shared" si="31"/>
        <v>2014</v>
      </c>
    </row>
    <row r="42" spans="1:39" x14ac:dyDescent="0.25">
      <c r="A42" t="s">
        <v>52</v>
      </c>
      <c r="B42" t="s">
        <v>53</v>
      </c>
      <c r="C42" s="1">
        <v>41934</v>
      </c>
      <c r="D42">
        <v>7995.9</v>
      </c>
      <c r="E42" s="1">
        <v>41985</v>
      </c>
      <c r="F42">
        <v>8224.1</v>
      </c>
      <c r="G42" s="2">
        <v>2.8500000000000001E-2</v>
      </c>
      <c r="H42" s="40">
        <f t="shared" si="18"/>
        <v>51</v>
      </c>
      <c r="I42" s="4">
        <f t="shared" si="19"/>
        <v>1.5E-3</v>
      </c>
      <c r="J42" s="4">
        <f t="shared" si="20"/>
        <v>8.5000000000000006E-3</v>
      </c>
      <c r="K42" s="4">
        <f t="shared" si="21"/>
        <v>1.8500000000000003E-2</v>
      </c>
      <c r="L42">
        <f t="shared" si="22"/>
        <v>263.38706310821988</v>
      </c>
      <c r="M42">
        <f t="shared" si="23"/>
        <v>263.38706310821988</v>
      </c>
      <c r="N42" t="str">
        <f t="shared" si="24"/>
        <v/>
      </c>
      <c r="O42" s="39">
        <f t="shared" si="25"/>
        <v>0</v>
      </c>
      <c r="Q42">
        <f t="shared" si="26"/>
        <v>210.38530241275404</v>
      </c>
      <c r="R42">
        <f t="shared" si="27"/>
        <v>212.31781232299298</v>
      </c>
      <c r="S42">
        <f t="shared" si="28"/>
        <v>-1.9325099102389345</v>
      </c>
      <c r="T42" s="39">
        <f t="shared" si="29"/>
        <v>-9.1019678900000293E-3</v>
      </c>
      <c r="U42">
        <f t="shared" si="30"/>
        <v>2014</v>
      </c>
      <c r="V42">
        <f t="shared" si="31"/>
        <v>2014</v>
      </c>
    </row>
    <row r="43" spans="1:39" x14ac:dyDescent="0.25">
      <c r="A43" t="s">
        <v>52</v>
      </c>
      <c r="B43" t="s">
        <v>53</v>
      </c>
      <c r="C43" s="1">
        <v>41995</v>
      </c>
      <c r="D43">
        <v>8324</v>
      </c>
      <c r="E43" s="1">
        <v>42010</v>
      </c>
      <c r="F43">
        <v>8127.3509999999997</v>
      </c>
      <c r="G43" s="2">
        <v>-2.3599999999999999E-2</v>
      </c>
      <c r="H43" s="40">
        <f t="shared" si="18"/>
        <v>15</v>
      </c>
      <c r="I43" s="4">
        <f t="shared" si="19"/>
        <v>1.5E-3</v>
      </c>
      <c r="J43" s="4">
        <f t="shared" si="20"/>
        <v>2.5000000000000001E-3</v>
      </c>
      <c r="K43" s="4">
        <f t="shared" si="21"/>
        <v>-2.76E-2</v>
      </c>
      <c r="L43">
        <f t="shared" si="22"/>
        <v>257.17112841886592</v>
      </c>
      <c r="M43">
        <f t="shared" si="23"/>
        <v>263.38706310821988</v>
      </c>
      <c r="N43">
        <f t="shared" si="24"/>
        <v>-6.2159346893539578</v>
      </c>
      <c r="O43" s="39">
        <f t="shared" si="25"/>
        <v>-2.3599999999999881E-2</v>
      </c>
      <c r="Q43">
        <f t="shared" si="26"/>
        <v>204.57866806616204</v>
      </c>
      <c r="R43">
        <f t="shared" si="27"/>
        <v>212.31781232299298</v>
      </c>
      <c r="S43">
        <f t="shared" si="28"/>
        <v>-7.7391442568309401</v>
      </c>
      <c r="T43" s="39">
        <f t="shared" si="29"/>
        <v>-3.6450753576235999E-2</v>
      </c>
      <c r="U43">
        <f t="shared" si="30"/>
        <v>2015</v>
      </c>
      <c r="V43">
        <f t="shared" si="31"/>
        <v>2014</v>
      </c>
    </row>
    <row r="44" spans="1:39" x14ac:dyDescent="0.25">
      <c r="A44" t="s">
        <v>52</v>
      </c>
      <c r="B44" t="s">
        <v>53</v>
      </c>
      <c r="C44" s="1">
        <v>42019</v>
      </c>
      <c r="D44">
        <v>8494.15</v>
      </c>
      <c r="E44" s="1">
        <v>42044</v>
      </c>
      <c r="F44">
        <v>8526.35</v>
      </c>
      <c r="G44" s="2">
        <v>3.8E-3</v>
      </c>
      <c r="H44" s="40">
        <f t="shared" si="18"/>
        <v>25</v>
      </c>
      <c r="I44" s="4">
        <f t="shared" si="19"/>
        <v>1.5E-3</v>
      </c>
      <c r="J44" s="4">
        <f t="shared" si="20"/>
        <v>4.1666666666666666E-3</v>
      </c>
      <c r="K44" s="4">
        <f t="shared" si="21"/>
        <v>-1.8666666666666671E-3</v>
      </c>
      <c r="L44">
        <f t="shared" si="22"/>
        <v>258.14837870685761</v>
      </c>
      <c r="M44">
        <f t="shared" si="23"/>
        <v>263.38706310821988</v>
      </c>
      <c r="N44">
        <f t="shared" si="24"/>
        <v>-5.2386844013622635</v>
      </c>
      <c r="O44" s="39">
        <f t="shared" si="25"/>
        <v>-1.9889679999999868E-2</v>
      </c>
      <c r="Q44">
        <f t="shared" si="26"/>
        <v>204.19678788577187</v>
      </c>
      <c r="R44">
        <f t="shared" si="27"/>
        <v>212.31781232299298</v>
      </c>
      <c r="S44">
        <f t="shared" si="28"/>
        <v>-8.1210244372211093</v>
      </c>
      <c r="T44" s="39">
        <f t="shared" si="29"/>
        <v>-3.8249378836227026E-2</v>
      </c>
      <c r="U44">
        <f t="shared" si="30"/>
        <v>2015</v>
      </c>
      <c r="V44">
        <f t="shared" si="31"/>
        <v>2015</v>
      </c>
    </row>
    <row r="45" spans="1:39" x14ac:dyDescent="0.25">
      <c r="A45" t="s">
        <v>52</v>
      </c>
      <c r="B45" t="s">
        <v>53</v>
      </c>
      <c r="C45" s="1">
        <v>42048</v>
      </c>
      <c r="D45">
        <v>8805.5</v>
      </c>
      <c r="E45" s="1">
        <v>42074</v>
      </c>
      <c r="F45">
        <v>8699.9500000000007</v>
      </c>
      <c r="G45" s="2">
        <v>-1.2E-2</v>
      </c>
      <c r="H45" s="40">
        <f t="shared" si="18"/>
        <v>26</v>
      </c>
      <c r="I45" s="4">
        <f t="shared" si="19"/>
        <v>1.5E-3</v>
      </c>
      <c r="J45" s="4">
        <f t="shared" si="20"/>
        <v>4.333333333333334E-3</v>
      </c>
      <c r="K45" s="4">
        <f t="shared" si="21"/>
        <v>-1.7833333333333333E-2</v>
      </c>
      <c r="L45">
        <f t="shared" si="22"/>
        <v>255.05059816237531</v>
      </c>
      <c r="M45">
        <f t="shared" si="23"/>
        <v>263.38706310821988</v>
      </c>
      <c r="N45">
        <f t="shared" si="24"/>
        <v>-8.3364649458445683</v>
      </c>
      <c r="O45" s="39">
        <f t="shared" si="25"/>
        <v>-3.1651003839999921E-2</v>
      </c>
      <c r="Q45">
        <f t="shared" si="26"/>
        <v>200.55527850180894</v>
      </c>
      <c r="R45">
        <f t="shared" si="27"/>
        <v>212.31781232299298</v>
      </c>
      <c r="S45">
        <f t="shared" si="28"/>
        <v>-11.762533821184036</v>
      </c>
      <c r="T45" s="39">
        <f t="shared" si="29"/>
        <v>-5.5400598246980952E-2</v>
      </c>
      <c r="U45">
        <f t="shared" si="30"/>
        <v>2015</v>
      </c>
      <c r="V45">
        <f t="shared" si="31"/>
        <v>2015</v>
      </c>
    </row>
    <row r="46" spans="1:39" x14ac:dyDescent="0.25">
      <c r="A46" t="s">
        <v>52</v>
      </c>
      <c r="B46" t="s">
        <v>53</v>
      </c>
      <c r="C46" s="1">
        <v>42095</v>
      </c>
      <c r="D46">
        <v>8586.25</v>
      </c>
      <c r="E46" s="1">
        <v>42114</v>
      </c>
      <c r="F46">
        <v>8448.1</v>
      </c>
      <c r="G46" s="2">
        <v>-1.61E-2</v>
      </c>
      <c r="H46" s="40">
        <f t="shared" si="18"/>
        <v>19</v>
      </c>
      <c r="I46" s="4">
        <f t="shared" si="19"/>
        <v>1.5E-3</v>
      </c>
      <c r="J46" s="4">
        <f t="shared" si="20"/>
        <v>3.1666666666666666E-3</v>
      </c>
      <c r="K46" s="4">
        <f t="shared" si="21"/>
        <v>-2.0766666666666666E-2</v>
      </c>
      <c r="L46">
        <f t="shared" si="22"/>
        <v>250.94428353196108</v>
      </c>
      <c r="M46">
        <f t="shared" si="23"/>
        <v>263.38706310821988</v>
      </c>
      <c r="N46">
        <f t="shared" si="24"/>
        <v>-12.4427795762588</v>
      </c>
      <c r="O46" s="39">
        <f t="shared" si="25"/>
        <v>-4.7241422678175882E-2</v>
      </c>
      <c r="Q46">
        <f t="shared" si="26"/>
        <v>196.39041388492137</v>
      </c>
      <c r="R46">
        <f t="shared" si="27"/>
        <v>212.31781232299298</v>
      </c>
      <c r="S46">
        <f t="shared" si="28"/>
        <v>-15.927398438071606</v>
      </c>
      <c r="T46" s="39">
        <f t="shared" si="29"/>
        <v>-7.5016779156718671E-2</v>
      </c>
      <c r="U46">
        <f t="shared" si="30"/>
        <v>2015</v>
      </c>
      <c r="V46">
        <f t="shared" si="31"/>
        <v>2015</v>
      </c>
    </row>
    <row r="47" spans="1:39" x14ac:dyDescent="0.25">
      <c r="A47" t="s">
        <v>52</v>
      </c>
      <c r="B47" t="s">
        <v>53</v>
      </c>
      <c r="C47" s="1">
        <v>42142</v>
      </c>
      <c r="D47">
        <v>8373.65</v>
      </c>
      <c r="E47" s="1">
        <v>42157</v>
      </c>
      <c r="F47">
        <v>8236.4500000000007</v>
      </c>
      <c r="G47" s="2">
        <v>-1.6400000000000001E-2</v>
      </c>
      <c r="H47" s="40">
        <f t="shared" si="18"/>
        <v>15</v>
      </c>
      <c r="I47" s="4">
        <f t="shared" si="19"/>
        <v>1.5E-3</v>
      </c>
      <c r="J47" s="4">
        <f t="shared" si="20"/>
        <v>2.5000000000000001E-3</v>
      </c>
      <c r="K47" s="4">
        <f t="shared" si="21"/>
        <v>-2.0400000000000001E-2</v>
      </c>
      <c r="L47">
        <f t="shared" si="22"/>
        <v>246.82879728203693</v>
      </c>
      <c r="M47">
        <f t="shared" si="23"/>
        <v>263.38706310821988</v>
      </c>
      <c r="N47">
        <f t="shared" si="24"/>
        <v>-16.558265826182947</v>
      </c>
      <c r="O47" s="39">
        <f t="shared" si="25"/>
        <v>-6.2866663346253737E-2</v>
      </c>
      <c r="Q47">
        <f t="shared" si="26"/>
        <v>192.38404944166899</v>
      </c>
      <c r="R47">
        <f t="shared" si="27"/>
        <v>212.31781232299298</v>
      </c>
      <c r="S47">
        <f t="shared" si="28"/>
        <v>-19.933762881323986</v>
      </c>
      <c r="T47" s="39">
        <f t="shared" si="29"/>
        <v>-9.3886436861921538E-2</v>
      </c>
      <c r="U47">
        <f t="shared" si="30"/>
        <v>2015</v>
      </c>
      <c r="V47">
        <f t="shared" si="31"/>
        <v>2015</v>
      </c>
    </row>
    <row r="48" spans="1:39" x14ac:dyDescent="0.25">
      <c r="A48" t="s">
        <v>52</v>
      </c>
      <c r="B48" t="s">
        <v>53</v>
      </c>
      <c r="C48" s="1">
        <v>42174</v>
      </c>
      <c r="D48">
        <v>8224.9500000000007</v>
      </c>
      <c r="E48" s="1">
        <v>42237</v>
      </c>
      <c r="F48">
        <v>8299.9500000000007</v>
      </c>
      <c r="G48" s="2">
        <v>9.1000000000000004E-3</v>
      </c>
      <c r="H48" s="40">
        <f t="shared" si="18"/>
        <v>63</v>
      </c>
      <c r="I48" s="4">
        <f t="shared" si="19"/>
        <v>1.5E-3</v>
      </c>
      <c r="J48" s="4">
        <f t="shared" si="20"/>
        <v>1.0500000000000001E-2</v>
      </c>
      <c r="K48" s="4">
        <f t="shared" si="21"/>
        <v>-2.8999999999999998E-3</v>
      </c>
      <c r="L48">
        <f t="shared" si="22"/>
        <v>249.0749393373035</v>
      </c>
      <c r="M48">
        <f t="shared" si="23"/>
        <v>263.38706310821988</v>
      </c>
      <c r="N48">
        <f t="shared" si="24"/>
        <v>-14.312123770916372</v>
      </c>
      <c r="O48" s="39">
        <f t="shared" si="25"/>
        <v>-5.43387499827045E-2</v>
      </c>
      <c r="Q48">
        <f t="shared" si="26"/>
        <v>191.82613569828814</v>
      </c>
      <c r="R48">
        <f t="shared" si="27"/>
        <v>212.31781232299298</v>
      </c>
      <c r="S48">
        <f t="shared" si="28"/>
        <v>-20.491676624704837</v>
      </c>
      <c r="T48" s="39">
        <f t="shared" si="29"/>
        <v>-9.6514166195022011E-2</v>
      </c>
      <c r="U48">
        <f t="shared" si="30"/>
        <v>2015</v>
      </c>
      <c r="V48">
        <f t="shared" si="31"/>
        <v>2015</v>
      </c>
    </row>
    <row r="49" spans="1:22" x14ac:dyDescent="0.25">
      <c r="A49" t="s">
        <v>52</v>
      </c>
      <c r="B49" t="s">
        <v>53</v>
      </c>
      <c r="C49" s="1">
        <v>42423</v>
      </c>
      <c r="D49">
        <v>7109.55</v>
      </c>
      <c r="E49" s="1">
        <v>42642</v>
      </c>
      <c r="F49">
        <v>8591.25</v>
      </c>
      <c r="G49" s="2">
        <v>0.2084</v>
      </c>
      <c r="H49" s="40">
        <f t="shared" si="18"/>
        <v>219</v>
      </c>
      <c r="I49" s="4">
        <f t="shared" si="19"/>
        <v>1.5E-3</v>
      </c>
      <c r="J49" s="4">
        <f t="shared" si="20"/>
        <v>3.6499999999999998E-2</v>
      </c>
      <c r="K49" s="4">
        <f t="shared" si="21"/>
        <v>0.1704</v>
      </c>
      <c r="L49">
        <f t="shared" si="22"/>
        <v>300.98215669519755</v>
      </c>
      <c r="M49">
        <f t="shared" si="23"/>
        <v>300.98215669519755</v>
      </c>
      <c r="N49" t="str">
        <f t="shared" si="24"/>
        <v/>
      </c>
      <c r="O49" s="39">
        <f t="shared" si="25"/>
        <v>0</v>
      </c>
      <c r="Q49">
        <f t="shared" si="26"/>
        <v>224.51330922127642</v>
      </c>
      <c r="R49">
        <f t="shared" si="27"/>
        <v>224.51330922127642</v>
      </c>
      <c r="S49" t="str">
        <f t="shared" si="28"/>
        <v/>
      </c>
      <c r="T49" s="39">
        <f t="shared" si="29"/>
        <v>0</v>
      </c>
      <c r="U49">
        <f t="shared" si="30"/>
        <v>2016</v>
      </c>
      <c r="V49">
        <f t="shared" si="31"/>
        <v>2016</v>
      </c>
    </row>
    <row r="50" spans="1:22" x14ac:dyDescent="0.25">
      <c r="A50" t="s">
        <v>52</v>
      </c>
      <c r="B50" t="s">
        <v>53</v>
      </c>
      <c r="C50" s="1">
        <v>42727</v>
      </c>
      <c r="D50">
        <v>7985.75</v>
      </c>
      <c r="E50" s="1">
        <v>42958</v>
      </c>
      <c r="F50">
        <v>9710.7999999999993</v>
      </c>
      <c r="G50" s="2">
        <v>0.216</v>
      </c>
      <c r="H50" s="40">
        <f t="shared" si="18"/>
        <v>231</v>
      </c>
      <c r="I50" s="4">
        <f t="shared" si="19"/>
        <v>1.5E-3</v>
      </c>
      <c r="J50" s="4">
        <f t="shared" si="20"/>
        <v>3.85E-2</v>
      </c>
      <c r="K50" s="4">
        <f t="shared" si="21"/>
        <v>0.17599999999999999</v>
      </c>
      <c r="L50">
        <f t="shared" si="22"/>
        <v>365.99430254136018</v>
      </c>
      <c r="M50">
        <f t="shared" si="23"/>
        <v>365.99430254136018</v>
      </c>
      <c r="N50" t="str">
        <f t="shared" si="24"/>
        <v/>
      </c>
      <c r="O50" s="39">
        <f t="shared" si="25"/>
        <v>0</v>
      </c>
      <c r="Q50">
        <f t="shared" si="26"/>
        <v>264.02765164422107</v>
      </c>
      <c r="R50">
        <f t="shared" si="27"/>
        <v>264.02765164422107</v>
      </c>
      <c r="S50" t="str">
        <f t="shared" si="28"/>
        <v/>
      </c>
      <c r="T50" s="39">
        <f t="shared" si="29"/>
        <v>0</v>
      </c>
      <c r="U50">
        <f t="shared" si="30"/>
        <v>2017</v>
      </c>
      <c r="V50">
        <f t="shared" si="31"/>
        <v>2016</v>
      </c>
    </row>
    <row r="51" spans="1:22" x14ac:dyDescent="0.25">
      <c r="A51" t="s">
        <v>52</v>
      </c>
      <c r="B51" t="s">
        <v>53</v>
      </c>
      <c r="C51" s="1">
        <v>42979</v>
      </c>
      <c r="D51">
        <v>9974.4</v>
      </c>
      <c r="E51" s="1">
        <v>43003</v>
      </c>
      <c r="F51">
        <v>9872.6</v>
      </c>
      <c r="G51" s="2">
        <v>-1.0200000000000001E-2</v>
      </c>
      <c r="H51" s="40">
        <f t="shared" si="18"/>
        <v>24</v>
      </c>
      <c r="I51" s="4">
        <f t="shared" si="19"/>
        <v>1.5E-3</v>
      </c>
      <c r="J51" s="4">
        <f t="shared" si="20"/>
        <v>4.0000000000000001E-3</v>
      </c>
      <c r="K51" s="4">
        <f t="shared" si="21"/>
        <v>-1.5699999999999999E-2</v>
      </c>
      <c r="L51">
        <f t="shared" si="22"/>
        <v>362.26116065543829</v>
      </c>
      <c r="M51">
        <f t="shared" si="23"/>
        <v>365.99430254136018</v>
      </c>
      <c r="N51">
        <f t="shared" si="24"/>
        <v>-3.7331418859218957</v>
      </c>
      <c r="O51" s="39">
        <f t="shared" si="25"/>
        <v>-1.020000000000006E-2</v>
      </c>
      <c r="Q51">
        <f t="shared" si="26"/>
        <v>259.88241751340678</v>
      </c>
      <c r="R51">
        <f t="shared" si="27"/>
        <v>264.02765164422107</v>
      </c>
      <c r="S51">
        <f t="shared" si="28"/>
        <v>-4.1452341308142877</v>
      </c>
      <c r="T51" s="39">
        <f t="shared" si="29"/>
        <v>-1.5700000000000065E-2</v>
      </c>
      <c r="U51">
        <f t="shared" si="30"/>
        <v>2017</v>
      </c>
      <c r="V51">
        <f t="shared" si="31"/>
        <v>2017</v>
      </c>
    </row>
    <row r="52" spans="1:22" x14ac:dyDescent="0.25">
      <c r="A52" t="s">
        <v>52</v>
      </c>
      <c r="B52" t="s">
        <v>53</v>
      </c>
      <c r="C52" s="1">
        <v>43020</v>
      </c>
      <c r="D52">
        <v>10096.4</v>
      </c>
      <c r="E52" s="1">
        <v>43054</v>
      </c>
      <c r="F52">
        <v>10118.049999999999</v>
      </c>
      <c r="G52" s="2">
        <v>2.0999999999999999E-3</v>
      </c>
      <c r="H52" s="40">
        <f t="shared" si="18"/>
        <v>34</v>
      </c>
      <c r="I52" s="4">
        <f t="shared" si="19"/>
        <v>1.5E-3</v>
      </c>
      <c r="J52" s="4">
        <f t="shared" si="20"/>
        <v>5.6666666666666662E-3</v>
      </c>
      <c r="K52" s="4">
        <f t="shared" si="21"/>
        <v>-5.0666666666666672E-3</v>
      </c>
      <c r="L52">
        <f t="shared" si="22"/>
        <v>363.02190909281472</v>
      </c>
      <c r="M52">
        <f t="shared" si="23"/>
        <v>365.99430254136018</v>
      </c>
      <c r="N52">
        <f t="shared" si="24"/>
        <v>-2.9723934485454606</v>
      </c>
      <c r="O52" s="39">
        <f t="shared" si="25"/>
        <v>-8.1214200000000198E-3</v>
      </c>
      <c r="Q52">
        <f t="shared" si="26"/>
        <v>258.56567993133888</v>
      </c>
      <c r="R52">
        <f t="shared" si="27"/>
        <v>264.02765164422107</v>
      </c>
      <c r="S52">
        <f t="shared" si="28"/>
        <v>-5.461971712882189</v>
      </c>
      <c r="T52" s="39">
        <f t="shared" si="29"/>
        <v>-2.0687119999999965E-2</v>
      </c>
      <c r="U52">
        <f t="shared" si="30"/>
        <v>2017</v>
      </c>
      <c r="V52">
        <f t="shared" si="31"/>
        <v>2017</v>
      </c>
    </row>
    <row r="53" spans="1:22" x14ac:dyDescent="0.25">
      <c r="A53" t="s">
        <v>52</v>
      </c>
      <c r="B53" t="s">
        <v>53</v>
      </c>
      <c r="C53" s="1">
        <v>43060</v>
      </c>
      <c r="D53">
        <v>10326.9</v>
      </c>
      <c r="E53" s="1">
        <v>43069</v>
      </c>
      <c r="F53">
        <v>10226.549999999999</v>
      </c>
      <c r="G53" s="2">
        <v>-9.7000000000000003E-3</v>
      </c>
      <c r="H53" s="40">
        <f t="shared" si="18"/>
        <v>9</v>
      </c>
      <c r="I53" s="4">
        <f t="shared" si="19"/>
        <v>1.5E-3</v>
      </c>
      <c r="J53" s="4">
        <f t="shared" si="20"/>
        <v>1.5E-3</v>
      </c>
      <c r="K53" s="4">
        <f t="shared" si="21"/>
        <v>-1.2699999999999999E-2</v>
      </c>
      <c r="L53">
        <f t="shared" si="22"/>
        <v>359.50059657461441</v>
      </c>
      <c r="M53">
        <f t="shared" si="23"/>
        <v>365.99430254136018</v>
      </c>
      <c r="N53">
        <f t="shared" si="24"/>
        <v>-6.4937059667457788</v>
      </c>
      <c r="O53" s="39">
        <f t="shared" si="25"/>
        <v>-1.7742642226000062E-2</v>
      </c>
      <c r="Q53">
        <f t="shared" si="26"/>
        <v>255.28189579621088</v>
      </c>
      <c r="R53">
        <f t="shared" si="27"/>
        <v>264.02765164422107</v>
      </c>
      <c r="S53">
        <f t="shared" si="28"/>
        <v>-8.7457558480101909</v>
      </c>
      <c r="T53" s="39">
        <f t="shared" si="29"/>
        <v>-3.3124393575999958E-2</v>
      </c>
      <c r="U53">
        <f t="shared" si="30"/>
        <v>2017</v>
      </c>
      <c r="V53">
        <f t="shared" si="31"/>
        <v>2017</v>
      </c>
    </row>
    <row r="54" spans="1:22" x14ac:dyDescent="0.25">
      <c r="A54" t="s">
        <v>52</v>
      </c>
      <c r="B54" t="s">
        <v>53</v>
      </c>
      <c r="C54" s="1">
        <v>43080</v>
      </c>
      <c r="D54">
        <v>10322.25</v>
      </c>
      <c r="E54" s="1">
        <v>43136</v>
      </c>
      <c r="F54">
        <v>10666.55</v>
      </c>
      <c r="G54" s="2">
        <v>3.3399999999999999E-2</v>
      </c>
      <c r="H54" s="40">
        <f t="shared" si="18"/>
        <v>56</v>
      </c>
      <c r="I54" s="4">
        <f t="shared" si="19"/>
        <v>1.5E-3</v>
      </c>
      <c r="J54" s="4">
        <f t="shared" si="20"/>
        <v>9.3333333333333341E-3</v>
      </c>
      <c r="K54" s="4">
        <f t="shared" si="21"/>
        <v>2.2566666666666665E-2</v>
      </c>
      <c r="L54">
        <f t="shared" si="22"/>
        <v>371.50791650020653</v>
      </c>
      <c r="M54">
        <f t="shared" si="23"/>
        <v>371.50791650020653</v>
      </c>
      <c r="N54" t="str">
        <f t="shared" si="24"/>
        <v/>
      </c>
      <c r="O54" s="39">
        <f t="shared" si="25"/>
        <v>0</v>
      </c>
      <c r="Q54">
        <f t="shared" si="26"/>
        <v>261.04275724467868</v>
      </c>
      <c r="R54">
        <f t="shared" si="27"/>
        <v>264.02765164422107</v>
      </c>
      <c r="S54">
        <f t="shared" si="28"/>
        <v>-2.9848943995423838</v>
      </c>
      <c r="T54" s="39">
        <f t="shared" si="29"/>
        <v>-1.1305234057698425E-2</v>
      </c>
      <c r="U54">
        <f t="shared" si="30"/>
        <v>2018</v>
      </c>
      <c r="V54">
        <f t="shared" si="31"/>
        <v>2017</v>
      </c>
    </row>
    <row r="55" spans="1:22" x14ac:dyDescent="0.25">
      <c r="A55" t="s">
        <v>52</v>
      </c>
      <c r="B55" t="s">
        <v>53</v>
      </c>
      <c r="C55" s="1">
        <v>43518</v>
      </c>
      <c r="D55">
        <v>10791.65</v>
      </c>
      <c r="E55" s="1">
        <v>43593</v>
      </c>
      <c r="F55">
        <v>11359.45</v>
      </c>
      <c r="G55" s="2">
        <v>5.2600000000000001E-2</v>
      </c>
      <c r="H55" s="40">
        <f t="shared" si="18"/>
        <v>75</v>
      </c>
      <c r="I55" s="4">
        <f t="shared" si="19"/>
        <v>1.5E-3</v>
      </c>
      <c r="J55" s="4">
        <f t="shared" si="20"/>
        <v>1.2500000000000001E-2</v>
      </c>
      <c r="K55" s="4">
        <f t="shared" si="21"/>
        <v>3.8600000000000002E-2</v>
      </c>
      <c r="L55">
        <f t="shared" si="22"/>
        <v>391.0492329081174</v>
      </c>
      <c r="M55">
        <f t="shared" si="23"/>
        <v>391.0492329081174</v>
      </c>
      <c r="N55" t="str">
        <f t="shared" si="24"/>
        <v/>
      </c>
      <c r="O55" s="39">
        <f t="shared" si="25"/>
        <v>0</v>
      </c>
      <c r="Q55">
        <f t="shared" si="26"/>
        <v>271.11900767432326</v>
      </c>
      <c r="R55">
        <f t="shared" si="27"/>
        <v>271.11900767432326</v>
      </c>
      <c r="S55" t="str">
        <f t="shared" si="28"/>
        <v/>
      </c>
      <c r="T55" s="39">
        <f t="shared" si="29"/>
        <v>0</v>
      </c>
      <c r="U55">
        <f t="shared" si="30"/>
        <v>2019</v>
      </c>
      <c r="V55">
        <f t="shared" si="31"/>
        <v>2019</v>
      </c>
    </row>
    <row r="56" spans="1:22" x14ac:dyDescent="0.25">
      <c r="A56" t="s">
        <v>52</v>
      </c>
      <c r="B56" t="s">
        <v>53</v>
      </c>
      <c r="C56" s="1">
        <v>43700</v>
      </c>
      <c r="D56">
        <v>10829.35</v>
      </c>
      <c r="E56" s="1">
        <v>43725</v>
      </c>
      <c r="F56">
        <v>10817.6</v>
      </c>
      <c r="G56" s="2">
        <v>-1.1000000000000001E-3</v>
      </c>
      <c r="H56" s="40">
        <f t="shared" si="18"/>
        <v>25</v>
      </c>
      <c r="I56" s="4">
        <f t="shared" si="19"/>
        <v>1.5E-3</v>
      </c>
      <c r="J56" s="4">
        <f t="shared" si="20"/>
        <v>4.1666666666666666E-3</v>
      </c>
      <c r="K56" s="4">
        <f t="shared" si="21"/>
        <v>-6.7666666666666674E-3</v>
      </c>
      <c r="L56">
        <f t="shared" si="22"/>
        <v>390.61907875191849</v>
      </c>
      <c r="M56">
        <f t="shared" si="23"/>
        <v>391.0492329081174</v>
      </c>
      <c r="N56">
        <f t="shared" si="24"/>
        <v>-0.43015415619890973</v>
      </c>
      <c r="O56" s="39">
        <f t="shared" si="25"/>
        <v>-1.0999999999999504E-3</v>
      </c>
      <c r="Q56">
        <f t="shared" si="26"/>
        <v>269.28443572239365</v>
      </c>
      <c r="R56">
        <f t="shared" si="27"/>
        <v>271.11900767432326</v>
      </c>
      <c r="S56">
        <f t="shared" si="28"/>
        <v>-1.834571951929604</v>
      </c>
      <c r="T56" s="39">
        <f t="shared" si="29"/>
        <v>-6.7666666666667281E-3</v>
      </c>
      <c r="U56">
        <f t="shared" si="30"/>
        <v>2019</v>
      </c>
      <c r="V56">
        <f t="shared" si="31"/>
        <v>2019</v>
      </c>
    </row>
    <row r="57" spans="1:22" x14ac:dyDescent="0.25">
      <c r="A57" t="s">
        <v>52</v>
      </c>
      <c r="B57" t="s">
        <v>53</v>
      </c>
      <c r="C57" s="1">
        <v>43728</v>
      </c>
      <c r="D57">
        <v>11274.2</v>
      </c>
      <c r="E57" s="1">
        <v>43858</v>
      </c>
      <c r="F57">
        <v>12055.8</v>
      </c>
      <c r="G57" s="2">
        <v>6.93E-2</v>
      </c>
      <c r="H57" s="40">
        <f t="shared" si="18"/>
        <v>130</v>
      </c>
      <c r="I57" s="4">
        <f t="shared" si="19"/>
        <v>1.5E-3</v>
      </c>
      <c r="J57" s="4">
        <f t="shared" si="20"/>
        <v>2.1666666666666664E-2</v>
      </c>
      <c r="K57" s="4">
        <f t="shared" si="21"/>
        <v>4.6133333333333332E-2</v>
      </c>
      <c r="L57">
        <f t="shared" si="22"/>
        <v>417.68898090942639</v>
      </c>
      <c r="M57">
        <f t="shared" si="23"/>
        <v>417.68898090942639</v>
      </c>
      <c r="N57" t="str">
        <f t="shared" si="24"/>
        <v/>
      </c>
      <c r="O57" s="39">
        <f t="shared" si="25"/>
        <v>0</v>
      </c>
      <c r="Q57">
        <f t="shared" si="26"/>
        <v>281.70742435705341</v>
      </c>
      <c r="R57">
        <f t="shared" si="27"/>
        <v>281.70742435705341</v>
      </c>
      <c r="S57" t="str">
        <f t="shared" si="28"/>
        <v/>
      </c>
      <c r="T57" s="39">
        <f t="shared" si="29"/>
        <v>0</v>
      </c>
      <c r="U57">
        <f t="shared" si="30"/>
        <v>2020</v>
      </c>
      <c r="V57">
        <f t="shared" si="31"/>
        <v>2019</v>
      </c>
    </row>
    <row r="58" spans="1:22" x14ac:dyDescent="0.25">
      <c r="A58" t="s">
        <v>52</v>
      </c>
      <c r="B58" t="s">
        <v>53</v>
      </c>
      <c r="C58" s="1">
        <v>43866</v>
      </c>
      <c r="D58">
        <v>12089.15</v>
      </c>
      <c r="E58" s="1">
        <v>43885</v>
      </c>
      <c r="F58">
        <v>11829.4</v>
      </c>
      <c r="G58" s="2">
        <v>-2.1499999999999998E-2</v>
      </c>
      <c r="H58" s="40">
        <f t="shared" si="18"/>
        <v>19</v>
      </c>
      <c r="I58" s="4">
        <f t="shared" si="19"/>
        <v>1.5E-3</v>
      </c>
      <c r="J58" s="4">
        <f t="shared" si="20"/>
        <v>3.1666666666666666E-3</v>
      </c>
      <c r="K58" s="4">
        <f t="shared" si="21"/>
        <v>-2.6166666666666664E-2</v>
      </c>
      <c r="L58">
        <f t="shared" si="22"/>
        <v>408.70866781987371</v>
      </c>
      <c r="M58">
        <f t="shared" si="23"/>
        <v>417.68898090942639</v>
      </c>
      <c r="N58">
        <f t="shared" si="24"/>
        <v>-8.9803130895526806</v>
      </c>
      <c r="O58" s="39">
        <f t="shared" si="25"/>
        <v>-2.1500000000000033E-2</v>
      </c>
      <c r="Q58">
        <f t="shared" si="26"/>
        <v>274.33608008637719</v>
      </c>
      <c r="R58">
        <f t="shared" si="27"/>
        <v>281.70742435705341</v>
      </c>
      <c r="S58">
        <f t="shared" si="28"/>
        <v>-7.371344270676218</v>
      </c>
      <c r="T58" s="39">
        <f t="shared" si="29"/>
        <v>-2.6166666666666619E-2</v>
      </c>
      <c r="U58">
        <f t="shared" si="30"/>
        <v>2020</v>
      </c>
      <c r="V58">
        <f t="shared" si="31"/>
        <v>2020</v>
      </c>
    </row>
    <row r="59" spans="1:22" x14ac:dyDescent="0.25">
      <c r="A59" t="s">
        <v>52</v>
      </c>
      <c r="B59" t="s">
        <v>53</v>
      </c>
      <c r="C59" s="1">
        <v>43914</v>
      </c>
      <c r="D59">
        <v>7801.05</v>
      </c>
      <c r="E59" s="1">
        <v>43955</v>
      </c>
      <c r="F59">
        <v>9293.5</v>
      </c>
      <c r="G59" s="2">
        <v>0.1913</v>
      </c>
      <c r="H59" s="40">
        <f t="shared" si="18"/>
        <v>41</v>
      </c>
      <c r="I59" s="4">
        <f t="shared" si="19"/>
        <v>1.5E-3</v>
      </c>
      <c r="J59" s="4">
        <f t="shared" si="20"/>
        <v>6.8333333333333336E-3</v>
      </c>
      <c r="K59" s="4">
        <f t="shared" si="21"/>
        <v>0.18296666666666667</v>
      </c>
      <c r="L59">
        <f t="shared" si="22"/>
        <v>486.89463597381558</v>
      </c>
      <c r="M59">
        <f t="shared" si="23"/>
        <v>486.89463597381558</v>
      </c>
      <c r="N59" t="str">
        <f t="shared" si="24"/>
        <v/>
      </c>
      <c r="O59" s="39">
        <f t="shared" si="25"/>
        <v>0</v>
      </c>
      <c r="Q59">
        <f t="shared" si="26"/>
        <v>324.53043820618137</v>
      </c>
      <c r="R59">
        <f t="shared" si="27"/>
        <v>324.53043820618137</v>
      </c>
      <c r="S59" t="str">
        <f t="shared" si="28"/>
        <v/>
      </c>
      <c r="T59" s="39">
        <f t="shared" si="29"/>
        <v>0</v>
      </c>
      <c r="U59">
        <f t="shared" si="30"/>
        <v>2020</v>
      </c>
      <c r="V59">
        <f t="shared" si="31"/>
        <v>2020</v>
      </c>
    </row>
    <row r="60" spans="1:22" x14ac:dyDescent="0.25">
      <c r="A60" t="s">
        <v>52</v>
      </c>
      <c r="B60" t="s">
        <v>53</v>
      </c>
      <c r="C60" s="1">
        <v>43979</v>
      </c>
      <c r="D60">
        <v>9490.1</v>
      </c>
      <c r="E60" s="1">
        <v>44096</v>
      </c>
      <c r="F60">
        <v>11153.65</v>
      </c>
      <c r="G60" s="2">
        <v>0.17530000000000001</v>
      </c>
      <c r="H60" s="40">
        <f t="shared" si="18"/>
        <v>117</v>
      </c>
      <c r="I60" s="4">
        <f t="shared" si="19"/>
        <v>1.5E-3</v>
      </c>
      <c r="J60" s="4">
        <f t="shared" si="20"/>
        <v>1.95E-2</v>
      </c>
      <c r="K60" s="4">
        <f t="shared" si="21"/>
        <v>0.15430000000000002</v>
      </c>
      <c r="L60">
        <f t="shared" si="22"/>
        <v>572.2472656600255</v>
      </c>
      <c r="M60">
        <f t="shared" si="23"/>
        <v>572.2472656600255</v>
      </c>
      <c r="N60" t="str">
        <f t="shared" si="24"/>
        <v/>
      </c>
      <c r="O60" s="39">
        <f t="shared" si="25"/>
        <v>0</v>
      </c>
      <c r="Q60">
        <f t="shared" si="26"/>
        <v>374.60548482139518</v>
      </c>
      <c r="R60">
        <f t="shared" si="27"/>
        <v>374.60548482139518</v>
      </c>
      <c r="S60" t="str">
        <f t="shared" si="28"/>
        <v/>
      </c>
      <c r="T60" s="39">
        <f t="shared" si="29"/>
        <v>0</v>
      </c>
      <c r="U60">
        <f t="shared" si="30"/>
        <v>2020</v>
      </c>
      <c r="V60">
        <f t="shared" si="31"/>
        <v>2020</v>
      </c>
    </row>
    <row r="61" spans="1:22" x14ac:dyDescent="0.25">
      <c r="A61" t="s">
        <v>52</v>
      </c>
      <c r="B61" t="s">
        <v>53</v>
      </c>
      <c r="C61" s="1">
        <v>44105</v>
      </c>
      <c r="D61">
        <v>11416.95</v>
      </c>
      <c r="E61" s="1">
        <v>44224</v>
      </c>
      <c r="F61">
        <v>13817.55</v>
      </c>
      <c r="G61" s="2">
        <v>0.21029999999999999</v>
      </c>
      <c r="H61" s="40">
        <f t="shared" si="18"/>
        <v>119</v>
      </c>
      <c r="I61" s="4">
        <f t="shared" si="19"/>
        <v>1.5E-3</v>
      </c>
      <c r="J61" s="4">
        <f t="shared" si="20"/>
        <v>1.9833333333333335E-2</v>
      </c>
      <c r="K61" s="4">
        <f t="shared" si="21"/>
        <v>0.18896666666666664</v>
      </c>
      <c r="L61">
        <f t="shared" si="22"/>
        <v>692.59086562832886</v>
      </c>
      <c r="M61">
        <f t="shared" si="23"/>
        <v>692.59086562832886</v>
      </c>
      <c r="N61" t="str">
        <f t="shared" si="24"/>
        <v/>
      </c>
      <c r="O61" s="39">
        <f t="shared" si="25"/>
        <v>0</v>
      </c>
      <c r="Q61">
        <f t="shared" si="26"/>
        <v>445.39343460314484</v>
      </c>
      <c r="R61">
        <f t="shared" si="27"/>
        <v>445.39343460314484</v>
      </c>
      <c r="S61" t="str">
        <f t="shared" si="28"/>
        <v/>
      </c>
      <c r="T61" s="39">
        <f t="shared" si="29"/>
        <v>0</v>
      </c>
      <c r="U61">
        <f t="shared" si="30"/>
        <v>2021</v>
      </c>
      <c r="V61">
        <f t="shared" si="31"/>
        <v>2020</v>
      </c>
    </row>
    <row r="62" spans="1:22" x14ac:dyDescent="0.25">
      <c r="A62" t="s">
        <v>52</v>
      </c>
      <c r="B62" t="s">
        <v>53</v>
      </c>
      <c r="C62" s="1">
        <v>44229</v>
      </c>
      <c r="D62">
        <v>14647.85</v>
      </c>
      <c r="E62" s="1">
        <v>44253</v>
      </c>
      <c r="F62">
        <v>14529.15</v>
      </c>
      <c r="G62" s="2">
        <v>-8.0999999999999996E-3</v>
      </c>
      <c r="H62" s="40">
        <f t="shared" si="18"/>
        <v>24</v>
      </c>
      <c r="I62" s="4">
        <f t="shared" si="19"/>
        <v>1.5E-3</v>
      </c>
      <c r="J62" s="4">
        <f t="shared" si="20"/>
        <v>4.0000000000000001E-3</v>
      </c>
      <c r="K62" s="4">
        <f t="shared" si="21"/>
        <v>-1.3599999999999999E-2</v>
      </c>
      <c r="L62">
        <f t="shared" si="22"/>
        <v>686.98087961673934</v>
      </c>
      <c r="M62">
        <f t="shared" si="23"/>
        <v>692.59086562832886</v>
      </c>
      <c r="N62">
        <f t="shared" si="24"/>
        <v>-5.6099860115895126</v>
      </c>
      <c r="O62" s="39">
        <f t="shared" si="25"/>
        <v>-8.1000000000000707E-3</v>
      </c>
      <c r="Q62">
        <f t="shared" si="26"/>
        <v>439.33608389254209</v>
      </c>
      <c r="R62">
        <f t="shared" si="27"/>
        <v>445.39343460314484</v>
      </c>
      <c r="S62">
        <f t="shared" si="28"/>
        <v>-6.0573507106027478</v>
      </c>
      <c r="T62" s="39">
        <f t="shared" si="29"/>
        <v>-1.3599999999999951E-2</v>
      </c>
      <c r="U62">
        <f t="shared" si="30"/>
        <v>2021</v>
      </c>
      <c r="V62">
        <f t="shared" si="31"/>
        <v>2021</v>
      </c>
    </row>
    <row r="63" spans="1:22" x14ac:dyDescent="0.25">
      <c r="A63" t="s">
        <v>52</v>
      </c>
      <c r="B63" t="s">
        <v>53</v>
      </c>
      <c r="C63" s="1">
        <v>44258</v>
      </c>
      <c r="D63">
        <v>15245.6</v>
      </c>
      <c r="E63" s="1">
        <v>44272</v>
      </c>
      <c r="F63">
        <v>14721.3</v>
      </c>
      <c r="G63" s="2">
        <v>-3.44E-2</v>
      </c>
      <c r="H63" s="40">
        <f t="shared" si="18"/>
        <v>14</v>
      </c>
      <c r="I63" s="4">
        <f t="shared" si="19"/>
        <v>1.5E-3</v>
      </c>
      <c r="J63" s="4">
        <f t="shared" si="20"/>
        <v>2.3333333333333335E-3</v>
      </c>
      <c r="K63" s="4">
        <f t="shared" si="21"/>
        <v>-3.8233333333333334E-2</v>
      </c>
      <c r="L63">
        <f t="shared" si="22"/>
        <v>663.34873735792348</v>
      </c>
      <c r="M63">
        <f t="shared" si="23"/>
        <v>692.59086562832886</v>
      </c>
      <c r="N63">
        <f t="shared" si="24"/>
        <v>-29.242128270405374</v>
      </c>
      <c r="O63" s="39">
        <f t="shared" si="25"/>
        <v>-4.222136000000011E-2</v>
      </c>
      <c r="Q63">
        <f t="shared" si="26"/>
        <v>422.53880095171723</v>
      </c>
      <c r="R63">
        <f t="shared" si="27"/>
        <v>445.39343460314484</v>
      </c>
      <c r="S63">
        <f t="shared" si="28"/>
        <v>-22.854633651427605</v>
      </c>
      <c r="T63" s="39">
        <f t="shared" si="29"/>
        <v>-5.1313359999999947E-2</v>
      </c>
      <c r="U63">
        <f t="shared" si="30"/>
        <v>2021</v>
      </c>
      <c r="V63">
        <f t="shared" si="31"/>
        <v>2021</v>
      </c>
    </row>
    <row r="64" spans="1:22" x14ac:dyDescent="0.25">
      <c r="A64" t="s">
        <v>52</v>
      </c>
      <c r="B64" t="s">
        <v>53</v>
      </c>
      <c r="C64" s="1">
        <v>44314</v>
      </c>
      <c r="D64">
        <v>14864.55</v>
      </c>
      <c r="E64" s="1">
        <v>44320</v>
      </c>
      <c r="F64">
        <v>14496.5</v>
      </c>
      <c r="G64" s="2">
        <v>-2.4799999999999999E-2</v>
      </c>
      <c r="H64" s="40">
        <f t="shared" si="18"/>
        <v>6</v>
      </c>
      <c r="I64" s="4">
        <f t="shared" si="19"/>
        <v>1.5E-3</v>
      </c>
      <c r="J64" s="4">
        <f t="shared" si="20"/>
        <v>1E-3</v>
      </c>
      <c r="K64" s="4">
        <f t="shared" si="21"/>
        <v>-2.7299999999999998E-2</v>
      </c>
      <c r="L64">
        <f t="shared" si="22"/>
        <v>646.89768867144699</v>
      </c>
      <c r="M64">
        <f t="shared" si="23"/>
        <v>692.59086562832886</v>
      </c>
      <c r="N64">
        <f t="shared" si="24"/>
        <v>-45.693176956881871</v>
      </c>
      <c r="O64" s="39">
        <f t="shared" si="25"/>
        <v>-6.5974270272000105E-2</v>
      </c>
      <c r="Q64">
        <f t="shared" si="26"/>
        <v>411.00349168573536</v>
      </c>
      <c r="R64">
        <f t="shared" si="27"/>
        <v>445.39343460314484</v>
      </c>
      <c r="S64">
        <f t="shared" si="28"/>
        <v>-34.389942917409485</v>
      </c>
      <c r="T64" s="39">
        <f t="shared" si="29"/>
        <v>-7.7212505271999951E-2</v>
      </c>
      <c r="U64">
        <f t="shared" si="30"/>
        <v>2021</v>
      </c>
      <c r="V64">
        <f t="shared" si="31"/>
        <v>2021</v>
      </c>
    </row>
    <row r="65" spans="1:22" x14ac:dyDescent="0.25">
      <c r="A65" t="s">
        <v>52</v>
      </c>
      <c r="B65" t="s">
        <v>53</v>
      </c>
      <c r="C65" s="1">
        <v>44334</v>
      </c>
      <c r="D65">
        <v>15108.1</v>
      </c>
      <c r="E65" s="1">
        <v>44498</v>
      </c>
      <c r="F65">
        <v>17671.650000000001</v>
      </c>
      <c r="G65" s="2">
        <v>0.16969999999999999</v>
      </c>
      <c r="H65" s="40">
        <f t="shared" si="18"/>
        <v>164</v>
      </c>
      <c r="I65" s="4">
        <f t="shared" si="19"/>
        <v>1.5E-3</v>
      </c>
      <c r="J65" s="4">
        <f t="shared" si="20"/>
        <v>2.7333333333333334E-2</v>
      </c>
      <c r="K65" s="4">
        <f t="shared" si="21"/>
        <v>0.14086666666666664</v>
      </c>
      <c r="L65">
        <f t="shared" si="22"/>
        <v>756.67622643899153</v>
      </c>
      <c r="M65">
        <f t="shared" si="23"/>
        <v>756.67622643899153</v>
      </c>
      <c r="N65" t="str">
        <f t="shared" si="24"/>
        <v/>
      </c>
      <c r="O65" s="39">
        <f t="shared" si="25"/>
        <v>0</v>
      </c>
      <c r="Q65">
        <f t="shared" si="26"/>
        <v>468.90018354786594</v>
      </c>
      <c r="R65">
        <f t="shared" si="27"/>
        <v>468.90018354786594</v>
      </c>
      <c r="S65" t="str">
        <f t="shared" si="28"/>
        <v/>
      </c>
      <c r="T65" s="39">
        <f t="shared" si="29"/>
        <v>0</v>
      </c>
      <c r="U65">
        <f t="shared" si="30"/>
        <v>2021</v>
      </c>
      <c r="V65">
        <f t="shared" si="31"/>
        <v>2021</v>
      </c>
    </row>
    <row r="66" spans="1:22" x14ac:dyDescent="0.25">
      <c r="A66" t="s">
        <v>52</v>
      </c>
      <c r="B66" t="s">
        <v>53</v>
      </c>
      <c r="C66" s="1">
        <v>44736</v>
      </c>
      <c r="D66">
        <v>15699.25</v>
      </c>
      <c r="E66" s="1">
        <v>44802</v>
      </c>
      <c r="F66">
        <v>17312.900000000001</v>
      </c>
      <c r="G66" s="2">
        <v>0.1028</v>
      </c>
      <c r="H66" s="40">
        <f t="shared" si="18"/>
        <v>66</v>
      </c>
      <c r="I66" s="4">
        <f t="shared" si="19"/>
        <v>1.5E-3</v>
      </c>
      <c r="J66" s="4">
        <f t="shared" si="20"/>
        <v>1.1000000000000001E-2</v>
      </c>
      <c r="K66" s="4">
        <f t="shared" si="21"/>
        <v>9.0300000000000005E-2</v>
      </c>
      <c r="L66">
        <f t="shared" si="22"/>
        <v>834.46254251691983</v>
      </c>
      <c r="M66">
        <f t="shared" si="23"/>
        <v>834.46254251691983</v>
      </c>
      <c r="N66" t="str">
        <f t="shared" si="24"/>
        <v/>
      </c>
      <c r="O66" s="39">
        <f t="shared" si="25"/>
        <v>0</v>
      </c>
      <c r="Q66">
        <f t="shared" si="26"/>
        <v>511.24187012223825</v>
      </c>
      <c r="R66">
        <f t="shared" si="27"/>
        <v>511.24187012223825</v>
      </c>
      <c r="S66" t="str">
        <f t="shared" si="28"/>
        <v/>
      </c>
      <c r="T66" s="39">
        <f t="shared" si="29"/>
        <v>0</v>
      </c>
      <c r="U66">
        <f t="shared" si="30"/>
        <v>2022</v>
      </c>
      <c r="V66">
        <f t="shared" si="31"/>
        <v>2022</v>
      </c>
    </row>
    <row r="67" spans="1:22" x14ac:dyDescent="0.25">
      <c r="A67" t="s">
        <v>52</v>
      </c>
      <c r="B67" t="s">
        <v>53</v>
      </c>
      <c r="C67" s="1">
        <v>44803</v>
      </c>
      <c r="D67">
        <v>17759.3</v>
      </c>
      <c r="E67" s="1">
        <v>44820</v>
      </c>
      <c r="F67">
        <v>17530.849999999999</v>
      </c>
      <c r="G67" s="2">
        <v>-1.29E-2</v>
      </c>
      <c r="H67" s="40">
        <f t="shared" si="18"/>
        <v>17</v>
      </c>
      <c r="I67" s="4">
        <f t="shared" si="19"/>
        <v>1.5E-3</v>
      </c>
      <c r="J67" s="4">
        <f t="shared" si="20"/>
        <v>2.8333333333333331E-3</v>
      </c>
      <c r="K67" s="4">
        <f t="shared" si="21"/>
        <v>-1.7233333333333333E-2</v>
      </c>
      <c r="L67">
        <f t="shared" si="22"/>
        <v>823.69797571845152</v>
      </c>
      <c r="M67">
        <f t="shared" si="23"/>
        <v>834.46254251691983</v>
      </c>
      <c r="N67">
        <f t="shared" si="24"/>
        <v>-10.764566798468309</v>
      </c>
      <c r="O67" s="39">
        <f t="shared" si="25"/>
        <v>-1.2900000000000052E-2</v>
      </c>
      <c r="Q67">
        <f t="shared" si="26"/>
        <v>502.43146856046502</v>
      </c>
      <c r="R67">
        <f t="shared" si="27"/>
        <v>511.24187012223825</v>
      </c>
      <c r="S67">
        <f t="shared" si="28"/>
        <v>-8.810401561773233</v>
      </c>
      <c r="T67" s="39">
        <f t="shared" si="29"/>
        <v>-1.7233333333333323E-2</v>
      </c>
      <c r="U67">
        <f t="shared" si="30"/>
        <v>2022</v>
      </c>
      <c r="V67">
        <f t="shared" si="31"/>
        <v>2022</v>
      </c>
    </row>
    <row r="68" spans="1:22" x14ac:dyDescent="0.25">
      <c r="A68" t="s">
        <v>52</v>
      </c>
      <c r="B68" t="s">
        <v>53</v>
      </c>
      <c r="C68" s="1">
        <v>44852</v>
      </c>
      <c r="D68">
        <v>17486.95</v>
      </c>
      <c r="E68" s="1">
        <v>44917</v>
      </c>
      <c r="F68">
        <v>18127.349999999999</v>
      </c>
      <c r="G68" s="2">
        <v>3.6600000000000001E-2</v>
      </c>
      <c r="H68" s="40">
        <f t="shared" si="18"/>
        <v>65</v>
      </c>
      <c r="I68" s="4">
        <f t="shared" si="19"/>
        <v>1.5E-3</v>
      </c>
      <c r="J68" s="4">
        <f t="shared" si="20"/>
        <v>1.0833333333333332E-2</v>
      </c>
      <c r="K68" s="4">
        <f t="shared" si="21"/>
        <v>2.4266666666666669E-2</v>
      </c>
      <c r="L68">
        <f t="shared" si="22"/>
        <v>853.84532162974676</v>
      </c>
      <c r="M68">
        <f t="shared" si="23"/>
        <v>853.84532162974676</v>
      </c>
      <c r="N68" t="str">
        <f t="shared" si="24"/>
        <v/>
      </c>
      <c r="O68" s="39">
        <f t="shared" si="25"/>
        <v>0</v>
      </c>
      <c r="Q68">
        <f t="shared" si="26"/>
        <v>514.62380553086564</v>
      </c>
      <c r="R68">
        <f t="shared" si="27"/>
        <v>514.62380553086564</v>
      </c>
      <c r="S68" t="str">
        <f t="shared" si="28"/>
        <v/>
      </c>
      <c r="T68" s="39">
        <f t="shared" si="29"/>
        <v>0</v>
      </c>
      <c r="U68">
        <f t="shared" si="30"/>
        <v>2022</v>
      </c>
      <c r="V68">
        <f t="shared" si="31"/>
        <v>2022</v>
      </c>
    </row>
    <row r="69" spans="1:22" x14ac:dyDescent="0.25">
      <c r="A69" t="s">
        <v>52</v>
      </c>
      <c r="B69" t="s">
        <v>53</v>
      </c>
      <c r="C69" s="1">
        <v>44979</v>
      </c>
      <c r="D69">
        <v>17554.3</v>
      </c>
      <c r="E69" s="1">
        <v>44998</v>
      </c>
      <c r="F69">
        <v>17154.3</v>
      </c>
      <c r="G69" s="2">
        <v>-2.2800000000000001E-2</v>
      </c>
      <c r="H69" s="40">
        <f t="shared" si="18"/>
        <v>19</v>
      </c>
      <c r="I69" s="4">
        <f t="shared" si="19"/>
        <v>1.5E-3</v>
      </c>
      <c r="J69" s="4">
        <f t="shared" si="20"/>
        <v>3.1666666666666666E-3</v>
      </c>
      <c r="K69" s="4">
        <f t="shared" si="21"/>
        <v>-2.7466666666666667E-2</v>
      </c>
      <c r="L69">
        <f t="shared" si="22"/>
        <v>834.37764829658852</v>
      </c>
      <c r="M69">
        <f t="shared" si="23"/>
        <v>853.84532162974676</v>
      </c>
      <c r="N69">
        <f t="shared" si="24"/>
        <v>-19.467673333158245</v>
      </c>
      <c r="O69" s="39">
        <f t="shared" si="25"/>
        <v>-2.2800000000000022E-2</v>
      </c>
      <c r="Q69">
        <f t="shared" si="26"/>
        <v>500.48880500561785</v>
      </c>
      <c r="R69">
        <f t="shared" si="27"/>
        <v>514.62380553086564</v>
      </c>
      <c r="S69">
        <f t="shared" si="28"/>
        <v>-14.13500052524779</v>
      </c>
      <c r="T69" s="39">
        <f t="shared" si="29"/>
        <v>-2.7466666666666695E-2</v>
      </c>
      <c r="U69">
        <f t="shared" si="30"/>
        <v>2023</v>
      </c>
      <c r="V69">
        <f t="shared" si="31"/>
        <v>2023</v>
      </c>
    </row>
    <row r="70" spans="1:22" x14ac:dyDescent="0.25">
      <c r="A70" t="s">
        <v>52</v>
      </c>
      <c r="B70" t="s">
        <v>53</v>
      </c>
      <c r="C70" s="1">
        <v>45016</v>
      </c>
      <c r="D70">
        <v>17359.75</v>
      </c>
      <c r="E70" s="1">
        <v>45197</v>
      </c>
      <c r="F70">
        <v>19523.55</v>
      </c>
      <c r="G70" s="2">
        <v>0.1246</v>
      </c>
      <c r="H70" s="40">
        <f t="shared" si="18"/>
        <v>181</v>
      </c>
      <c r="I70" s="4">
        <f t="shared" si="19"/>
        <v>1.5E-3</v>
      </c>
      <c r="J70" s="4">
        <f t="shared" si="20"/>
        <v>3.0166666666666668E-2</v>
      </c>
      <c r="K70" s="4">
        <f t="shared" si="21"/>
        <v>9.293333333333334E-2</v>
      </c>
      <c r="L70">
        <f t="shared" si="22"/>
        <v>938.34110327434348</v>
      </c>
      <c r="M70">
        <f t="shared" si="23"/>
        <v>938.34110327434348</v>
      </c>
      <c r="N70" t="str">
        <f t="shared" si="24"/>
        <v/>
      </c>
      <c r="O70" s="39">
        <f t="shared" si="25"/>
        <v>0</v>
      </c>
      <c r="Q70">
        <f t="shared" si="26"/>
        <v>547.00089795080657</v>
      </c>
      <c r="R70">
        <f t="shared" si="27"/>
        <v>547.00089795080657</v>
      </c>
      <c r="S70" t="str">
        <f t="shared" si="28"/>
        <v/>
      </c>
      <c r="T70" s="39">
        <f t="shared" si="29"/>
        <v>0</v>
      </c>
      <c r="U70">
        <f t="shared" si="30"/>
        <v>2023</v>
      </c>
      <c r="V70">
        <f t="shared" si="31"/>
        <v>2023</v>
      </c>
    </row>
    <row r="71" spans="1:22" x14ac:dyDescent="0.25">
      <c r="A71" t="s">
        <v>52</v>
      </c>
      <c r="B71" t="s">
        <v>53</v>
      </c>
      <c r="C71" s="1">
        <v>45210</v>
      </c>
      <c r="D71">
        <v>19811.349999999999</v>
      </c>
      <c r="E71" s="1">
        <v>45219</v>
      </c>
      <c r="F71">
        <v>19542.650000000001</v>
      </c>
      <c r="G71" s="2">
        <v>-1.3599999999999999E-2</v>
      </c>
      <c r="H71" s="40">
        <f t="shared" si="18"/>
        <v>9</v>
      </c>
      <c r="I71" s="4">
        <f t="shared" si="19"/>
        <v>1.5E-3</v>
      </c>
      <c r="J71" s="4">
        <f t="shared" si="20"/>
        <v>1.5E-3</v>
      </c>
      <c r="K71" s="4">
        <f t="shared" si="21"/>
        <v>-1.66E-2</v>
      </c>
      <c r="L71">
        <f t="shared" si="22"/>
        <v>925.5796642698125</v>
      </c>
      <c r="M71">
        <f t="shared" si="23"/>
        <v>938.34110327434348</v>
      </c>
      <c r="N71">
        <f t="shared" si="24"/>
        <v>-12.761439004530985</v>
      </c>
      <c r="O71" s="39">
        <f t="shared" si="25"/>
        <v>-1.3599999999999907E-2</v>
      </c>
      <c r="Q71">
        <f t="shared" si="26"/>
        <v>537.92068304482325</v>
      </c>
      <c r="R71">
        <f t="shared" si="27"/>
        <v>547.00089795080657</v>
      </c>
      <c r="S71">
        <f t="shared" si="28"/>
        <v>-9.0802149059833255</v>
      </c>
      <c r="T71" s="39">
        <f t="shared" si="29"/>
        <v>-1.6599999999999882E-2</v>
      </c>
      <c r="U71">
        <f t="shared" si="30"/>
        <v>2023</v>
      </c>
      <c r="V71">
        <f t="shared" si="31"/>
        <v>2023</v>
      </c>
    </row>
    <row r="72" spans="1:22" x14ac:dyDescent="0.25">
      <c r="A72" t="s">
        <v>52</v>
      </c>
      <c r="B72" t="s">
        <v>53</v>
      </c>
      <c r="C72" s="1">
        <v>45236</v>
      </c>
      <c r="D72">
        <v>19411.75</v>
      </c>
      <c r="E72" s="1">
        <v>45314</v>
      </c>
      <c r="F72">
        <v>21238.799999999999</v>
      </c>
      <c r="G72" s="2">
        <v>9.4100000000000003E-2</v>
      </c>
      <c r="H72" s="40">
        <f t="shared" si="18"/>
        <v>78</v>
      </c>
      <c r="I72" s="4">
        <f t="shared" si="19"/>
        <v>1.5E-3</v>
      </c>
      <c r="J72" s="4">
        <f t="shared" si="20"/>
        <v>1.3000000000000001E-2</v>
      </c>
      <c r="K72" s="4">
        <f t="shared" si="21"/>
        <v>7.9600000000000004E-2</v>
      </c>
      <c r="L72">
        <f t="shared" si="22"/>
        <v>1012.6767106776019</v>
      </c>
      <c r="M72">
        <f t="shared" si="23"/>
        <v>1012.6767106776019</v>
      </c>
      <c r="N72" t="str">
        <f t="shared" si="24"/>
        <v/>
      </c>
      <c r="O72" s="39">
        <f t="shared" si="25"/>
        <v>0</v>
      </c>
      <c r="Q72">
        <f t="shared" si="26"/>
        <v>580.73916941519121</v>
      </c>
      <c r="R72">
        <f t="shared" si="27"/>
        <v>580.73916941519121</v>
      </c>
      <c r="S72" t="str">
        <f t="shared" si="28"/>
        <v/>
      </c>
      <c r="T72" s="39">
        <f t="shared" si="29"/>
        <v>0</v>
      </c>
      <c r="U72">
        <f t="shared" si="30"/>
        <v>2024</v>
      </c>
      <c r="V72">
        <f t="shared" si="31"/>
        <v>2023</v>
      </c>
    </row>
    <row r="73" spans="1:22" x14ac:dyDescent="0.25">
      <c r="A73" t="s">
        <v>52</v>
      </c>
      <c r="B73" t="s">
        <v>53</v>
      </c>
      <c r="C73" s="1">
        <v>45338</v>
      </c>
      <c r="D73">
        <v>22040.7</v>
      </c>
      <c r="E73" s="1">
        <v>45364</v>
      </c>
      <c r="F73">
        <v>21997.7</v>
      </c>
      <c r="G73" s="2">
        <v>-2E-3</v>
      </c>
      <c r="H73" s="40">
        <f t="shared" si="18"/>
        <v>26</v>
      </c>
      <c r="I73" s="4">
        <f t="shared" si="19"/>
        <v>1.5E-3</v>
      </c>
      <c r="J73" s="4">
        <f t="shared" si="20"/>
        <v>4.333333333333334E-3</v>
      </c>
      <c r="K73" s="4">
        <f t="shared" si="21"/>
        <v>-7.8333333333333345E-3</v>
      </c>
      <c r="L73">
        <f t="shared" si="22"/>
        <v>1010.6513572562467</v>
      </c>
      <c r="M73">
        <f t="shared" si="23"/>
        <v>1012.6767106776019</v>
      </c>
      <c r="N73">
        <f t="shared" si="24"/>
        <v>-2.0253534213552484</v>
      </c>
      <c r="O73" s="39">
        <f t="shared" si="25"/>
        <v>-2.0000000000000438E-3</v>
      </c>
      <c r="Q73">
        <f t="shared" si="26"/>
        <v>576.19004592143892</v>
      </c>
      <c r="R73">
        <f t="shared" si="27"/>
        <v>580.73916941519121</v>
      </c>
      <c r="S73">
        <f t="shared" si="28"/>
        <v>-4.5491234937522904</v>
      </c>
      <c r="T73" s="39">
        <f t="shared" si="29"/>
        <v>-7.8333333333332634E-3</v>
      </c>
      <c r="U73">
        <f t="shared" si="30"/>
        <v>2024</v>
      </c>
      <c r="V73">
        <f t="shared" si="31"/>
        <v>2024</v>
      </c>
    </row>
    <row r="74" spans="1:22" x14ac:dyDescent="0.25">
      <c r="A74" t="s">
        <v>52</v>
      </c>
      <c r="B74" t="s">
        <v>53</v>
      </c>
      <c r="C74" s="1">
        <v>45379</v>
      </c>
      <c r="D74">
        <v>22326.9</v>
      </c>
      <c r="E74" s="1">
        <v>45400</v>
      </c>
      <c r="F74">
        <v>21995.85</v>
      </c>
      <c r="G74" s="2">
        <v>-1.4800000000000001E-2</v>
      </c>
      <c r="H74" s="40">
        <f t="shared" si="18"/>
        <v>21</v>
      </c>
      <c r="I74" s="4">
        <f t="shared" si="19"/>
        <v>1.5E-3</v>
      </c>
      <c r="J74" s="4">
        <f t="shared" si="20"/>
        <v>3.4999999999999996E-3</v>
      </c>
      <c r="K74" s="4">
        <f t="shared" si="21"/>
        <v>-1.9799999999999998E-2</v>
      </c>
      <c r="L74">
        <f t="shared" si="22"/>
        <v>995.69371716885416</v>
      </c>
      <c r="M74">
        <f t="shared" si="23"/>
        <v>1012.6767106776019</v>
      </c>
      <c r="N74">
        <f t="shared" si="24"/>
        <v>-16.982993508747768</v>
      </c>
      <c r="O74" s="39">
        <f t="shared" si="25"/>
        <v>-1.6770400000000112E-2</v>
      </c>
      <c r="Q74">
        <f t="shared" si="26"/>
        <v>564.78148301219437</v>
      </c>
      <c r="R74">
        <f t="shared" si="27"/>
        <v>580.73916941519121</v>
      </c>
      <c r="S74">
        <f t="shared" si="28"/>
        <v>-15.957686402996842</v>
      </c>
      <c r="T74" s="39">
        <f t="shared" si="29"/>
        <v>-2.7478233333333369E-2</v>
      </c>
      <c r="U74">
        <f t="shared" si="30"/>
        <v>2024</v>
      </c>
      <c r="V74">
        <f t="shared" si="31"/>
        <v>2024</v>
      </c>
    </row>
    <row r="75" spans="1:22" x14ac:dyDescent="0.25">
      <c r="A75" t="s">
        <v>52</v>
      </c>
      <c r="B75" t="s">
        <v>53</v>
      </c>
      <c r="C75" s="1">
        <v>45407</v>
      </c>
      <c r="D75">
        <v>22570.35</v>
      </c>
      <c r="E75" s="1">
        <v>45421</v>
      </c>
      <c r="F75">
        <v>21957.5</v>
      </c>
      <c r="G75" s="2">
        <v>-2.7199999999999998E-2</v>
      </c>
      <c r="H75" s="40">
        <f t="shared" si="18"/>
        <v>14</v>
      </c>
      <c r="I75" s="4">
        <f t="shared" si="19"/>
        <v>1.5E-3</v>
      </c>
      <c r="J75" s="4">
        <f t="shared" si="20"/>
        <v>2.3333333333333335E-3</v>
      </c>
      <c r="K75" s="4">
        <f t="shared" si="21"/>
        <v>-3.1033333333333333E-2</v>
      </c>
      <c r="L75">
        <f t="shared" si="22"/>
        <v>968.61084806186136</v>
      </c>
      <c r="M75">
        <f t="shared" si="23"/>
        <v>1012.6767106776019</v>
      </c>
      <c r="N75">
        <f t="shared" si="24"/>
        <v>-44.065862615740571</v>
      </c>
      <c r="O75" s="39">
        <f t="shared" si="25"/>
        <v>-4.3514245120000079E-2</v>
      </c>
      <c r="Q75">
        <f t="shared" si="26"/>
        <v>547.25443098938263</v>
      </c>
      <c r="R75">
        <f t="shared" si="27"/>
        <v>580.73916941519121</v>
      </c>
      <c r="S75">
        <f t="shared" si="28"/>
        <v>-33.484738425808587</v>
      </c>
      <c r="T75" s="39">
        <f t="shared" si="29"/>
        <v>-5.7658825492222225E-2</v>
      </c>
      <c r="U75">
        <f t="shared" si="30"/>
        <v>2024</v>
      </c>
      <c r="V75">
        <f t="shared" si="31"/>
        <v>2024</v>
      </c>
    </row>
    <row r="76" spans="1:22" x14ac:dyDescent="0.25">
      <c r="A76" t="s">
        <v>52</v>
      </c>
      <c r="B76" t="s">
        <v>53</v>
      </c>
      <c r="C76" s="1">
        <v>45433</v>
      </c>
      <c r="D76">
        <v>22529.05</v>
      </c>
      <c r="E76" s="1">
        <v>45442</v>
      </c>
      <c r="F76">
        <v>22488.65</v>
      </c>
      <c r="G76" s="2">
        <v>-1.8E-3</v>
      </c>
      <c r="H76" s="40">
        <f t="shared" si="18"/>
        <v>9</v>
      </c>
      <c r="I76" s="4">
        <f t="shared" si="19"/>
        <v>1.5E-3</v>
      </c>
      <c r="J76" s="4">
        <f t="shared" si="20"/>
        <v>1.5E-3</v>
      </c>
      <c r="K76" s="4">
        <f t="shared" si="21"/>
        <v>-4.8000000000000004E-3</v>
      </c>
      <c r="L76">
        <f t="shared" si="22"/>
        <v>966.86734853534995</v>
      </c>
      <c r="M76">
        <f t="shared" si="23"/>
        <v>1012.6767106776019</v>
      </c>
      <c r="N76">
        <f t="shared" si="24"/>
        <v>-45.809362142251985</v>
      </c>
      <c r="O76" s="39">
        <f t="shared" si="25"/>
        <v>-4.5235919478784144E-2</v>
      </c>
      <c r="Q76">
        <f t="shared" si="26"/>
        <v>544.62760972063359</v>
      </c>
      <c r="R76">
        <f t="shared" si="27"/>
        <v>580.73916941519121</v>
      </c>
      <c r="S76">
        <f t="shared" si="28"/>
        <v>-36.111559694557627</v>
      </c>
      <c r="T76" s="39">
        <f t="shared" si="29"/>
        <v>-6.2182063129859563E-2</v>
      </c>
      <c r="U76">
        <f t="shared" si="30"/>
        <v>2024</v>
      </c>
      <c r="V76">
        <f t="shared" si="31"/>
        <v>2024</v>
      </c>
    </row>
    <row r="77" spans="1:22" x14ac:dyDescent="0.25">
      <c r="A77" t="s">
        <v>52</v>
      </c>
      <c r="B77" t="s">
        <v>53</v>
      </c>
      <c r="C77" s="1">
        <v>45446</v>
      </c>
      <c r="D77">
        <v>23263.9</v>
      </c>
      <c r="E77" s="1">
        <v>45447</v>
      </c>
      <c r="F77">
        <v>21884.5</v>
      </c>
      <c r="G77" s="2">
        <v>-5.9299999999999999E-2</v>
      </c>
      <c r="H77" s="40">
        <f t="shared" si="18"/>
        <v>1</v>
      </c>
      <c r="I77" s="4">
        <f t="shared" si="19"/>
        <v>1.5E-3</v>
      </c>
      <c r="J77" s="4">
        <f t="shared" si="20"/>
        <v>1.6666666666666666E-4</v>
      </c>
      <c r="K77" s="4">
        <f t="shared" si="21"/>
        <v>-6.0966666666666662E-2</v>
      </c>
      <c r="L77">
        <f t="shared" si="22"/>
        <v>909.53211476720367</v>
      </c>
      <c r="M77">
        <f t="shared" si="23"/>
        <v>1012.6767106776019</v>
      </c>
      <c r="N77">
        <f t="shared" si="24"/>
        <v>-103.14459591039827</v>
      </c>
      <c r="O77" s="39">
        <f t="shared" si="25"/>
        <v>-0.10185342945369227</v>
      </c>
      <c r="Q77">
        <f t="shared" si="26"/>
        <v>511.42347978133233</v>
      </c>
      <c r="R77">
        <f t="shared" si="27"/>
        <v>580.73916941519121</v>
      </c>
      <c r="S77">
        <f t="shared" si="28"/>
        <v>-69.315689633858881</v>
      </c>
      <c r="T77" s="39">
        <f t="shared" si="29"/>
        <v>-0.11935769668104239</v>
      </c>
      <c r="U77">
        <f t="shared" si="30"/>
        <v>2024</v>
      </c>
      <c r="V77">
        <f t="shared" si="31"/>
        <v>2024</v>
      </c>
    </row>
    <row r="78" spans="1:22" x14ac:dyDescent="0.25">
      <c r="A78" t="s">
        <v>52</v>
      </c>
      <c r="B78" t="s">
        <v>53</v>
      </c>
      <c r="C78" s="1">
        <v>45468</v>
      </c>
      <c r="D78">
        <v>23721.3</v>
      </c>
      <c r="E78" s="1">
        <v>45509</v>
      </c>
      <c r="F78">
        <v>24055.599999999999</v>
      </c>
      <c r="G78" s="2">
        <v>1.41E-2</v>
      </c>
      <c r="H78" s="40">
        <f t="shared" si="18"/>
        <v>41</v>
      </c>
      <c r="I78" s="4">
        <f t="shared" si="19"/>
        <v>1.5E-3</v>
      </c>
      <c r="J78" s="4">
        <f t="shared" si="20"/>
        <v>6.8333333333333336E-3</v>
      </c>
      <c r="K78" s="4">
        <f t="shared" si="21"/>
        <v>5.7666666666666665E-3</v>
      </c>
      <c r="L78">
        <f t="shared" si="22"/>
        <v>922.35651758542122</v>
      </c>
      <c r="M78">
        <f t="shared" si="23"/>
        <v>1012.6767106776019</v>
      </c>
      <c r="N78">
        <f t="shared" si="24"/>
        <v>-90.320193092180716</v>
      </c>
      <c r="O78" s="39">
        <f t="shared" si="25"/>
        <v>-8.9189562808989348E-2</v>
      </c>
      <c r="Q78">
        <f t="shared" si="26"/>
        <v>514.372688514738</v>
      </c>
      <c r="R78">
        <f t="shared" si="27"/>
        <v>580.73916941519121</v>
      </c>
      <c r="S78">
        <f t="shared" si="28"/>
        <v>-66.366480900453212</v>
      </c>
      <c r="T78" s="39">
        <f t="shared" si="29"/>
        <v>-0.11427932606523643</v>
      </c>
      <c r="U78">
        <f t="shared" si="30"/>
        <v>2024</v>
      </c>
      <c r="V78">
        <f t="shared" si="31"/>
        <v>2024</v>
      </c>
    </row>
    <row r="79" spans="1:22" x14ac:dyDescent="0.25">
      <c r="A79" t="s">
        <v>52</v>
      </c>
      <c r="B79" t="s">
        <v>53</v>
      </c>
      <c r="C79" s="1">
        <v>45524</v>
      </c>
      <c r="D79">
        <v>24698.85</v>
      </c>
      <c r="E79" s="1">
        <v>45568</v>
      </c>
      <c r="F79">
        <v>25250.1</v>
      </c>
      <c r="G79" s="2">
        <v>2.23E-2</v>
      </c>
      <c r="H79" s="40">
        <f t="shared" si="18"/>
        <v>44</v>
      </c>
      <c r="I79" s="4">
        <f t="shared" si="19"/>
        <v>1.5E-3</v>
      </c>
      <c r="J79" s="4">
        <f t="shared" si="20"/>
        <v>7.3333333333333332E-3</v>
      </c>
      <c r="K79" s="4">
        <f t="shared" si="21"/>
        <v>1.3466666666666667E-2</v>
      </c>
      <c r="L79">
        <f t="shared" si="22"/>
        <v>942.92506792757615</v>
      </c>
      <c r="M79">
        <f t="shared" si="23"/>
        <v>1012.6767106776019</v>
      </c>
      <c r="N79">
        <f t="shared" si="24"/>
        <v>-69.751642750025781</v>
      </c>
      <c r="O79" s="39">
        <f t="shared" si="25"/>
        <v>-6.8878490059629774E-2</v>
      </c>
      <c r="Q79">
        <f t="shared" si="26"/>
        <v>521.29957405340315</v>
      </c>
      <c r="R79">
        <f t="shared" si="27"/>
        <v>580.73916941519121</v>
      </c>
      <c r="S79">
        <f t="shared" si="28"/>
        <v>-59.439595361788065</v>
      </c>
      <c r="T79" s="39">
        <f t="shared" si="29"/>
        <v>-0.10235162098958159</v>
      </c>
      <c r="U79">
        <f t="shared" si="30"/>
        <v>2024</v>
      </c>
      <c r="V79">
        <f t="shared" si="31"/>
        <v>2024</v>
      </c>
    </row>
    <row r="80" spans="1:22" x14ac:dyDescent="0.25">
      <c r="A80" t="s">
        <v>52</v>
      </c>
      <c r="B80" t="s">
        <v>53</v>
      </c>
      <c r="C80" s="1">
        <v>45709</v>
      </c>
      <c r="D80">
        <v>22795.9</v>
      </c>
      <c r="E80" s="1">
        <v>45716</v>
      </c>
      <c r="F80">
        <v>22124.7</v>
      </c>
      <c r="G80" s="2">
        <v>-2.9399999999999999E-2</v>
      </c>
      <c r="H80" s="40">
        <f t="shared" si="18"/>
        <v>7</v>
      </c>
      <c r="I80" s="4">
        <f t="shared" si="19"/>
        <v>1.5E-3</v>
      </c>
      <c r="J80" s="4">
        <f t="shared" si="20"/>
        <v>1.1666666666666668E-3</v>
      </c>
      <c r="K80" s="4">
        <f t="shared" si="21"/>
        <v>-3.2066666666666667E-2</v>
      </c>
      <c r="L80">
        <f t="shared" si="22"/>
        <v>915.20307093050542</v>
      </c>
      <c r="M80">
        <f t="shared" si="23"/>
        <v>1012.6767106776019</v>
      </c>
      <c r="N80">
        <f t="shared" si="24"/>
        <v>-97.473639747096513</v>
      </c>
      <c r="O80" s="39">
        <f t="shared" si="25"/>
        <v>-9.6253462451876645E-2</v>
      </c>
      <c r="Q80">
        <f t="shared" si="26"/>
        <v>504.58323437875737</v>
      </c>
      <c r="R80">
        <f t="shared" si="27"/>
        <v>580.73916941519121</v>
      </c>
      <c r="S80">
        <f t="shared" si="28"/>
        <v>-76.155935036433846</v>
      </c>
      <c r="T80" s="39">
        <f t="shared" si="29"/>
        <v>-0.13113621234318232</v>
      </c>
      <c r="U80">
        <f t="shared" si="30"/>
        <v>2025</v>
      </c>
      <c r="V80">
        <f t="shared" si="31"/>
        <v>2025</v>
      </c>
    </row>
    <row r="81" spans="1:22" x14ac:dyDescent="0.25">
      <c r="A81" t="s">
        <v>52</v>
      </c>
      <c r="B81" t="s">
        <v>53</v>
      </c>
      <c r="C81" s="1">
        <v>45722</v>
      </c>
      <c r="D81">
        <v>22544.7</v>
      </c>
      <c r="E81" s="1">
        <v>45754</v>
      </c>
      <c r="F81">
        <v>22161.599999999999</v>
      </c>
      <c r="G81" s="2">
        <v>-1.7000000000000001E-2</v>
      </c>
      <c r="H81" s="40">
        <f t="shared" si="18"/>
        <v>32</v>
      </c>
      <c r="I81" s="4">
        <f t="shared" si="19"/>
        <v>1.5E-3</v>
      </c>
      <c r="J81" s="4">
        <f t="shared" si="20"/>
        <v>5.3333333333333332E-3</v>
      </c>
      <c r="K81" s="4">
        <f t="shared" si="21"/>
        <v>-2.3833333333333335E-2</v>
      </c>
      <c r="L81">
        <f t="shared" si="22"/>
        <v>899.64461872468678</v>
      </c>
      <c r="M81">
        <f t="shared" si="23"/>
        <v>1012.6767106776019</v>
      </c>
      <c r="N81">
        <f t="shared" si="24"/>
        <v>-113.03209195291515</v>
      </c>
      <c r="O81" s="39">
        <f t="shared" si="25"/>
        <v>-0.11161715359019479</v>
      </c>
      <c r="Q81">
        <f t="shared" si="26"/>
        <v>492.55733395939694</v>
      </c>
      <c r="R81">
        <f t="shared" si="27"/>
        <v>580.73916941519121</v>
      </c>
      <c r="S81">
        <f t="shared" si="28"/>
        <v>-88.181835455794271</v>
      </c>
      <c r="T81" s="39">
        <f t="shared" si="29"/>
        <v>-0.15184413261566987</v>
      </c>
      <c r="U81">
        <f t="shared" si="30"/>
        <v>2025</v>
      </c>
      <c r="V81">
        <f t="shared" si="31"/>
        <v>2025</v>
      </c>
    </row>
    <row r="82" spans="1:22" x14ac:dyDescent="0.25">
      <c r="A82" t="s">
        <v>52</v>
      </c>
      <c r="B82" t="s">
        <v>53</v>
      </c>
      <c r="C82" s="1">
        <v>45762</v>
      </c>
      <c r="D82">
        <v>23328.55</v>
      </c>
      <c r="E82" s="1">
        <v>45863</v>
      </c>
      <c r="F82">
        <v>24837</v>
      </c>
      <c r="G82" s="2">
        <v>6.4699999999999994E-2</v>
      </c>
      <c r="H82" s="40">
        <f t="shared" si="18"/>
        <v>101</v>
      </c>
      <c r="I82" s="4">
        <f t="shared" si="19"/>
        <v>1.5E-3</v>
      </c>
      <c r="J82" s="4">
        <f t="shared" si="20"/>
        <v>1.6833333333333336E-2</v>
      </c>
      <c r="K82" s="4">
        <f t="shared" si="21"/>
        <v>4.6366666666666653E-2</v>
      </c>
      <c r="L82">
        <f t="shared" si="22"/>
        <v>957.85162555617399</v>
      </c>
      <c r="M82">
        <f t="shared" si="23"/>
        <v>1012.6767106776019</v>
      </c>
      <c r="N82">
        <f t="shared" si="24"/>
        <v>-54.825085121427946</v>
      </c>
      <c r="O82" s="39">
        <f t="shared" si="25"/>
        <v>-5.4138783427480429E-2</v>
      </c>
      <c r="Q82">
        <f t="shared" si="26"/>
        <v>515.39557567731435</v>
      </c>
      <c r="R82">
        <f t="shared" si="27"/>
        <v>580.73916941519121</v>
      </c>
      <c r="S82">
        <f t="shared" si="28"/>
        <v>-65.343593737876859</v>
      </c>
      <c r="T82" s="39">
        <f t="shared" si="29"/>
        <v>-0.11251797223128303</v>
      </c>
      <c r="U82">
        <f t="shared" si="30"/>
        <v>2025</v>
      </c>
      <c r="V82">
        <f t="shared" si="31"/>
        <v>2025</v>
      </c>
    </row>
    <row r="83" spans="1:22" x14ac:dyDescent="0.25">
      <c r="A83" t="s">
        <v>52</v>
      </c>
      <c r="B83" t="s">
        <v>53</v>
      </c>
      <c r="C83" s="1">
        <v>45887</v>
      </c>
      <c r="D83">
        <v>24876.95</v>
      </c>
      <c r="E83" s="1">
        <v>45895</v>
      </c>
      <c r="F83">
        <v>24712.05</v>
      </c>
      <c r="G83" s="2">
        <v>-6.6E-3</v>
      </c>
      <c r="H83" s="40">
        <f t="shared" ref="H83:H85" si="32">E83-C83</f>
        <v>8</v>
      </c>
      <c r="I83" s="4">
        <f t="shared" ref="I83:I85" si="33">C$1</f>
        <v>1.5E-3</v>
      </c>
      <c r="J83" s="4">
        <f t="shared" ref="J83:J85" si="34">H83/30*D$1</f>
        <v>1.3333333333333333E-3</v>
      </c>
      <c r="K83" s="4">
        <f t="shared" ref="K83:K85" si="35">G83-SUM(I83,J83)</f>
        <v>-9.4333333333333335E-3</v>
      </c>
      <c r="L83">
        <f t="shared" ref="L83:L85" si="36">L82*(1+G83)</f>
        <v>951.5298048275032</v>
      </c>
      <c r="M83">
        <f t="shared" ref="M83:M85" si="37">MAX(L83,M82)</f>
        <v>1012.6767106776019</v>
      </c>
      <c r="N83">
        <f t="shared" ref="N83:N85" si="38">IF(M83&gt;L83,L83-M83,"")</f>
        <v>-61.146905850098733</v>
      </c>
      <c r="O83" s="39">
        <f t="shared" ref="O83:O85" si="39">IFERROR(N83/M83,0)</f>
        <v>-6.0381467456859093E-2</v>
      </c>
      <c r="Q83">
        <f t="shared" ref="Q83:Q85" si="40">Q82*(1+K83)</f>
        <v>510.53367741342504</v>
      </c>
      <c r="R83">
        <f t="shared" ref="R83:R85" si="41">MAX(Q83,R82)</f>
        <v>580.73916941519121</v>
      </c>
      <c r="S83">
        <f t="shared" ref="S83:S85" si="42">IF(R83&gt;Q83,Q83-R83,"")</f>
        <v>-70.205492001766174</v>
      </c>
      <c r="T83" s="39">
        <f t="shared" ref="T83:T85" si="43">IFERROR(S83/R83,0)</f>
        <v>-0.1208898860265679</v>
      </c>
      <c r="U83">
        <f t="shared" ref="U83:U85" si="44">YEAR(E83)</f>
        <v>2025</v>
      </c>
      <c r="V83">
        <f t="shared" ref="V83:V85" si="45">YEAR(C83)</f>
        <v>2025</v>
      </c>
    </row>
    <row r="84" spans="1:22" x14ac:dyDescent="0.25">
      <c r="A84" t="s">
        <v>52</v>
      </c>
      <c r="B84" t="s">
        <v>53</v>
      </c>
      <c r="C84" s="1">
        <v>45910</v>
      </c>
      <c r="D84">
        <v>24973.1</v>
      </c>
      <c r="E84" s="1">
        <v>45926</v>
      </c>
      <c r="F84">
        <v>24654.7</v>
      </c>
      <c r="G84" s="2">
        <v>-1.2699999999999999E-2</v>
      </c>
      <c r="H84" s="40">
        <f t="shared" si="32"/>
        <v>16</v>
      </c>
      <c r="I84" s="4">
        <f t="shared" si="33"/>
        <v>1.5E-3</v>
      </c>
      <c r="J84" s="4">
        <f t="shared" si="34"/>
        <v>2.6666666666666666E-3</v>
      </c>
      <c r="K84" s="4">
        <f t="shared" si="35"/>
        <v>-1.6866666666666665E-2</v>
      </c>
      <c r="L84">
        <f t="shared" si="36"/>
        <v>939.44537630619391</v>
      </c>
      <c r="M84">
        <f t="shared" si="37"/>
        <v>1012.6767106776019</v>
      </c>
      <c r="N84">
        <f t="shared" si="38"/>
        <v>-73.231334371408025</v>
      </c>
      <c r="O84" s="39">
        <f t="shared" si="39"/>
        <v>-7.2314622820156979E-2</v>
      </c>
      <c r="Q84">
        <f t="shared" si="40"/>
        <v>501.92267605438525</v>
      </c>
      <c r="R84">
        <f t="shared" si="41"/>
        <v>580.73916941519121</v>
      </c>
      <c r="S84">
        <f t="shared" si="42"/>
        <v>-78.816493360805964</v>
      </c>
      <c r="T84" s="39">
        <f t="shared" si="43"/>
        <v>-0.13571754328225316</v>
      </c>
      <c r="U84">
        <f t="shared" si="44"/>
        <v>2025</v>
      </c>
      <c r="V84">
        <f t="shared" si="45"/>
        <v>2025</v>
      </c>
    </row>
    <row r="85" spans="1:22" x14ac:dyDescent="0.25">
      <c r="A85" t="s">
        <v>52</v>
      </c>
      <c r="B85" t="s">
        <v>53</v>
      </c>
      <c r="C85" s="1">
        <v>45936</v>
      </c>
      <c r="D85">
        <v>25077.65</v>
      </c>
      <c r="E85" s="1">
        <v>46041</v>
      </c>
      <c r="F85">
        <v>25585.5</v>
      </c>
      <c r="G85" s="2">
        <v>2.0299999999999999E-2</v>
      </c>
      <c r="H85" s="40">
        <f t="shared" si="32"/>
        <v>105</v>
      </c>
      <c r="I85" s="4">
        <f t="shared" si="33"/>
        <v>1.5E-3</v>
      </c>
      <c r="J85" s="4">
        <f t="shared" si="34"/>
        <v>1.7500000000000002E-2</v>
      </c>
      <c r="K85" s="4">
        <f t="shared" si="35"/>
        <v>1.2999999999999956E-3</v>
      </c>
      <c r="L85">
        <f t="shared" si="36"/>
        <v>958.5161174452096</v>
      </c>
      <c r="M85">
        <f t="shared" si="37"/>
        <v>1012.6767106776019</v>
      </c>
      <c r="N85">
        <f t="shared" si="38"/>
        <v>-54.16059323239233</v>
      </c>
      <c r="O85" s="39">
        <f t="shared" si="39"/>
        <v>-5.3482609663406212E-2</v>
      </c>
      <c r="Q85">
        <f t="shared" si="40"/>
        <v>502.57517553325602</v>
      </c>
      <c r="R85">
        <f t="shared" si="41"/>
        <v>580.73916941519121</v>
      </c>
      <c r="S85">
        <f t="shared" si="42"/>
        <v>-78.163993881935198</v>
      </c>
      <c r="T85" s="39">
        <f t="shared" si="43"/>
        <v>-0.13459397608851997</v>
      </c>
      <c r="U85">
        <f t="shared" si="44"/>
        <v>2026</v>
      </c>
      <c r="V85">
        <f t="shared" si="45"/>
        <v>2025</v>
      </c>
    </row>
    <row r="86" spans="1:22" x14ac:dyDescent="0.25">
      <c r="C86" s="1"/>
      <c r="E86" s="1"/>
      <c r="G86" s="2"/>
      <c r="I86" s="2"/>
      <c r="O86" s="2"/>
      <c r="P86" s="2"/>
    </row>
    <row r="87" spans="1:22" x14ac:dyDescent="0.25">
      <c r="C87" s="1"/>
      <c r="E87" s="1"/>
      <c r="G87" s="2"/>
      <c r="I87" s="2"/>
      <c r="O87" s="2"/>
      <c r="P87" s="2"/>
    </row>
    <row r="88" spans="1:22" x14ac:dyDescent="0.25">
      <c r="C88" s="1"/>
      <c r="E88" s="1"/>
      <c r="G88" s="2"/>
      <c r="I88" s="2"/>
      <c r="O88" s="2"/>
      <c r="P88" s="2"/>
    </row>
    <row r="89" spans="1:22" x14ac:dyDescent="0.25">
      <c r="C89" s="1"/>
      <c r="E89" s="1"/>
      <c r="G89" s="2"/>
      <c r="I89" s="2"/>
      <c r="O89" s="2"/>
      <c r="P89" s="2"/>
    </row>
    <row r="90" spans="1:22" x14ac:dyDescent="0.25">
      <c r="C90" s="1"/>
      <c r="E90" s="1"/>
      <c r="G90" s="2"/>
      <c r="I90" s="2"/>
      <c r="O90" s="2"/>
      <c r="P90" s="2"/>
    </row>
    <row r="91" spans="1:22" x14ac:dyDescent="0.25">
      <c r="C91" s="1"/>
      <c r="E91" s="1"/>
      <c r="G91" s="2"/>
      <c r="I91" s="2"/>
      <c r="O91" s="2"/>
      <c r="P91" s="2"/>
    </row>
    <row r="92" spans="1:22" x14ac:dyDescent="0.25">
      <c r="C92" s="1"/>
      <c r="E92" s="1"/>
      <c r="G92" s="2"/>
      <c r="I92" s="2"/>
      <c r="O92" s="2"/>
      <c r="P92" s="2"/>
    </row>
    <row r="93" spans="1:22" x14ac:dyDescent="0.25">
      <c r="C93" s="1"/>
      <c r="E93" s="1"/>
      <c r="G93" s="2"/>
      <c r="I93" s="2"/>
      <c r="O93" s="2"/>
      <c r="P93" s="2"/>
    </row>
    <row r="94" spans="1:22" x14ac:dyDescent="0.25">
      <c r="C94" s="1"/>
      <c r="E94" s="1"/>
      <c r="G94" s="2"/>
      <c r="I94" s="2"/>
      <c r="O94" s="2"/>
      <c r="P94" s="2"/>
    </row>
    <row r="95" spans="1:22" x14ac:dyDescent="0.25">
      <c r="C95" s="1"/>
      <c r="E95" s="1"/>
      <c r="G95" s="2"/>
      <c r="I95" s="2"/>
      <c r="O95" s="2"/>
      <c r="P95" s="2"/>
    </row>
    <row r="96" spans="1:22" x14ac:dyDescent="0.25">
      <c r="C96" s="1"/>
      <c r="E96" s="1"/>
      <c r="G96" s="2"/>
      <c r="I96" s="2"/>
      <c r="O96" s="2"/>
      <c r="P96" s="2"/>
    </row>
    <row r="97" spans="3:16" x14ac:dyDescent="0.25">
      <c r="C97" s="1"/>
      <c r="E97" s="1"/>
      <c r="G97" s="2"/>
      <c r="I97" s="2"/>
      <c r="O97" s="2"/>
      <c r="P97" s="2"/>
    </row>
    <row r="98" spans="3:16" x14ac:dyDescent="0.25">
      <c r="C98" s="1"/>
      <c r="E98" s="1"/>
      <c r="G98" s="2"/>
      <c r="I98" s="2"/>
      <c r="O98" s="2"/>
      <c r="P98" s="2"/>
    </row>
    <row r="99" spans="3:16" x14ac:dyDescent="0.25">
      <c r="C99" s="1"/>
      <c r="E99" s="1"/>
      <c r="G99" s="2"/>
      <c r="I99" s="2"/>
      <c r="O99" s="2"/>
      <c r="P99" s="2"/>
    </row>
    <row r="100" spans="3:16" x14ac:dyDescent="0.25">
      <c r="C100" s="1"/>
      <c r="E100" s="1"/>
      <c r="G100" s="2"/>
      <c r="I100" s="2"/>
      <c r="O100" s="2"/>
      <c r="P100" s="2"/>
    </row>
    <row r="101" spans="3:16" x14ac:dyDescent="0.25">
      <c r="C101" s="1"/>
      <c r="E101" s="1"/>
      <c r="G101" s="2"/>
      <c r="I101" s="2"/>
      <c r="O101" s="2"/>
      <c r="P101" s="2"/>
    </row>
    <row r="102" spans="3:16" x14ac:dyDescent="0.25">
      <c r="C102" s="1"/>
      <c r="E102" s="1"/>
      <c r="G102" s="2"/>
      <c r="I102" s="2"/>
      <c r="O102" s="2"/>
      <c r="P102" s="2"/>
    </row>
    <row r="103" spans="3:16" x14ac:dyDescent="0.25">
      <c r="C103" s="1"/>
      <c r="E103" s="1"/>
      <c r="G103" s="2"/>
      <c r="I103" s="2"/>
      <c r="O103" s="2"/>
      <c r="P103" s="2"/>
    </row>
    <row r="104" spans="3:16" x14ac:dyDescent="0.25">
      <c r="C104" s="1"/>
      <c r="E104" s="1"/>
      <c r="G104" s="2"/>
      <c r="I104" s="2"/>
      <c r="O104" s="2"/>
      <c r="P104" s="2"/>
    </row>
    <row r="105" spans="3:16" x14ac:dyDescent="0.25">
      <c r="C105" s="1"/>
      <c r="E105" s="1"/>
      <c r="G105" s="2"/>
      <c r="I105" s="2"/>
      <c r="O105" s="2"/>
      <c r="P105" s="2"/>
    </row>
    <row r="106" spans="3:16" x14ac:dyDescent="0.25">
      <c r="C106" s="1"/>
      <c r="E106" s="1"/>
      <c r="G106" s="2"/>
      <c r="I106" s="2"/>
      <c r="O106" s="2"/>
      <c r="P106" s="2"/>
    </row>
    <row r="107" spans="3:16" x14ac:dyDescent="0.25">
      <c r="C107" s="1"/>
      <c r="E107" s="1"/>
      <c r="G107" s="2"/>
      <c r="I107" s="2"/>
      <c r="O107" s="2"/>
      <c r="P107" s="2"/>
    </row>
    <row r="108" spans="3:16" x14ac:dyDescent="0.25">
      <c r="C108" s="1"/>
      <c r="E108" s="1"/>
      <c r="G108" s="2"/>
      <c r="I108" s="2"/>
      <c r="O108" s="2"/>
      <c r="P108" s="2"/>
    </row>
    <row r="109" spans="3:16" x14ac:dyDescent="0.25">
      <c r="C109" s="1"/>
      <c r="E109" s="1"/>
      <c r="G109" s="2"/>
      <c r="I109" s="2"/>
      <c r="O109" s="2"/>
      <c r="P109" s="2"/>
    </row>
    <row r="110" spans="3:16" x14ac:dyDescent="0.25">
      <c r="C110" s="1"/>
      <c r="E110" s="1"/>
      <c r="G110" s="2"/>
      <c r="I110" s="2"/>
      <c r="O110" s="2"/>
      <c r="P110" s="2"/>
    </row>
    <row r="111" spans="3:16" x14ac:dyDescent="0.25">
      <c r="C111" s="1"/>
      <c r="E111" s="1"/>
      <c r="G111" s="2"/>
      <c r="I111" s="2"/>
      <c r="O111" s="2"/>
      <c r="P111" s="2"/>
    </row>
    <row r="112" spans="3:16" x14ac:dyDescent="0.25">
      <c r="C112" s="1"/>
      <c r="E112" s="1"/>
      <c r="G112" s="2"/>
      <c r="I112" s="2"/>
      <c r="O112" s="2"/>
      <c r="P112" s="2"/>
    </row>
    <row r="113" spans="3:16" x14ac:dyDescent="0.25">
      <c r="C113" s="1"/>
      <c r="E113" s="1"/>
      <c r="G113" s="2"/>
      <c r="I113" s="2"/>
      <c r="O113" s="2"/>
      <c r="P113" s="2"/>
    </row>
    <row r="114" spans="3:16" x14ac:dyDescent="0.25">
      <c r="C114" s="1"/>
      <c r="E114" s="1"/>
      <c r="G114" s="2"/>
      <c r="I114" s="2"/>
      <c r="O114" s="2"/>
      <c r="P114" s="2"/>
    </row>
    <row r="115" spans="3:16" x14ac:dyDescent="0.25">
      <c r="C115" s="1"/>
      <c r="E115" s="1"/>
      <c r="G115" s="2"/>
      <c r="I115" s="2"/>
      <c r="O115" s="2"/>
      <c r="P115" s="2"/>
    </row>
    <row r="116" spans="3:16" x14ac:dyDescent="0.25">
      <c r="C116" s="1"/>
      <c r="E116" s="1"/>
      <c r="G116" s="2"/>
      <c r="I116" s="2"/>
      <c r="O116" s="2"/>
      <c r="P116" s="2"/>
    </row>
    <row r="117" spans="3:16" x14ac:dyDescent="0.25">
      <c r="C117" s="1"/>
      <c r="E117" s="1"/>
      <c r="G117" s="2"/>
      <c r="I117" s="2"/>
      <c r="O117" s="2"/>
      <c r="P117" s="2"/>
    </row>
    <row r="118" spans="3:16" x14ac:dyDescent="0.25">
      <c r="C118" s="1"/>
      <c r="E118" s="1"/>
      <c r="G118" s="2"/>
      <c r="I118" s="2"/>
      <c r="O118" s="2"/>
      <c r="P118" s="2"/>
    </row>
    <row r="119" spans="3:16" x14ac:dyDescent="0.25">
      <c r="C119" s="1"/>
      <c r="E119" s="1"/>
      <c r="G119" s="2"/>
      <c r="I119" s="2"/>
      <c r="O119" s="2"/>
      <c r="P119" s="2"/>
    </row>
    <row r="120" spans="3:16" x14ac:dyDescent="0.25">
      <c r="C120" s="1"/>
      <c r="E120" s="1"/>
      <c r="G120" s="2"/>
      <c r="I120" s="2"/>
      <c r="O120" s="2"/>
      <c r="P120" s="2"/>
    </row>
    <row r="121" spans="3:16" x14ac:dyDescent="0.25">
      <c r="C121" s="1"/>
      <c r="E121" s="1"/>
      <c r="G121" s="2"/>
      <c r="I121" s="2"/>
      <c r="O121" s="2"/>
      <c r="P121" s="2"/>
    </row>
    <row r="122" spans="3:16" x14ac:dyDescent="0.25">
      <c r="C122" s="1"/>
      <c r="E122" s="1"/>
      <c r="G122" s="2"/>
      <c r="I122" s="2"/>
      <c r="O122" s="2"/>
      <c r="P122" s="2"/>
    </row>
    <row r="123" spans="3:16" x14ac:dyDescent="0.25">
      <c r="C123" s="1"/>
      <c r="E123" s="1"/>
      <c r="G123" s="2"/>
      <c r="I123" s="2"/>
      <c r="O123" s="2"/>
      <c r="P123" s="2"/>
    </row>
    <row r="124" spans="3:16" x14ac:dyDescent="0.25">
      <c r="C124" s="1"/>
      <c r="E124" s="1"/>
      <c r="G124" s="2"/>
      <c r="I124" s="2"/>
      <c r="O124" s="2"/>
      <c r="P124" s="2"/>
    </row>
    <row r="125" spans="3:16" x14ac:dyDescent="0.25">
      <c r="C125" s="1"/>
      <c r="E125" s="1"/>
      <c r="G125" s="2"/>
      <c r="I125" s="2"/>
      <c r="O125" s="2"/>
      <c r="P125" s="2"/>
    </row>
    <row r="126" spans="3:16" x14ac:dyDescent="0.25">
      <c r="C126" s="1"/>
      <c r="E126" s="1"/>
      <c r="G126" s="2"/>
      <c r="I126" s="2"/>
      <c r="O126" s="2"/>
      <c r="P126" s="2"/>
    </row>
    <row r="127" spans="3:16" x14ac:dyDescent="0.25">
      <c r="C127" s="1"/>
      <c r="E127" s="1"/>
      <c r="G127" s="2"/>
      <c r="I127" s="2"/>
      <c r="O127" s="2"/>
      <c r="P127" s="2"/>
    </row>
    <row r="128" spans="3:16" x14ac:dyDescent="0.25">
      <c r="C128" s="1"/>
      <c r="E128" s="1"/>
      <c r="G128" s="2"/>
      <c r="I128" s="2"/>
      <c r="O128" s="2"/>
      <c r="P128" s="2"/>
    </row>
    <row r="129" spans="3:16" x14ac:dyDescent="0.25">
      <c r="C129" s="1"/>
      <c r="E129" s="1"/>
      <c r="G129" s="2"/>
      <c r="I129" s="2"/>
      <c r="O129" s="2"/>
      <c r="P129" s="2"/>
    </row>
    <row r="130" spans="3:16" x14ac:dyDescent="0.25">
      <c r="C130" s="1"/>
      <c r="E130" s="1"/>
      <c r="G130" s="2"/>
      <c r="I130" s="2"/>
      <c r="O130" s="2"/>
      <c r="P130" s="2"/>
    </row>
    <row r="131" spans="3:16" x14ac:dyDescent="0.25">
      <c r="C131" s="1"/>
      <c r="E131" s="1"/>
      <c r="G131" s="2"/>
      <c r="I131" s="2"/>
      <c r="O131" s="2"/>
      <c r="P131" s="2"/>
    </row>
    <row r="132" spans="3:16" x14ac:dyDescent="0.25">
      <c r="C132" s="1"/>
      <c r="E132" s="1"/>
      <c r="G132" s="2"/>
      <c r="I132" s="2"/>
      <c r="O132" s="2"/>
      <c r="P132" s="2"/>
    </row>
    <row r="133" spans="3:16" x14ac:dyDescent="0.25">
      <c r="C133" s="1"/>
      <c r="E133" s="1"/>
      <c r="G133" s="2"/>
      <c r="I133" s="2"/>
      <c r="O133" s="2"/>
      <c r="P133" s="2"/>
    </row>
    <row r="134" spans="3:16" x14ac:dyDescent="0.25">
      <c r="C134" s="1"/>
      <c r="E134" s="1"/>
      <c r="G134" s="2"/>
      <c r="I134" s="2"/>
      <c r="O134" s="2"/>
      <c r="P134" s="2"/>
    </row>
    <row r="135" spans="3:16" x14ac:dyDescent="0.25">
      <c r="C135" s="1"/>
      <c r="E135" s="1"/>
      <c r="G135" s="2"/>
      <c r="I135" s="2"/>
      <c r="O135" s="2"/>
      <c r="P135" s="2"/>
    </row>
    <row r="136" spans="3:16" x14ac:dyDescent="0.25">
      <c r="C136" s="1"/>
      <c r="E136" s="1"/>
      <c r="G136" s="2"/>
      <c r="I136" s="2"/>
      <c r="O136" s="2"/>
      <c r="P136" s="2"/>
    </row>
    <row r="137" spans="3:16" x14ac:dyDescent="0.25">
      <c r="C137" s="1"/>
      <c r="E137" s="1"/>
      <c r="G137" s="2"/>
      <c r="I137" s="2"/>
      <c r="O137" s="2"/>
      <c r="P137" s="2"/>
    </row>
    <row r="138" spans="3:16" x14ac:dyDescent="0.25">
      <c r="C138" s="1"/>
      <c r="E138" s="1"/>
      <c r="G138" s="2"/>
      <c r="I138" s="2"/>
      <c r="O138" s="2"/>
      <c r="P138" s="2"/>
    </row>
    <row r="139" spans="3:16" x14ac:dyDescent="0.25">
      <c r="C139" s="1"/>
      <c r="E139" s="1"/>
      <c r="G139" s="2"/>
      <c r="I139" s="2"/>
      <c r="O139" s="2"/>
      <c r="P139" s="2"/>
    </row>
    <row r="140" spans="3:16" x14ac:dyDescent="0.25">
      <c r="C140" s="1"/>
      <c r="E140" s="1"/>
      <c r="G140" s="2"/>
      <c r="I140" s="2"/>
      <c r="O140" s="2"/>
      <c r="P140" s="2"/>
    </row>
    <row r="141" spans="3:16" x14ac:dyDescent="0.25">
      <c r="C141" s="1"/>
      <c r="E141" s="1"/>
      <c r="G141" s="2"/>
      <c r="I141" s="2"/>
      <c r="O141" s="2"/>
      <c r="P141" s="2"/>
    </row>
    <row r="142" spans="3:16" x14ac:dyDescent="0.25">
      <c r="C142" s="1"/>
      <c r="E142" s="1"/>
      <c r="G142" s="2"/>
      <c r="I142" s="2"/>
      <c r="O142" s="2"/>
      <c r="P142" s="2"/>
    </row>
    <row r="143" spans="3:16" x14ac:dyDescent="0.25">
      <c r="C143" s="1"/>
      <c r="E143" s="1"/>
      <c r="G143" s="2"/>
      <c r="I143" s="2"/>
      <c r="O143" s="2"/>
      <c r="P143" s="2"/>
    </row>
    <row r="144" spans="3:16" x14ac:dyDescent="0.25">
      <c r="C144" s="1"/>
      <c r="E144" s="1"/>
      <c r="G144" s="2"/>
      <c r="I144" s="2"/>
      <c r="O144" s="2"/>
      <c r="P144" s="2"/>
    </row>
    <row r="145" spans="3:16" x14ac:dyDescent="0.25">
      <c r="C145" s="1"/>
      <c r="E145" s="1"/>
      <c r="G145" s="2"/>
      <c r="I145" s="2"/>
      <c r="O145" s="2"/>
      <c r="P145" s="2"/>
    </row>
    <row r="146" spans="3:16" x14ac:dyDescent="0.25">
      <c r="C146" s="1"/>
      <c r="E146" s="1"/>
      <c r="G146" s="2"/>
      <c r="I146" s="2"/>
      <c r="O146" s="2"/>
      <c r="P146" s="2"/>
    </row>
    <row r="147" spans="3:16" x14ac:dyDescent="0.25">
      <c r="C147" s="1"/>
      <c r="E147" s="1"/>
      <c r="G147" s="2"/>
      <c r="I147" s="2"/>
      <c r="O147" s="2"/>
      <c r="P147" s="2"/>
    </row>
    <row r="148" spans="3:16" x14ac:dyDescent="0.25">
      <c r="C148" s="1"/>
      <c r="E148" s="1"/>
      <c r="G148" s="2"/>
      <c r="I148" s="2"/>
      <c r="O148" s="2"/>
      <c r="P148" s="2"/>
    </row>
    <row r="149" spans="3:16" x14ac:dyDescent="0.25">
      <c r="C149" s="1"/>
      <c r="E149" s="1"/>
      <c r="G149" s="2"/>
      <c r="I149" s="2"/>
      <c r="O149" s="2"/>
      <c r="P149" s="2"/>
    </row>
    <row r="150" spans="3:16" x14ac:dyDescent="0.25">
      <c r="C150" s="1"/>
      <c r="E150" s="1"/>
      <c r="G150" s="2"/>
      <c r="I150" s="2"/>
      <c r="O150" s="2"/>
      <c r="P150" s="2"/>
    </row>
    <row r="151" spans="3:16" x14ac:dyDescent="0.25">
      <c r="C151" s="1"/>
      <c r="E151" s="1"/>
      <c r="G151" s="2"/>
      <c r="I151" s="2"/>
      <c r="O151" s="2"/>
      <c r="P151" s="2"/>
    </row>
    <row r="152" spans="3:16" x14ac:dyDescent="0.25">
      <c r="C152" s="1"/>
      <c r="E152" s="1"/>
      <c r="G152" s="2"/>
      <c r="I152" s="2"/>
      <c r="O152" s="2"/>
      <c r="P152" s="2"/>
    </row>
    <row r="153" spans="3:16" x14ac:dyDescent="0.25">
      <c r="C153" s="1"/>
      <c r="E153" s="1"/>
      <c r="G153" s="2"/>
      <c r="I153" s="2"/>
      <c r="O153" s="2"/>
      <c r="P153" s="2"/>
    </row>
    <row r="154" spans="3:16" x14ac:dyDescent="0.25">
      <c r="C154" s="1"/>
      <c r="E154" s="1"/>
      <c r="G154" s="2"/>
      <c r="I154" s="2"/>
      <c r="O154" s="2"/>
      <c r="P154" s="2"/>
    </row>
    <row r="155" spans="3:16" x14ac:dyDescent="0.25">
      <c r="C155" s="1"/>
      <c r="E155" s="1"/>
      <c r="G155" s="2"/>
      <c r="I155" s="2"/>
      <c r="O155" s="2"/>
      <c r="P155" s="2"/>
    </row>
    <row r="156" spans="3:16" x14ac:dyDescent="0.25">
      <c r="C156" s="1"/>
      <c r="E156" s="1"/>
      <c r="G156" s="2"/>
      <c r="I156" s="2"/>
      <c r="O156" s="2"/>
      <c r="P156" s="2"/>
    </row>
    <row r="157" spans="3:16" x14ac:dyDescent="0.25">
      <c r="C157" s="1"/>
      <c r="E157" s="1"/>
      <c r="G157" s="2"/>
      <c r="I157" s="2"/>
      <c r="O157" s="2"/>
      <c r="P157" s="2"/>
    </row>
    <row r="158" spans="3:16" x14ac:dyDescent="0.25">
      <c r="C158" s="1"/>
      <c r="E158" s="1"/>
      <c r="G158" s="2"/>
      <c r="I158" s="2"/>
      <c r="O158" s="2"/>
      <c r="P158" s="2"/>
    </row>
    <row r="159" spans="3:16" x14ac:dyDescent="0.25">
      <c r="C159" s="1"/>
      <c r="E159" s="1"/>
      <c r="G159" s="2"/>
      <c r="I159" s="2"/>
      <c r="O159" s="2"/>
      <c r="P159" s="2"/>
    </row>
    <row r="160" spans="3:16" x14ac:dyDescent="0.25">
      <c r="C160" s="1"/>
      <c r="E160" s="1"/>
      <c r="G160" s="2"/>
      <c r="I160" s="2"/>
      <c r="O160" s="2"/>
      <c r="P160" s="2"/>
    </row>
    <row r="161" spans="3:16" x14ac:dyDescent="0.25">
      <c r="C161" s="1"/>
      <c r="E161" s="1"/>
      <c r="G161" s="2"/>
      <c r="I161" s="2"/>
      <c r="O161" s="2"/>
      <c r="P161" s="2"/>
    </row>
    <row r="162" spans="3:16" x14ac:dyDescent="0.25">
      <c r="C162" s="1"/>
      <c r="E162" s="1"/>
      <c r="G162" s="2"/>
      <c r="I162" s="2"/>
      <c r="O162" s="2"/>
      <c r="P162" s="2"/>
    </row>
    <row r="163" spans="3:16" x14ac:dyDescent="0.25">
      <c r="C163" s="1"/>
      <c r="E163" s="1"/>
      <c r="G163" s="2"/>
      <c r="I163" s="2"/>
      <c r="O163" s="2"/>
      <c r="P163" s="2"/>
    </row>
    <row r="164" spans="3:16" x14ac:dyDescent="0.25">
      <c r="C164" s="1"/>
      <c r="E164" s="1"/>
      <c r="G164" s="2"/>
      <c r="I164" s="2"/>
      <c r="O164" s="2"/>
      <c r="P164" s="2"/>
    </row>
    <row r="165" spans="3:16" x14ac:dyDescent="0.25">
      <c r="C165" s="1"/>
      <c r="E165" s="1"/>
      <c r="G165" s="2"/>
      <c r="I165" s="2"/>
      <c r="O165" s="2"/>
      <c r="P165" s="2"/>
    </row>
    <row r="166" spans="3:16" x14ac:dyDescent="0.25">
      <c r="C166" s="1"/>
      <c r="E166" s="1"/>
      <c r="G166" s="2"/>
      <c r="I166" s="2"/>
      <c r="O166" s="2"/>
      <c r="P166" s="2"/>
    </row>
    <row r="167" spans="3:16" x14ac:dyDescent="0.25">
      <c r="C167" s="1"/>
      <c r="E167" s="1"/>
      <c r="G167" s="2"/>
      <c r="I167" s="2"/>
      <c r="O167" s="2"/>
      <c r="P167" s="2"/>
    </row>
    <row r="168" spans="3:16" x14ac:dyDescent="0.25">
      <c r="C168" s="1"/>
      <c r="E168" s="1"/>
      <c r="G168" s="2"/>
      <c r="I168" s="2"/>
      <c r="O168" s="2"/>
      <c r="P168" s="2"/>
    </row>
    <row r="169" spans="3:16" x14ac:dyDescent="0.25">
      <c r="C169" s="1"/>
      <c r="E169" s="1"/>
      <c r="G169" s="2"/>
      <c r="I169" s="2"/>
      <c r="O169" s="2"/>
      <c r="P169" s="2"/>
    </row>
    <row r="170" spans="3:16" x14ac:dyDescent="0.25">
      <c r="C170" s="1"/>
      <c r="E170" s="1"/>
      <c r="G170" s="2"/>
      <c r="I170" s="2"/>
      <c r="O170" s="2"/>
      <c r="P170" s="2"/>
    </row>
    <row r="171" spans="3:16" x14ac:dyDescent="0.25">
      <c r="C171" s="1"/>
      <c r="E171" s="1"/>
      <c r="G171" s="2"/>
      <c r="I171" s="2"/>
      <c r="O171" s="2"/>
      <c r="P171" s="2"/>
    </row>
    <row r="172" spans="3:16" x14ac:dyDescent="0.25">
      <c r="C172" s="1"/>
      <c r="E172" s="1"/>
      <c r="G172" s="2"/>
      <c r="I172" s="2"/>
      <c r="O172" s="2"/>
      <c r="P172" s="2"/>
    </row>
    <row r="173" spans="3:16" x14ac:dyDescent="0.25">
      <c r="C173" s="1"/>
      <c r="E173" s="1"/>
      <c r="G173" s="2"/>
      <c r="I173" s="2"/>
      <c r="O173" s="2"/>
      <c r="P173" s="2"/>
    </row>
    <row r="174" spans="3:16" x14ac:dyDescent="0.25">
      <c r="C174" s="1"/>
      <c r="E174" s="1"/>
      <c r="G174" s="2"/>
      <c r="I174" s="2"/>
      <c r="O174" s="2"/>
      <c r="P174" s="2"/>
    </row>
    <row r="175" spans="3:16" x14ac:dyDescent="0.25">
      <c r="C175" s="1"/>
      <c r="E175" s="1"/>
      <c r="G175" s="2"/>
      <c r="I175" s="2"/>
      <c r="O175" s="2"/>
      <c r="P175" s="2"/>
    </row>
    <row r="176" spans="3:16" x14ac:dyDescent="0.25">
      <c r="C176" s="1"/>
      <c r="E176" s="1"/>
      <c r="G176" s="2"/>
      <c r="I176" s="2"/>
      <c r="O176" s="2"/>
      <c r="P176" s="2"/>
    </row>
    <row r="177" spans="3:16" x14ac:dyDescent="0.25">
      <c r="C177" s="1"/>
      <c r="E177" s="1"/>
      <c r="G177" s="2"/>
      <c r="I177" s="2"/>
      <c r="O177" s="2"/>
      <c r="P177" s="2"/>
    </row>
    <row r="178" spans="3:16" x14ac:dyDescent="0.25">
      <c r="C178" s="1"/>
      <c r="E178" s="1"/>
      <c r="G178" s="2"/>
      <c r="I178" s="2"/>
      <c r="O178" s="2"/>
      <c r="P178" s="2"/>
    </row>
    <row r="179" spans="3:16" x14ac:dyDescent="0.25">
      <c r="C179" s="1"/>
      <c r="E179" s="1"/>
      <c r="G179" s="2"/>
      <c r="I179" s="2"/>
      <c r="O179" s="2"/>
      <c r="P179" s="2"/>
    </row>
    <row r="180" spans="3:16" x14ac:dyDescent="0.25">
      <c r="C180" s="1"/>
      <c r="E180" s="1"/>
      <c r="G180" s="2"/>
      <c r="I180" s="2"/>
      <c r="O180" s="2"/>
      <c r="P180" s="2"/>
    </row>
    <row r="181" spans="3:16" x14ac:dyDescent="0.25">
      <c r="C181" s="1"/>
      <c r="E181" s="1"/>
      <c r="G181" s="2"/>
      <c r="I181" s="2"/>
      <c r="O181" s="2"/>
      <c r="P181" s="2"/>
    </row>
    <row r="182" spans="3:16" x14ac:dyDescent="0.25">
      <c r="C182" s="1"/>
      <c r="E182" s="1"/>
      <c r="G182" s="2"/>
      <c r="I182" s="2"/>
      <c r="O182" s="2"/>
      <c r="P182" s="2"/>
    </row>
    <row r="183" spans="3:16" x14ac:dyDescent="0.25">
      <c r="C183" s="1"/>
      <c r="E183" s="1"/>
      <c r="G183" s="2"/>
      <c r="I183" s="2"/>
      <c r="O183" s="2"/>
      <c r="P183" s="2"/>
    </row>
    <row r="184" spans="3:16" x14ac:dyDescent="0.25">
      <c r="C184" s="1"/>
      <c r="E184" s="1"/>
      <c r="G184" s="2"/>
      <c r="I184" s="2"/>
      <c r="O184" s="2"/>
      <c r="P184" s="2"/>
    </row>
    <row r="185" spans="3:16" x14ac:dyDescent="0.25">
      <c r="C185" s="1"/>
      <c r="E185" s="1"/>
      <c r="G185" s="2"/>
      <c r="I185" s="2"/>
      <c r="O185" s="2"/>
      <c r="P185" s="2"/>
    </row>
    <row r="186" spans="3:16" x14ac:dyDescent="0.25">
      <c r="C186" s="1"/>
      <c r="E186" s="1"/>
      <c r="G186" s="2"/>
      <c r="I186" s="2"/>
      <c r="O186" s="2"/>
      <c r="P186" s="2"/>
    </row>
    <row r="187" spans="3:16" x14ac:dyDescent="0.25">
      <c r="C187" s="1"/>
      <c r="E187" s="1"/>
      <c r="G187" s="2"/>
      <c r="I187" s="2"/>
      <c r="O187" s="2"/>
      <c r="P187" s="2"/>
    </row>
    <row r="188" spans="3:16" x14ac:dyDescent="0.25">
      <c r="C188" s="1"/>
      <c r="E188" s="1"/>
      <c r="G188" s="2"/>
      <c r="I188" s="2"/>
      <c r="O188" s="2"/>
      <c r="P188" s="2"/>
    </row>
    <row r="189" spans="3:16" x14ac:dyDescent="0.25">
      <c r="C189" s="1"/>
      <c r="E189" s="1"/>
      <c r="G189" s="2"/>
      <c r="I189" s="2"/>
      <c r="O189" s="2"/>
      <c r="P189" s="2"/>
    </row>
    <row r="190" spans="3:16" x14ac:dyDescent="0.25">
      <c r="C190" s="1"/>
      <c r="E190" s="1"/>
      <c r="G190" s="2"/>
      <c r="I190" s="2"/>
      <c r="O190" s="2"/>
      <c r="P190" s="2"/>
    </row>
    <row r="191" spans="3:16" x14ac:dyDescent="0.25">
      <c r="C191" s="1"/>
      <c r="E191" s="1"/>
      <c r="G191" s="2"/>
      <c r="I191" s="2"/>
      <c r="O191" s="2"/>
      <c r="P191" s="2"/>
    </row>
    <row r="192" spans="3:16" x14ac:dyDescent="0.25">
      <c r="C192" s="1"/>
      <c r="E192" s="1"/>
      <c r="G192" s="2"/>
      <c r="I192" s="2"/>
      <c r="O192" s="2"/>
      <c r="P192" s="2"/>
    </row>
    <row r="193" spans="3:16" x14ac:dyDescent="0.25">
      <c r="C193" s="1"/>
      <c r="E193" s="1"/>
      <c r="G193" s="2"/>
      <c r="I193" s="2"/>
      <c r="O193" s="2"/>
      <c r="P193" s="2"/>
    </row>
    <row r="194" spans="3:16" x14ac:dyDescent="0.25">
      <c r="C194" s="1"/>
      <c r="E194" s="1"/>
      <c r="G194" s="2"/>
      <c r="I194" s="2"/>
      <c r="O194" s="2"/>
      <c r="P194" s="2"/>
    </row>
    <row r="195" spans="3:16" x14ac:dyDescent="0.25">
      <c r="C195" s="1"/>
      <c r="E195" s="1"/>
      <c r="G195" s="2"/>
      <c r="I195" s="2"/>
      <c r="O195" s="2"/>
      <c r="P195" s="2"/>
    </row>
    <row r="196" spans="3:16" x14ac:dyDescent="0.25">
      <c r="C196" s="1"/>
      <c r="E196" s="1"/>
      <c r="G196" s="2"/>
      <c r="I196" s="2"/>
      <c r="O196" s="2"/>
      <c r="P196" s="2"/>
    </row>
    <row r="197" spans="3:16" x14ac:dyDescent="0.25">
      <c r="C197" s="1"/>
      <c r="E197" s="1"/>
      <c r="G197" s="2"/>
      <c r="I197" s="2"/>
      <c r="O197" s="2"/>
      <c r="P197" s="2"/>
    </row>
    <row r="198" spans="3:16" x14ac:dyDescent="0.25">
      <c r="C198" s="1"/>
      <c r="E198" s="1"/>
      <c r="G198" s="2"/>
      <c r="I198" s="2"/>
      <c r="O198" s="2"/>
      <c r="P198" s="2"/>
    </row>
    <row r="199" spans="3:16" x14ac:dyDescent="0.25">
      <c r="C199" s="1"/>
      <c r="E199" s="1"/>
      <c r="G199" s="2"/>
      <c r="I199" s="2"/>
      <c r="O199" s="2"/>
      <c r="P199" s="2"/>
    </row>
  </sheetData>
  <conditionalFormatting sqref="AM21:AM38">
    <cfRule type="cellIs" dxfId="5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201"/>
  <sheetViews>
    <sheetView topLeftCell="B1" zoomScale="85" zoomScaleNormal="85" workbookViewId="0">
      <selection activeCell="B1" sqref="B1"/>
    </sheetView>
  </sheetViews>
  <sheetFormatPr defaultRowHeight="15" x14ac:dyDescent="0.25"/>
  <cols>
    <col min="1" max="1" width="16.28515625" bestFit="1" customWidth="1"/>
    <col min="2" max="2" width="8.140625" bestFit="1" customWidth="1"/>
    <col min="3" max="3" width="10.42578125" bestFit="1" customWidth="1"/>
    <col min="4" max="4" width="9" bestFit="1" customWidth="1"/>
    <col min="5" max="5" width="10.42578125" bestFit="1" customWidth="1"/>
    <col min="6" max="6" width="9" bestFit="1" customWidth="1"/>
    <col min="7" max="7" width="7.140625" bestFit="1" customWidth="1"/>
    <col min="8" max="8" width="11" bestFit="1" customWidth="1"/>
    <col min="9" max="9" width="8" bestFit="1" customWidth="1"/>
    <col min="10" max="10" width="6.85546875" bestFit="1" customWidth="1"/>
    <col min="11" max="11" width="13.7109375" bestFit="1" customWidth="1"/>
    <col min="12" max="12" width="12" bestFit="1" customWidth="1"/>
    <col min="13" max="13" width="6.140625" bestFit="1" customWidth="1"/>
    <col min="14" max="14" width="10.7109375" bestFit="1" customWidth="1"/>
    <col min="15" max="15" width="6.85546875" bestFit="1" customWidth="1"/>
    <col min="16" max="16" width="7.140625" bestFit="1" customWidth="1"/>
    <col min="17" max="17" width="11.85546875" bestFit="1" customWidth="1"/>
    <col min="25" max="25" width="16.42578125" customWidth="1"/>
    <col min="26" max="26" width="16.28515625" bestFit="1" customWidth="1"/>
    <col min="27" max="27" width="5.85546875" customWidth="1"/>
    <col min="28" max="28" width="6.140625" customWidth="1"/>
    <col min="29" max="29" width="5.85546875" customWidth="1"/>
    <col min="30" max="32" width="6.140625" customWidth="1"/>
    <col min="33" max="34" width="5.85546875" customWidth="1"/>
    <col min="35" max="37" width="6.140625" customWidth="1"/>
    <col min="38" max="38" width="11.28515625" bestFit="1" customWidth="1"/>
  </cols>
  <sheetData>
    <row r="1" spans="1:26" x14ac:dyDescent="0.25">
      <c r="A1" s="1" t="s">
        <v>0</v>
      </c>
      <c r="B1" s="3"/>
      <c r="C1" s="4">
        <v>1.5E-3</v>
      </c>
      <c r="D1" s="4">
        <v>5.0000000000000001E-3</v>
      </c>
      <c r="E1" s="3"/>
      <c r="F1" s="3"/>
      <c r="G1" s="3"/>
      <c r="H1" s="5">
        <v>40544</v>
      </c>
      <c r="I1" s="3">
        <f>YEAR(H1)</f>
        <v>2011</v>
      </c>
      <c r="J1" s="5">
        <f>INDEX(C21:C1048576,MATCH(I1,V21:V1048575,0),1)</f>
        <v>40812</v>
      </c>
      <c r="K1" s="4"/>
      <c r="L1" s="5">
        <f>MAX(E21:E1048576)</f>
        <v>46030</v>
      </c>
      <c r="M1" s="3"/>
    </row>
    <row r="2" spans="1:26" ht="15.75" thickBot="1" x14ac:dyDescent="0.3">
      <c r="A2" s="3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  <c r="N2" s="2"/>
    </row>
    <row r="3" spans="1:26" ht="45" x14ac:dyDescent="0.25">
      <c r="A3" s="7" t="s">
        <v>6</v>
      </c>
      <c r="B3" s="8">
        <f>SUM(G21:G1048576)</f>
        <v>2.5995000000000004</v>
      </c>
      <c r="C3" s="8">
        <f>SUM(I21:I1048576)</f>
        <v>0.20100000000000015</v>
      </c>
      <c r="D3" s="8">
        <f>SUM(J21:J1048576)</f>
        <v>0.57233333333333336</v>
      </c>
      <c r="E3" s="8">
        <f>SUM(K21:K1048576)</f>
        <v>1.826166666666666</v>
      </c>
      <c r="F3" s="9">
        <f>SUM(H21:H1048576)</f>
        <v>3434</v>
      </c>
      <c r="G3" s="3"/>
      <c r="H3" s="7" t="s">
        <v>6</v>
      </c>
      <c r="I3" s="8">
        <f t="array" ref="I3">SUM(IF(H$1&lt;=C21:C1048576,G21:G1048576,""))</f>
        <v>1.7421000000000004</v>
      </c>
      <c r="J3" s="8">
        <f t="array" ref="J3">SUM(IF(H$1&lt;=C21:C1048576,I21:I1048576,""))</f>
        <v>0.17100000000000012</v>
      </c>
      <c r="K3" s="8">
        <f t="array" ref="K3">SUM(IF(H$1&lt;=C21:C1048576,J21:J1048576,""))</f>
        <v>0.47500000000000037</v>
      </c>
      <c r="L3" s="8">
        <f t="array" ref="L3">SUM(IF(H$1&lt;=C21:C1048576,K21:K1048576,""))</f>
        <v>1.0960999999999996</v>
      </c>
      <c r="M3" s="10">
        <f t="array" ref="M3">SUM(IF(H$1&lt;=C21:C1048576,H21:H1048576,""))</f>
        <v>2850</v>
      </c>
      <c r="N3" s="2"/>
      <c r="O3" s="11" t="s">
        <v>7</v>
      </c>
      <c r="P3" s="12" t="s">
        <v>8</v>
      </c>
      <c r="Q3" s="12" t="s">
        <v>9</v>
      </c>
      <c r="R3" s="12" t="s">
        <v>10</v>
      </c>
      <c r="S3" s="13" t="s">
        <v>11</v>
      </c>
      <c r="T3" s="13" t="s">
        <v>12</v>
      </c>
      <c r="U3" s="13" t="s">
        <v>13</v>
      </c>
      <c r="V3" s="14" t="s">
        <v>14</v>
      </c>
      <c r="W3" s="14" t="s">
        <v>15</v>
      </c>
      <c r="X3" s="14" t="s">
        <v>16</v>
      </c>
      <c r="Y3" s="12" t="s">
        <v>17</v>
      </c>
      <c r="Z3" s="15" t="s">
        <v>18</v>
      </c>
    </row>
    <row r="4" spans="1:26" ht="15.75" x14ac:dyDescent="0.25">
      <c r="A4" s="7" t="s">
        <v>19</v>
      </c>
      <c r="B4" s="8">
        <f>AVERAGE(G21:G1048576)</f>
        <v>1.9399253731343286E-2</v>
      </c>
      <c r="C4" s="9"/>
      <c r="D4" s="9"/>
      <c r="E4" s="8">
        <f>AVERAGE(K21:K1048576)</f>
        <v>1.3628109452736313E-2</v>
      </c>
      <c r="F4" s="16">
        <f>AVERAGE(H21:H1048576)</f>
        <v>25.626865671641792</v>
      </c>
      <c r="G4" s="3"/>
      <c r="H4" s="7" t="s">
        <v>19</v>
      </c>
      <c r="I4" s="8">
        <f t="array" ref="I4">AVERAGE(IF(H$1&lt;=C21:C1048576,G21:G1048576,""))</f>
        <v>1.5281578947368426E-2</v>
      </c>
      <c r="J4" s="9"/>
      <c r="K4" s="9"/>
      <c r="L4" s="8">
        <f t="array" ref="L4">AVERAGE(IF(H$1&lt;=C21:C1048576,K21:K1048576,""))</f>
        <v>9.6149122807017515E-3</v>
      </c>
      <c r="M4" s="16">
        <f t="array" ref="M4">AVERAGE(IF(H$1&lt;=C21:C1048576,H21:H1048576,""))</f>
        <v>25</v>
      </c>
      <c r="N4" s="2"/>
      <c r="O4" s="17" t="s">
        <v>20</v>
      </c>
      <c r="P4" s="18">
        <v>39447</v>
      </c>
      <c r="Q4" s="18">
        <v>45869</v>
      </c>
      <c r="R4" s="19">
        <f t="array" ref="R4">COUNT(IF((P4&lt;=$C$21:$C$1048576)*(Q4&gt;=$E$21:$E$1048576),$G$21:$G$1048576,""))</f>
        <v>129</v>
      </c>
      <c r="S4" s="20">
        <f t="array" ref="S4">SUM(IF((P4&lt;=$C$21:$C$1048576)*(Q4&gt;=$E$21:$E$1048576),$G$21:$G$1048576,""))</f>
        <v>2.5680000000000005</v>
      </c>
      <c r="T4" s="20">
        <f t="array" ref="T4">AVERAGE(IF((P4&lt;=$C$21:$C$1048576)*(Q4&gt;=$E$21:$E$1048576),$G$21:$G$1048576,""))</f>
        <v>1.9906976744186049E-2</v>
      </c>
      <c r="U4" s="20">
        <f>T4/Z4</f>
        <v>2.3612903225806454E-2</v>
      </c>
      <c r="V4" s="20">
        <f t="array" ref="V4">SUM(IF((P4&lt;=$C$21:$C$1048576)*(Q4&gt;=$E$21:$E$1048576),$K$21:$K$1048576,""))</f>
        <v>1.8216666666666661</v>
      </c>
      <c r="W4" s="20">
        <f t="array" ref="W4">AVERAGE(IF((P4&lt;=$C$21:$C$1048576)*(Q4&gt;=$E$21:$E$1048576),$K$21:$K$1048576,""))</f>
        <v>1.4121447028423769E-2</v>
      </c>
      <c r="X4" s="20">
        <f>W4/Z4</f>
        <v>1.6750326600341668E-2</v>
      </c>
      <c r="Y4" s="21">
        <f t="array" ref="Y4">AVERAGE(IF((P4&lt;=$C$21:$C$1048576)*(Q4&gt;=$E$21:$E$1048576),$H$21:$H$1048576,""))</f>
        <v>25.713178294573645</v>
      </c>
      <c r="Z4" s="22">
        <f>Y4/30.5</f>
        <v>0.84305502605159488</v>
      </c>
    </row>
    <row r="5" spans="1:26" ht="15.75" x14ac:dyDescent="0.25">
      <c r="A5" s="3" t="s">
        <v>21</v>
      </c>
      <c r="B5" s="23">
        <f>COUNT(G21:G1048576)</f>
        <v>134</v>
      </c>
      <c r="C5" s="23"/>
      <c r="D5" s="23"/>
      <c r="E5" s="23">
        <f>COUNT(K21:K1048576)</f>
        <v>134</v>
      </c>
      <c r="F5" s="24">
        <f>F4/30.5</f>
        <v>0.84022510398825545</v>
      </c>
      <c r="G5" s="3"/>
      <c r="H5" s="3" t="s">
        <v>21</v>
      </c>
      <c r="I5" s="23">
        <f t="array" ref="I5">COUNT(IF(H$1&lt;=C21:C1048576,G21:G1048576,""))</f>
        <v>114</v>
      </c>
      <c r="J5" s="23"/>
      <c r="K5" s="23"/>
      <c r="L5" s="23">
        <f t="array" ref="L5">COUNT(IF(H$1&lt;=C21:C1048576,K21:K1048576,""))</f>
        <v>114</v>
      </c>
      <c r="M5" s="24">
        <f>M4/30.5</f>
        <v>0.81967213114754101</v>
      </c>
      <c r="N5" s="2"/>
      <c r="O5" s="17" t="s">
        <v>22</v>
      </c>
      <c r="P5" s="18">
        <v>39447</v>
      </c>
      <c r="Q5" s="18">
        <v>40543</v>
      </c>
      <c r="R5" s="19">
        <f t="array" ref="R5">COUNT(IF((P5&lt;=$C$21:$C$1048576)*(Q5&gt;=$E$21:$E$1048576),$G$21:$G$1048576,""))</f>
        <v>20</v>
      </c>
      <c r="S5" s="20">
        <f t="array" ref="S5">SUM(IF((P5&lt;=$C$21:$C$1048576)*(Q5&gt;=$E$21:$E$1048576),$G$21:$G$1048576,""))</f>
        <v>0.85739999999999983</v>
      </c>
      <c r="T5" s="20">
        <f t="array" ref="T5">AVERAGE(IF((P5&lt;=$C$21:$C$1048576)*(Q5&gt;=$E$21:$E$1048576),$G$21:$G$1048576,""))</f>
        <v>4.2869999999999991E-2</v>
      </c>
      <c r="U5" s="20">
        <f t="shared" ref="U5:U7" si="0">T5/Z5</f>
        <v>4.4778595890410951E-2</v>
      </c>
      <c r="V5" s="20">
        <f t="array" ref="V5">SUM(IF((P5&lt;=$C$21:$C$1048576)*(Q5&gt;=$E$21:$E$1048576),$K$21:$K$1048576,""))</f>
        <v>0.73006666666666664</v>
      </c>
      <c r="W5" s="20">
        <f t="array" ref="W5">AVERAGE(IF((P5&lt;=$C$21:$C$1048576)*(Q5&gt;=$E$21:$E$1048576),$K$21:$K$1048576,""))</f>
        <v>3.6503333333333332E-2</v>
      </c>
      <c r="X5" s="20">
        <f t="shared" ref="X5:X7" si="1">W5/Z5</f>
        <v>3.8128481735159814E-2</v>
      </c>
      <c r="Y5" s="21">
        <f t="array" ref="Y5">AVERAGE(IF((P5&lt;=$C$21:$C$1048576)*(Q5&gt;=$E$21:$E$1048576),$H$21:$H$1048576,""))</f>
        <v>29.2</v>
      </c>
      <c r="Z5" s="22">
        <f t="shared" ref="Z5:Z7" si="2">Y5/30.5</f>
        <v>0.95737704918032784</v>
      </c>
    </row>
    <row r="6" spans="1:26" ht="15.75" x14ac:dyDescent="0.25">
      <c r="A6" s="7" t="s">
        <v>23</v>
      </c>
      <c r="B6" s="25">
        <f>COUNTIF(G21:G1048576,"&gt;0")/B5</f>
        <v>0.4925373134328358</v>
      </c>
      <c r="C6" s="9"/>
      <c r="D6" s="9"/>
      <c r="E6" s="25">
        <f>COUNTIF(K21:K1048576,"&gt;0")/E5</f>
        <v>0.44029850746268656</v>
      </c>
      <c r="F6" s="9"/>
      <c r="G6" s="3"/>
      <c r="H6" s="7" t="s">
        <v>23</v>
      </c>
      <c r="I6" s="25">
        <f t="array" ref="I6">COUNT(IF((H$1&lt;=C21:C1048576)*(0&lt;G21:G1048576),G21:G1048576,""))/I5</f>
        <v>0.5</v>
      </c>
      <c r="J6" s="9"/>
      <c r="K6" s="9"/>
      <c r="L6" s="25">
        <f t="array" ref="L6">COUNT(IF((H$1&lt;=C21:C1048576)*(0&lt;K21:K1048576),K21:K1048576,""))/L5</f>
        <v>0.43859649122807015</v>
      </c>
      <c r="M6" s="9"/>
      <c r="N6" s="2"/>
      <c r="O6" s="17" t="s">
        <v>24</v>
      </c>
      <c r="P6" s="18">
        <v>40543</v>
      </c>
      <c r="Q6" s="18">
        <v>43830</v>
      </c>
      <c r="R6" s="19">
        <f t="array" ref="R6">COUNT(IF((P6&lt;=$C$21:$C$1048576)*(Q6&gt;=$E$21:$E$1048576),$G$21:$G$1048576,""))</f>
        <v>60</v>
      </c>
      <c r="S6" s="20">
        <f t="array" ref="S6">SUM(IF((P6&lt;=$C$21:$C$1048576)*(Q6&gt;=$E$21:$E$1048576),$G$21:$G$1048576,""))</f>
        <v>0.80660000000000009</v>
      </c>
      <c r="T6" s="20">
        <f t="array" ref="T6">AVERAGE(IF((P6&lt;=$C$21:$C$1048576)*(Q6&gt;=$E$21:$E$1048576),$G$21:$G$1048576,""))</f>
        <v>1.3443333333333335E-2</v>
      </c>
      <c r="U6" s="20">
        <f t="shared" si="0"/>
        <v>1.6522028206850239E-2</v>
      </c>
      <c r="V6" s="20">
        <f t="array" ref="V6">SUM(IF((P6&lt;=$C$21:$C$1048576)*(Q6&gt;=$E$21:$E$1048576),$K$21:$K$1048576,""))</f>
        <v>0.46843333333333315</v>
      </c>
      <c r="W6" s="20">
        <f t="array" ref="W6">AVERAGE(IF((P6&lt;=$C$21:$C$1048576)*(Q6&gt;=$E$21:$E$1048576),$K$21:$K$1048576,""))</f>
        <v>7.8072222222222189E-3</v>
      </c>
      <c r="X6" s="20">
        <f t="shared" si="1"/>
        <v>9.5951757331542379E-3</v>
      </c>
      <c r="Y6" s="21">
        <f t="array" ref="Y6">AVERAGE(IF((P6&lt;=$C$21:$C$1048576)*(Q6&gt;=$E$21:$E$1048576),$H$21:$H$1048576,""))</f>
        <v>24.816666666666666</v>
      </c>
      <c r="Z6" s="22">
        <f t="shared" si="2"/>
        <v>0.8136612021857923</v>
      </c>
    </row>
    <row r="7" spans="1:26" ht="16.5" thickBot="1" x14ac:dyDescent="0.3">
      <c r="A7" s="3" t="s">
        <v>25</v>
      </c>
      <c r="B7" s="26">
        <f>AVERAGEIF(G21:G1048576,"&gt;0",G21:G1048576)</f>
        <v>5.6983333333333344E-2</v>
      </c>
      <c r="C7" s="23"/>
      <c r="D7" s="23"/>
      <c r="E7" s="26">
        <f>AVERAGEIF(K21:K1048576,"&gt;0",K21:K1048576)</f>
        <v>5.4577401129943491E-2</v>
      </c>
      <c r="F7" s="23"/>
      <c r="G7" s="3"/>
      <c r="H7" s="3" t="s">
        <v>25</v>
      </c>
      <c r="I7" s="26">
        <f t="array" ref="I7">AVERAGE(IF((H$1&lt;=C21:C1048576)*(0&lt;G21:G1048576),G21:G1048576,""))</f>
        <v>4.6243859649122802E-2</v>
      </c>
      <c r="J7" s="23"/>
      <c r="K7" s="23"/>
      <c r="L7" s="26">
        <f t="array" ref="L7">AVERAGE(IF((H$1&lt;=C21:C1048576)*(0&lt;K21:K1048576),K21:K1048576,""))</f>
        <v>4.3697999999999994E-2</v>
      </c>
      <c r="M7" s="23"/>
      <c r="N7" s="2"/>
      <c r="O7" s="27" t="s">
        <v>26</v>
      </c>
      <c r="P7" s="28">
        <v>40543</v>
      </c>
      <c r="Q7" s="28">
        <v>45869</v>
      </c>
      <c r="R7" s="29">
        <f t="array" ref="R7">COUNT(IF((P7&lt;=$C$21:$C$1048576)*(Q7&gt;=$E$21:$E$1048576),$G$21:$G$1048576,""))</f>
        <v>109</v>
      </c>
      <c r="S7" s="30">
        <f t="array" ref="S7">SUM(IF((P7&lt;=$C$21:$C$1048576)*(Q7&gt;=$E$21:$E$1048576),$G$21:$G$1048576,""))</f>
        <v>1.7106000000000003</v>
      </c>
      <c r="T7" s="30">
        <f t="array" ref="T7">AVERAGE(IF((P7&lt;=$C$21:$C$1048576)*(Q7&gt;=$E$21:$E$1048576),$G$21:$G$1048576,""))</f>
        <v>1.5693577981651378E-2</v>
      </c>
      <c r="U7" s="30">
        <f t="shared" si="0"/>
        <v>1.9090120746432494E-2</v>
      </c>
      <c r="V7" s="30">
        <f t="array" ref="V7">SUM(IF((P7&lt;=$C$21:$C$1048576)*(Q7&gt;=$E$21:$E$1048576),$K$21:$K$1048576,""))</f>
        <v>1.0915999999999997</v>
      </c>
      <c r="W7" s="30">
        <f t="array" ref="W7">AVERAGE(IF((P7&lt;=$C$21:$C$1048576)*(Q7&gt;=$E$21:$E$1048576),$K$21:$K$1048576,""))</f>
        <v>1.0014678899082566E-2</v>
      </c>
      <c r="X7" s="30">
        <f t="shared" si="1"/>
        <v>1.2182144163922427E-2</v>
      </c>
      <c r="Y7" s="31">
        <f t="array" ref="Y7">AVERAGE(IF((P7&lt;=$C$21:$C$1048576)*(Q7&gt;=$E$21:$E$1048576),$H$21:$H$1048576,""))</f>
        <v>25.073394495412845</v>
      </c>
      <c r="Z7" s="32">
        <f t="shared" si="2"/>
        <v>0.82207850804632276</v>
      </c>
    </row>
    <row r="8" spans="1:26" x14ac:dyDescent="0.25">
      <c r="A8" s="3" t="s">
        <v>27</v>
      </c>
      <c r="B8" s="26">
        <f>AVERAGEIF(G21:G1048576,"&lt;0",G21:G1048576)</f>
        <v>-1.7079411764705885E-2</v>
      </c>
      <c r="C8" s="23"/>
      <c r="D8" s="23"/>
      <c r="E8" s="26">
        <f>AVERAGEIF(K21:K1048576,"&lt;0",K21:K1048576)</f>
        <v>-1.8585333333333336E-2</v>
      </c>
      <c r="F8" s="23"/>
      <c r="G8" s="3"/>
      <c r="H8" s="3" t="s">
        <v>27</v>
      </c>
      <c r="I8" s="26">
        <f t="array" ref="I8">AVERAGE(IF((H$1&lt;=C21:C1048576)*(0&gt;G21:G1048576),G21:G1048576,""))</f>
        <v>-1.5680701754385969E-2</v>
      </c>
      <c r="J8" s="23"/>
      <c r="K8" s="23"/>
      <c r="L8" s="26">
        <f t="array" ref="L8">AVERAGE(IF((H$1&lt;=C21:C1048576)*(0&gt;K21:K1048576),K21:K1048576,""))</f>
        <v>-1.7012499999999996E-2</v>
      </c>
      <c r="M8" s="23"/>
      <c r="N8" s="2"/>
    </row>
    <row r="9" spans="1:26" x14ac:dyDescent="0.25">
      <c r="A9" s="3" t="s">
        <v>28</v>
      </c>
      <c r="B9" s="33">
        <f>MAX(G21:G1048576)</f>
        <v>0.60199999999999998</v>
      </c>
      <c r="C9" s="23"/>
      <c r="D9" s="23"/>
      <c r="E9" s="33">
        <f>MAX(K21:K503)</f>
        <v>0.58450000000000002</v>
      </c>
      <c r="F9" s="23"/>
      <c r="G9" s="3"/>
      <c r="H9" s="3" t="s">
        <v>28</v>
      </c>
      <c r="I9" s="33">
        <f t="array" ref="I9">MAX(IF(H$1&lt;=C21:C1048576,G21:G1048576,""))</f>
        <v>0.14480000000000001</v>
      </c>
      <c r="J9" s="23"/>
      <c r="K9" s="23"/>
      <c r="L9" s="33">
        <f t="array" ref="L9">MAX(IF(H$1&lt;=C21:C1048576,K21:K1048576,""))</f>
        <v>0.12796666666666667</v>
      </c>
      <c r="M9" s="23"/>
      <c r="N9" s="2"/>
    </row>
    <row r="10" spans="1:26" x14ac:dyDescent="0.25">
      <c r="A10" s="3" t="s">
        <v>29</v>
      </c>
      <c r="B10" s="33">
        <f>MIN(G21:G1048576)</f>
        <v>-5.9299999999999999E-2</v>
      </c>
      <c r="C10" s="23"/>
      <c r="D10" s="23"/>
      <c r="E10" s="33">
        <f>MIN(K21:K503)</f>
        <v>-6.0966666666666662E-2</v>
      </c>
      <c r="F10" s="23"/>
      <c r="G10" s="3"/>
      <c r="H10" s="3" t="s">
        <v>29</v>
      </c>
      <c r="I10" s="33">
        <f t="array" ref="I10">MIN(IF(H$1&lt;=C21:C1048576,G21:G1048576,""))</f>
        <v>-5.9299999999999999E-2</v>
      </c>
      <c r="J10" s="23"/>
      <c r="K10" s="23"/>
      <c r="L10" s="33">
        <f t="array" ref="L10">MIN(IF(H$1&lt;=C21:C1048576,K21:K1048576,""))</f>
        <v>-6.0966666666666662E-2</v>
      </c>
      <c r="M10" s="23"/>
      <c r="N10" s="2"/>
    </row>
    <row r="11" spans="1:26" x14ac:dyDescent="0.25">
      <c r="A11" s="7" t="s">
        <v>30</v>
      </c>
      <c r="B11" s="16">
        <f>((B6*B7)-((1-B6)*ABS(B8)))/(ABS(B8))</f>
        <v>1.1358268070702111</v>
      </c>
      <c r="C11" s="9"/>
      <c r="D11" s="9"/>
      <c r="E11" s="16">
        <f>((E6*E7)-((1-E6)*ABS(E8)))/(ABS(E8))</f>
        <v>0.73327226411882007</v>
      </c>
      <c r="F11" s="9"/>
      <c r="G11" s="3"/>
      <c r="H11" s="7" t="s">
        <v>30</v>
      </c>
      <c r="I11" s="16">
        <f>((I6*I7)-((1-I6)*ABS(I8)))/(ABS(I8))</f>
        <v>0.97454687849630739</v>
      </c>
      <c r="J11" s="9"/>
      <c r="K11" s="9"/>
      <c r="L11" s="16">
        <f>((L6*L7)-((1-L6)*ABS(L8)))/(ABS(L8))</f>
        <v>0.5651675109890818</v>
      </c>
      <c r="M11" s="9"/>
      <c r="N11" s="2"/>
    </row>
    <row r="12" spans="1:26" x14ac:dyDescent="0.25">
      <c r="A12" s="3" t="s">
        <v>31</v>
      </c>
      <c r="B12" s="33">
        <f>B4/F4*30</f>
        <v>2.2709668025626094E-2</v>
      </c>
      <c r="C12" s="23"/>
      <c r="D12" s="23"/>
      <c r="E12" s="33">
        <f>E4/F4*30</f>
        <v>1.5953698311007562E-2</v>
      </c>
      <c r="F12" s="23"/>
      <c r="G12" s="3"/>
      <c r="H12" s="3" t="s">
        <v>31</v>
      </c>
      <c r="I12" s="33">
        <f>I4/M4*30</f>
        <v>1.8337894736842112E-2</v>
      </c>
      <c r="J12" s="23"/>
      <c r="K12" s="23"/>
      <c r="L12" s="33">
        <f>L4/M4*30</f>
        <v>1.1537894736842101E-2</v>
      </c>
      <c r="M12" s="23"/>
      <c r="N12" s="2"/>
    </row>
    <row r="13" spans="1:26" x14ac:dyDescent="0.25">
      <c r="A13" s="3" t="s">
        <v>32</v>
      </c>
      <c r="B13" s="34">
        <f>ABS(B7/B8)</f>
        <v>3.3363756385970955</v>
      </c>
      <c r="C13" s="23"/>
      <c r="D13" s="23"/>
      <c r="E13" s="34">
        <f>ABS(E7/E8)</f>
        <v>2.9365844642698624</v>
      </c>
      <c r="F13" s="23"/>
      <c r="G13" s="3"/>
      <c r="H13" s="3" t="s">
        <v>32</v>
      </c>
      <c r="I13" s="34">
        <f>ABS(I7/I8)</f>
        <v>2.9490937569926148</v>
      </c>
      <c r="J13" s="23"/>
      <c r="K13" s="23"/>
      <c r="L13" s="34">
        <f>ABS(L7/L8)</f>
        <v>2.5685819250551067</v>
      </c>
      <c r="M13" s="23"/>
      <c r="N13" s="2"/>
    </row>
    <row r="14" spans="1:26" x14ac:dyDescent="0.25">
      <c r="A14" s="3" t="s">
        <v>33</v>
      </c>
      <c r="B14" s="35">
        <f>(INDEX($L$20:$L$1048576,MATCH(MAX($E$20:$E$1048576),$E$20:$E$1048576,0),1)/100)^(1/(((MAX(E20:E1048575)-MIN(C20:C1048576))/365)))-1</f>
        <v>0.14619388806090972</v>
      </c>
      <c r="C14" s="23"/>
      <c r="D14" s="23"/>
      <c r="E14" s="35">
        <f>(INDEX($Q$20:$Q$1048576,MATCH(MAX($E$20:$E$1048576),$E$20:$E$1048576,0),1)/100)^(1/(((MAX(E20:E1048576)-MIN(C20:C1048576))/365)))-1</f>
        <v>9.7671236841526898E-2</v>
      </c>
      <c r="F14" s="23"/>
      <c r="G14" s="3"/>
      <c r="H14" s="3" t="s">
        <v>33</v>
      </c>
      <c r="I14" s="35">
        <f>(INDEX(L20:L1048575,MATCH(L1,E20:E1048575,0),1)/INDEX(L20:L1048575,MATCH(J1,C20:C1048575,0)-1,1))^(1/(((MAX(E20:E1048575)-J1)/365)))-1</f>
        <v>0.12115553396328305</v>
      </c>
      <c r="J14" s="23"/>
      <c r="K14" s="23"/>
      <c r="L14" s="35">
        <f>(INDEX(Q20:Q1048575,MATCH(L1,E20:E1048575,0),1)/INDEX(Q20:Q1048575,MATCH(J1,C20:C1048575,0)-1,1))^(1/(((MAX(E20:E1048575)-J1)/365)))-1</f>
        <v>7.3253655340095092E-2</v>
      </c>
      <c r="M14" s="23"/>
      <c r="N14" s="2"/>
    </row>
    <row r="15" spans="1:26" x14ac:dyDescent="0.25">
      <c r="A15" t="s">
        <v>34</v>
      </c>
      <c r="B15" s="35">
        <f>MIN($O$20:$O$1048576)</f>
        <v>-0.11452317659418901</v>
      </c>
      <c r="E15" s="35">
        <f>MIN($T$20:$T$1048576)</f>
        <v>-0.12835801440732617</v>
      </c>
      <c r="H15" t="s">
        <v>34</v>
      </c>
      <c r="I15" s="35">
        <f t="array" ref="I15">MIN(IF(H$1&lt;=C21:C1048576,O21:O1048576,""))</f>
        <v>-0.11452317659418901</v>
      </c>
      <c r="L15" s="35">
        <f t="array" ref="L15">MIN(IF(J$1&lt;=C21:C1048576,T20:T1048575,""))</f>
        <v>-0.12835801440732617</v>
      </c>
      <c r="N15" s="2"/>
    </row>
    <row r="16" spans="1:26" x14ac:dyDescent="0.25">
      <c r="A16" t="s">
        <v>35</v>
      </c>
      <c r="B16" s="36">
        <f>ABS(B14/B15)</f>
        <v>1.2765441232820964</v>
      </c>
      <c r="E16" s="36">
        <f>ABS(E14/E15)</f>
        <v>0.76092823103028784</v>
      </c>
      <c r="H16" t="s">
        <v>35</v>
      </c>
      <c r="I16" s="36">
        <f>ABS(I14/I15)</f>
        <v>1.0579127960499706</v>
      </c>
      <c r="L16" s="36">
        <f>ABS(L14/L15)</f>
        <v>0.5706979472869913</v>
      </c>
      <c r="N16" s="2"/>
    </row>
    <row r="17" spans="1:39" x14ac:dyDescent="0.25">
      <c r="C17" s="1"/>
      <c r="E17" s="1"/>
      <c r="G17" s="2"/>
      <c r="I17" s="2"/>
      <c r="O17" s="2"/>
      <c r="P17" s="2"/>
    </row>
    <row r="18" spans="1:39" x14ac:dyDescent="0.25">
      <c r="C18" s="1"/>
      <c r="E18" s="1"/>
      <c r="G18" s="2"/>
      <c r="M18" t="s">
        <v>36</v>
      </c>
      <c r="R18" t="s">
        <v>37</v>
      </c>
    </row>
    <row r="19" spans="1:39" x14ac:dyDescent="0.25">
      <c r="C19" s="1"/>
      <c r="E19" s="1"/>
      <c r="G19" s="2"/>
      <c r="L19" t="s">
        <v>38</v>
      </c>
      <c r="M19" t="s">
        <v>39</v>
      </c>
      <c r="N19" t="s">
        <v>34</v>
      </c>
      <c r="O19" t="s">
        <v>40</v>
      </c>
      <c r="Q19" t="s">
        <v>38</v>
      </c>
      <c r="R19" t="s">
        <v>39</v>
      </c>
      <c r="S19" t="s">
        <v>34</v>
      </c>
      <c r="T19" t="s">
        <v>40</v>
      </c>
      <c r="U19" t="s">
        <v>41</v>
      </c>
      <c r="V19" t="s">
        <v>42</v>
      </c>
      <c r="Y19" s="45" t="s">
        <v>99</v>
      </c>
      <c r="Z19" s="45" t="s">
        <v>54</v>
      </c>
    </row>
    <row r="20" spans="1:39" x14ac:dyDescent="0.25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s="37" t="s">
        <v>5</v>
      </c>
      <c r="I20" s="23" t="s">
        <v>43</v>
      </c>
      <c r="J20" s="38" t="s">
        <v>3</v>
      </c>
      <c r="K20" s="38" t="s">
        <v>44</v>
      </c>
      <c r="L20">
        <v>100</v>
      </c>
      <c r="M20">
        <f t="shared" ref="M20:M23" si="3">MAX(L20,M19)</f>
        <v>100</v>
      </c>
      <c r="N20" t="str">
        <f t="shared" ref="N20:N23" si="4">IF(M20&gt;L20,L20-M20,"")</f>
        <v/>
      </c>
      <c r="O20" s="39"/>
      <c r="Q20">
        <v>100</v>
      </c>
      <c r="R20">
        <f t="shared" ref="R20:R23" si="5">MAX(Q20,R19)</f>
        <v>100</v>
      </c>
      <c r="S20" t="str">
        <f t="shared" ref="S20:S23" si="6">IF(R20&gt;Q20,Q20-R20,"")</f>
        <v/>
      </c>
      <c r="T20" s="39"/>
      <c r="Y20" s="45" t="s">
        <v>86</v>
      </c>
      <c r="Z20" t="s">
        <v>76</v>
      </c>
      <c r="AA20" t="s">
        <v>77</v>
      </c>
      <c r="AB20" t="s">
        <v>78</v>
      </c>
      <c r="AC20" t="s">
        <v>79</v>
      </c>
      <c r="AD20" t="s">
        <v>80</v>
      </c>
      <c r="AE20" t="s">
        <v>81</v>
      </c>
      <c r="AF20" t="s">
        <v>82</v>
      </c>
      <c r="AG20" t="s">
        <v>83</v>
      </c>
      <c r="AH20" t="s">
        <v>84</v>
      </c>
      <c r="AI20" t="s">
        <v>85</v>
      </c>
      <c r="AJ20" t="s">
        <v>74</v>
      </c>
      <c r="AK20" t="s">
        <v>75</v>
      </c>
      <c r="AL20" t="s">
        <v>55</v>
      </c>
      <c r="AM20" t="s">
        <v>87</v>
      </c>
    </row>
    <row r="21" spans="1:39" x14ac:dyDescent="0.25">
      <c r="A21" t="s">
        <v>52</v>
      </c>
      <c r="B21" t="s">
        <v>53</v>
      </c>
      <c r="C21" s="1">
        <v>39773</v>
      </c>
      <c r="D21">
        <v>2693.45</v>
      </c>
      <c r="E21" s="1">
        <v>39808</v>
      </c>
      <c r="F21">
        <v>2857.25</v>
      </c>
      <c r="G21" s="2">
        <v>6.08E-2</v>
      </c>
      <c r="H21" s="41">
        <f t="shared" ref="H21:H23" si="7">E21-C21</f>
        <v>35</v>
      </c>
      <c r="I21" s="42">
        <f t="shared" ref="I21:I23" si="8">C$1</f>
        <v>1.5E-3</v>
      </c>
      <c r="J21" s="42">
        <f t="shared" ref="J21:J23" si="9">H21/30*D$1</f>
        <v>5.8333333333333336E-3</v>
      </c>
      <c r="K21" s="42">
        <f t="shared" ref="K21:K23" si="10">G21-SUM(I21,J21)</f>
        <v>5.3466666666666662E-2</v>
      </c>
      <c r="L21" s="43">
        <f t="shared" ref="L21:L23" si="11">L20*(1+G21)</f>
        <v>106.08</v>
      </c>
      <c r="M21" s="43">
        <f t="shared" si="3"/>
        <v>106.08</v>
      </c>
      <c r="N21" s="43" t="str">
        <f t="shared" si="4"/>
        <v/>
      </c>
      <c r="O21" s="44">
        <f t="shared" ref="O21:O23" si="12">IFERROR(N21/M21,0)</f>
        <v>0</v>
      </c>
      <c r="P21" s="43"/>
      <c r="Q21" s="43">
        <f t="shared" ref="Q21:Q23" si="13">Q20*(1+K21)</f>
        <v>105.34666666666665</v>
      </c>
      <c r="R21" s="43">
        <f t="shared" si="5"/>
        <v>105.34666666666665</v>
      </c>
      <c r="S21" s="43" t="str">
        <f t="shared" si="6"/>
        <v/>
      </c>
      <c r="T21" s="44">
        <f t="shared" ref="T21:T23" si="14">IFERROR(S21/R21,0)</f>
        <v>0</v>
      </c>
      <c r="U21" s="43">
        <f t="shared" ref="U21:U23" si="15">YEAR(E21)</f>
        <v>2008</v>
      </c>
      <c r="V21" s="43">
        <f t="shared" ref="V21:V23" si="16">YEAR(C21)</f>
        <v>2008</v>
      </c>
      <c r="Y21" s="46" t="s">
        <v>56</v>
      </c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>
        <v>5.3466666666666662E-2</v>
      </c>
      <c r="AK21" s="48">
        <v>-2.2633333333333335E-2</v>
      </c>
      <c r="AL21" s="48">
        <v>3.0833333333333327E-2</v>
      </c>
      <c r="AM21" s="47">
        <f>AVERAGE(Z21:AK21)</f>
        <v>1.5416666666666664E-2</v>
      </c>
    </row>
    <row r="22" spans="1:39" x14ac:dyDescent="0.25">
      <c r="A22" t="s">
        <v>52</v>
      </c>
      <c r="B22" t="s">
        <v>53</v>
      </c>
      <c r="C22" s="1">
        <v>39812</v>
      </c>
      <c r="D22">
        <v>2979.5</v>
      </c>
      <c r="E22" s="1">
        <v>39820</v>
      </c>
      <c r="F22">
        <v>2920.4</v>
      </c>
      <c r="G22" s="2">
        <v>-1.9800000000000002E-2</v>
      </c>
      <c r="H22" s="40">
        <f t="shared" si="7"/>
        <v>8</v>
      </c>
      <c r="I22" s="4">
        <f t="shared" si="8"/>
        <v>1.5E-3</v>
      </c>
      <c r="J22" s="4">
        <f t="shared" si="9"/>
        <v>1.3333333333333333E-3</v>
      </c>
      <c r="K22" s="4">
        <f t="shared" si="10"/>
        <v>-2.2633333333333335E-2</v>
      </c>
      <c r="L22">
        <f t="shared" si="11"/>
        <v>103.97961599999999</v>
      </c>
      <c r="M22">
        <f t="shared" si="3"/>
        <v>106.08</v>
      </c>
      <c r="N22">
        <f t="shared" si="4"/>
        <v>-2.1003840000000054</v>
      </c>
      <c r="O22" s="39">
        <f t="shared" si="12"/>
        <v>-1.980000000000005E-2</v>
      </c>
      <c r="Q22">
        <f t="shared" si="13"/>
        <v>102.96232044444443</v>
      </c>
      <c r="R22">
        <f t="shared" si="5"/>
        <v>105.34666666666665</v>
      </c>
      <c r="S22">
        <f t="shared" si="6"/>
        <v>-2.38434622222222</v>
      </c>
      <c r="T22" s="39">
        <f t="shared" si="14"/>
        <v>-2.2633333333333318E-2</v>
      </c>
      <c r="U22">
        <f t="shared" si="15"/>
        <v>2009</v>
      </c>
      <c r="V22">
        <f t="shared" si="16"/>
        <v>2008</v>
      </c>
      <c r="Y22" s="46" t="s">
        <v>57</v>
      </c>
      <c r="Z22" s="48">
        <v>-3.2533333333333331E-2</v>
      </c>
      <c r="AA22" s="48">
        <v>-4.2066666666666662E-2</v>
      </c>
      <c r="AB22" s="48">
        <v>0.58450000000000002</v>
      </c>
      <c r="AC22" s="48"/>
      <c r="AD22" s="48"/>
      <c r="AE22" s="48">
        <v>-5.1066666666666663E-2</v>
      </c>
      <c r="AF22" s="48">
        <v>7.3399999999999993E-2</v>
      </c>
      <c r="AG22" s="48">
        <v>1.3899999999999996E-2</v>
      </c>
      <c r="AH22" s="48"/>
      <c r="AI22" s="48"/>
      <c r="AJ22" s="48">
        <v>4.4999999999999971E-3</v>
      </c>
      <c r="AK22" s="48">
        <v>-1.6133333333333333E-2</v>
      </c>
      <c r="AL22" s="48">
        <v>0.53449999999999998</v>
      </c>
      <c r="AM22" s="47">
        <f t="shared" ref="AM22:AM38" si="17">AVERAGE(Z22:AK22)</f>
        <v>6.6812499999999997E-2</v>
      </c>
    </row>
    <row r="23" spans="1:39" x14ac:dyDescent="0.25">
      <c r="A23" t="s">
        <v>52</v>
      </c>
      <c r="B23" t="s">
        <v>53</v>
      </c>
      <c r="C23" s="1">
        <v>39841</v>
      </c>
      <c r="D23">
        <v>2849.5</v>
      </c>
      <c r="E23" s="1">
        <v>39861</v>
      </c>
      <c r="F23">
        <v>2770.5</v>
      </c>
      <c r="G23" s="2">
        <v>-2.7699999999999999E-2</v>
      </c>
      <c r="H23" s="40">
        <f t="shared" si="7"/>
        <v>20</v>
      </c>
      <c r="I23" s="4">
        <f t="shared" si="8"/>
        <v>1.5E-3</v>
      </c>
      <c r="J23" s="4">
        <f t="shared" si="9"/>
        <v>3.3333333333333331E-3</v>
      </c>
      <c r="K23" s="4">
        <f t="shared" si="10"/>
        <v>-3.2533333333333331E-2</v>
      </c>
      <c r="L23">
        <f t="shared" si="11"/>
        <v>101.09938063679999</v>
      </c>
      <c r="M23">
        <f t="shared" si="3"/>
        <v>106.08</v>
      </c>
      <c r="N23">
        <f t="shared" si="4"/>
        <v>-4.980619363200006</v>
      </c>
      <c r="O23" s="39">
        <f t="shared" si="12"/>
        <v>-4.6951540000000055E-2</v>
      </c>
      <c r="Q23">
        <f t="shared" si="13"/>
        <v>99.612612952651844</v>
      </c>
      <c r="R23">
        <f t="shared" si="5"/>
        <v>105.34666666666665</v>
      </c>
      <c r="S23">
        <f t="shared" si="6"/>
        <v>-5.7340537140148058</v>
      </c>
      <c r="T23" s="39">
        <f t="shared" si="14"/>
        <v>-5.443032888888881E-2</v>
      </c>
      <c r="U23">
        <f t="shared" si="15"/>
        <v>2009</v>
      </c>
      <c r="V23">
        <f t="shared" si="16"/>
        <v>2009</v>
      </c>
      <c r="Y23" s="46" t="s">
        <v>58</v>
      </c>
      <c r="Z23" s="48"/>
      <c r="AA23" s="48">
        <v>5.9766666666666662E-2</v>
      </c>
      <c r="AB23" s="48"/>
      <c r="AC23" s="48">
        <v>-1.9033333333333333E-2</v>
      </c>
      <c r="AD23" s="48">
        <v>3.5900000000000001E-2</v>
      </c>
      <c r="AE23" s="48"/>
      <c r="AF23" s="48"/>
      <c r="AG23" s="48"/>
      <c r="AH23" s="48">
        <v>8.3533333333333334E-2</v>
      </c>
      <c r="AI23" s="48"/>
      <c r="AJ23" s="48">
        <v>-1.0833333333333334E-2</v>
      </c>
      <c r="AK23" s="48">
        <v>1.54E-2</v>
      </c>
      <c r="AL23" s="48">
        <v>0.16473333333333334</v>
      </c>
      <c r="AM23" s="47">
        <f t="shared" si="17"/>
        <v>2.7455555555555556E-2</v>
      </c>
    </row>
    <row r="24" spans="1:39" x14ac:dyDescent="0.25">
      <c r="A24" t="s">
        <v>52</v>
      </c>
      <c r="B24" t="s">
        <v>53</v>
      </c>
      <c r="C24" s="1">
        <v>39870</v>
      </c>
      <c r="D24">
        <v>2785.65</v>
      </c>
      <c r="E24" s="1">
        <v>39874</v>
      </c>
      <c r="F24">
        <v>2674.6</v>
      </c>
      <c r="G24" s="2">
        <v>-3.9899999999999998E-2</v>
      </c>
      <c r="H24" s="40">
        <f t="shared" ref="H24:H87" si="18">E24-C24</f>
        <v>4</v>
      </c>
      <c r="I24" s="4">
        <f t="shared" ref="I24:I87" si="19">C$1</f>
        <v>1.5E-3</v>
      </c>
      <c r="J24" s="4">
        <f t="shared" ref="J24:J87" si="20">H24/30*D$1</f>
        <v>6.6666666666666664E-4</v>
      </c>
      <c r="K24" s="4">
        <f t="shared" ref="K24:K87" si="21">G24-SUM(I24,J24)</f>
        <v>-4.2066666666666662E-2</v>
      </c>
      <c r="L24">
        <f t="shared" ref="L24:L87" si="22">L23*(1+G24)</f>
        <v>97.065515349391674</v>
      </c>
      <c r="M24">
        <f t="shared" ref="M24:M87" si="23">MAX(L24,M23)</f>
        <v>106.08</v>
      </c>
      <c r="N24">
        <f t="shared" ref="N24:N87" si="24">IF(M24&gt;L24,L24-M24,"")</f>
        <v>-9.014484650608324</v>
      </c>
      <c r="O24" s="39">
        <f t="shared" ref="O24:O87" si="25">IFERROR(N24/M24,0)</f>
        <v>-8.4978173554000044E-2</v>
      </c>
      <c r="Q24">
        <f t="shared" ref="Q24:Q87" si="26">Q23*(1+K24)</f>
        <v>95.42224236777696</v>
      </c>
      <c r="R24">
        <f t="shared" ref="R24:R87" si="27">MAX(Q24,R23)</f>
        <v>105.34666666666665</v>
      </c>
      <c r="S24">
        <f t="shared" ref="S24:S87" si="28">IF(R24&gt;Q24,Q24-R24,"")</f>
        <v>-9.92442429888969</v>
      </c>
      <c r="T24" s="39">
        <f t="shared" ref="T24:T87" si="29">IFERROR(S24/R24,0)</f>
        <v>-9.4207293053629529E-2</v>
      </c>
      <c r="U24">
        <f t="shared" ref="U24:U87" si="30">YEAR(E24)</f>
        <v>2009</v>
      </c>
      <c r="V24">
        <f t="shared" ref="V24:V87" si="31">YEAR(C24)</f>
        <v>2009</v>
      </c>
      <c r="Y24" s="46" t="s">
        <v>59</v>
      </c>
      <c r="Z24" s="48"/>
      <c r="AA24" s="48"/>
      <c r="AB24" s="48"/>
      <c r="AC24" s="48"/>
      <c r="AD24" s="48"/>
      <c r="AE24" s="48"/>
      <c r="AF24" s="48"/>
      <c r="AG24" s="48"/>
      <c r="AH24" s="48">
        <v>2.3333333333333279E-4</v>
      </c>
      <c r="AI24" s="48">
        <v>2.6566666666666666E-2</v>
      </c>
      <c r="AJ24" s="48"/>
      <c r="AK24" s="48"/>
      <c r="AL24" s="48">
        <v>2.6799999999999997E-2</v>
      </c>
      <c r="AM24" s="47">
        <f t="shared" si="17"/>
        <v>1.3399999999999999E-2</v>
      </c>
    </row>
    <row r="25" spans="1:39" x14ac:dyDescent="0.25">
      <c r="A25" t="s">
        <v>52</v>
      </c>
      <c r="B25" t="s">
        <v>53</v>
      </c>
      <c r="C25" s="1">
        <v>39885</v>
      </c>
      <c r="D25">
        <v>2719.25</v>
      </c>
      <c r="E25" s="1">
        <v>39981</v>
      </c>
      <c r="F25">
        <v>4356.1499999999996</v>
      </c>
      <c r="G25" s="2">
        <v>0.60199999999999998</v>
      </c>
      <c r="H25" s="40">
        <f t="shared" si="18"/>
        <v>96</v>
      </c>
      <c r="I25" s="4">
        <f t="shared" si="19"/>
        <v>1.5E-3</v>
      </c>
      <c r="J25" s="4">
        <f t="shared" si="20"/>
        <v>1.6E-2</v>
      </c>
      <c r="K25" s="4">
        <f t="shared" si="21"/>
        <v>0.58450000000000002</v>
      </c>
      <c r="L25">
        <f t="shared" si="22"/>
        <v>155.49895558972545</v>
      </c>
      <c r="M25">
        <f t="shared" si="23"/>
        <v>155.49895558972545</v>
      </c>
      <c r="N25" t="str">
        <f t="shared" si="24"/>
        <v/>
      </c>
      <c r="O25" s="39">
        <f t="shared" si="25"/>
        <v>0</v>
      </c>
      <c r="Q25">
        <f t="shared" si="26"/>
        <v>151.19654303174261</v>
      </c>
      <c r="R25">
        <f t="shared" si="27"/>
        <v>151.19654303174261</v>
      </c>
      <c r="S25" t="str">
        <f t="shared" si="28"/>
        <v/>
      </c>
      <c r="T25" s="39">
        <f t="shared" si="29"/>
        <v>0</v>
      </c>
      <c r="U25">
        <f t="shared" si="30"/>
        <v>2009</v>
      </c>
      <c r="V25">
        <f t="shared" si="31"/>
        <v>2009</v>
      </c>
      <c r="Y25" s="46" t="s">
        <v>60</v>
      </c>
      <c r="Z25" s="48"/>
      <c r="AA25" s="48"/>
      <c r="AB25" s="48"/>
      <c r="AC25" s="48"/>
      <c r="AD25" s="48">
        <v>-2.0666666666666672E-3</v>
      </c>
      <c r="AE25" s="48">
        <v>3.1933333333333327E-2</v>
      </c>
      <c r="AF25" s="48">
        <v>1.0399999999999998E-2</v>
      </c>
      <c r="AG25" s="48"/>
      <c r="AH25" s="48">
        <v>5.1000000000000004E-2</v>
      </c>
      <c r="AI25" s="48"/>
      <c r="AJ25" s="48">
        <v>2.8299999999999999E-2</v>
      </c>
      <c r="AK25" s="48"/>
      <c r="AL25" s="48">
        <v>0.11956666666666665</v>
      </c>
      <c r="AM25" s="47">
        <f t="shared" si="17"/>
        <v>2.3913333333333332E-2</v>
      </c>
    </row>
    <row r="26" spans="1:39" x14ac:dyDescent="0.25">
      <c r="A26" t="s">
        <v>52</v>
      </c>
      <c r="B26" t="s">
        <v>53</v>
      </c>
      <c r="C26" s="1">
        <v>39990</v>
      </c>
      <c r="D26">
        <v>4375.5</v>
      </c>
      <c r="E26" s="1">
        <v>40000</v>
      </c>
      <c r="F26">
        <v>4165.7</v>
      </c>
      <c r="G26" s="2">
        <v>-4.7899999999999998E-2</v>
      </c>
      <c r="H26" s="40">
        <f t="shared" si="18"/>
        <v>10</v>
      </c>
      <c r="I26" s="4">
        <f t="shared" si="19"/>
        <v>1.5E-3</v>
      </c>
      <c r="J26" s="4">
        <f t="shared" si="20"/>
        <v>1.6666666666666666E-3</v>
      </c>
      <c r="K26" s="4">
        <f t="shared" si="21"/>
        <v>-5.1066666666666663E-2</v>
      </c>
      <c r="L26">
        <f t="shared" si="22"/>
        <v>148.05055561697759</v>
      </c>
      <c r="M26">
        <f t="shared" si="23"/>
        <v>155.49895558972545</v>
      </c>
      <c r="N26">
        <f t="shared" si="24"/>
        <v>-7.4483999727478647</v>
      </c>
      <c r="O26" s="39">
        <f t="shared" si="25"/>
        <v>-4.7900000000000102E-2</v>
      </c>
      <c r="Q26">
        <f t="shared" si="26"/>
        <v>143.47543956758827</v>
      </c>
      <c r="R26">
        <f t="shared" si="27"/>
        <v>151.19654303174261</v>
      </c>
      <c r="S26">
        <f t="shared" si="28"/>
        <v>-7.7211034641543392</v>
      </c>
      <c r="T26" s="39">
        <f t="shared" si="29"/>
        <v>-5.1066666666666781E-2</v>
      </c>
      <c r="U26">
        <f t="shared" si="30"/>
        <v>2009</v>
      </c>
      <c r="V26">
        <f t="shared" si="31"/>
        <v>2009</v>
      </c>
      <c r="Y26" s="46" t="s">
        <v>61</v>
      </c>
      <c r="Z26" s="48"/>
      <c r="AA26" s="48">
        <v>-1.6533333333333334E-2</v>
      </c>
      <c r="AB26" s="48"/>
      <c r="AC26" s="48"/>
      <c r="AD26" s="48"/>
      <c r="AE26" s="48"/>
      <c r="AF26" s="48"/>
      <c r="AG26" s="48">
        <v>3.6200000000000003E-2</v>
      </c>
      <c r="AH26" s="48"/>
      <c r="AI26" s="48">
        <v>3.1600000000000003E-2</v>
      </c>
      <c r="AJ26" s="48">
        <v>-2.8500000000000001E-2</v>
      </c>
      <c r="AK26" s="48">
        <v>-1.2166666666666668E-2</v>
      </c>
      <c r="AL26" s="48">
        <v>1.06E-2</v>
      </c>
      <c r="AM26" s="47">
        <f t="shared" si="17"/>
        <v>2.1199999999999999E-3</v>
      </c>
    </row>
    <row r="27" spans="1:39" x14ac:dyDescent="0.25">
      <c r="A27" t="s">
        <v>52</v>
      </c>
      <c r="B27" t="s">
        <v>53</v>
      </c>
      <c r="C27" s="1">
        <v>40008</v>
      </c>
      <c r="D27">
        <v>4111.3999999999996</v>
      </c>
      <c r="E27" s="1">
        <v>40035</v>
      </c>
      <c r="F27">
        <v>4437.6499999999996</v>
      </c>
      <c r="G27" s="2">
        <v>7.9399999999999998E-2</v>
      </c>
      <c r="H27" s="40">
        <f t="shared" si="18"/>
        <v>27</v>
      </c>
      <c r="I27" s="4">
        <f t="shared" si="19"/>
        <v>1.5E-3</v>
      </c>
      <c r="J27" s="4">
        <f t="shared" si="20"/>
        <v>4.5000000000000005E-3</v>
      </c>
      <c r="K27" s="4">
        <f t="shared" si="21"/>
        <v>7.3399999999999993E-2</v>
      </c>
      <c r="L27">
        <f t="shared" si="22"/>
        <v>159.80576973296559</v>
      </c>
      <c r="M27">
        <f t="shared" si="23"/>
        <v>159.80576973296559</v>
      </c>
      <c r="N27" t="str">
        <f t="shared" si="24"/>
        <v/>
      </c>
      <c r="O27" s="39">
        <f t="shared" si="25"/>
        <v>0</v>
      </c>
      <c r="Q27">
        <f t="shared" si="26"/>
        <v>154.00653683184925</v>
      </c>
      <c r="R27">
        <f t="shared" si="27"/>
        <v>154.00653683184925</v>
      </c>
      <c r="S27" t="str">
        <f t="shared" si="28"/>
        <v/>
      </c>
      <c r="T27" s="39">
        <f t="shared" si="29"/>
        <v>0</v>
      </c>
      <c r="U27">
        <f t="shared" si="30"/>
        <v>2009</v>
      </c>
      <c r="V27">
        <f t="shared" si="31"/>
        <v>2009</v>
      </c>
      <c r="Y27" s="46" t="s">
        <v>62</v>
      </c>
      <c r="Z27" s="48">
        <v>-2.5633333333333334E-2</v>
      </c>
      <c r="AA27" s="48">
        <v>6.6866666666666658E-2</v>
      </c>
      <c r="AB27" s="48"/>
      <c r="AC27" s="48"/>
      <c r="AD27" s="48">
        <v>9.9900000000000003E-2</v>
      </c>
      <c r="AE27" s="48"/>
      <c r="AF27" s="48">
        <v>-7.0666666666666664E-3</v>
      </c>
      <c r="AG27" s="48">
        <v>1.9266666666666665E-2</v>
      </c>
      <c r="AH27" s="48">
        <v>-2.7666666666666669E-2</v>
      </c>
      <c r="AI27" s="48">
        <v>1.3066666666666667E-2</v>
      </c>
      <c r="AJ27" s="48"/>
      <c r="AK27" s="48">
        <v>-8.5666666666666669E-3</v>
      </c>
      <c r="AL27" s="48">
        <v>0.13016666666666665</v>
      </c>
      <c r="AM27" s="47">
        <f t="shared" si="17"/>
        <v>1.6270833333333332E-2</v>
      </c>
    </row>
    <row r="28" spans="1:39" x14ac:dyDescent="0.25">
      <c r="A28" t="s">
        <v>52</v>
      </c>
      <c r="B28" t="s">
        <v>53</v>
      </c>
      <c r="C28" s="1">
        <v>40038</v>
      </c>
      <c r="D28">
        <v>4605</v>
      </c>
      <c r="E28" s="1">
        <v>40042</v>
      </c>
      <c r="F28">
        <v>4387.8999999999996</v>
      </c>
      <c r="G28" s="2">
        <v>-4.7100000000000003E-2</v>
      </c>
      <c r="H28" s="40">
        <f t="shared" si="18"/>
        <v>4</v>
      </c>
      <c r="I28" s="4">
        <f t="shared" si="19"/>
        <v>1.5E-3</v>
      </c>
      <c r="J28" s="4">
        <f t="shared" si="20"/>
        <v>6.6666666666666664E-4</v>
      </c>
      <c r="K28" s="4">
        <f t="shared" si="21"/>
        <v>-4.9266666666666667E-2</v>
      </c>
      <c r="L28">
        <f t="shared" si="22"/>
        <v>152.27891797854289</v>
      </c>
      <c r="M28">
        <f t="shared" si="23"/>
        <v>159.80576973296559</v>
      </c>
      <c r="N28">
        <f t="shared" si="24"/>
        <v>-7.5268517544226938</v>
      </c>
      <c r="O28" s="39">
        <f t="shared" si="25"/>
        <v>-4.7100000000000093E-2</v>
      </c>
      <c r="Q28">
        <f t="shared" si="26"/>
        <v>146.41914811726681</v>
      </c>
      <c r="R28">
        <f t="shared" si="27"/>
        <v>154.00653683184925</v>
      </c>
      <c r="S28">
        <f t="shared" si="28"/>
        <v>-7.5873887145824312</v>
      </c>
      <c r="T28" s="39">
        <f t="shared" si="29"/>
        <v>-4.9266666666666611E-2</v>
      </c>
      <c r="U28">
        <f t="shared" si="30"/>
        <v>2009</v>
      </c>
      <c r="V28">
        <f t="shared" si="31"/>
        <v>2009</v>
      </c>
      <c r="Y28" s="46" t="s">
        <v>63</v>
      </c>
      <c r="Z28" s="48">
        <v>5.7566666666666662E-2</v>
      </c>
      <c r="AA28" s="48">
        <v>-7.3000000000000001E-3</v>
      </c>
      <c r="AB28" s="48">
        <v>8.8999999999999999E-3</v>
      </c>
      <c r="AC28" s="48"/>
      <c r="AD28" s="48">
        <v>-7.5899999999999995E-2</v>
      </c>
      <c r="AE28" s="48">
        <v>2.4133333333333333E-2</v>
      </c>
      <c r="AF28" s="48">
        <v>-4.0533333333333331E-2</v>
      </c>
      <c r="AG28" s="48">
        <v>-2.8366666666666669E-2</v>
      </c>
      <c r="AH28" s="48"/>
      <c r="AI28" s="48"/>
      <c r="AJ28" s="48"/>
      <c r="AK28" s="48"/>
      <c r="AL28" s="48">
        <v>-6.1499999999999999E-2</v>
      </c>
      <c r="AM28" s="47">
        <f t="shared" si="17"/>
        <v>-8.7857142857142856E-3</v>
      </c>
    </row>
    <row r="29" spans="1:39" x14ac:dyDescent="0.25">
      <c r="A29" t="s">
        <v>52</v>
      </c>
      <c r="B29" t="s">
        <v>53</v>
      </c>
      <c r="C29" s="1">
        <v>40049</v>
      </c>
      <c r="D29">
        <v>4642.8</v>
      </c>
      <c r="E29" s="1">
        <v>40108</v>
      </c>
      <c r="F29">
        <v>4988.6000000000004</v>
      </c>
      <c r="G29" s="2">
        <v>7.4499999999999997E-2</v>
      </c>
      <c r="H29" s="40">
        <f t="shared" si="18"/>
        <v>59</v>
      </c>
      <c r="I29" s="4">
        <f t="shared" si="19"/>
        <v>1.5E-3</v>
      </c>
      <c r="J29" s="4">
        <f t="shared" si="20"/>
        <v>9.8333333333333328E-3</v>
      </c>
      <c r="K29" s="4">
        <f t="shared" si="21"/>
        <v>6.3166666666666663E-2</v>
      </c>
      <c r="L29">
        <f t="shared" si="22"/>
        <v>163.62369736794435</v>
      </c>
      <c r="M29">
        <f t="shared" si="23"/>
        <v>163.62369736794435</v>
      </c>
      <c r="N29" t="str">
        <f t="shared" si="24"/>
        <v/>
      </c>
      <c r="O29" s="39">
        <f t="shared" si="25"/>
        <v>0</v>
      </c>
      <c r="Q29">
        <f t="shared" si="26"/>
        <v>155.6679576400075</v>
      </c>
      <c r="R29">
        <f t="shared" si="27"/>
        <v>155.6679576400075</v>
      </c>
      <c r="S29" t="str">
        <f t="shared" si="28"/>
        <v/>
      </c>
      <c r="T29" s="39">
        <f t="shared" si="29"/>
        <v>0</v>
      </c>
      <c r="U29">
        <f t="shared" si="30"/>
        <v>2009</v>
      </c>
      <c r="V29">
        <f t="shared" si="31"/>
        <v>2009</v>
      </c>
      <c r="Y29" s="46" t="s">
        <v>64</v>
      </c>
      <c r="Z29" s="48"/>
      <c r="AA29" s="48">
        <v>-1.4466666666666668E-2</v>
      </c>
      <c r="AB29" s="48">
        <v>3.7233333333333334E-2</v>
      </c>
      <c r="AC29" s="48">
        <v>4.7333333333333342E-3</v>
      </c>
      <c r="AD29" s="48">
        <v>2.3766666666666665E-2</v>
      </c>
      <c r="AE29" s="48">
        <v>4.5666666666666661E-2</v>
      </c>
      <c r="AF29" s="48"/>
      <c r="AG29" s="48"/>
      <c r="AH29" s="48">
        <v>-1.2366666666666668E-2</v>
      </c>
      <c r="AI29" s="48">
        <v>-3.2099999999999997E-2</v>
      </c>
      <c r="AJ29" s="48">
        <v>-3.0899999999999997E-2</v>
      </c>
      <c r="AK29" s="48">
        <v>0.10163333333333334</v>
      </c>
      <c r="AL29" s="48">
        <v>0.1232</v>
      </c>
      <c r="AM29" s="47">
        <f t="shared" si="17"/>
        <v>1.3688888888888889E-2</v>
      </c>
    </row>
    <row r="30" spans="1:39" x14ac:dyDescent="0.25">
      <c r="A30" t="s">
        <v>52</v>
      </c>
      <c r="B30" t="s">
        <v>53</v>
      </c>
      <c r="C30" s="1">
        <v>40123</v>
      </c>
      <c r="D30">
        <v>4796.1499999999996</v>
      </c>
      <c r="E30" s="1">
        <v>40144</v>
      </c>
      <c r="F30">
        <v>4941.75</v>
      </c>
      <c r="G30" s="2">
        <v>3.04E-2</v>
      </c>
      <c r="H30" s="40">
        <f t="shared" si="18"/>
        <v>21</v>
      </c>
      <c r="I30" s="4">
        <f t="shared" si="19"/>
        <v>1.5E-3</v>
      </c>
      <c r="J30" s="4">
        <f t="shared" si="20"/>
        <v>3.4999999999999996E-3</v>
      </c>
      <c r="K30" s="4">
        <f t="shared" si="21"/>
        <v>2.5399999999999999E-2</v>
      </c>
      <c r="L30">
        <f t="shared" si="22"/>
        <v>168.59785776792984</v>
      </c>
      <c r="M30">
        <f t="shared" si="23"/>
        <v>168.59785776792984</v>
      </c>
      <c r="N30" t="str">
        <f t="shared" si="24"/>
        <v/>
      </c>
      <c r="O30" s="39">
        <f t="shared" si="25"/>
        <v>0</v>
      </c>
      <c r="Q30">
        <f t="shared" si="26"/>
        <v>159.62192376406369</v>
      </c>
      <c r="R30">
        <f t="shared" si="27"/>
        <v>159.62192376406369</v>
      </c>
      <c r="S30" t="str">
        <f t="shared" si="28"/>
        <v/>
      </c>
      <c r="T30" s="39">
        <f t="shared" si="29"/>
        <v>0</v>
      </c>
      <c r="U30">
        <f t="shared" si="30"/>
        <v>2009</v>
      </c>
      <c r="V30">
        <f t="shared" si="31"/>
        <v>2009</v>
      </c>
      <c r="Y30" s="46" t="s">
        <v>65</v>
      </c>
      <c r="Z30" s="48"/>
      <c r="AA30" s="48"/>
      <c r="AB30" s="48"/>
      <c r="AC30" s="48">
        <v>1.1866666666666668E-2</v>
      </c>
      <c r="AD30" s="48">
        <v>-6.8000000000000014E-3</v>
      </c>
      <c r="AE30" s="48"/>
      <c r="AF30" s="48">
        <v>2.283333333333333E-2</v>
      </c>
      <c r="AG30" s="48">
        <v>-3.0666666666666665E-2</v>
      </c>
      <c r="AH30" s="48"/>
      <c r="AI30" s="48">
        <v>3.1866666666666668E-2</v>
      </c>
      <c r="AJ30" s="48">
        <v>-9.1666666666666667E-3</v>
      </c>
      <c r="AK30" s="48">
        <v>3.7366666666666666E-2</v>
      </c>
      <c r="AL30" s="48">
        <v>5.7300000000000004E-2</v>
      </c>
      <c r="AM30" s="47">
        <f t="shared" si="17"/>
        <v>8.1857142857142857E-3</v>
      </c>
    </row>
    <row r="31" spans="1:39" x14ac:dyDescent="0.25">
      <c r="A31" t="s">
        <v>52</v>
      </c>
      <c r="B31" t="s">
        <v>53</v>
      </c>
      <c r="C31" s="1">
        <v>40147</v>
      </c>
      <c r="D31">
        <v>5032.7</v>
      </c>
      <c r="E31" s="1">
        <v>40168</v>
      </c>
      <c r="F31">
        <v>4952.6000000000004</v>
      </c>
      <c r="G31" s="2">
        <v>-1.5900000000000001E-2</v>
      </c>
      <c r="H31" s="40">
        <f t="shared" si="18"/>
        <v>21</v>
      </c>
      <c r="I31" s="4">
        <f t="shared" si="19"/>
        <v>1.5E-3</v>
      </c>
      <c r="J31" s="4">
        <f t="shared" si="20"/>
        <v>3.4999999999999996E-3</v>
      </c>
      <c r="K31" s="4">
        <f t="shared" si="21"/>
        <v>-2.0900000000000002E-2</v>
      </c>
      <c r="L31">
        <f t="shared" si="22"/>
        <v>165.91715182941974</v>
      </c>
      <c r="M31">
        <f t="shared" si="23"/>
        <v>168.59785776792984</v>
      </c>
      <c r="N31">
        <f t="shared" si="24"/>
        <v>-2.6807059385101013</v>
      </c>
      <c r="O31" s="39">
        <f t="shared" si="25"/>
        <v>-1.5900000000000102E-2</v>
      </c>
      <c r="Q31">
        <f t="shared" si="26"/>
        <v>156.28582555739476</v>
      </c>
      <c r="R31">
        <f t="shared" si="27"/>
        <v>159.62192376406369</v>
      </c>
      <c r="S31">
        <f t="shared" si="28"/>
        <v>-3.336098206668936</v>
      </c>
      <c r="T31" s="39">
        <f t="shared" si="29"/>
        <v>-2.090000000000003E-2</v>
      </c>
      <c r="U31">
        <f t="shared" si="30"/>
        <v>2009</v>
      </c>
      <c r="V31">
        <f t="shared" si="31"/>
        <v>2009</v>
      </c>
      <c r="Y31" s="46" t="s">
        <v>67</v>
      </c>
      <c r="Z31" s="48"/>
      <c r="AA31" s="48">
        <v>6.306666666666666E-2</v>
      </c>
      <c r="AB31" s="48"/>
      <c r="AC31" s="48">
        <v>-1.44E-2</v>
      </c>
      <c r="AD31" s="48"/>
      <c r="AE31" s="48"/>
      <c r="AF31" s="48"/>
      <c r="AG31" s="48">
        <v>-6.7666666666666674E-3</v>
      </c>
      <c r="AH31" s="48">
        <v>-1.2633333333333333E-2</v>
      </c>
      <c r="AI31" s="48">
        <v>3.3033333333333331E-2</v>
      </c>
      <c r="AJ31" s="48"/>
      <c r="AK31" s="48">
        <v>-1.32E-2</v>
      </c>
      <c r="AL31" s="48">
        <v>4.9099999999999991E-2</v>
      </c>
      <c r="AM31" s="47">
        <f t="shared" si="17"/>
        <v>8.1833333333333324E-3</v>
      </c>
    </row>
    <row r="32" spans="1:39" x14ac:dyDescent="0.25">
      <c r="A32" t="s">
        <v>52</v>
      </c>
      <c r="B32" t="s">
        <v>53</v>
      </c>
      <c r="C32" s="1">
        <v>40170</v>
      </c>
      <c r="D32">
        <v>5144.6000000000004</v>
      </c>
      <c r="E32" s="1">
        <v>40199</v>
      </c>
      <c r="F32">
        <v>5094.1499999999996</v>
      </c>
      <c r="G32" s="2">
        <v>-9.7999999999999997E-3</v>
      </c>
      <c r="H32" s="40">
        <f t="shared" si="18"/>
        <v>29</v>
      </c>
      <c r="I32" s="4">
        <f t="shared" si="19"/>
        <v>1.5E-3</v>
      </c>
      <c r="J32" s="4">
        <f t="shared" si="20"/>
        <v>4.8333333333333336E-3</v>
      </c>
      <c r="K32" s="4">
        <f t="shared" si="21"/>
        <v>-1.6133333333333333E-2</v>
      </c>
      <c r="L32">
        <f t="shared" si="22"/>
        <v>164.29116374149143</v>
      </c>
      <c r="M32">
        <f t="shared" si="23"/>
        <v>168.59785776792984</v>
      </c>
      <c r="N32">
        <f t="shared" si="24"/>
        <v>-4.3066940264384073</v>
      </c>
      <c r="O32" s="39">
        <f t="shared" si="25"/>
        <v>-2.5544180000000055E-2</v>
      </c>
      <c r="Q32">
        <f t="shared" si="26"/>
        <v>153.76441423840211</v>
      </c>
      <c r="R32">
        <f t="shared" si="27"/>
        <v>159.62192376406369</v>
      </c>
      <c r="S32">
        <f t="shared" si="28"/>
        <v>-5.8575095256615839</v>
      </c>
      <c r="T32" s="39">
        <f t="shared" si="29"/>
        <v>-3.6696146666666776E-2</v>
      </c>
      <c r="U32">
        <f t="shared" si="30"/>
        <v>2010</v>
      </c>
      <c r="V32">
        <f t="shared" si="31"/>
        <v>2009</v>
      </c>
      <c r="Y32" s="46" t="s">
        <v>68</v>
      </c>
      <c r="Z32" s="48">
        <v>-7.3000000000000001E-3</v>
      </c>
      <c r="AA32" s="48">
        <v>-1.7333333333333333E-2</v>
      </c>
      <c r="AB32" s="48">
        <v>3.3033333333333338E-2</v>
      </c>
      <c r="AC32" s="48">
        <v>5.1000000000000004E-2</v>
      </c>
      <c r="AD32" s="48">
        <v>2.1466666666666665E-2</v>
      </c>
      <c r="AE32" s="48">
        <v>7.0133333333333325E-2</v>
      </c>
      <c r="AF32" s="48"/>
      <c r="AG32" s="48">
        <v>-8.2000000000000007E-3</v>
      </c>
      <c r="AH32" s="48">
        <v>9.3333333333333358E-3</v>
      </c>
      <c r="AI32" s="48"/>
      <c r="AJ32" s="48">
        <v>0.10986666666666667</v>
      </c>
      <c r="AK32" s="48">
        <v>1.9566666666666666E-2</v>
      </c>
      <c r="AL32" s="48">
        <v>0.28156666666666669</v>
      </c>
      <c r="AM32" s="47">
        <f t="shared" si="17"/>
        <v>2.815666666666667E-2</v>
      </c>
    </row>
    <row r="33" spans="1:39" x14ac:dyDescent="0.25">
      <c r="A33" t="s">
        <v>52</v>
      </c>
      <c r="B33" t="s">
        <v>53</v>
      </c>
      <c r="C33" s="1">
        <v>40225</v>
      </c>
      <c r="D33">
        <v>4855.75</v>
      </c>
      <c r="E33" s="1">
        <v>40287</v>
      </c>
      <c r="F33">
        <v>5203.6499999999996</v>
      </c>
      <c r="G33" s="2">
        <v>7.1599999999999997E-2</v>
      </c>
      <c r="H33" s="40">
        <f t="shared" si="18"/>
        <v>62</v>
      </c>
      <c r="I33" s="4">
        <f t="shared" si="19"/>
        <v>1.5E-3</v>
      </c>
      <c r="J33" s="4">
        <f t="shared" si="20"/>
        <v>1.0333333333333335E-2</v>
      </c>
      <c r="K33" s="4">
        <f t="shared" si="21"/>
        <v>5.9766666666666662E-2</v>
      </c>
      <c r="L33">
        <f t="shared" si="22"/>
        <v>176.05441106538223</v>
      </c>
      <c r="M33">
        <f t="shared" si="23"/>
        <v>176.05441106538223</v>
      </c>
      <c r="N33" t="str">
        <f t="shared" si="24"/>
        <v/>
      </c>
      <c r="O33" s="39">
        <f t="shared" si="25"/>
        <v>0</v>
      </c>
      <c r="Q33">
        <f t="shared" si="26"/>
        <v>162.95440072938396</v>
      </c>
      <c r="R33">
        <f t="shared" si="27"/>
        <v>162.95440072938396</v>
      </c>
      <c r="S33" t="str">
        <f t="shared" si="28"/>
        <v/>
      </c>
      <c r="T33" s="39">
        <f t="shared" si="29"/>
        <v>0</v>
      </c>
      <c r="U33">
        <f t="shared" si="30"/>
        <v>2010</v>
      </c>
      <c r="V33">
        <f t="shared" si="31"/>
        <v>2010</v>
      </c>
      <c r="Y33" s="46" t="s">
        <v>69</v>
      </c>
      <c r="Z33" s="48"/>
      <c r="AA33" s="48">
        <v>1.2566666666666663E-2</v>
      </c>
      <c r="AB33" s="48">
        <v>-7.7899999999999997E-2</v>
      </c>
      <c r="AC33" s="48">
        <v>-1.3366666666666666E-2</v>
      </c>
      <c r="AD33" s="48">
        <v>2.4500000000000001E-2</v>
      </c>
      <c r="AE33" s="48"/>
      <c r="AF33" s="48">
        <v>0.12796666666666667</v>
      </c>
      <c r="AG33" s="48"/>
      <c r="AH33" s="48"/>
      <c r="AI33" s="48"/>
      <c r="AJ33" s="48">
        <v>-1.2400000000000001E-2</v>
      </c>
      <c r="AK33" s="48"/>
      <c r="AL33" s="48">
        <v>6.1366666666666674E-2</v>
      </c>
      <c r="AM33" s="47">
        <f t="shared" si="17"/>
        <v>1.0227777777777778E-2</v>
      </c>
    </row>
    <row r="34" spans="1:39" x14ac:dyDescent="0.25">
      <c r="A34" t="s">
        <v>52</v>
      </c>
      <c r="B34" t="s">
        <v>53</v>
      </c>
      <c r="C34" s="1">
        <v>40291</v>
      </c>
      <c r="D34">
        <v>5304.1</v>
      </c>
      <c r="E34" s="1">
        <v>40296</v>
      </c>
      <c r="F34">
        <v>5215.45</v>
      </c>
      <c r="G34" s="2">
        <v>-1.67E-2</v>
      </c>
      <c r="H34" s="40">
        <f t="shared" si="18"/>
        <v>5</v>
      </c>
      <c r="I34" s="4">
        <f t="shared" si="19"/>
        <v>1.5E-3</v>
      </c>
      <c r="J34" s="4">
        <f t="shared" si="20"/>
        <v>8.3333333333333328E-4</v>
      </c>
      <c r="K34" s="4">
        <f t="shared" si="21"/>
        <v>-1.9033333333333333E-2</v>
      </c>
      <c r="L34">
        <f t="shared" si="22"/>
        <v>173.11430240059033</v>
      </c>
      <c r="M34">
        <f t="shared" si="23"/>
        <v>176.05441106538223</v>
      </c>
      <c r="N34">
        <f t="shared" si="24"/>
        <v>-2.940108664791893</v>
      </c>
      <c r="O34" s="39">
        <f t="shared" si="25"/>
        <v>-1.6700000000000055E-2</v>
      </c>
      <c r="Q34">
        <f t="shared" si="26"/>
        <v>159.85283530216802</v>
      </c>
      <c r="R34">
        <f t="shared" si="27"/>
        <v>162.95440072938396</v>
      </c>
      <c r="S34">
        <f t="shared" si="28"/>
        <v>-3.1015654272159452</v>
      </c>
      <c r="T34" s="39">
        <f t="shared" si="29"/>
        <v>-1.9033333333333357E-2</v>
      </c>
      <c r="U34">
        <f t="shared" si="30"/>
        <v>2010</v>
      </c>
      <c r="V34">
        <f t="shared" si="31"/>
        <v>2010</v>
      </c>
      <c r="Y34" s="46" t="s">
        <v>70</v>
      </c>
      <c r="Z34" s="48"/>
      <c r="AA34" s="48"/>
      <c r="AB34" s="48"/>
      <c r="AC34" s="48"/>
      <c r="AD34" s="48"/>
      <c r="AE34" s="48">
        <v>0.10276666666666666</v>
      </c>
      <c r="AF34" s="48"/>
      <c r="AG34" s="48">
        <v>-1.7233333333333333E-2</v>
      </c>
      <c r="AH34" s="48">
        <v>-2.9400000000000003E-2</v>
      </c>
      <c r="AI34" s="48">
        <v>3.8600000000000002E-2</v>
      </c>
      <c r="AJ34" s="48"/>
      <c r="AK34" s="48">
        <v>-1.2233333333333332E-2</v>
      </c>
      <c r="AL34" s="48">
        <v>8.249999999999999E-2</v>
      </c>
      <c r="AM34" s="47">
        <f t="shared" si="17"/>
        <v>1.6499999999999997E-2</v>
      </c>
    </row>
    <row r="35" spans="1:39" x14ac:dyDescent="0.25">
      <c r="A35" t="s">
        <v>52</v>
      </c>
      <c r="B35" t="s">
        <v>53</v>
      </c>
      <c r="C35" s="1">
        <v>40308</v>
      </c>
      <c r="D35">
        <v>5193.6000000000004</v>
      </c>
      <c r="E35" s="1">
        <v>40315</v>
      </c>
      <c r="F35">
        <v>5059.8999999999996</v>
      </c>
      <c r="G35" s="2">
        <v>-2.5700000000000001E-2</v>
      </c>
      <c r="H35" s="40">
        <f t="shared" si="18"/>
        <v>7</v>
      </c>
      <c r="I35" s="4">
        <f t="shared" si="19"/>
        <v>1.5E-3</v>
      </c>
      <c r="J35" s="4">
        <f t="shared" si="20"/>
        <v>1.1666666666666668E-3</v>
      </c>
      <c r="K35" s="4">
        <f t="shared" si="21"/>
        <v>-2.8366666666666669E-2</v>
      </c>
      <c r="L35">
        <f t="shared" si="22"/>
        <v>168.66526482889515</v>
      </c>
      <c r="M35">
        <f t="shared" si="23"/>
        <v>176.05441106538223</v>
      </c>
      <c r="N35">
        <f t="shared" si="24"/>
        <v>-7.389146236487079</v>
      </c>
      <c r="O35" s="39">
        <f t="shared" si="25"/>
        <v>-4.1970810000000136E-2</v>
      </c>
      <c r="Q35">
        <f t="shared" si="26"/>
        <v>155.31834320742985</v>
      </c>
      <c r="R35">
        <f t="shared" si="27"/>
        <v>162.95440072938396</v>
      </c>
      <c r="S35">
        <f t="shared" si="28"/>
        <v>-7.6360575219541147</v>
      </c>
      <c r="T35" s="39">
        <f t="shared" si="29"/>
        <v>-4.6860087777777823E-2</v>
      </c>
      <c r="U35">
        <f t="shared" si="30"/>
        <v>2010</v>
      </c>
      <c r="V35">
        <f t="shared" si="31"/>
        <v>2010</v>
      </c>
      <c r="Y35" s="46" t="s">
        <v>71</v>
      </c>
      <c r="Z35" s="48"/>
      <c r="AA35" s="48">
        <v>-6.8333333333333336E-3</v>
      </c>
      <c r="AB35" s="48">
        <v>7.4466666666666653E-2</v>
      </c>
      <c r="AC35" s="48"/>
      <c r="AD35" s="48"/>
      <c r="AE35" s="48"/>
      <c r="AF35" s="48"/>
      <c r="AG35" s="48">
        <v>-1.6433333333333335E-2</v>
      </c>
      <c r="AH35" s="48">
        <v>1.0966666666666668E-2</v>
      </c>
      <c r="AI35" s="48">
        <v>-9.4333333333333335E-3</v>
      </c>
      <c r="AJ35" s="48">
        <v>0.10780000000000001</v>
      </c>
      <c r="AK35" s="48"/>
      <c r="AL35" s="48">
        <v>0.16053333333333333</v>
      </c>
      <c r="AM35" s="47">
        <f t="shared" si="17"/>
        <v>2.6755555555555557E-2</v>
      </c>
    </row>
    <row r="36" spans="1:39" x14ac:dyDescent="0.25">
      <c r="A36" t="s">
        <v>52</v>
      </c>
      <c r="B36" t="s">
        <v>53</v>
      </c>
      <c r="C36" s="1">
        <v>40325</v>
      </c>
      <c r="D36">
        <v>5003.1000000000004</v>
      </c>
      <c r="E36" s="1">
        <v>40417</v>
      </c>
      <c r="F36">
        <v>5408.7</v>
      </c>
      <c r="G36" s="2">
        <v>8.1100000000000005E-2</v>
      </c>
      <c r="H36" s="40">
        <f t="shared" si="18"/>
        <v>92</v>
      </c>
      <c r="I36" s="4">
        <f t="shared" si="19"/>
        <v>1.5E-3</v>
      </c>
      <c r="J36" s="4">
        <f t="shared" si="20"/>
        <v>1.5333333333333334E-2</v>
      </c>
      <c r="K36" s="4">
        <f t="shared" si="21"/>
        <v>6.4266666666666666E-2</v>
      </c>
      <c r="L36">
        <f t="shared" si="22"/>
        <v>182.34401780651854</v>
      </c>
      <c r="M36">
        <f t="shared" si="23"/>
        <v>182.34401780651854</v>
      </c>
      <c r="N36" t="str">
        <f t="shared" si="24"/>
        <v/>
      </c>
      <c r="O36" s="39">
        <f t="shared" si="25"/>
        <v>0</v>
      </c>
      <c r="Q36">
        <f t="shared" si="26"/>
        <v>165.30013539756067</v>
      </c>
      <c r="R36">
        <f t="shared" si="27"/>
        <v>165.30013539756067</v>
      </c>
      <c r="S36" t="str">
        <f t="shared" si="28"/>
        <v/>
      </c>
      <c r="T36" s="39">
        <f t="shared" si="29"/>
        <v>0</v>
      </c>
      <c r="U36">
        <f t="shared" si="30"/>
        <v>2010</v>
      </c>
      <c r="V36">
        <f t="shared" si="31"/>
        <v>2010</v>
      </c>
      <c r="Y36" s="46" t="s">
        <v>72</v>
      </c>
      <c r="Z36" s="48">
        <v>-9.4333333333333335E-3</v>
      </c>
      <c r="AA36" s="48">
        <v>-2E-3</v>
      </c>
      <c r="AB36" s="48">
        <v>2.5000000000000005E-3</v>
      </c>
      <c r="AC36" s="48">
        <v>-2.1333333333333336E-2</v>
      </c>
      <c r="AD36" s="48">
        <v>-3.3333333333333565E-5</v>
      </c>
      <c r="AE36" s="48">
        <v>-3.9399999999999998E-2</v>
      </c>
      <c r="AF36" s="48"/>
      <c r="AG36" s="48">
        <v>7.7000000000000002E-3</v>
      </c>
      <c r="AH36" s="48">
        <v>1.21E-2</v>
      </c>
      <c r="AI36" s="48"/>
      <c r="AJ36" s="48"/>
      <c r="AK36" s="48"/>
      <c r="AL36" s="48">
        <v>-4.99E-2</v>
      </c>
      <c r="AM36" s="47">
        <f t="shared" si="17"/>
        <v>-6.2375E-3</v>
      </c>
    </row>
    <row r="37" spans="1:39" x14ac:dyDescent="0.25">
      <c r="A37" t="s">
        <v>52</v>
      </c>
      <c r="B37" t="s">
        <v>53</v>
      </c>
      <c r="C37" s="1">
        <v>40422</v>
      </c>
      <c r="D37">
        <v>5471.85</v>
      </c>
      <c r="E37" s="1">
        <v>40471</v>
      </c>
      <c r="F37">
        <v>5982.1</v>
      </c>
      <c r="G37" s="2">
        <v>9.3200000000000005E-2</v>
      </c>
      <c r="H37" s="40">
        <f t="shared" si="18"/>
        <v>49</v>
      </c>
      <c r="I37" s="4">
        <f t="shared" si="19"/>
        <v>1.5E-3</v>
      </c>
      <c r="J37" s="4">
        <f t="shared" si="20"/>
        <v>8.1666666666666658E-3</v>
      </c>
      <c r="K37" s="4">
        <f t="shared" si="21"/>
        <v>8.3533333333333334E-2</v>
      </c>
      <c r="L37">
        <f t="shared" si="22"/>
        <v>199.33848026608607</v>
      </c>
      <c r="M37">
        <f t="shared" si="23"/>
        <v>199.33848026608607</v>
      </c>
      <c r="N37" t="str">
        <f t="shared" si="24"/>
        <v/>
      </c>
      <c r="O37" s="39">
        <f t="shared" si="25"/>
        <v>0</v>
      </c>
      <c r="Q37">
        <f t="shared" si="26"/>
        <v>179.10820670777022</v>
      </c>
      <c r="R37">
        <f t="shared" si="27"/>
        <v>179.10820670777022</v>
      </c>
      <c r="S37" t="str">
        <f t="shared" si="28"/>
        <v/>
      </c>
      <c r="T37" s="39">
        <f t="shared" si="29"/>
        <v>0</v>
      </c>
      <c r="U37">
        <f t="shared" si="30"/>
        <v>2010</v>
      </c>
      <c r="V37">
        <f t="shared" si="31"/>
        <v>2010</v>
      </c>
      <c r="Y37" s="46" t="s">
        <v>73</v>
      </c>
      <c r="Z37" s="48"/>
      <c r="AA37" s="48">
        <v>-1.26E-2</v>
      </c>
      <c r="AB37" s="48">
        <v>3.1100000000000003E-2</v>
      </c>
      <c r="AC37" s="48">
        <v>9.8833333333333342E-2</v>
      </c>
      <c r="AD37" s="48"/>
      <c r="AE37" s="48"/>
      <c r="AF37" s="48">
        <v>-1.7033333333333334E-2</v>
      </c>
      <c r="AG37" s="48">
        <v>-9.4333333333333335E-3</v>
      </c>
      <c r="AH37" s="48">
        <v>8.8000000000000005E-3</v>
      </c>
      <c r="AI37" s="48">
        <v>2.1466666666666665E-2</v>
      </c>
      <c r="AJ37" s="48">
        <v>-3.8333333333333331E-3</v>
      </c>
      <c r="AK37" s="48">
        <v>-1.2500000000000001E-2</v>
      </c>
      <c r="AL37" s="48">
        <v>0.10480000000000002</v>
      </c>
      <c r="AM37" s="47">
        <f t="shared" si="17"/>
        <v>1.1644444444444447E-2</v>
      </c>
    </row>
    <row r="38" spans="1:39" x14ac:dyDescent="0.25">
      <c r="A38" t="s">
        <v>52</v>
      </c>
      <c r="B38" t="s">
        <v>53</v>
      </c>
      <c r="C38" s="1">
        <v>40483</v>
      </c>
      <c r="D38">
        <v>6117.55</v>
      </c>
      <c r="E38" s="1">
        <v>40494</v>
      </c>
      <c r="F38">
        <v>6071.65</v>
      </c>
      <c r="G38" s="2">
        <v>-7.4999999999999997E-3</v>
      </c>
      <c r="H38" s="40">
        <f t="shared" si="18"/>
        <v>11</v>
      </c>
      <c r="I38" s="4">
        <f t="shared" si="19"/>
        <v>1.5E-3</v>
      </c>
      <c r="J38" s="4">
        <f t="shared" si="20"/>
        <v>1.8333333333333333E-3</v>
      </c>
      <c r="K38" s="4">
        <f t="shared" si="21"/>
        <v>-1.0833333333333334E-2</v>
      </c>
      <c r="L38">
        <f t="shared" si="22"/>
        <v>197.84344166409042</v>
      </c>
      <c r="M38">
        <f t="shared" si="23"/>
        <v>199.33848026608607</v>
      </c>
      <c r="N38">
        <f t="shared" si="24"/>
        <v>-1.4950386019956454</v>
      </c>
      <c r="O38" s="39">
        <f t="shared" si="25"/>
        <v>-7.4999999999999997E-3</v>
      </c>
      <c r="Q38">
        <f t="shared" si="26"/>
        <v>177.16786780176938</v>
      </c>
      <c r="R38">
        <f t="shared" si="27"/>
        <v>179.10820670777022</v>
      </c>
      <c r="S38">
        <f t="shared" si="28"/>
        <v>-1.9403389060008465</v>
      </c>
      <c r="T38" s="39">
        <f t="shared" si="29"/>
        <v>-1.0833333333333346E-2</v>
      </c>
      <c r="U38">
        <f t="shared" si="30"/>
        <v>2010</v>
      </c>
      <c r="V38">
        <f t="shared" si="31"/>
        <v>2010</v>
      </c>
      <c r="Y38" s="46" t="s">
        <v>55</v>
      </c>
      <c r="Z38" s="48">
        <v>-1.7333333333333339E-2</v>
      </c>
      <c r="AA38" s="48">
        <v>8.3133333333333309E-2</v>
      </c>
      <c r="AB38" s="48">
        <v>0.69383333333333341</v>
      </c>
      <c r="AC38" s="48">
        <v>9.8300000000000012E-2</v>
      </c>
      <c r="AD38" s="48">
        <v>0.12073333333333333</v>
      </c>
      <c r="AE38" s="48">
        <v>0.18416666666666665</v>
      </c>
      <c r="AF38" s="48">
        <v>0.16996666666666665</v>
      </c>
      <c r="AG38" s="48">
        <v>-4.0033333333333344E-2</v>
      </c>
      <c r="AH38" s="48">
        <v>9.3900000000000011E-2</v>
      </c>
      <c r="AI38" s="48">
        <v>0.15466666666666667</v>
      </c>
      <c r="AJ38" s="48">
        <v>0.20830000000000001</v>
      </c>
      <c r="AK38" s="48">
        <v>7.6533333333333328E-2</v>
      </c>
      <c r="AL38" s="48">
        <v>1.8261666666666667</v>
      </c>
      <c r="AM38" s="47">
        <f t="shared" si="17"/>
        <v>0.15218055555555557</v>
      </c>
    </row>
    <row r="39" spans="1:39" x14ac:dyDescent="0.25">
      <c r="A39" t="s">
        <v>52</v>
      </c>
      <c r="B39" t="s">
        <v>53</v>
      </c>
      <c r="C39" s="1">
        <v>40513</v>
      </c>
      <c r="D39">
        <v>5960.9</v>
      </c>
      <c r="E39" s="1">
        <v>40520</v>
      </c>
      <c r="F39">
        <v>5903.7</v>
      </c>
      <c r="G39" s="2">
        <v>-9.5999999999999992E-3</v>
      </c>
      <c r="H39" s="40">
        <f t="shared" si="18"/>
        <v>7</v>
      </c>
      <c r="I39" s="4">
        <f t="shared" si="19"/>
        <v>1.5E-3</v>
      </c>
      <c r="J39" s="4">
        <f t="shared" si="20"/>
        <v>1.1666666666666668E-3</v>
      </c>
      <c r="K39" s="4">
        <f t="shared" si="21"/>
        <v>-1.2266666666666665E-2</v>
      </c>
      <c r="L39">
        <f t="shared" si="22"/>
        <v>195.94414462411515</v>
      </c>
      <c r="M39">
        <f t="shared" si="23"/>
        <v>199.33848026608607</v>
      </c>
      <c r="N39">
        <f t="shared" si="24"/>
        <v>-3.3943356419709119</v>
      </c>
      <c r="O39" s="39">
        <f t="shared" si="25"/>
        <v>-1.7027999999999991E-2</v>
      </c>
      <c r="Q39">
        <f t="shared" si="26"/>
        <v>174.99460862340101</v>
      </c>
      <c r="R39">
        <f t="shared" si="27"/>
        <v>179.10820670777022</v>
      </c>
      <c r="S39">
        <f t="shared" si="28"/>
        <v>-4.1135980843692153</v>
      </c>
      <c r="T39" s="39">
        <f t="shared" si="29"/>
        <v>-2.2967111111111112E-2</v>
      </c>
      <c r="U39">
        <f t="shared" si="30"/>
        <v>2010</v>
      </c>
      <c r="V39">
        <f t="shared" si="31"/>
        <v>2010</v>
      </c>
    </row>
    <row r="40" spans="1:39" x14ac:dyDescent="0.25">
      <c r="A40" t="s">
        <v>52</v>
      </c>
      <c r="B40" t="s">
        <v>53</v>
      </c>
      <c r="C40" s="1">
        <v>40526</v>
      </c>
      <c r="D40">
        <v>5944.1</v>
      </c>
      <c r="E40" s="1">
        <v>40543</v>
      </c>
      <c r="F40">
        <v>6134.5</v>
      </c>
      <c r="G40" s="2">
        <v>3.2000000000000001E-2</v>
      </c>
      <c r="H40" s="40">
        <f t="shared" si="18"/>
        <v>17</v>
      </c>
      <c r="I40" s="4">
        <f t="shared" si="19"/>
        <v>1.5E-3</v>
      </c>
      <c r="J40" s="4">
        <f t="shared" si="20"/>
        <v>2.8333333333333331E-3</v>
      </c>
      <c r="K40" s="4">
        <f t="shared" si="21"/>
        <v>2.7666666666666666E-2</v>
      </c>
      <c r="L40">
        <f t="shared" si="22"/>
        <v>202.21435725208684</v>
      </c>
      <c r="M40">
        <f t="shared" si="23"/>
        <v>202.21435725208684</v>
      </c>
      <c r="N40" t="str">
        <f t="shared" si="24"/>
        <v/>
      </c>
      <c r="O40" s="39">
        <f t="shared" si="25"/>
        <v>0</v>
      </c>
      <c r="Q40">
        <f t="shared" si="26"/>
        <v>179.83612612864846</v>
      </c>
      <c r="R40">
        <f t="shared" si="27"/>
        <v>179.83612612864846</v>
      </c>
      <c r="S40" t="str">
        <f t="shared" si="28"/>
        <v/>
      </c>
      <c r="T40" s="39">
        <f t="shared" si="29"/>
        <v>0</v>
      </c>
      <c r="U40">
        <f t="shared" si="30"/>
        <v>2010</v>
      </c>
      <c r="V40">
        <f t="shared" si="31"/>
        <v>2010</v>
      </c>
    </row>
    <row r="41" spans="1:39" x14ac:dyDescent="0.25">
      <c r="A41" t="s">
        <v>52</v>
      </c>
      <c r="B41" t="s">
        <v>53</v>
      </c>
      <c r="C41" s="1">
        <v>40812</v>
      </c>
      <c r="D41">
        <v>4835.3999999999996</v>
      </c>
      <c r="E41" s="1">
        <v>40819</v>
      </c>
      <c r="F41">
        <v>4849.5</v>
      </c>
      <c r="G41" s="2">
        <v>2.8999999999999998E-3</v>
      </c>
      <c r="H41" s="40">
        <f t="shared" si="18"/>
        <v>7</v>
      </c>
      <c r="I41" s="4">
        <f t="shared" si="19"/>
        <v>1.5E-3</v>
      </c>
      <c r="J41" s="4">
        <f t="shared" si="20"/>
        <v>1.1666666666666668E-3</v>
      </c>
      <c r="K41" s="4">
        <f t="shared" si="21"/>
        <v>2.3333333333333279E-4</v>
      </c>
      <c r="L41">
        <f t="shared" si="22"/>
        <v>202.80077888811786</v>
      </c>
      <c r="M41">
        <f t="shared" si="23"/>
        <v>202.80077888811786</v>
      </c>
      <c r="N41" t="str">
        <f t="shared" si="24"/>
        <v/>
      </c>
      <c r="O41" s="39">
        <f t="shared" si="25"/>
        <v>0</v>
      </c>
      <c r="Q41">
        <f t="shared" si="26"/>
        <v>179.87808789141181</v>
      </c>
      <c r="R41">
        <f t="shared" si="27"/>
        <v>179.87808789141181</v>
      </c>
      <c r="S41" t="str">
        <f t="shared" si="28"/>
        <v/>
      </c>
      <c r="T41" s="39">
        <f t="shared" si="29"/>
        <v>0</v>
      </c>
      <c r="U41">
        <f t="shared" si="30"/>
        <v>2011</v>
      </c>
      <c r="V41">
        <f t="shared" si="31"/>
        <v>2011</v>
      </c>
    </row>
    <row r="42" spans="1:39" x14ac:dyDescent="0.25">
      <c r="A42" t="s">
        <v>52</v>
      </c>
      <c r="B42" t="s">
        <v>53</v>
      </c>
      <c r="C42" s="1">
        <v>40826</v>
      </c>
      <c r="D42">
        <v>4979.6000000000004</v>
      </c>
      <c r="E42" s="1">
        <v>40861</v>
      </c>
      <c r="F42">
        <v>5148.3500000000004</v>
      </c>
      <c r="G42" s="2">
        <v>3.39E-2</v>
      </c>
      <c r="H42" s="40">
        <f t="shared" si="18"/>
        <v>35</v>
      </c>
      <c r="I42" s="4">
        <f t="shared" si="19"/>
        <v>1.5E-3</v>
      </c>
      <c r="J42" s="4">
        <f t="shared" si="20"/>
        <v>5.8333333333333336E-3</v>
      </c>
      <c r="K42" s="4">
        <f t="shared" si="21"/>
        <v>2.6566666666666666E-2</v>
      </c>
      <c r="L42">
        <f t="shared" si="22"/>
        <v>209.67572529242506</v>
      </c>
      <c r="M42">
        <f t="shared" si="23"/>
        <v>209.67572529242506</v>
      </c>
      <c r="N42" t="str">
        <f t="shared" si="24"/>
        <v/>
      </c>
      <c r="O42" s="39">
        <f t="shared" si="25"/>
        <v>0</v>
      </c>
      <c r="Q42">
        <f t="shared" si="26"/>
        <v>184.65684909306032</v>
      </c>
      <c r="R42">
        <f t="shared" si="27"/>
        <v>184.65684909306032</v>
      </c>
      <c r="S42" t="str">
        <f t="shared" si="28"/>
        <v/>
      </c>
      <c r="T42" s="39">
        <f t="shared" si="29"/>
        <v>0</v>
      </c>
      <c r="U42">
        <f t="shared" si="30"/>
        <v>2011</v>
      </c>
      <c r="V42">
        <f t="shared" si="31"/>
        <v>2011</v>
      </c>
    </row>
    <row r="43" spans="1:39" x14ac:dyDescent="0.25">
      <c r="A43" t="s">
        <v>52</v>
      </c>
      <c r="B43" t="s">
        <v>53</v>
      </c>
      <c r="C43" s="1">
        <v>41053</v>
      </c>
      <c r="D43">
        <v>4921.3999999999996</v>
      </c>
      <c r="E43" s="1">
        <v>41060</v>
      </c>
      <c r="F43">
        <v>4924.25</v>
      </c>
      <c r="G43" s="2">
        <v>5.9999999999999995E-4</v>
      </c>
      <c r="H43" s="40">
        <f t="shared" si="18"/>
        <v>7</v>
      </c>
      <c r="I43" s="4">
        <f t="shared" si="19"/>
        <v>1.5E-3</v>
      </c>
      <c r="J43" s="4">
        <f t="shared" si="20"/>
        <v>1.1666666666666668E-3</v>
      </c>
      <c r="K43" s="4">
        <f t="shared" si="21"/>
        <v>-2.0666666666666672E-3</v>
      </c>
      <c r="L43">
        <f t="shared" si="22"/>
        <v>209.80153072760049</v>
      </c>
      <c r="M43">
        <f t="shared" si="23"/>
        <v>209.80153072760049</v>
      </c>
      <c r="N43" t="str">
        <f t="shared" si="24"/>
        <v/>
      </c>
      <c r="O43" s="39">
        <f t="shared" si="25"/>
        <v>0</v>
      </c>
      <c r="Q43">
        <f t="shared" si="26"/>
        <v>184.275224938268</v>
      </c>
      <c r="R43">
        <f t="shared" si="27"/>
        <v>184.65684909306032</v>
      </c>
      <c r="S43">
        <f t="shared" si="28"/>
        <v>-0.38162415479231981</v>
      </c>
      <c r="T43" s="39">
        <f t="shared" si="29"/>
        <v>-2.0666666666666403E-3</v>
      </c>
      <c r="U43">
        <f t="shared" si="30"/>
        <v>2012</v>
      </c>
      <c r="V43">
        <f t="shared" si="31"/>
        <v>2012</v>
      </c>
    </row>
    <row r="44" spans="1:39" x14ac:dyDescent="0.25">
      <c r="A44" t="s">
        <v>52</v>
      </c>
      <c r="B44" t="s">
        <v>53</v>
      </c>
      <c r="C44" s="1">
        <v>41066</v>
      </c>
      <c r="D44">
        <v>4997.1000000000004</v>
      </c>
      <c r="E44" s="1">
        <v>41106</v>
      </c>
      <c r="F44">
        <v>5197.25</v>
      </c>
      <c r="G44" s="2">
        <v>4.0099999999999997E-2</v>
      </c>
      <c r="H44" s="40">
        <f t="shared" si="18"/>
        <v>40</v>
      </c>
      <c r="I44" s="4">
        <f t="shared" si="19"/>
        <v>1.5E-3</v>
      </c>
      <c r="J44" s="4">
        <f t="shared" si="20"/>
        <v>6.6666666666666662E-3</v>
      </c>
      <c r="K44" s="4">
        <f t="shared" si="21"/>
        <v>3.1933333333333327E-2</v>
      </c>
      <c r="L44">
        <f t="shared" si="22"/>
        <v>218.21457210977727</v>
      </c>
      <c r="M44">
        <f t="shared" si="23"/>
        <v>218.21457210977727</v>
      </c>
      <c r="N44" t="str">
        <f t="shared" si="24"/>
        <v/>
      </c>
      <c r="O44" s="39">
        <f t="shared" si="25"/>
        <v>0</v>
      </c>
      <c r="Q44">
        <f t="shared" si="26"/>
        <v>190.1597471212967</v>
      </c>
      <c r="R44">
        <f t="shared" si="27"/>
        <v>190.1597471212967</v>
      </c>
      <c r="S44" t="str">
        <f t="shared" si="28"/>
        <v/>
      </c>
      <c r="T44" s="39">
        <f t="shared" si="29"/>
        <v>0</v>
      </c>
      <c r="U44">
        <f t="shared" si="30"/>
        <v>2012</v>
      </c>
      <c r="V44">
        <f t="shared" si="31"/>
        <v>2012</v>
      </c>
    </row>
    <row r="45" spans="1:39" x14ac:dyDescent="0.25">
      <c r="A45" t="s">
        <v>52</v>
      </c>
      <c r="B45" t="s">
        <v>53</v>
      </c>
      <c r="C45" s="1">
        <v>41120</v>
      </c>
      <c r="D45">
        <v>5199.8</v>
      </c>
      <c r="E45" s="1">
        <v>41150</v>
      </c>
      <c r="F45">
        <v>5287.799</v>
      </c>
      <c r="G45" s="2">
        <v>1.6899999999999998E-2</v>
      </c>
      <c r="H45" s="40">
        <f t="shared" si="18"/>
        <v>30</v>
      </c>
      <c r="I45" s="4">
        <f t="shared" si="19"/>
        <v>1.5E-3</v>
      </c>
      <c r="J45" s="4">
        <f t="shared" si="20"/>
        <v>5.0000000000000001E-3</v>
      </c>
      <c r="K45" s="4">
        <f t="shared" si="21"/>
        <v>1.0399999999999998E-2</v>
      </c>
      <c r="L45">
        <f t="shared" si="22"/>
        <v>221.90239837843248</v>
      </c>
      <c r="M45">
        <f t="shared" si="23"/>
        <v>221.90239837843248</v>
      </c>
      <c r="N45" t="str">
        <f t="shared" si="24"/>
        <v/>
      </c>
      <c r="O45" s="39">
        <f t="shared" si="25"/>
        <v>0</v>
      </c>
      <c r="Q45">
        <f t="shared" si="26"/>
        <v>192.13740849135817</v>
      </c>
      <c r="R45">
        <f t="shared" si="27"/>
        <v>192.13740849135817</v>
      </c>
      <c r="S45" t="str">
        <f t="shared" si="28"/>
        <v/>
      </c>
      <c r="T45" s="39">
        <f t="shared" si="29"/>
        <v>0</v>
      </c>
      <c r="U45">
        <f t="shared" si="30"/>
        <v>2012</v>
      </c>
      <c r="V45">
        <f t="shared" si="31"/>
        <v>2012</v>
      </c>
    </row>
    <row r="46" spans="1:39" x14ac:dyDescent="0.25">
      <c r="A46" t="s">
        <v>52</v>
      </c>
      <c r="B46" t="s">
        <v>53</v>
      </c>
      <c r="C46" s="1">
        <v>41159</v>
      </c>
      <c r="D46">
        <v>5342.1</v>
      </c>
      <c r="E46" s="1">
        <v>41192</v>
      </c>
      <c r="F46">
        <v>5652.15</v>
      </c>
      <c r="G46" s="2">
        <v>5.8000000000000003E-2</v>
      </c>
      <c r="H46" s="40">
        <f t="shared" si="18"/>
        <v>33</v>
      </c>
      <c r="I46" s="4">
        <f t="shared" si="19"/>
        <v>1.5E-3</v>
      </c>
      <c r="J46" s="4">
        <f t="shared" si="20"/>
        <v>5.5000000000000005E-3</v>
      </c>
      <c r="K46" s="4">
        <f t="shared" si="21"/>
        <v>5.1000000000000004E-2</v>
      </c>
      <c r="L46">
        <f t="shared" si="22"/>
        <v>234.77273748438157</v>
      </c>
      <c r="M46">
        <f t="shared" si="23"/>
        <v>234.77273748438157</v>
      </c>
      <c r="N46" t="str">
        <f t="shared" si="24"/>
        <v/>
      </c>
      <c r="O46" s="39">
        <f t="shared" si="25"/>
        <v>0</v>
      </c>
      <c r="Q46">
        <f t="shared" si="26"/>
        <v>201.93641632441742</v>
      </c>
      <c r="R46">
        <f t="shared" si="27"/>
        <v>201.93641632441742</v>
      </c>
      <c r="S46" t="str">
        <f t="shared" si="28"/>
        <v/>
      </c>
      <c r="T46" s="39">
        <f t="shared" si="29"/>
        <v>0</v>
      </c>
      <c r="U46">
        <f t="shared" si="30"/>
        <v>2012</v>
      </c>
      <c r="V46">
        <f t="shared" si="31"/>
        <v>2012</v>
      </c>
    </row>
    <row r="47" spans="1:39" x14ac:dyDescent="0.25">
      <c r="A47" t="s">
        <v>52</v>
      </c>
      <c r="B47" t="s">
        <v>53</v>
      </c>
      <c r="C47" s="1">
        <v>41215</v>
      </c>
      <c r="D47">
        <v>5697.7</v>
      </c>
      <c r="E47" s="1">
        <v>41228</v>
      </c>
      <c r="F47">
        <v>5631</v>
      </c>
      <c r="G47" s="2">
        <v>-1.17E-2</v>
      </c>
      <c r="H47" s="40">
        <f t="shared" si="18"/>
        <v>13</v>
      </c>
      <c r="I47" s="4">
        <f t="shared" si="19"/>
        <v>1.5E-3</v>
      </c>
      <c r="J47" s="4">
        <f t="shared" si="20"/>
        <v>2.166666666666667E-3</v>
      </c>
      <c r="K47" s="4">
        <f t="shared" si="21"/>
        <v>-1.5366666666666667E-2</v>
      </c>
      <c r="L47">
        <f t="shared" si="22"/>
        <v>232.02589645581429</v>
      </c>
      <c r="M47">
        <f t="shared" si="23"/>
        <v>234.77273748438157</v>
      </c>
      <c r="N47">
        <f t="shared" si="24"/>
        <v>-2.7468410285672746</v>
      </c>
      <c r="O47" s="39">
        <f t="shared" si="25"/>
        <v>-1.1700000000000044E-2</v>
      </c>
      <c r="Q47">
        <f t="shared" si="26"/>
        <v>198.83332672689889</v>
      </c>
      <c r="R47">
        <f t="shared" si="27"/>
        <v>201.93641632441742</v>
      </c>
      <c r="S47">
        <f t="shared" si="28"/>
        <v>-3.1030895975185331</v>
      </c>
      <c r="T47" s="39">
        <f t="shared" si="29"/>
        <v>-1.5366666666666595E-2</v>
      </c>
      <c r="U47">
        <f t="shared" si="30"/>
        <v>2012</v>
      </c>
      <c r="V47">
        <f t="shared" si="31"/>
        <v>2012</v>
      </c>
    </row>
    <row r="48" spans="1:39" x14ac:dyDescent="0.25">
      <c r="A48" t="s">
        <v>52</v>
      </c>
      <c r="B48" t="s">
        <v>53</v>
      </c>
      <c r="C48" s="1">
        <v>41239</v>
      </c>
      <c r="D48">
        <v>5635.9</v>
      </c>
      <c r="E48" s="1">
        <v>41310</v>
      </c>
      <c r="F48">
        <v>5956.8990000000003</v>
      </c>
      <c r="G48" s="2">
        <v>5.7000000000000002E-2</v>
      </c>
      <c r="H48" s="40">
        <f t="shared" si="18"/>
        <v>71</v>
      </c>
      <c r="I48" s="4">
        <f t="shared" si="19"/>
        <v>1.5E-3</v>
      </c>
      <c r="J48" s="4">
        <f t="shared" si="20"/>
        <v>1.1833333333333335E-2</v>
      </c>
      <c r="K48" s="4">
        <f t="shared" si="21"/>
        <v>4.3666666666666666E-2</v>
      </c>
      <c r="L48">
        <f t="shared" si="22"/>
        <v>245.2513725537957</v>
      </c>
      <c r="M48">
        <f t="shared" si="23"/>
        <v>245.2513725537957</v>
      </c>
      <c r="N48" t="str">
        <f t="shared" si="24"/>
        <v/>
      </c>
      <c r="O48" s="39">
        <f t="shared" si="25"/>
        <v>0</v>
      </c>
      <c r="Q48">
        <f t="shared" si="26"/>
        <v>207.51571532730682</v>
      </c>
      <c r="R48">
        <f t="shared" si="27"/>
        <v>207.51571532730682</v>
      </c>
      <c r="S48" t="str">
        <f t="shared" si="28"/>
        <v/>
      </c>
      <c r="T48" s="39">
        <f t="shared" si="29"/>
        <v>0</v>
      </c>
      <c r="U48">
        <f t="shared" si="30"/>
        <v>2013</v>
      </c>
      <c r="V48">
        <f t="shared" si="31"/>
        <v>2012</v>
      </c>
    </row>
    <row r="49" spans="1:22" x14ac:dyDescent="0.25">
      <c r="A49" t="s">
        <v>52</v>
      </c>
      <c r="B49" t="s">
        <v>53</v>
      </c>
      <c r="C49" s="1">
        <v>41324</v>
      </c>
      <c r="D49">
        <v>5939.7</v>
      </c>
      <c r="E49" s="1">
        <v>41326</v>
      </c>
      <c r="F49">
        <v>5852.25</v>
      </c>
      <c r="G49" s="2">
        <v>-1.47E-2</v>
      </c>
      <c r="H49" s="40">
        <f t="shared" si="18"/>
        <v>2</v>
      </c>
      <c r="I49" s="4">
        <f t="shared" si="19"/>
        <v>1.5E-3</v>
      </c>
      <c r="J49" s="4">
        <f t="shared" si="20"/>
        <v>3.3333333333333332E-4</v>
      </c>
      <c r="K49" s="4">
        <f t="shared" si="21"/>
        <v>-1.6533333333333334E-2</v>
      </c>
      <c r="L49">
        <f t="shared" si="22"/>
        <v>241.6461773772549</v>
      </c>
      <c r="M49">
        <f t="shared" si="23"/>
        <v>245.2513725537957</v>
      </c>
      <c r="N49">
        <f t="shared" si="24"/>
        <v>-3.6051951765408035</v>
      </c>
      <c r="O49" s="39">
        <f t="shared" si="25"/>
        <v>-1.4700000000000027E-2</v>
      </c>
      <c r="Q49">
        <f t="shared" si="26"/>
        <v>204.08478883389535</v>
      </c>
      <c r="R49">
        <f t="shared" si="27"/>
        <v>207.51571532730682</v>
      </c>
      <c r="S49">
        <f t="shared" si="28"/>
        <v>-3.4309264934114765</v>
      </c>
      <c r="T49" s="39">
        <f t="shared" si="29"/>
        <v>-1.6533333333333351E-2</v>
      </c>
      <c r="U49">
        <f t="shared" si="30"/>
        <v>2013</v>
      </c>
      <c r="V49">
        <f t="shared" si="31"/>
        <v>2013</v>
      </c>
    </row>
    <row r="50" spans="1:22" x14ac:dyDescent="0.25">
      <c r="A50" t="s">
        <v>52</v>
      </c>
      <c r="B50" t="s">
        <v>53</v>
      </c>
      <c r="C50" s="1">
        <v>41509</v>
      </c>
      <c r="D50">
        <v>5471.75</v>
      </c>
      <c r="E50" s="1">
        <v>41513</v>
      </c>
      <c r="F50">
        <v>5287.45</v>
      </c>
      <c r="G50" s="2">
        <v>-3.3700000000000001E-2</v>
      </c>
      <c r="H50" s="40">
        <f t="shared" si="18"/>
        <v>4</v>
      </c>
      <c r="I50" s="4">
        <f t="shared" si="19"/>
        <v>1.5E-3</v>
      </c>
      <c r="J50" s="4">
        <f t="shared" si="20"/>
        <v>6.6666666666666664E-4</v>
      </c>
      <c r="K50" s="4">
        <f t="shared" si="21"/>
        <v>-3.5866666666666665E-2</v>
      </c>
      <c r="L50">
        <f t="shared" si="22"/>
        <v>233.50270119964142</v>
      </c>
      <c r="M50">
        <f t="shared" si="23"/>
        <v>245.2513725537957</v>
      </c>
      <c r="N50">
        <f t="shared" si="24"/>
        <v>-11.748671354154283</v>
      </c>
      <c r="O50" s="39">
        <f t="shared" si="25"/>
        <v>-4.7904609999999979E-2</v>
      </c>
      <c r="Q50">
        <f t="shared" si="26"/>
        <v>196.76494774105296</v>
      </c>
      <c r="R50">
        <f t="shared" si="27"/>
        <v>207.51571532730682</v>
      </c>
      <c r="S50">
        <f t="shared" si="28"/>
        <v>-10.750767586253858</v>
      </c>
      <c r="T50" s="39">
        <f t="shared" si="29"/>
        <v>-5.1807004444444471E-2</v>
      </c>
      <c r="U50">
        <f t="shared" si="30"/>
        <v>2013</v>
      </c>
      <c r="V50">
        <f t="shared" si="31"/>
        <v>2013</v>
      </c>
    </row>
    <row r="51" spans="1:22" x14ac:dyDescent="0.25">
      <c r="A51" t="s">
        <v>52</v>
      </c>
      <c r="B51" t="s">
        <v>53</v>
      </c>
      <c r="C51" s="1">
        <v>41515</v>
      </c>
      <c r="D51">
        <v>5409.05</v>
      </c>
      <c r="E51" s="1">
        <v>41544</v>
      </c>
      <c r="F51">
        <v>5833.2</v>
      </c>
      <c r="G51" s="2">
        <v>7.8399999999999997E-2</v>
      </c>
      <c r="H51" s="40">
        <f t="shared" si="18"/>
        <v>29</v>
      </c>
      <c r="I51" s="4">
        <f t="shared" si="19"/>
        <v>1.5E-3</v>
      </c>
      <c r="J51" s="4">
        <f t="shared" si="20"/>
        <v>4.8333333333333336E-3</v>
      </c>
      <c r="K51" s="4">
        <f t="shared" si="21"/>
        <v>7.2066666666666668E-2</v>
      </c>
      <c r="L51">
        <f t="shared" si="22"/>
        <v>251.80931297369332</v>
      </c>
      <c r="M51">
        <f t="shared" si="23"/>
        <v>251.80931297369332</v>
      </c>
      <c r="N51" t="str">
        <f t="shared" si="24"/>
        <v/>
      </c>
      <c r="O51" s="39">
        <f t="shared" si="25"/>
        <v>0</v>
      </c>
      <c r="Q51">
        <f t="shared" si="26"/>
        <v>210.94514164159153</v>
      </c>
      <c r="R51">
        <f t="shared" si="27"/>
        <v>210.94514164159153</v>
      </c>
      <c r="S51" t="str">
        <f t="shared" si="28"/>
        <v/>
      </c>
      <c r="T51" s="39">
        <f t="shared" si="29"/>
        <v>0</v>
      </c>
      <c r="U51">
        <f t="shared" si="30"/>
        <v>2013</v>
      </c>
      <c r="V51">
        <f t="shared" si="31"/>
        <v>2013</v>
      </c>
    </row>
    <row r="52" spans="1:22" x14ac:dyDescent="0.25">
      <c r="A52" t="s">
        <v>52</v>
      </c>
      <c r="B52" t="s">
        <v>53</v>
      </c>
      <c r="C52" s="1">
        <v>41550</v>
      </c>
      <c r="D52">
        <v>5909.7</v>
      </c>
      <c r="E52" s="1">
        <v>41586</v>
      </c>
      <c r="F52">
        <v>6140.75</v>
      </c>
      <c r="G52" s="2">
        <v>3.9100000000000003E-2</v>
      </c>
      <c r="H52" s="40">
        <f t="shared" si="18"/>
        <v>36</v>
      </c>
      <c r="I52" s="4">
        <f t="shared" si="19"/>
        <v>1.5E-3</v>
      </c>
      <c r="J52" s="4">
        <f t="shared" si="20"/>
        <v>6.0000000000000001E-3</v>
      </c>
      <c r="K52" s="4">
        <f t="shared" si="21"/>
        <v>3.1600000000000003E-2</v>
      </c>
      <c r="L52">
        <f t="shared" si="22"/>
        <v>261.65505711096472</v>
      </c>
      <c r="M52">
        <f t="shared" si="23"/>
        <v>261.65505711096472</v>
      </c>
      <c r="N52" t="str">
        <f t="shared" si="24"/>
        <v/>
      </c>
      <c r="O52" s="39">
        <f t="shared" si="25"/>
        <v>0</v>
      </c>
      <c r="Q52">
        <f t="shared" si="26"/>
        <v>217.61100811746584</v>
      </c>
      <c r="R52">
        <f t="shared" si="27"/>
        <v>217.61100811746584</v>
      </c>
      <c r="S52" t="str">
        <f t="shared" si="28"/>
        <v/>
      </c>
      <c r="T52" s="39">
        <f t="shared" si="29"/>
        <v>0</v>
      </c>
      <c r="U52">
        <f t="shared" si="30"/>
        <v>2013</v>
      </c>
      <c r="V52">
        <f t="shared" si="31"/>
        <v>2013</v>
      </c>
    </row>
    <row r="53" spans="1:22" x14ac:dyDescent="0.25">
      <c r="A53" t="s">
        <v>52</v>
      </c>
      <c r="B53" t="s">
        <v>53</v>
      </c>
      <c r="C53" s="1">
        <v>41596</v>
      </c>
      <c r="D53">
        <v>6189</v>
      </c>
      <c r="E53" s="1">
        <v>41599</v>
      </c>
      <c r="F53">
        <v>5999.05</v>
      </c>
      <c r="G53" s="2">
        <v>-3.0700000000000002E-2</v>
      </c>
      <c r="H53" s="40">
        <f t="shared" si="18"/>
        <v>3</v>
      </c>
      <c r="I53" s="4">
        <f t="shared" si="19"/>
        <v>1.5E-3</v>
      </c>
      <c r="J53" s="4">
        <f t="shared" si="20"/>
        <v>5.0000000000000001E-4</v>
      </c>
      <c r="K53" s="4">
        <f t="shared" si="21"/>
        <v>-3.27E-2</v>
      </c>
      <c r="L53">
        <f t="shared" si="22"/>
        <v>253.62224685765813</v>
      </c>
      <c r="M53">
        <f t="shared" si="23"/>
        <v>261.65505711096472</v>
      </c>
      <c r="N53">
        <f t="shared" si="24"/>
        <v>-8.032810253306593</v>
      </c>
      <c r="O53" s="39">
        <f t="shared" si="25"/>
        <v>-3.0699999999999908E-2</v>
      </c>
      <c r="Q53">
        <f t="shared" si="26"/>
        <v>210.49512815202473</v>
      </c>
      <c r="R53">
        <f t="shared" si="27"/>
        <v>217.61100811746584</v>
      </c>
      <c r="S53">
        <f t="shared" si="28"/>
        <v>-7.1158799654411098</v>
      </c>
      <c r="T53" s="39">
        <f t="shared" si="29"/>
        <v>-3.2699999999999896E-2</v>
      </c>
      <c r="U53">
        <f t="shared" si="30"/>
        <v>2013</v>
      </c>
      <c r="V53">
        <f t="shared" si="31"/>
        <v>2013</v>
      </c>
    </row>
    <row r="54" spans="1:22" x14ac:dyDescent="0.25">
      <c r="A54" t="s">
        <v>52</v>
      </c>
      <c r="B54" t="s">
        <v>53</v>
      </c>
      <c r="C54" s="1">
        <v>41603</v>
      </c>
      <c r="D54">
        <v>6115.35</v>
      </c>
      <c r="E54" s="1">
        <v>41621</v>
      </c>
      <c r="F54">
        <v>6168.4</v>
      </c>
      <c r="G54" s="2">
        <v>8.6999999999999994E-3</v>
      </c>
      <c r="H54" s="40">
        <f t="shared" si="18"/>
        <v>18</v>
      </c>
      <c r="I54" s="4">
        <f t="shared" si="19"/>
        <v>1.5E-3</v>
      </c>
      <c r="J54" s="4">
        <f t="shared" si="20"/>
        <v>3.0000000000000001E-3</v>
      </c>
      <c r="K54" s="4">
        <f t="shared" si="21"/>
        <v>4.1999999999999989E-3</v>
      </c>
      <c r="L54">
        <f t="shared" si="22"/>
        <v>255.82876040531974</v>
      </c>
      <c r="M54">
        <f t="shared" si="23"/>
        <v>261.65505711096472</v>
      </c>
      <c r="N54">
        <f t="shared" si="24"/>
        <v>-5.8262967056449781</v>
      </c>
      <c r="O54" s="39">
        <f t="shared" si="25"/>
        <v>-2.2267089999999948E-2</v>
      </c>
      <c r="Q54">
        <f t="shared" si="26"/>
        <v>211.37920769026323</v>
      </c>
      <c r="R54">
        <f t="shared" si="27"/>
        <v>217.61100811746584</v>
      </c>
      <c r="S54">
        <f t="shared" si="28"/>
        <v>-6.2318004272026144</v>
      </c>
      <c r="T54" s="39">
        <f t="shared" si="29"/>
        <v>-2.8637339999999931E-2</v>
      </c>
      <c r="U54">
        <f t="shared" si="30"/>
        <v>2013</v>
      </c>
      <c r="V54">
        <f t="shared" si="31"/>
        <v>2013</v>
      </c>
    </row>
    <row r="55" spans="1:22" x14ac:dyDescent="0.25">
      <c r="A55" t="s">
        <v>52</v>
      </c>
      <c r="B55" t="s">
        <v>53</v>
      </c>
      <c r="C55" s="1">
        <v>41628</v>
      </c>
      <c r="D55">
        <v>6274.25</v>
      </c>
      <c r="E55" s="1">
        <v>41641</v>
      </c>
      <c r="F55">
        <v>6221.15</v>
      </c>
      <c r="G55" s="2">
        <v>-8.5000000000000006E-3</v>
      </c>
      <c r="H55" s="40">
        <f t="shared" si="18"/>
        <v>13</v>
      </c>
      <c r="I55" s="4">
        <f t="shared" si="19"/>
        <v>1.5E-3</v>
      </c>
      <c r="J55" s="4">
        <f t="shared" si="20"/>
        <v>2.166666666666667E-3</v>
      </c>
      <c r="K55" s="4">
        <f t="shared" si="21"/>
        <v>-1.2166666666666668E-2</v>
      </c>
      <c r="L55">
        <f t="shared" si="22"/>
        <v>253.65421594187453</v>
      </c>
      <c r="M55">
        <f t="shared" si="23"/>
        <v>261.65505711096472</v>
      </c>
      <c r="N55">
        <f t="shared" si="24"/>
        <v>-8.0008411690901937</v>
      </c>
      <c r="O55" s="39">
        <f t="shared" si="25"/>
        <v>-3.0577819734999942E-2</v>
      </c>
      <c r="Q55">
        <f t="shared" si="26"/>
        <v>208.80742733003169</v>
      </c>
      <c r="R55">
        <f t="shared" si="27"/>
        <v>217.61100811746584</v>
      </c>
      <c r="S55">
        <f t="shared" si="28"/>
        <v>-8.8035807874341572</v>
      </c>
      <c r="T55" s="39">
        <f t="shared" si="29"/>
        <v>-4.0455585696666629E-2</v>
      </c>
      <c r="U55">
        <f t="shared" si="30"/>
        <v>2014</v>
      </c>
      <c r="V55">
        <f t="shared" si="31"/>
        <v>2013</v>
      </c>
    </row>
    <row r="56" spans="1:22" x14ac:dyDescent="0.25">
      <c r="A56" t="s">
        <v>52</v>
      </c>
      <c r="B56" t="s">
        <v>53</v>
      </c>
      <c r="C56" s="1">
        <v>41652</v>
      </c>
      <c r="D56">
        <v>6272.75</v>
      </c>
      <c r="E56" s="1">
        <v>41666</v>
      </c>
      <c r="F56">
        <v>6135.85</v>
      </c>
      <c r="G56" s="2">
        <v>-2.18E-2</v>
      </c>
      <c r="H56" s="40">
        <f t="shared" si="18"/>
        <v>14</v>
      </c>
      <c r="I56" s="4">
        <f t="shared" si="19"/>
        <v>1.5E-3</v>
      </c>
      <c r="J56" s="4">
        <f t="shared" si="20"/>
        <v>2.3333333333333335E-3</v>
      </c>
      <c r="K56" s="4">
        <f t="shared" si="21"/>
        <v>-2.5633333333333334E-2</v>
      </c>
      <c r="L56">
        <f t="shared" si="22"/>
        <v>248.12455403434166</v>
      </c>
      <c r="M56">
        <f t="shared" si="23"/>
        <v>261.65505711096472</v>
      </c>
      <c r="N56">
        <f t="shared" si="24"/>
        <v>-13.530503076623063</v>
      </c>
      <c r="O56" s="39">
        <f t="shared" si="25"/>
        <v>-5.1711223264776958E-2</v>
      </c>
      <c r="Q56">
        <f t="shared" si="26"/>
        <v>203.45499694280522</v>
      </c>
      <c r="R56">
        <f t="shared" si="27"/>
        <v>217.61100811746584</v>
      </c>
      <c r="S56">
        <f t="shared" si="28"/>
        <v>-14.15601117466062</v>
      </c>
      <c r="T56" s="39">
        <f t="shared" si="29"/>
        <v>-6.5051907516641999E-2</v>
      </c>
      <c r="U56">
        <f t="shared" si="30"/>
        <v>2014</v>
      </c>
      <c r="V56">
        <f t="shared" si="31"/>
        <v>2014</v>
      </c>
    </row>
    <row r="57" spans="1:22" x14ac:dyDescent="0.25">
      <c r="A57" t="s">
        <v>52</v>
      </c>
      <c r="B57" t="s">
        <v>53</v>
      </c>
      <c r="C57" s="1">
        <v>41677</v>
      </c>
      <c r="D57">
        <v>6063.2</v>
      </c>
      <c r="E57" s="1">
        <v>41683</v>
      </c>
      <c r="F57">
        <v>6001.1</v>
      </c>
      <c r="G57" s="2">
        <v>-1.0200000000000001E-2</v>
      </c>
      <c r="H57" s="40">
        <f t="shared" si="18"/>
        <v>6</v>
      </c>
      <c r="I57" s="4">
        <f t="shared" si="19"/>
        <v>1.5E-3</v>
      </c>
      <c r="J57" s="4">
        <f t="shared" si="20"/>
        <v>1E-3</v>
      </c>
      <c r="K57" s="4">
        <f t="shared" si="21"/>
        <v>-1.2700000000000001E-2</v>
      </c>
      <c r="L57">
        <f t="shared" si="22"/>
        <v>245.59368358319136</v>
      </c>
      <c r="M57">
        <f t="shared" si="23"/>
        <v>261.65505711096472</v>
      </c>
      <c r="N57">
        <f t="shared" si="24"/>
        <v>-16.061373527773355</v>
      </c>
      <c r="O57" s="39">
        <f t="shared" si="25"/>
        <v>-6.1383768787476263E-2</v>
      </c>
      <c r="Q57">
        <f t="shared" si="26"/>
        <v>200.87111848163158</v>
      </c>
      <c r="R57">
        <f t="shared" si="27"/>
        <v>217.61100811746584</v>
      </c>
      <c r="S57">
        <f t="shared" si="28"/>
        <v>-16.73988963583426</v>
      </c>
      <c r="T57" s="39">
        <f t="shared" si="29"/>
        <v>-7.6925748291180707E-2</v>
      </c>
      <c r="U57">
        <f t="shared" si="30"/>
        <v>2014</v>
      </c>
      <c r="V57">
        <f t="shared" si="31"/>
        <v>2014</v>
      </c>
    </row>
    <row r="58" spans="1:22" x14ac:dyDescent="0.25">
      <c r="A58" t="s">
        <v>52</v>
      </c>
      <c r="B58" t="s">
        <v>53</v>
      </c>
      <c r="C58" s="1">
        <v>41688</v>
      </c>
      <c r="D58">
        <v>6127.1</v>
      </c>
      <c r="E58" s="1">
        <v>41759</v>
      </c>
      <c r="F58">
        <v>6696.4</v>
      </c>
      <c r="G58" s="2">
        <v>9.2899999999999996E-2</v>
      </c>
      <c r="H58" s="40">
        <f t="shared" si="18"/>
        <v>71</v>
      </c>
      <c r="I58" s="4">
        <f t="shared" si="19"/>
        <v>1.5E-3</v>
      </c>
      <c r="J58" s="4">
        <f t="shared" si="20"/>
        <v>1.1833333333333335E-2</v>
      </c>
      <c r="K58" s="4">
        <f t="shared" si="21"/>
        <v>7.9566666666666661E-2</v>
      </c>
      <c r="L58">
        <f t="shared" si="22"/>
        <v>268.40933678806982</v>
      </c>
      <c r="M58">
        <f t="shared" si="23"/>
        <v>268.40933678806982</v>
      </c>
      <c r="N58" t="str">
        <f t="shared" si="24"/>
        <v/>
      </c>
      <c r="O58" s="39">
        <f t="shared" si="25"/>
        <v>0</v>
      </c>
      <c r="Q58">
        <f t="shared" si="26"/>
        <v>216.85376380882005</v>
      </c>
      <c r="R58">
        <f t="shared" si="27"/>
        <v>217.61100811746584</v>
      </c>
      <c r="S58">
        <f t="shared" si="28"/>
        <v>-0.75724430864579517</v>
      </c>
      <c r="T58" s="39">
        <f t="shared" si="29"/>
        <v>-3.4798069968824219E-3</v>
      </c>
      <c r="U58">
        <f t="shared" si="30"/>
        <v>2014</v>
      </c>
      <c r="V58">
        <f t="shared" si="31"/>
        <v>2014</v>
      </c>
    </row>
    <row r="59" spans="1:22" x14ac:dyDescent="0.25">
      <c r="A59" t="s">
        <v>52</v>
      </c>
      <c r="B59" t="s">
        <v>53</v>
      </c>
      <c r="C59" s="1">
        <v>41768</v>
      </c>
      <c r="D59">
        <v>6858.8</v>
      </c>
      <c r="E59" s="1">
        <v>41828</v>
      </c>
      <c r="F59">
        <v>7623.2</v>
      </c>
      <c r="G59" s="2">
        <v>0.1114</v>
      </c>
      <c r="H59" s="40">
        <f t="shared" si="18"/>
        <v>60</v>
      </c>
      <c r="I59" s="4">
        <f t="shared" si="19"/>
        <v>1.5E-3</v>
      </c>
      <c r="J59" s="4">
        <f t="shared" si="20"/>
        <v>0.01</v>
      </c>
      <c r="K59" s="4">
        <f t="shared" si="21"/>
        <v>9.9900000000000003E-2</v>
      </c>
      <c r="L59">
        <f t="shared" si="22"/>
        <v>298.31013690626077</v>
      </c>
      <c r="M59">
        <f t="shared" si="23"/>
        <v>298.31013690626077</v>
      </c>
      <c r="N59" t="str">
        <f t="shared" si="24"/>
        <v/>
      </c>
      <c r="O59" s="39">
        <f t="shared" si="25"/>
        <v>0</v>
      </c>
      <c r="Q59">
        <f t="shared" si="26"/>
        <v>238.51745481332119</v>
      </c>
      <c r="R59">
        <f t="shared" si="27"/>
        <v>238.51745481332119</v>
      </c>
      <c r="S59" t="str">
        <f t="shared" si="28"/>
        <v/>
      </c>
      <c r="T59" s="39">
        <f t="shared" si="29"/>
        <v>0</v>
      </c>
      <c r="U59">
        <f t="shared" si="30"/>
        <v>2014</v>
      </c>
      <c r="V59">
        <f t="shared" si="31"/>
        <v>2014</v>
      </c>
    </row>
    <row r="60" spans="1:22" x14ac:dyDescent="0.25">
      <c r="A60" t="s">
        <v>52</v>
      </c>
      <c r="B60" t="s">
        <v>53</v>
      </c>
      <c r="C60" s="1">
        <v>41836</v>
      </c>
      <c r="D60">
        <v>7624.4</v>
      </c>
      <c r="E60" s="1">
        <v>41852</v>
      </c>
      <c r="F60">
        <v>7602.6</v>
      </c>
      <c r="G60" s="2">
        <v>-2.8999999999999998E-3</v>
      </c>
      <c r="H60" s="40">
        <f t="shared" si="18"/>
        <v>16</v>
      </c>
      <c r="I60" s="4">
        <f t="shared" si="19"/>
        <v>1.5E-3</v>
      </c>
      <c r="J60" s="4">
        <f t="shared" si="20"/>
        <v>2.6666666666666666E-3</v>
      </c>
      <c r="K60" s="4">
        <f t="shared" si="21"/>
        <v>-7.0666666666666664E-3</v>
      </c>
      <c r="L60">
        <f t="shared" si="22"/>
        <v>297.44503750923263</v>
      </c>
      <c r="M60">
        <f t="shared" si="23"/>
        <v>298.31013690626077</v>
      </c>
      <c r="N60">
        <f t="shared" si="24"/>
        <v>-0.86509939702813199</v>
      </c>
      <c r="O60" s="39">
        <f t="shared" si="25"/>
        <v>-2.8999999999999187E-3</v>
      </c>
      <c r="Q60">
        <f t="shared" si="26"/>
        <v>236.83193146597372</v>
      </c>
      <c r="R60">
        <f t="shared" si="27"/>
        <v>238.51745481332119</v>
      </c>
      <c r="S60">
        <f t="shared" si="28"/>
        <v>-1.6855233473474698</v>
      </c>
      <c r="T60" s="39">
        <f t="shared" si="29"/>
        <v>-7.0666666666666664E-3</v>
      </c>
      <c r="U60">
        <f t="shared" si="30"/>
        <v>2014</v>
      </c>
      <c r="V60">
        <f t="shared" si="31"/>
        <v>2014</v>
      </c>
    </row>
    <row r="61" spans="1:22" x14ac:dyDescent="0.25">
      <c r="A61" t="s">
        <v>52</v>
      </c>
      <c r="B61" t="s">
        <v>53</v>
      </c>
      <c r="C61" s="1">
        <v>41863</v>
      </c>
      <c r="D61">
        <v>7727.05</v>
      </c>
      <c r="E61" s="1">
        <v>41898</v>
      </c>
      <c r="F61">
        <v>7932.9</v>
      </c>
      <c r="G61" s="2">
        <v>2.6599999999999999E-2</v>
      </c>
      <c r="H61" s="40">
        <f t="shared" si="18"/>
        <v>35</v>
      </c>
      <c r="I61" s="4">
        <f t="shared" si="19"/>
        <v>1.5E-3</v>
      </c>
      <c r="J61" s="4">
        <f t="shared" si="20"/>
        <v>5.8333333333333336E-3</v>
      </c>
      <c r="K61" s="4">
        <f t="shared" si="21"/>
        <v>1.9266666666666665E-2</v>
      </c>
      <c r="L61">
        <f t="shared" si="22"/>
        <v>305.35707550697822</v>
      </c>
      <c r="M61">
        <f t="shared" si="23"/>
        <v>305.35707550697822</v>
      </c>
      <c r="N61" t="str">
        <f t="shared" si="24"/>
        <v/>
      </c>
      <c r="O61" s="39">
        <f t="shared" si="25"/>
        <v>0</v>
      </c>
      <c r="Q61">
        <f t="shared" si="26"/>
        <v>241.39489334555151</v>
      </c>
      <c r="R61">
        <f t="shared" si="27"/>
        <v>241.39489334555151</v>
      </c>
      <c r="S61" t="str">
        <f t="shared" si="28"/>
        <v/>
      </c>
      <c r="T61" s="39">
        <f t="shared" si="29"/>
        <v>0</v>
      </c>
      <c r="U61">
        <f t="shared" si="30"/>
        <v>2014</v>
      </c>
      <c r="V61">
        <f t="shared" si="31"/>
        <v>2014</v>
      </c>
    </row>
    <row r="62" spans="1:22" x14ac:dyDescent="0.25">
      <c r="A62" t="s">
        <v>52</v>
      </c>
      <c r="B62" t="s">
        <v>53</v>
      </c>
      <c r="C62" s="1">
        <v>41900</v>
      </c>
      <c r="D62">
        <v>8114.75</v>
      </c>
      <c r="E62" s="1">
        <v>41907</v>
      </c>
      <c r="F62">
        <v>7911.8509999999997</v>
      </c>
      <c r="G62" s="2">
        <v>-2.5000000000000001E-2</v>
      </c>
      <c r="H62" s="40">
        <f t="shared" si="18"/>
        <v>7</v>
      </c>
      <c r="I62" s="4">
        <f t="shared" si="19"/>
        <v>1.5E-3</v>
      </c>
      <c r="J62" s="4">
        <f t="shared" si="20"/>
        <v>1.1666666666666668E-3</v>
      </c>
      <c r="K62" s="4">
        <f t="shared" si="21"/>
        <v>-2.7666666666666669E-2</v>
      </c>
      <c r="L62">
        <f t="shared" si="22"/>
        <v>297.72314861930374</v>
      </c>
      <c r="M62">
        <f t="shared" si="23"/>
        <v>305.35707550697822</v>
      </c>
      <c r="N62">
        <f t="shared" si="24"/>
        <v>-7.6339268876744768</v>
      </c>
      <c r="O62" s="39">
        <f t="shared" si="25"/>
        <v>-2.5000000000000071E-2</v>
      </c>
      <c r="Q62">
        <f t="shared" si="26"/>
        <v>234.71630129632459</v>
      </c>
      <c r="R62">
        <f t="shared" si="27"/>
        <v>241.39489334555151</v>
      </c>
      <c r="S62">
        <f t="shared" si="28"/>
        <v>-6.6785920492269213</v>
      </c>
      <c r="T62" s="39">
        <f t="shared" si="29"/>
        <v>-2.7666666666666652E-2</v>
      </c>
      <c r="U62">
        <f t="shared" si="30"/>
        <v>2014</v>
      </c>
      <c r="V62">
        <f t="shared" si="31"/>
        <v>2014</v>
      </c>
    </row>
    <row r="63" spans="1:22" x14ac:dyDescent="0.25">
      <c r="A63" t="s">
        <v>52</v>
      </c>
      <c r="B63" t="s">
        <v>53</v>
      </c>
      <c r="C63" s="1">
        <v>41921</v>
      </c>
      <c r="D63">
        <v>7960.55</v>
      </c>
      <c r="E63" s="1">
        <v>41928</v>
      </c>
      <c r="F63">
        <v>7748.2</v>
      </c>
      <c r="G63" s="2">
        <v>-2.6700000000000002E-2</v>
      </c>
      <c r="H63" s="40">
        <f t="shared" si="18"/>
        <v>7</v>
      </c>
      <c r="I63" s="4">
        <f t="shared" si="19"/>
        <v>1.5E-3</v>
      </c>
      <c r="J63" s="4">
        <f t="shared" si="20"/>
        <v>1.1666666666666668E-3</v>
      </c>
      <c r="K63" s="4">
        <f t="shared" si="21"/>
        <v>-2.9366666666666669E-2</v>
      </c>
      <c r="L63">
        <f t="shared" si="22"/>
        <v>289.77394055116832</v>
      </c>
      <c r="M63">
        <f t="shared" si="23"/>
        <v>305.35707550697822</v>
      </c>
      <c r="N63">
        <f t="shared" si="24"/>
        <v>-15.583134955809896</v>
      </c>
      <c r="O63" s="39">
        <f t="shared" si="25"/>
        <v>-5.1032500000000099E-2</v>
      </c>
      <c r="Q63">
        <f t="shared" si="26"/>
        <v>227.82346591492254</v>
      </c>
      <c r="R63">
        <f t="shared" si="27"/>
        <v>241.39489334555151</v>
      </c>
      <c r="S63">
        <f t="shared" si="28"/>
        <v>-13.571427430628972</v>
      </c>
      <c r="T63" s="39">
        <f t="shared" si="29"/>
        <v>-5.6220855555555484E-2</v>
      </c>
      <c r="U63">
        <f t="shared" si="30"/>
        <v>2014</v>
      </c>
      <c r="V63">
        <f t="shared" si="31"/>
        <v>2014</v>
      </c>
    </row>
    <row r="64" spans="1:22" x14ac:dyDescent="0.25">
      <c r="A64" t="s">
        <v>52</v>
      </c>
      <c r="B64" t="s">
        <v>53</v>
      </c>
      <c r="C64" s="1">
        <v>41933</v>
      </c>
      <c r="D64">
        <v>7927.75</v>
      </c>
      <c r="E64" s="1">
        <v>41982</v>
      </c>
      <c r="F64">
        <v>8340.7000000000007</v>
      </c>
      <c r="G64" s="2">
        <v>5.21E-2</v>
      </c>
      <c r="H64" s="40">
        <f t="shared" si="18"/>
        <v>49</v>
      </c>
      <c r="I64" s="4">
        <f t="shared" si="19"/>
        <v>1.5E-3</v>
      </c>
      <c r="J64" s="4">
        <f t="shared" si="20"/>
        <v>8.1666666666666658E-3</v>
      </c>
      <c r="K64" s="4">
        <f t="shared" si="21"/>
        <v>4.2433333333333337E-2</v>
      </c>
      <c r="L64">
        <f t="shared" si="22"/>
        <v>304.87116285388419</v>
      </c>
      <c r="M64">
        <f t="shared" si="23"/>
        <v>305.35707550697822</v>
      </c>
      <c r="N64">
        <f t="shared" si="24"/>
        <v>-0.48591265309403298</v>
      </c>
      <c r="O64" s="39">
        <f t="shared" si="25"/>
        <v>-1.5912932500001251E-3</v>
      </c>
      <c r="Q64">
        <f t="shared" si="26"/>
        <v>237.49077498524574</v>
      </c>
      <c r="R64">
        <f t="shared" si="27"/>
        <v>241.39489334555151</v>
      </c>
      <c r="S64">
        <f t="shared" si="28"/>
        <v>-3.9041183603057732</v>
      </c>
      <c r="T64" s="39">
        <f t="shared" si="29"/>
        <v>-1.6173160526296276E-2</v>
      </c>
      <c r="U64">
        <f t="shared" si="30"/>
        <v>2014</v>
      </c>
      <c r="V64">
        <f t="shared" si="31"/>
        <v>2014</v>
      </c>
    </row>
    <row r="65" spans="1:22" x14ac:dyDescent="0.25">
      <c r="A65" t="s">
        <v>52</v>
      </c>
      <c r="B65" t="s">
        <v>53</v>
      </c>
      <c r="C65" s="1">
        <v>41991</v>
      </c>
      <c r="D65">
        <v>8159.3</v>
      </c>
      <c r="E65" s="1">
        <v>42010</v>
      </c>
      <c r="F65">
        <v>8127.35</v>
      </c>
      <c r="G65" s="2">
        <v>-3.8999999999999998E-3</v>
      </c>
      <c r="H65" s="40">
        <f t="shared" si="18"/>
        <v>19</v>
      </c>
      <c r="I65" s="4">
        <f t="shared" si="19"/>
        <v>1.5E-3</v>
      </c>
      <c r="J65" s="4">
        <f t="shared" si="20"/>
        <v>3.1666666666666666E-3</v>
      </c>
      <c r="K65" s="4">
        <f t="shared" si="21"/>
        <v>-8.5666666666666669E-3</v>
      </c>
      <c r="L65">
        <f t="shared" si="22"/>
        <v>303.68216531875402</v>
      </c>
      <c r="M65">
        <f t="shared" si="23"/>
        <v>305.35707550697822</v>
      </c>
      <c r="N65">
        <f t="shared" si="24"/>
        <v>-1.674910188224203</v>
      </c>
      <c r="O65" s="39">
        <f t="shared" si="25"/>
        <v>-5.4850872063251961E-3</v>
      </c>
      <c r="Q65">
        <f t="shared" si="26"/>
        <v>235.45627067953882</v>
      </c>
      <c r="R65">
        <f t="shared" si="27"/>
        <v>241.39489334555151</v>
      </c>
      <c r="S65">
        <f t="shared" si="28"/>
        <v>-5.9386226660126908</v>
      </c>
      <c r="T65" s="39">
        <f t="shared" si="29"/>
        <v>-2.4601277117787583E-2</v>
      </c>
      <c r="U65">
        <f t="shared" si="30"/>
        <v>2015</v>
      </c>
      <c r="V65">
        <f t="shared" si="31"/>
        <v>2014</v>
      </c>
    </row>
    <row r="66" spans="1:22" x14ac:dyDescent="0.25">
      <c r="A66" t="s">
        <v>52</v>
      </c>
      <c r="B66" t="s">
        <v>53</v>
      </c>
      <c r="C66" s="1">
        <v>42012</v>
      </c>
      <c r="D66">
        <v>8234.6</v>
      </c>
      <c r="E66" s="1">
        <v>42038</v>
      </c>
      <c r="F66">
        <v>8756.5499999999993</v>
      </c>
      <c r="G66" s="2">
        <v>6.3399999999999998E-2</v>
      </c>
      <c r="H66" s="40">
        <f t="shared" si="18"/>
        <v>26</v>
      </c>
      <c r="I66" s="4">
        <f t="shared" si="19"/>
        <v>1.5E-3</v>
      </c>
      <c r="J66" s="4">
        <f t="shared" si="20"/>
        <v>4.333333333333334E-3</v>
      </c>
      <c r="K66" s="4">
        <f t="shared" si="21"/>
        <v>5.7566666666666662E-2</v>
      </c>
      <c r="L66">
        <f t="shared" si="22"/>
        <v>322.935614599963</v>
      </c>
      <c r="M66">
        <f t="shared" si="23"/>
        <v>322.935614599963</v>
      </c>
      <c r="N66" t="str">
        <f t="shared" si="24"/>
        <v/>
      </c>
      <c r="O66" s="39">
        <f t="shared" si="25"/>
        <v>0</v>
      </c>
      <c r="Q66">
        <f t="shared" si="26"/>
        <v>249.0107033283243</v>
      </c>
      <c r="R66">
        <f t="shared" si="27"/>
        <v>249.0107033283243</v>
      </c>
      <c r="S66" t="str">
        <f t="shared" si="28"/>
        <v/>
      </c>
      <c r="T66" s="39">
        <f t="shared" si="29"/>
        <v>0</v>
      </c>
      <c r="U66">
        <f t="shared" si="30"/>
        <v>2015</v>
      </c>
      <c r="V66">
        <f t="shared" si="31"/>
        <v>2015</v>
      </c>
    </row>
    <row r="67" spans="1:22" x14ac:dyDescent="0.25">
      <c r="A67" t="s">
        <v>52</v>
      </c>
      <c r="B67" t="s">
        <v>53</v>
      </c>
      <c r="C67" s="1">
        <v>42047</v>
      </c>
      <c r="D67">
        <v>8711.5499999999993</v>
      </c>
      <c r="E67" s="1">
        <v>42074</v>
      </c>
      <c r="F67">
        <v>8699.9500000000007</v>
      </c>
      <c r="G67" s="2">
        <v>-1.2999999999999999E-3</v>
      </c>
      <c r="H67" s="40">
        <f t="shared" si="18"/>
        <v>27</v>
      </c>
      <c r="I67" s="4">
        <f t="shared" si="19"/>
        <v>1.5E-3</v>
      </c>
      <c r="J67" s="4">
        <f t="shared" si="20"/>
        <v>4.5000000000000005E-3</v>
      </c>
      <c r="K67" s="4">
        <f t="shared" si="21"/>
        <v>-7.3000000000000001E-3</v>
      </c>
      <c r="L67">
        <f t="shared" si="22"/>
        <v>322.51579830098308</v>
      </c>
      <c r="M67">
        <f t="shared" si="23"/>
        <v>322.935614599963</v>
      </c>
      <c r="N67">
        <f t="shared" si="24"/>
        <v>-0.41981629897992434</v>
      </c>
      <c r="O67" s="39">
        <f t="shared" si="25"/>
        <v>-1.2999999999999147E-3</v>
      </c>
      <c r="Q67">
        <f t="shared" si="26"/>
        <v>247.19292519402754</v>
      </c>
      <c r="R67">
        <f t="shared" si="27"/>
        <v>249.0107033283243</v>
      </c>
      <c r="S67">
        <f t="shared" si="28"/>
        <v>-1.8177781342967592</v>
      </c>
      <c r="T67" s="39">
        <f t="shared" si="29"/>
        <v>-7.2999999999999671E-3</v>
      </c>
      <c r="U67">
        <f t="shared" si="30"/>
        <v>2015</v>
      </c>
      <c r="V67">
        <f t="shared" si="31"/>
        <v>2015</v>
      </c>
    </row>
    <row r="68" spans="1:22" x14ac:dyDescent="0.25">
      <c r="A68" t="s">
        <v>52</v>
      </c>
      <c r="B68" t="s">
        <v>53</v>
      </c>
      <c r="C68" s="1">
        <v>42093</v>
      </c>
      <c r="D68">
        <v>8492.2999999999993</v>
      </c>
      <c r="E68" s="1">
        <v>42111</v>
      </c>
      <c r="F68">
        <v>8606</v>
      </c>
      <c r="G68" s="2">
        <v>1.34E-2</v>
      </c>
      <c r="H68" s="40">
        <f t="shared" si="18"/>
        <v>18</v>
      </c>
      <c r="I68" s="4">
        <f t="shared" si="19"/>
        <v>1.5E-3</v>
      </c>
      <c r="J68" s="4">
        <f t="shared" si="20"/>
        <v>3.0000000000000001E-3</v>
      </c>
      <c r="K68" s="4">
        <f t="shared" si="21"/>
        <v>8.8999999999999999E-3</v>
      </c>
      <c r="L68">
        <f t="shared" si="22"/>
        <v>326.83750999821626</v>
      </c>
      <c r="M68">
        <f t="shared" si="23"/>
        <v>326.83750999821626</v>
      </c>
      <c r="N68" t="str">
        <f t="shared" si="24"/>
        <v/>
      </c>
      <c r="O68" s="39">
        <f t="shared" si="25"/>
        <v>0</v>
      </c>
      <c r="Q68">
        <f t="shared" si="26"/>
        <v>249.39294222825436</v>
      </c>
      <c r="R68">
        <f t="shared" si="27"/>
        <v>249.39294222825436</v>
      </c>
      <c r="S68" t="str">
        <f t="shared" si="28"/>
        <v/>
      </c>
      <c r="T68" s="39">
        <f t="shared" si="29"/>
        <v>0</v>
      </c>
      <c r="U68">
        <f t="shared" si="30"/>
        <v>2015</v>
      </c>
      <c r="V68">
        <f t="shared" si="31"/>
        <v>2015</v>
      </c>
    </row>
    <row r="69" spans="1:22" x14ac:dyDescent="0.25">
      <c r="A69" t="s">
        <v>52</v>
      </c>
      <c r="B69" t="s">
        <v>53</v>
      </c>
      <c r="C69" s="1">
        <v>42128</v>
      </c>
      <c r="D69">
        <v>8331.9500000000007</v>
      </c>
      <c r="E69" s="1">
        <v>42130</v>
      </c>
      <c r="F69">
        <v>8097</v>
      </c>
      <c r="G69" s="2">
        <v>-2.8199999999999999E-2</v>
      </c>
      <c r="H69" s="40">
        <f t="shared" si="18"/>
        <v>2</v>
      </c>
      <c r="I69" s="4">
        <f t="shared" si="19"/>
        <v>1.5E-3</v>
      </c>
      <c r="J69" s="4">
        <f t="shared" si="20"/>
        <v>3.3333333333333332E-4</v>
      </c>
      <c r="K69" s="4">
        <f t="shared" si="21"/>
        <v>-3.0033333333333332E-2</v>
      </c>
      <c r="L69">
        <f t="shared" si="22"/>
        <v>317.62069221626655</v>
      </c>
      <c r="M69">
        <f t="shared" si="23"/>
        <v>326.83750999821626</v>
      </c>
      <c r="N69">
        <f t="shared" si="24"/>
        <v>-9.2168177819497146</v>
      </c>
      <c r="O69" s="39">
        <f t="shared" si="25"/>
        <v>-2.8200000000000048E-2</v>
      </c>
      <c r="Q69">
        <f t="shared" si="26"/>
        <v>241.90284086333244</v>
      </c>
      <c r="R69">
        <f t="shared" si="27"/>
        <v>249.39294222825436</v>
      </c>
      <c r="S69">
        <f t="shared" si="28"/>
        <v>-7.4901013649219124</v>
      </c>
      <c r="T69" s="39">
        <f t="shared" si="29"/>
        <v>-3.003333333333336E-2</v>
      </c>
      <c r="U69">
        <f t="shared" si="30"/>
        <v>2015</v>
      </c>
      <c r="V69">
        <f t="shared" si="31"/>
        <v>2015</v>
      </c>
    </row>
    <row r="70" spans="1:22" x14ac:dyDescent="0.25">
      <c r="A70" t="s">
        <v>52</v>
      </c>
      <c r="B70" t="s">
        <v>53</v>
      </c>
      <c r="C70" s="1">
        <v>42135</v>
      </c>
      <c r="D70">
        <v>8325.25</v>
      </c>
      <c r="E70" s="1">
        <v>42136</v>
      </c>
      <c r="F70">
        <v>8126.95</v>
      </c>
      <c r="G70" s="2">
        <v>-2.3800000000000002E-2</v>
      </c>
      <c r="H70" s="40">
        <f t="shared" si="18"/>
        <v>1</v>
      </c>
      <c r="I70" s="4">
        <f t="shared" si="19"/>
        <v>1.5E-3</v>
      </c>
      <c r="J70" s="4">
        <f t="shared" si="20"/>
        <v>1.6666666666666666E-4</v>
      </c>
      <c r="K70" s="4">
        <f t="shared" si="21"/>
        <v>-2.5466666666666669E-2</v>
      </c>
      <c r="L70">
        <f t="shared" si="22"/>
        <v>310.06131974151941</v>
      </c>
      <c r="M70">
        <f t="shared" si="23"/>
        <v>326.83750999821626</v>
      </c>
      <c r="N70">
        <f t="shared" si="24"/>
        <v>-16.77619025669685</v>
      </c>
      <c r="O70" s="39">
        <f t="shared" si="25"/>
        <v>-5.1328840000000021E-2</v>
      </c>
      <c r="Q70">
        <f t="shared" si="26"/>
        <v>235.74238184934626</v>
      </c>
      <c r="R70">
        <f t="shared" si="27"/>
        <v>249.39294222825436</v>
      </c>
      <c r="S70">
        <f t="shared" si="28"/>
        <v>-13.650560378908096</v>
      </c>
      <c r="T70" s="39">
        <f t="shared" si="29"/>
        <v>-5.4735151111111074E-2</v>
      </c>
      <c r="U70">
        <f t="shared" si="30"/>
        <v>2015</v>
      </c>
      <c r="V70">
        <f t="shared" si="31"/>
        <v>2015</v>
      </c>
    </row>
    <row r="71" spans="1:22" x14ac:dyDescent="0.25">
      <c r="A71" t="s">
        <v>52</v>
      </c>
      <c r="B71" t="s">
        <v>53</v>
      </c>
      <c r="C71" s="1">
        <v>42142</v>
      </c>
      <c r="D71">
        <v>8373.65</v>
      </c>
      <c r="E71" s="1">
        <v>42157</v>
      </c>
      <c r="F71">
        <v>8236.4500000000007</v>
      </c>
      <c r="G71" s="2">
        <v>-1.6400000000000001E-2</v>
      </c>
      <c r="H71" s="40">
        <f t="shared" si="18"/>
        <v>15</v>
      </c>
      <c r="I71" s="4">
        <f t="shared" si="19"/>
        <v>1.5E-3</v>
      </c>
      <c r="J71" s="4">
        <f t="shared" si="20"/>
        <v>2.5000000000000001E-3</v>
      </c>
      <c r="K71" s="4">
        <f t="shared" si="21"/>
        <v>-2.0400000000000001E-2</v>
      </c>
      <c r="L71">
        <f t="shared" si="22"/>
        <v>304.97631409775852</v>
      </c>
      <c r="M71">
        <f t="shared" si="23"/>
        <v>326.83750999821626</v>
      </c>
      <c r="N71">
        <f t="shared" si="24"/>
        <v>-21.861195900457744</v>
      </c>
      <c r="O71" s="39">
        <f t="shared" si="25"/>
        <v>-6.6887047023999946E-2</v>
      </c>
      <c r="Q71">
        <f t="shared" si="26"/>
        <v>230.9332372596196</v>
      </c>
      <c r="R71">
        <f t="shared" si="27"/>
        <v>249.39294222825436</v>
      </c>
      <c r="S71">
        <f t="shared" si="28"/>
        <v>-18.459704968634753</v>
      </c>
      <c r="T71" s="39">
        <f t="shared" si="29"/>
        <v>-7.4018554028444386E-2</v>
      </c>
      <c r="U71">
        <f t="shared" si="30"/>
        <v>2015</v>
      </c>
      <c r="V71">
        <f t="shared" si="31"/>
        <v>2015</v>
      </c>
    </row>
    <row r="72" spans="1:22" x14ac:dyDescent="0.25">
      <c r="A72" t="s">
        <v>52</v>
      </c>
      <c r="B72" t="s">
        <v>53</v>
      </c>
      <c r="C72" s="1">
        <v>42172</v>
      </c>
      <c r="D72">
        <v>8091.55</v>
      </c>
      <c r="E72" s="1">
        <v>42194</v>
      </c>
      <c r="F72">
        <v>8328.5499999999993</v>
      </c>
      <c r="G72" s="2">
        <v>2.93E-2</v>
      </c>
      <c r="H72" s="40">
        <f t="shared" si="18"/>
        <v>22</v>
      </c>
      <c r="I72" s="4">
        <f t="shared" si="19"/>
        <v>1.5E-3</v>
      </c>
      <c r="J72" s="4">
        <f t="shared" si="20"/>
        <v>3.6666666666666666E-3</v>
      </c>
      <c r="K72" s="4">
        <f t="shared" si="21"/>
        <v>2.4133333333333333E-2</v>
      </c>
      <c r="L72">
        <f t="shared" si="22"/>
        <v>313.91212010082285</v>
      </c>
      <c r="M72">
        <f t="shared" si="23"/>
        <v>326.83750999821626</v>
      </c>
      <c r="N72">
        <f t="shared" si="24"/>
        <v>-12.925389897393416</v>
      </c>
      <c r="O72" s="39">
        <f t="shared" si="25"/>
        <v>-3.9546837501803135E-2</v>
      </c>
      <c r="Q72">
        <f t="shared" si="26"/>
        <v>236.50642605215177</v>
      </c>
      <c r="R72">
        <f t="shared" si="27"/>
        <v>249.39294222825436</v>
      </c>
      <c r="S72">
        <f t="shared" si="28"/>
        <v>-12.886516176102589</v>
      </c>
      <c r="T72" s="39">
        <f t="shared" si="29"/>
        <v>-5.1671535132330797E-2</v>
      </c>
      <c r="U72">
        <f t="shared" si="30"/>
        <v>2015</v>
      </c>
      <c r="V72">
        <f t="shared" si="31"/>
        <v>2015</v>
      </c>
    </row>
    <row r="73" spans="1:22" x14ac:dyDescent="0.25">
      <c r="A73" t="s">
        <v>52</v>
      </c>
      <c r="B73" t="s">
        <v>53</v>
      </c>
      <c r="C73" s="1">
        <v>42198</v>
      </c>
      <c r="D73">
        <v>8459.65</v>
      </c>
      <c r="E73" s="1">
        <v>42212</v>
      </c>
      <c r="F73">
        <v>8361</v>
      </c>
      <c r="G73" s="2">
        <v>-1.17E-2</v>
      </c>
      <c r="H73" s="40">
        <f t="shared" si="18"/>
        <v>14</v>
      </c>
      <c r="I73" s="4">
        <f t="shared" si="19"/>
        <v>1.5E-3</v>
      </c>
      <c r="J73" s="4">
        <f t="shared" si="20"/>
        <v>2.3333333333333335E-3</v>
      </c>
      <c r="K73" s="4">
        <f t="shared" si="21"/>
        <v>-1.5533333333333333E-2</v>
      </c>
      <c r="L73">
        <f t="shared" si="22"/>
        <v>310.2393482956432</v>
      </c>
      <c r="M73">
        <f t="shared" si="23"/>
        <v>326.83750999821626</v>
      </c>
      <c r="N73">
        <f t="shared" si="24"/>
        <v>-16.598161702573066</v>
      </c>
      <c r="O73" s="39">
        <f t="shared" si="25"/>
        <v>-5.0784139503032108E-2</v>
      </c>
      <c r="Q73">
        <f t="shared" si="26"/>
        <v>232.83269290080835</v>
      </c>
      <c r="R73">
        <f t="shared" si="27"/>
        <v>249.39294222825436</v>
      </c>
      <c r="S73">
        <f t="shared" si="28"/>
        <v>-16.560249327446002</v>
      </c>
      <c r="T73" s="39">
        <f t="shared" si="29"/>
        <v>-6.6402237286608545E-2</v>
      </c>
      <c r="U73">
        <f t="shared" si="30"/>
        <v>2015</v>
      </c>
      <c r="V73">
        <f t="shared" si="31"/>
        <v>2015</v>
      </c>
    </row>
    <row r="74" spans="1:22" x14ac:dyDescent="0.25">
      <c r="A74" t="s">
        <v>52</v>
      </c>
      <c r="B74" t="s">
        <v>53</v>
      </c>
      <c r="C74" s="1">
        <v>42216</v>
      </c>
      <c r="D74">
        <v>8532.85</v>
      </c>
      <c r="E74" s="1">
        <v>42228</v>
      </c>
      <c r="F74">
        <v>8349.4500000000007</v>
      </c>
      <c r="G74" s="2">
        <v>-2.1499999999999998E-2</v>
      </c>
      <c r="H74" s="40">
        <f t="shared" si="18"/>
        <v>12</v>
      </c>
      <c r="I74" s="4">
        <f t="shared" si="19"/>
        <v>1.5E-3</v>
      </c>
      <c r="J74" s="4">
        <f t="shared" si="20"/>
        <v>2E-3</v>
      </c>
      <c r="K74" s="4">
        <f t="shared" si="21"/>
        <v>-2.4999999999999998E-2</v>
      </c>
      <c r="L74">
        <f t="shared" si="22"/>
        <v>303.5692023072869</v>
      </c>
      <c r="M74">
        <f t="shared" si="23"/>
        <v>326.83750999821626</v>
      </c>
      <c r="N74">
        <f t="shared" si="24"/>
        <v>-23.268307690929362</v>
      </c>
      <c r="O74" s="39">
        <f t="shared" si="25"/>
        <v>-7.1192280503716815E-2</v>
      </c>
      <c r="Q74">
        <f t="shared" si="26"/>
        <v>227.01187557828814</v>
      </c>
      <c r="R74">
        <f t="shared" si="27"/>
        <v>249.39294222825436</v>
      </c>
      <c r="S74">
        <f t="shared" si="28"/>
        <v>-22.381066649966215</v>
      </c>
      <c r="T74" s="39">
        <f t="shared" si="29"/>
        <v>-8.974218135444334E-2</v>
      </c>
      <c r="U74">
        <f t="shared" si="30"/>
        <v>2015</v>
      </c>
      <c r="V74">
        <f t="shared" si="31"/>
        <v>2015</v>
      </c>
    </row>
    <row r="75" spans="1:22" x14ac:dyDescent="0.25">
      <c r="A75" t="s">
        <v>52</v>
      </c>
      <c r="B75" t="s">
        <v>53</v>
      </c>
      <c r="C75" s="1">
        <v>42230</v>
      </c>
      <c r="D75">
        <v>8518.5499999999993</v>
      </c>
      <c r="E75" s="1">
        <v>42237</v>
      </c>
      <c r="F75">
        <v>8299.9500000000007</v>
      </c>
      <c r="G75" s="2">
        <v>-2.5700000000000001E-2</v>
      </c>
      <c r="H75" s="40">
        <f t="shared" si="18"/>
        <v>7</v>
      </c>
      <c r="I75" s="4">
        <f t="shared" si="19"/>
        <v>1.5E-3</v>
      </c>
      <c r="J75" s="4">
        <f t="shared" si="20"/>
        <v>1.1666666666666668E-3</v>
      </c>
      <c r="K75" s="4">
        <f t="shared" si="21"/>
        <v>-2.8366666666666669E-2</v>
      </c>
      <c r="L75">
        <f t="shared" si="22"/>
        <v>295.76747380798963</v>
      </c>
      <c r="M75">
        <f t="shared" si="23"/>
        <v>326.83750999821626</v>
      </c>
      <c r="N75">
        <f t="shared" si="24"/>
        <v>-31.070036190226631</v>
      </c>
      <c r="O75" s="39">
        <f t="shared" si="25"/>
        <v>-9.5062638894771276E-2</v>
      </c>
      <c r="Q75">
        <f t="shared" si="26"/>
        <v>220.57230537438403</v>
      </c>
      <c r="R75">
        <f t="shared" si="27"/>
        <v>249.39294222825436</v>
      </c>
      <c r="S75">
        <f t="shared" si="28"/>
        <v>-28.820636853870326</v>
      </c>
      <c r="T75" s="39">
        <f t="shared" si="29"/>
        <v>-0.11556316147668899</v>
      </c>
      <c r="U75">
        <f t="shared" si="30"/>
        <v>2015</v>
      </c>
      <c r="V75">
        <f t="shared" si="31"/>
        <v>2015</v>
      </c>
    </row>
    <row r="76" spans="1:22" x14ac:dyDescent="0.25">
      <c r="A76" t="s">
        <v>52</v>
      </c>
      <c r="B76" t="s">
        <v>53</v>
      </c>
      <c r="C76" s="1">
        <v>42423</v>
      </c>
      <c r="D76">
        <v>7109.55</v>
      </c>
      <c r="E76" s="1">
        <v>42424</v>
      </c>
      <c r="F76">
        <v>7018.7</v>
      </c>
      <c r="G76" s="2">
        <v>-1.2800000000000001E-2</v>
      </c>
      <c r="H76" s="40">
        <f t="shared" si="18"/>
        <v>1</v>
      </c>
      <c r="I76" s="4">
        <f t="shared" si="19"/>
        <v>1.5E-3</v>
      </c>
      <c r="J76" s="4">
        <f t="shared" si="20"/>
        <v>1.6666666666666666E-4</v>
      </c>
      <c r="K76" s="4">
        <f t="shared" si="21"/>
        <v>-1.4466666666666668E-2</v>
      </c>
      <c r="L76">
        <f t="shared" si="22"/>
        <v>291.98165014324735</v>
      </c>
      <c r="M76">
        <f t="shared" si="23"/>
        <v>326.83750999821626</v>
      </c>
      <c r="N76">
        <f t="shared" si="24"/>
        <v>-34.855859854968912</v>
      </c>
      <c r="O76" s="39">
        <f t="shared" si="25"/>
        <v>-0.10664583711691825</v>
      </c>
      <c r="Q76">
        <f t="shared" si="26"/>
        <v>217.38135935663462</v>
      </c>
      <c r="R76">
        <f t="shared" si="27"/>
        <v>249.39294222825436</v>
      </c>
      <c r="S76">
        <f t="shared" si="28"/>
        <v>-32.011582871619737</v>
      </c>
      <c r="T76" s="39">
        <f t="shared" si="29"/>
        <v>-0.12835801440732617</v>
      </c>
      <c r="U76">
        <f t="shared" si="30"/>
        <v>2016</v>
      </c>
      <c r="V76">
        <f t="shared" si="31"/>
        <v>2016</v>
      </c>
    </row>
    <row r="77" spans="1:22" x14ac:dyDescent="0.25">
      <c r="A77" t="s">
        <v>52</v>
      </c>
      <c r="B77" t="s">
        <v>53</v>
      </c>
      <c r="C77" s="1">
        <v>42430</v>
      </c>
      <c r="D77">
        <v>7222.3</v>
      </c>
      <c r="E77" s="1">
        <v>42467</v>
      </c>
      <c r="F77">
        <v>7546.451</v>
      </c>
      <c r="G77" s="2">
        <v>4.4900000000000002E-2</v>
      </c>
      <c r="H77" s="40">
        <f t="shared" si="18"/>
        <v>37</v>
      </c>
      <c r="I77" s="4">
        <f t="shared" si="19"/>
        <v>1.5E-3</v>
      </c>
      <c r="J77" s="4">
        <f t="shared" si="20"/>
        <v>6.1666666666666675E-3</v>
      </c>
      <c r="K77" s="4">
        <f t="shared" si="21"/>
        <v>3.7233333333333334E-2</v>
      </c>
      <c r="L77">
        <f t="shared" si="22"/>
        <v>305.09162623467915</v>
      </c>
      <c r="M77">
        <f t="shared" si="23"/>
        <v>326.83750999821626</v>
      </c>
      <c r="N77">
        <f t="shared" si="24"/>
        <v>-21.745883763537108</v>
      </c>
      <c r="O77" s="39">
        <f t="shared" si="25"/>
        <v>-6.6534235203467892E-2</v>
      </c>
      <c r="Q77">
        <f t="shared" si="26"/>
        <v>225.4751919700133</v>
      </c>
      <c r="R77">
        <f t="shared" si="27"/>
        <v>249.39294222825436</v>
      </c>
      <c r="S77">
        <f t="shared" si="28"/>
        <v>-23.917750258241057</v>
      </c>
      <c r="T77" s="39">
        <f t="shared" si="29"/>
        <v>-9.5903877810425683E-2</v>
      </c>
      <c r="U77">
        <f t="shared" si="30"/>
        <v>2016</v>
      </c>
      <c r="V77">
        <f t="shared" si="31"/>
        <v>2016</v>
      </c>
    </row>
    <row r="78" spans="1:22" x14ac:dyDescent="0.25">
      <c r="A78" t="s">
        <v>52</v>
      </c>
      <c r="B78" t="s">
        <v>53</v>
      </c>
      <c r="C78" s="1">
        <v>42471</v>
      </c>
      <c r="D78">
        <v>7671.4</v>
      </c>
      <c r="E78" s="1">
        <v>42493</v>
      </c>
      <c r="F78">
        <v>7747</v>
      </c>
      <c r="G78" s="2">
        <v>9.9000000000000008E-3</v>
      </c>
      <c r="H78" s="40">
        <f t="shared" si="18"/>
        <v>22</v>
      </c>
      <c r="I78" s="4">
        <f t="shared" si="19"/>
        <v>1.5E-3</v>
      </c>
      <c r="J78" s="4">
        <f t="shared" si="20"/>
        <v>3.6666666666666666E-3</v>
      </c>
      <c r="K78" s="4">
        <f t="shared" si="21"/>
        <v>4.7333333333333342E-3</v>
      </c>
      <c r="L78">
        <f t="shared" si="22"/>
        <v>308.1120333344025</v>
      </c>
      <c r="M78">
        <f t="shared" si="23"/>
        <v>326.83750999821626</v>
      </c>
      <c r="N78">
        <f t="shared" si="24"/>
        <v>-18.725476663813765</v>
      </c>
      <c r="O78" s="39">
        <f t="shared" si="25"/>
        <v>-5.7292924131982163E-2</v>
      </c>
      <c r="Q78">
        <f t="shared" si="26"/>
        <v>226.54244121200469</v>
      </c>
      <c r="R78">
        <f t="shared" si="27"/>
        <v>249.39294222825436</v>
      </c>
      <c r="S78">
        <f t="shared" si="28"/>
        <v>-22.850501016249666</v>
      </c>
      <c r="T78" s="39">
        <f t="shared" si="29"/>
        <v>-9.1624489498728381E-2</v>
      </c>
      <c r="U78">
        <f t="shared" si="30"/>
        <v>2016</v>
      </c>
      <c r="V78">
        <f t="shared" si="31"/>
        <v>2016</v>
      </c>
    </row>
    <row r="79" spans="1:22" x14ac:dyDescent="0.25">
      <c r="A79" t="s">
        <v>52</v>
      </c>
      <c r="B79" t="s">
        <v>53</v>
      </c>
      <c r="C79" s="1">
        <v>42499</v>
      </c>
      <c r="D79">
        <v>7866.05</v>
      </c>
      <c r="E79" s="1">
        <v>42534</v>
      </c>
      <c r="F79">
        <v>8110.6009999999997</v>
      </c>
      <c r="G79" s="2">
        <v>3.1099999999999999E-2</v>
      </c>
      <c r="H79" s="40">
        <f t="shared" si="18"/>
        <v>35</v>
      </c>
      <c r="I79" s="4">
        <f t="shared" si="19"/>
        <v>1.5E-3</v>
      </c>
      <c r="J79" s="4">
        <f t="shared" si="20"/>
        <v>5.8333333333333336E-3</v>
      </c>
      <c r="K79" s="4">
        <f t="shared" si="21"/>
        <v>2.3766666666666665E-2</v>
      </c>
      <c r="L79">
        <f t="shared" si="22"/>
        <v>317.69431757110237</v>
      </c>
      <c r="M79">
        <f t="shared" si="23"/>
        <v>326.83750999821626</v>
      </c>
      <c r="N79">
        <f t="shared" si="24"/>
        <v>-9.1431924271138882</v>
      </c>
      <c r="O79" s="39">
        <f t="shared" si="25"/>
        <v>-2.7974734072486931E-2</v>
      </c>
      <c r="Q79">
        <f t="shared" si="26"/>
        <v>231.92659989814334</v>
      </c>
      <c r="R79">
        <f t="shared" si="27"/>
        <v>249.39294222825436</v>
      </c>
      <c r="S79">
        <f t="shared" si="28"/>
        <v>-17.466342330111019</v>
      </c>
      <c r="T79" s="39">
        <f t="shared" si="29"/>
        <v>-7.0035431532481485E-2</v>
      </c>
      <c r="U79">
        <f t="shared" si="30"/>
        <v>2016</v>
      </c>
      <c r="V79">
        <f t="shared" si="31"/>
        <v>2016</v>
      </c>
    </row>
    <row r="80" spans="1:22" x14ac:dyDescent="0.25">
      <c r="A80" t="s">
        <v>52</v>
      </c>
      <c r="B80" t="s">
        <v>53</v>
      </c>
      <c r="C80" s="1">
        <v>42536</v>
      </c>
      <c r="D80">
        <v>8206.6</v>
      </c>
      <c r="E80" s="1">
        <v>42625</v>
      </c>
      <c r="F80">
        <v>8715.6</v>
      </c>
      <c r="G80" s="2">
        <v>6.2E-2</v>
      </c>
      <c r="H80" s="40">
        <f t="shared" si="18"/>
        <v>89</v>
      </c>
      <c r="I80" s="4">
        <f t="shared" si="19"/>
        <v>1.5E-3</v>
      </c>
      <c r="J80" s="4">
        <f t="shared" si="20"/>
        <v>1.4833333333333334E-2</v>
      </c>
      <c r="K80" s="4">
        <f t="shared" si="21"/>
        <v>4.5666666666666661E-2</v>
      </c>
      <c r="L80">
        <f t="shared" si="22"/>
        <v>337.39136526051072</v>
      </c>
      <c r="M80">
        <f t="shared" si="23"/>
        <v>337.39136526051072</v>
      </c>
      <c r="N80" t="str">
        <f t="shared" si="24"/>
        <v/>
      </c>
      <c r="O80" s="39">
        <f t="shared" si="25"/>
        <v>0</v>
      </c>
      <c r="Q80">
        <f t="shared" si="26"/>
        <v>242.51791462682525</v>
      </c>
      <c r="R80">
        <f t="shared" si="27"/>
        <v>249.39294222825436</v>
      </c>
      <c r="S80">
        <f t="shared" si="28"/>
        <v>-6.8750276014291103</v>
      </c>
      <c r="T80" s="39">
        <f t="shared" si="29"/>
        <v>-2.756704957246469E-2</v>
      </c>
      <c r="U80">
        <f t="shared" si="30"/>
        <v>2016</v>
      </c>
      <c r="V80">
        <f t="shared" si="31"/>
        <v>2016</v>
      </c>
    </row>
    <row r="81" spans="1:22" x14ac:dyDescent="0.25">
      <c r="A81" t="s">
        <v>52</v>
      </c>
      <c r="B81" t="s">
        <v>53</v>
      </c>
      <c r="C81" s="1">
        <v>42632</v>
      </c>
      <c r="D81">
        <v>8808.4</v>
      </c>
      <c r="E81" s="1">
        <v>42639</v>
      </c>
      <c r="F81">
        <v>8723.0499999999993</v>
      </c>
      <c r="G81" s="2">
        <v>-9.7000000000000003E-3</v>
      </c>
      <c r="H81" s="40">
        <f t="shared" si="18"/>
        <v>7</v>
      </c>
      <c r="I81" s="4">
        <f t="shared" si="19"/>
        <v>1.5E-3</v>
      </c>
      <c r="J81" s="4">
        <f t="shared" si="20"/>
        <v>1.1666666666666668E-3</v>
      </c>
      <c r="K81" s="4">
        <f t="shared" si="21"/>
        <v>-1.2366666666666668E-2</v>
      </c>
      <c r="L81">
        <f t="shared" si="22"/>
        <v>334.11866901748374</v>
      </c>
      <c r="M81">
        <f t="shared" si="23"/>
        <v>337.39136526051072</v>
      </c>
      <c r="N81">
        <f t="shared" si="24"/>
        <v>-3.272696243026985</v>
      </c>
      <c r="O81" s="39">
        <f t="shared" si="25"/>
        <v>-9.7000000000000922E-3</v>
      </c>
      <c r="Q81">
        <f t="shared" si="26"/>
        <v>239.51877641594018</v>
      </c>
      <c r="R81">
        <f t="shared" si="27"/>
        <v>249.39294222825436</v>
      </c>
      <c r="S81">
        <f t="shared" si="28"/>
        <v>-9.8741658123141747</v>
      </c>
      <c r="T81" s="39">
        <f t="shared" si="29"/>
        <v>-3.9592803726085181E-2</v>
      </c>
      <c r="U81">
        <f t="shared" si="30"/>
        <v>2016</v>
      </c>
      <c r="V81">
        <f t="shared" si="31"/>
        <v>2016</v>
      </c>
    </row>
    <row r="82" spans="1:22" x14ac:dyDescent="0.25">
      <c r="A82" t="s">
        <v>52</v>
      </c>
      <c r="B82" t="s">
        <v>53</v>
      </c>
      <c r="C82" s="1">
        <v>42646</v>
      </c>
      <c r="D82">
        <v>8738.1</v>
      </c>
      <c r="E82" s="1">
        <v>42656</v>
      </c>
      <c r="F82">
        <v>8573.35</v>
      </c>
      <c r="G82" s="2">
        <v>-1.89E-2</v>
      </c>
      <c r="H82" s="40">
        <f t="shared" si="18"/>
        <v>10</v>
      </c>
      <c r="I82" s="4">
        <f t="shared" si="19"/>
        <v>1.5E-3</v>
      </c>
      <c r="J82" s="4">
        <f t="shared" si="20"/>
        <v>1.6666666666666666E-3</v>
      </c>
      <c r="K82" s="4">
        <f t="shared" si="21"/>
        <v>-2.2066666666666665E-2</v>
      </c>
      <c r="L82">
        <f t="shared" si="22"/>
        <v>327.80382617305327</v>
      </c>
      <c r="M82">
        <f t="shared" si="23"/>
        <v>337.39136526051072</v>
      </c>
      <c r="N82">
        <f t="shared" si="24"/>
        <v>-9.5875390874574578</v>
      </c>
      <c r="O82" s="39">
        <f t="shared" si="25"/>
        <v>-2.8416670000000178E-2</v>
      </c>
      <c r="Q82">
        <f t="shared" si="26"/>
        <v>234.23339541636176</v>
      </c>
      <c r="R82">
        <f t="shared" si="27"/>
        <v>249.39294222825436</v>
      </c>
      <c r="S82">
        <f t="shared" si="28"/>
        <v>-15.159546811892596</v>
      </c>
      <c r="T82" s="39">
        <f t="shared" si="29"/>
        <v>-6.0785789190529599E-2</v>
      </c>
      <c r="U82">
        <f t="shared" si="30"/>
        <v>2016</v>
      </c>
      <c r="V82">
        <f t="shared" si="31"/>
        <v>2016</v>
      </c>
    </row>
    <row r="83" spans="1:22" x14ac:dyDescent="0.25">
      <c r="A83" t="s">
        <v>52</v>
      </c>
      <c r="B83" t="s">
        <v>53</v>
      </c>
      <c r="C83" s="1">
        <v>42661</v>
      </c>
      <c r="D83">
        <v>8677.9</v>
      </c>
      <c r="E83" s="1">
        <v>42669</v>
      </c>
      <c r="F83">
        <v>8615.25</v>
      </c>
      <c r="G83" s="2">
        <v>-7.1999999999999998E-3</v>
      </c>
      <c r="H83" s="40">
        <f t="shared" si="18"/>
        <v>8</v>
      </c>
      <c r="I83" s="4">
        <f t="shared" si="19"/>
        <v>1.5E-3</v>
      </c>
      <c r="J83" s="4">
        <f t="shared" si="20"/>
        <v>1.3333333333333333E-3</v>
      </c>
      <c r="K83" s="4">
        <f t="shared" si="21"/>
        <v>-1.0033333333333333E-2</v>
      </c>
      <c r="L83">
        <f t="shared" si="22"/>
        <v>325.44363862460727</v>
      </c>
      <c r="M83">
        <f t="shared" si="23"/>
        <v>337.39136526051072</v>
      </c>
      <c r="N83">
        <f t="shared" si="24"/>
        <v>-11.94772663590345</v>
      </c>
      <c r="O83" s="39">
        <f t="shared" si="25"/>
        <v>-3.5412069976000202E-2</v>
      </c>
      <c r="Q83">
        <f t="shared" si="26"/>
        <v>231.88325368235093</v>
      </c>
      <c r="R83">
        <f t="shared" si="27"/>
        <v>249.39294222825436</v>
      </c>
      <c r="S83">
        <f t="shared" si="28"/>
        <v>-17.50968854590343</v>
      </c>
      <c r="T83" s="39">
        <f t="shared" si="29"/>
        <v>-7.0209238438984634E-2</v>
      </c>
      <c r="U83">
        <f t="shared" si="30"/>
        <v>2016</v>
      </c>
      <c r="V83">
        <f t="shared" si="31"/>
        <v>2016</v>
      </c>
    </row>
    <row r="84" spans="1:22" x14ac:dyDescent="0.25">
      <c r="A84" t="s">
        <v>52</v>
      </c>
      <c r="B84" t="s">
        <v>53</v>
      </c>
      <c r="C84" s="1">
        <v>42682</v>
      </c>
      <c r="D84">
        <v>8543.5499999999993</v>
      </c>
      <c r="E84" s="1">
        <v>42685</v>
      </c>
      <c r="F84">
        <v>8296.2999999999993</v>
      </c>
      <c r="G84" s="2">
        <v>-2.8899999999999999E-2</v>
      </c>
      <c r="H84" s="40">
        <f t="shared" si="18"/>
        <v>3</v>
      </c>
      <c r="I84" s="4">
        <f t="shared" si="19"/>
        <v>1.5E-3</v>
      </c>
      <c r="J84" s="4">
        <f t="shared" si="20"/>
        <v>5.0000000000000001E-4</v>
      </c>
      <c r="K84" s="4">
        <f t="shared" si="21"/>
        <v>-3.0899999999999997E-2</v>
      </c>
      <c r="L84">
        <f t="shared" si="22"/>
        <v>316.03831746835613</v>
      </c>
      <c r="M84">
        <f t="shared" si="23"/>
        <v>337.39136526051072</v>
      </c>
      <c r="N84">
        <f t="shared" si="24"/>
        <v>-21.353047792154598</v>
      </c>
      <c r="O84" s="39">
        <f t="shared" si="25"/>
        <v>-6.328866115369379E-2</v>
      </c>
      <c r="Q84">
        <f t="shared" si="26"/>
        <v>224.71806114356627</v>
      </c>
      <c r="R84">
        <f t="shared" si="27"/>
        <v>249.39294222825436</v>
      </c>
      <c r="S84">
        <f t="shared" si="28"/>
        <v>-24.674881084688082</v>
      </c>
      <c r="T84" s="39">
        <f t="shared" si="29"/>
        <v>-9.8939772971220044E-2</v>
      </c>
      <c r="U84">
        <f t="shared" si="30"/>
        <v>2016</v>
      </c>
      <c r="V84">
        <f t="shared" si="31"/>
        <v>2016</v>
      </c>
    </row>
    <row r="85" spans="1:22" x14ac:dyDescent="0.25">
      <c r="A85" t="s">
        <v>52</v>
      </c>
      <c r="B85" t="s">
        <v>53</v>
      </c>
      <c r="C85" s="1">
        <v>42727</v>
      </c>
      <c r="D85">
        <v>7985.75</v>
      </c>
      <c r="E85" s="1">
        <v>42730</v>
      </c>
      <c r="F85">
        <v>7908.25</v>
      </c>
      <c r="G85" s="2">
        <v>-9.7000000000000003E-3</v>
      </c>
      <c r="H85" s="40">
        <f t="shared" si="18"/>
        <v>3</v>
      </c>
      <c r="I85" s="4">
        <f t="shared" si="19"/>
        <v>1.5E-3</v>
      </c>
      <c r="J85" s="4">
        <f t="shared" si="20"/>
        <v>5.0000000000000001E-4</v>
      </c>
      <c r="K85" s="4">
        <f t="shared" si="21"/>
        <v>-1.17E-2</v>
      </c>
      <c r="L85">
        <f t="shared" si="22"/>
        <v>312.97274578891307</v>
      </c>
      <c r="M85">
        <f t="shared" si="23"/>
        <v>337.39136526051072</v>
      </c>
      <c r="N85">
        <f t="shared" si="24"/>
        <v>-24.418619471597651</v>
      </c>
      <c r="O85" s="39">
        <f t="shared" si="25"/>
        <v>-7.2374761140502952E-2</v>
      </c>
      <c r="Q85">
        <f t="shared" si="26"/>
        <v>222.08885982818654</v>
      </c>
      <c r="R85">
        <f t="shared" si="27"/>
        <v>249.39294222825436</v>
      </c>
      <c r="S85">
        <f t="shared" si="28"/>
        <v>-27.304082400067813</v>
      </c>
      <c r="T85" s="39">
        <f t="shared" si="29"/>
        <v>-0.10948217762745679</v>
      </c>
      <c r="U85">
        <f t="shared" si="30"/>
        <v>2016</v>
      </c>
      <c r="V85">
        <f t="shared" si="31"/>
        <v>2016</v>
      </c>
    </row>
    <row r="86" spans="1:22" x14ac:dyDescent="0.25">
      <c r="A86" t="s">
        <v>52</v>
      </c>
      <c r="B86" t="s">
        <v>53</v>
      </c>
      <c r="C86" s="1">
        <v>42731</v>
      </c>
      <c r="D86">
        <v>8032.85</v>
      </c>
      <c r="E86" s="1">
        <v>42843</v>
      </c>
      <c r="F86">
        <v>9105.15</v>
      </c>
      <c r="G86" s="2">
        <v>0.13350000000000001</v>
      </c>
      <c r="H86" s="40">
        <f t="shared" si="18"/>
        <v>112</v>
      </c>
      <c r="I86" s="4">
        <f t="shared" si="19"/>
        <v>1.5E-3</v>
      </c>
      <c r="J86" s="4">
        <f t="shared" si="20"/>
        <v>1.8666666666666668E-2</v>
      </c>
      <c r="K86" s="4">
        <f t="shared" si="21"/>
        <v>0.11333333333333334</v>
      </c>
      <c r="L86">
        <f t="shared" si="22"/>
        <v>354.75460735173294</v>
      </c>
      <c r="M86">
        <f t="shared" si="23"/>
        <v>354.75460735173294</v>
      </c>
      <c r="N86" t="str">
        <f t="shared" si="24"/>
        <v/>
      </c>
      <c r="O86" s="39">
        <f t="shared" si="25"/>
        <v>0</v>
      </c>
      <c r="Q86">
        <f t="shared" si="26"/>
        <v>247.25893060871434</v>
      </c>
      <c r="R86">
        <f t="shared" si="27"/>
        <v>249.39294222825436</v>
      </c>
      <c r="S86">
        <f t="shared" si="28"/>
        <v>-2.1340116195400185</v>
      </c>
      <c r="T86" s="39">
        <f t="shared" si="29"/>
        <v>-8.5568244252352821E-3</v>
      </c>
      <c r="U86">
        <f t="shared" si="30"/>
        <v>2017</v>
      </c>
      <c r="V86">
        <f t="shared" si="31"/>
        <v>2016</v>
      </c>
    </row>
    <row r="87" spans="1:22" x14ac:dyDescent="0.25">
      <c r="A87" t="s">
        <v>52</v>
      </c>
      <c r="B87" t="s">
        <v>53</v>
      </c>
      <c r="C87" s="1">
        <v>42849</v>
      </c>
      <c r="D87">
        <v>9217.9500000000007</v>
      </c>
      <c r="E87" s="1">
        <v>42878</v>
      </c>
      <c r="F87">
        <v>9386.15</v>
      </c>
      <c r="G87" s="2">
        <v>1.8200000000000001E-2</v>
      </c>
      <c r="H87" s="40">
        <f t="shared" si="18"/>
        <v>29</v>
      </c>
      <c r="I87" s="4">
        <f t="shared" si="19"/>
        <v>1.5E-3</v>
      </c>
      <c r="J87" s="4">
        <f t="shared" si="20"/>
        <v>4.8333333333333336E-3</v>
      </c>
      <c r="K87" s="4">
        <f t="shared" si="21"/>
        <v>1.1866666666666668E-2</v>
      </c>
      <c r="L87">
        <f t="shared" si="22"/>
        <v>361.21114120553449</v>
      </c>
      <c r="M87">
        <f t="shared" si="23"/>
        <v>361.21114120553449</v>
      </c>
      <c r="N87" t="str">
        <f t="shared" si="24"/>
        <v/>
      </c>
      <c r="O87" s="39">
        <f t="shared" si="25"/>
        <v>0</v>
      </c>
      <c r="Q87">
        <f t="shared" si="26"/>
        <v>250.19306991860441</v>
      </c>
      <c r="R87">
        <f t="shared" si="27"/>
        <v>250.19306991860441</v>
      </c>
      <c r="S87" t="str">
        <f t="shared" si="28"/>
        <v/>
      </c>
      <c r="T87" s="39">
        <f t="shared" si="29"/>
        <v>0</v>
      </c>
      <c r="U87">
        <f t="shared" si="30"/>
        <v>2017</v>
      </c>
      <c r="V87">
        <f t="shared" si="31"/>
        <v>2017</v>
      </c>
    </row>
    <row r="88" spans="1:22" x14ac:dyDescent="0.25">
      <c r="A88" t="s">
        <v>52</v>
      </c>
      <c r="B88" t="s">
        <v>53</v>
      </c>
      <c r="C88" s="1">
        <v>42880</v>
      </c>
      <c r="D88">
        <v>9509.75</v>
      </c>
      <c r="E88" s="1">
        <v>42913</v>
      </c>
      <c r="F88">
        <v>9511.4</v>
      </c>
      <c r="G88" s="2">
        <v>2.0000000000000001E-4</v>
      </c>
      <c r="H88" s="40">
        <f t="shared" ref="H88:H149" si="32">E88-C88</f>
        <v>33</v>
      </c>
      <c r="I88" s="4">
        <f t="shared" ref="I88:I149" si="33">C$1</f>
        <v>1.5E-3</v>
      </c>
      <c r="J88" s="4">
        <f t="shared" ref="J88:J149" si="34">H88/30*D$1</f>
        <v>5.5000000000000005E-3</v>
      </c>
      <c r="K88" s="4">
        <f t="shared" ref="K88:K149" si="35">G88-SUM(I88,J88)</f>
        <v>-6.8000000000000014E-3</v>
      </c>
      <c r="L88">
        <f t="shared" ref="L88:L149" si="36">L87*(1+G88)</f>
        <v>361.28338343377561</v>
      </c>
      <c r="M88">
        <f t="shared" ref="M88:M149" si="37">MAX(L88,M87)</f>
        <v>361.28338343377561</v>
      </c>
      <c r="N88" t="str">
        <f t="shared" ref="N88:N149" si="38">IF(M88&gt;L88,L88-M88,"")</f>
        <v/>
      </c>
      <c r="O88" s="39">
        <f t="shared" ref="O88:O149" si="39">IFERROR(N88/M88,0)</f>
        <v>0</v>
      </c>
      <c r="Q88">
        <f t="shared" ref="Q88:Q149" si="40">Q87*(1+K88)</f>
        <v>248.49175704315789</v>
      </c>
      <c r="R88">
        <f t="shared" ref="R88:R149" si="41">MAX(Q88,R87)</f>
        <v>250.19306991860441</v>
      </c>
      <c r="S88">
        <f t="shared" ref="S88:S149" si="42">IF(R88&gt;Q88,Q88-R88,"")</f>
        <v>-1.7013128754465185</v>
      </c>
      <c r="T88" s="39">
        <f t="shared" ref="T88:T149" si="43">IFERROR(S88/R88,0)</f>
        <v>-6.8000000000000343E-3</v>
      </c>
      <c r="U88">
        <f t="shared" ref="U88:U149" si="44">YEAR(E88)</f>
        <v>2017</v>
      </c>
      <c r="V88">
        <f t="shared" ref="V88:V149" si="45">YEAR(C88)</f>
        <v>2017</v>
      </c>
    </row>
    <row r="89" spans="1:22" x14ac:dyDescent="0.25">
      <c r="A89" t="s">
        <v>52</v>
      </c>
      <c r="B89" t="s">
        <v>53</v>
      </c>
      <c r="C89" s="1">
        <v>42919</v>
      </c>
      <c r="D89">
        <v>9615</v>
      </c>
      <c r="E89" s="1">
        <v>42956</v>
      </c>
      <c r="F89">
        <v>9908.0499999999993</v>
      </c>
      <c r="G89" s="2">
        <v>3.0499999999999999E-2</v>
      </c>
      <c r="H89" s="40">
        <f t="shared" si="32"/>
        <v>37</v>
      </c>
      <c r="I89" s="4">
        <f t="shared" si="33"/>
        <v>1.5E-3</v>
      </c>
      <c r="J89" s="4">
        <f t="shared" si="34"/>
        <v>6.1666666666666675E-3</v>
      </c>
      <c r="K89" s="4">
        <f t="shared" si="35"/>
        <v>2.283333333333333E-2</v>
      </c>
      <c r="L89">
        <f t="shared" si="36"/>
        <v>372.30252662850575</v>
      </c>
      <c r="M89">
        <f t="shared" si="37"/>
        <v>372.30252662850575</v>
      </c>
      <c r="N89" t="str">
        <f t="shared" si="38"/>
        <v/>
      </c>
      <c r="O89" s="39">
        <f t="shared" si="39"/>
        <v>0</v>
      </c>
      <c r="Q89">
        <f t="shared" si="40"/>
        <v>254.16565216230998</v>
      </c>
      <c r="R89">
        <f t="shared" si="41"/>
        <v>254.16565216230998</v>
      </c>
      <c r="S89" t="str">
        <f t="shared" si="42"/>
        <v/>
      </c>
      <c r="T89" s="39">
        <f t="shared" si="43"/>
        <v>0</v>
      </c>
      <c r="U89">
        <f t="shared" si="44"/>
        <v>2017</v>
      </c>
      <c r="V89">
        <f t="shared" si="45"/>
        <v>2017</v>
      </c>
    </row>
    <row r="90" spans="1:22" x14ac:dyDescent="0.25">
      <c r="A90" t="s">
        <v>52</v>
      </c>
      <c r="B90" t="s">
        <v>53</v>
      </c>
      <c r="C90" s="1">
        <v>42963</v>
      </c>
      <c r="D90">
        <v>9897.2999999999993</v>
      </c>
      <c r="E90" s="1">
        <v>42968</v>
      </c>
      <c r="F90">
        <v>9754.35</v>
      </c>
      <c r="G90" s="2">
        <v>-1.44E-2</v>
      </c>
      <c r="H90" s="40">
        <f t="shared" si="32"/>
        <v>5</v>
      </c>
      <c r="I90" s="4">
        <f t="shared" si="33"/>
        <v>1.5E-3</v>
      </c>
      <c r="J90" s="4">
        <f t="shared" si="34"/>
        <v>8.3333333333333328E-4</v>
      </c>
      <c r="K90" s="4">
        <f t="shared" si="35"/>
        <v>-1.6733333333333333E-2</v>
      </c>
      <c r="L90">
        <f t="shared" si="36"/>
        <v>366.94137024505528</v>
      </c>
      <c r="M90">
        <f t="shared" si="37"/>
        <v>372.30252662850575</v>
      </c>
      <c r="N90">
        <f t="shared" si="38"/>
        <v>-5.3611563834504636</v>
      </c>
      <c r="O90" s="39">
        <f t="shared" si="39"/>
        <v>-1.4399999999999949E-2</v>
      </c>
      <c r="Q90">
        <f t="shared" si="40"/>
        <v>249.91261358279399</v>
      </c>
      <c r="R90">
        <f t="shared" si="41"/>
        <v>254.16565216230998</v>
      </c>
      <c r="S90">
        <f t="shared" si="42"/>
        <v>-4.2530385795159873</v>
      </c>
      <c r="T90" s="39">
        <f t="shared" si="43"/>
        <v>-1.6733333333333333E-2</v>
      </c>
      <c r="U90">
        <f t="shared" si="44"/>
        <v>2017</v>
      </c>
      <c r="V90">
        <f t="shared" si="45"/>
        <v>2017</v>
      </c>
    </row>
    <row r="91" spans="1:22" x14ac:dyDescent="0.25">
      <c r="A91" t="s">
        <v>52</v>
      </c>
      <c r="B91" t="s">
        <v>53</v>
      </c>
      <c r="C91" s="1">
        <v>42975</v>
      </c>
      <c r="D91">
        <v>9912.7999999999993</v>
      </c>
      <c r="E91" s="1">
        <v>42976</v>
      </c>
      <c r="F91">
        <v>9796.0499999999993</v>
      </c>
      <c r="G91" s="2">
        <v>-1.18E-2</v>
      </c>
      <c r="H91" s="40">
        <f t="shared" si="32"/>
        <v>1</v>
      </c>
      <c r="I91" s="4">
        <f t="shared" si="33"/>
        <v>1.5E-3</v>
      </c>
      <c r="J91" s="4">
        <f t="shared" si="34"/>
        <v>1.6666666666666666E-4</v>
      </c>
      <c r="K91" s="4">
        <f t="shared" si="35"/>
        <v>-1.3466666666666667E-2</v>
      </c>
      <c r="L91">
        <f t="shared" si="36"/>
        <v>362.6114620761636</v>
      </c>
      <c r="M91">
        <f t="shared" si="37"/>
        <v>372.30252662850575</v>
      </c>
      <c r="N91">
        <f t="shared" si="38"/>
        <v>-9.6910645523421408</v>
      </c>
      <c r="O91" s="39">
        <f t="shared" si="39"/>
        <v>-2.6030080000000014E-2</v>
      </c>
      <c r="Q91">
        <f t="shared" si="40"/>
        <v>246.54712371987904</v>
      </c>
      <c r="R91">
        <f t="shared" si="41"/>
        <v>254.16565216230998</v>
      </c>
      <c r="S91">
        <f t="shared" si="42"/>
        <v>-7.618528442430943</v>
      </c>
      <c r="T91" s="39">
        <f t="shared" si="43"/>
        <v>-2.9974657777777764E-2</v>
      </c>
      <c r="U91">
        <f t="shared" si="44"/>
        <v>2017</v>
      </c>
      <c r="V91">
        <f t="shared" si="45"/>
        <v>2017</v>
      </c>
    </row>
    <row r="92" spans="1:22" x14ac:dyDescent="0.25">
      <c r="A92" t="s">
        <v>52</v>
      </c>
      <c r="B92" t="s">
        <v>53</v>
      </c>
      <c r="C92" s="1">
        <v>42978</v>
      </c>
      <c r="D92">
        <v>9917.9</v>
      </c>
      <c r="E92" s="1">
        <v>43000</v>
      </c>
      <c r="F92">
        <v>9964.4</v>
      </c>
      <c r="G92" s="2">
        <v>4.7000000000000002E-3</v>
      </c>
      <c r="H92" s="40">
        <f t="shared" si="32"/>
        <v>22</v>
      </c>
      <c r="I92" s="4">
        <f t="shared" si="33"/>
        <v>1.5E-3</v>
      </c>
      <c r="J92" s="4">
        <f t="shared" si="34"/>
        <v>3.6666666666666666E-3</v>
      </c>
      <c r="K92" s="4">
        <f t="shared" si="35"/>
        <v>-4.6666666666666645E-4</v>
      </c>
      <c r="L92">
        <f t="shared" si="36"/>
        <v>364.31573594792155</v>
      </c>
      <c r="M92">
        <f t="shared" si="37"/>
        <v>372.30252662850575</v>
      </c>
      <c r="N92">
        <f t="shared" si="38"/>
        <v>-7.9867906805841926</v>
      </c>
      <c r="O92" s="39">
        <f t="shared" si="39"/>
        <v>-2.1452421376000071E-2</v>
      </c>
      <c r="Q92">
        <f t="shared" si="40"/>
        <v>246.43206839547645</v>
      </c>
      <c r="R92">
        <f t="shared" si="41"/>
        <v>254.16565216230998</v>
      </c>
      <c r="S92">
        <f t="shared" si="42"/>
        <v>-7.733583766833533</v>
      </c>
      <c r="T92" s="39">
        <f t="shared" si="43"/>
        <v>-3.0427336270814724E-2</v>
      </c>
      <c r="U92">
        <f t="shared" si="44"/>
        <v>2017</v>
      </c>
      <c r="V92">
        <f t="shared" si="45"/>
        <v>2017</v>
      </c>
    </row>
    <row r="93" spans="1:22" x14ac:dyDescent="0.25">
      <c r="A93" t="s">
        <v>52</v>
      </c>
      <c r="B93" t="s">
        <v>53</v>
      </c>
      <c r="C93" s="1">
        <v>43012</v>
      </c>
      <c r="D93">
        <v>9914.9</v>
      </c>
      <c r="E93" s="1">
        <v>43047</v>
      </c>
      <c r="F93">
        <v>10303.15</v>
      </c>
      <c r="G93" s="2">
        <v>3.9199999999999999E-2</v>
      </c>
      <c r="H93" s="40">
        <f t="shared" si="32"/>
        <v>35</v>
      </c>
      <c r="I93" s="4">
        <f t="shared" si="33"/>
        <v>1.5E-3</v>
      </c>
      <c r="J93" s="4">
        <f t="shared" si="34"/>
        <v>5.8333333333333336E-3</v>
      </c>
      <c r="K93" s="4">
        <f t="shared" si="35"/>
        <v>3.1866666666666668E-2</v>
      </c>
      <c r="L93">
        <f t="shared" si="36"/>
        <v>378.59691279708005</v>
      </c>
      <c r="M93">
        <f t="shared" si="37"/>
        <v>378.59691279708005</v>
      </c>
      <c r="N93" t="str">
        <f t="shared" si="38"/>
        <v/>
      </c>
      <c r="O93" s="39">
        <f t="shared" si="39"/>
        <v>0</v>
      </c>
      <c r="Q93">
        <f t="shared" si="40"/>
        <v>254.2850369750123</v>
      </c>
      <c r="R93">
        <f t="shared" si="41"/>
        <v>254.2850369750123</v>
      </c>
      <c r="S93" t="str">
        <f t="shared" si="42"/>
        <v/>
      </c>
      <c r="T93" s="39">
        <f t="shared" si="43"/>
        <v>0</v>
      </c>
      <c r="U93">
        <f t="shared" si="44"/>
        <v>2017</v>
      </c>
      <c r="V93">
        <f t="shared" si="45"/>
        <v>2017</v>
      </c>
    </row>
    <row r="94" spans="1:22" x14ac:dyDescent="0.25">
      <c r="A94" t="s">
        <v>52</v>
      </c>
      <c r="B94" t="s">
        <v>53</v>
      </c>
      <c r="C94" s="1">
        <v>43056</v>
      </c>
      <c r="D94">
        <v>10283.6</v>
      </c>
      <c r="E94" s="1">
        <v>43069</v>
      </c>
      <c r="F94">
        <v>10226.549999999999</v>
      </c>
      <c r="G94" s="2">
        <v>-5.4999999999999997E-3</v>
      </c>
      <c r="H94" s="40">
        <f t="shared" si="32"/>
        <v>13</v>
      </c>
      <c r="I94" s="4">
        <f t="shared" si="33"/>
        <v>1.5E-3</v>
      </c>
      <c r="J94" s="4">
        <f t="shared" si="34"/>
        <v>2.166666666666667E-3</v>
      </c>
      <c r="K94" s="4">
        <f t="shared" si="35"/>
        <v>-9.1666666666666667E-3</v>
      </c>
      <c r="L94">
        <f t="shared" si="36"/>
        <v>376.51462977669615</v>
      </c>
      <c r="M94">
        <f t="shared" si="37"/>
        <v>378.59691279708005</v>
      </c>
      <c r="N94">
        <f t="shared" si="38"/>
        <v>-2.0822830203838976</v>
      </c>
      <c r="O94" s="39">
        <f t="shared" si="39"/>
        <v>-5.4999999999998869E-3</v>
      </c>
      <c r="Q94">
        <f t="shared" si="40"/>
        <v>251.95409080274135</v>
      </c>
      <c r="R94">
        <f t="shared" si="41"/>
        <v>254.2850369750123</v>
      </c>
      <c r="S94">
        <f t="shared" si="42"/>
        <v>-2.3309461722709557</v>
      </c>
      <c r="T94" s="39">
        <f t="shared" si="43"/>
        <v>-9.1666666666667049E-3</v>
      </c>
      <c r="U94">
        <f t="shared" si="44"/>
        <v>2017</v>
      </c>
      <c r="V94">
        <f t="shared" si="45"/>
        <v>2017</v>
      </c>
    </row>
    <row r="95" spans="1:22" x14ac:dyDescent="0.25">
      <c r="A95" t="s">
        <v>52</v>
      </c>
      <c r="B95" t="s">
        <v>53</v>
      </c>
      <c r="C95" s="1">
        <v>43077</v>
      </c>
      <c r="D95">
        <v>10265.65</v>
      </c>
      <c r="E95" s="1">
        <v>43133</v>
      </c>
      <c r="F95">
        <v>10760.6</v>
      </c>
      <c r="G95" s="2">
        <v>4.82E-2</v>
      </c>
      <c r="H95" s="40">
        <f t="shared" si="32"/>
        <v>56</v>
      </c>
      <c r="I95" s="4">
        <f t="shared" si="33"/>
        <v>1.5E-3</v>
      </c>
      <c r="J95" s="4">
        <f t="shared" si="34"/>
        <v>9.3333333333333341E-3</v>
      </c>
      <c r="K95" s="4">
        <f t="shared" si="35"/>
        <v>3.7366666666666666E-2</v>
      </c>
      <c r="L95">
        <f t="shared" si="36"/>
        <v>394.66263493193293</v>
      </c>
      <c r="M95">
        <f t="shared" si="37"/>
        <v>394.66263493193293</v>
      </c>
      <c r="N95" t="str">
        <f t="shared" si="38"/>
        <v/>
      </c>
      <c r="O95" s="39">
        <f t="shared" si="39"/>
        <v>0</v>
      </c>
      <c r="Q95">
        <f t="shared" si="40"/>
        <v>261.3687753290705</v>
      </c>
      <c r="R95">
        <f t="shared" si="41"/>
        <v>261.3687753290705</v>
      </c>
      <c r="S95" t="str">
        <f t="shared" si="42"/>
        <v/>
      </c>
      <c r="T95" s="39">
        <f t="shared" si="43"/>
        <v>0</v>
      </c>
      <c r="U95">
        <f t="shared" si="44"/>
        <v>2018</v>
      </c>
      <c r="V95">
        <f t="shared" si="45"/>
        <v>2017</v>
      </c>
    </row>
    <row r="96" spans="1:22" x14ac:dyDescent="0.25">
      <c r="A96" t="s">
        <v>52</v>
      </c>
      <c r="B96" t="s">
        <v>53</v>
      </c>
      <c r="C96" s="1">
        <v>43518</v>
      </c>
      <c r="D96">
        <v>10791.65</v>
      </c>
      <c r="E96" s="1">
        <v>43577</v>
      </c>
      <c r="F96">
        <v>11594.45</v>
      </c>
      <c r="G96" s="2">
        <v>7.4399999999999994E-2</v>
      </c>
      <c r="H96" s="40">
        <f t="shared" si="32"/>
        <v>59</v>
      </c>
      <c r="I96" s="4">
        <f t="shared" si="33"/>
        <v>1.5E-3</v>
      </c>
      <c r="J96" s="4">
        <f t="shared" si="34"/>
        <v>9.8333333333333328E-3</v>
      </c>
      <c r="K96" s="4">
        <f t="shared" si="35"/>
        <v>6.306666666666666E-2</v>
      </c>
      <c r="L96">
        <f t="shared" si="36"/>
        <v>424.02553497086876</v>
      </c>
      <c r="M96">
        <f t="shared" si="37"/>
        <v>424.02553497086876</v>
      </c>
      <c r="N96" t="str">
        <f t="shared" si="38"/>
        <v/>
      </c>
      <c r="O96" s="39">
        <f t="shared" si="39"/>
        <v>0</v>
      </c>
      <c r="Q96">
        <f t="shared" si="40"/>
        <v>277.85243275982384</v>
      </c>
      <c r="R96">
        <f t="shared" si="41"/>
        <v>277.85243275982384</v>
      </c>
      <c r="S96" t="str">
        <f t="shared" si="42"/>
        <v/>
      </c>
      <c r="T96" s="39">
        <f t="shared" si="43"/>
        <v>0</v>
      </c>
      <c r="U96">
        <f t="shared" si="44"/>
        <v>2019</v>
      </c>
      <c r="V96">
        <f t="shared" si="45"/>
        <v>2019</v>
      </c>
    </row>
    <row r="97" spans="1:22" x14ac:dyDescent="0.25">
      <c r="A97" t="s">
        <v>52</v>
      </c>
      <c r="B97" t="s">
        <v>53</v>
      </c>
      <c r="C97" s="1">
        <v>43579</v>
      </c>
      <c r="D97">
        <v>11726.15</v>
      </c>
      <c r="E97" s="1">
        <v>43591</v>
      </c>
      <c r="F97">
        <v>11598.25</v>
      </c>
      <c r="G97" s="2">
        <v>-1.09E-2</v>
      </c>
      <c r="H97" s="40">
        <f t="shared" si="32"/>
        <v>12</v>
      </c>
      <c r="I97" s="4">
        <f t="shared" si="33"/>
        <v>1.5E-3</v>
      </c>
      <c r="J97" s="4">
        <f t="shared" si="34"/>
        <v>2E-3</v>
      </c>
      <c r="K97" s="4">
        <f t="shared" si="35"/>
        <v>-1.44E-2</v>
      </c>
      <c r="L97">
        <f t="shared" si="36"/>
        <v>419.40365663968629</v>
      </c>
      <c r="M97">
        <f t="shared" si="37"/>
        <v>424.02553497086876</v>
      </c>
      <c r="N97">
        <f t="shared" si="38"/>
        <v>-4.6218783311824723</v>
      </c>
      <c r="O97" s="39">
        <f t="shared" si="39"/>
        <v>-1.0900000000000007E-2</v>
      </c>
      <c r="Q97">
        <f t="shared" si="40"/>
        <v>273.85135772808241</v>
      </c>
      <c r="R97">
        <f t="shared" si="41"/>
        <v>277.85243275982384</v>
      </c>
      <c r="S97">
        <f t="shared" si="42"/>
        <v>-4.0010750317414363</v>
      </c>
      <c r="T97" s="39">
        <f t="shared" si="43"/>
        <v>-1.4399999999999902E-2</v>
      </c>
      <c r="U97">
        <f t="shared" si="44"/>
        <v>2019</v>
      </c>
      <c r="V97">
        <f t="shared" si="45"/>
        <v>2019</v>
      </c>
    </row>
    <row r="98" spans="1:22" x14ac:dyDescent="0.25">
      <c r="A98" t="s">
        <v>52</v>
      </c>
      <c r="B98" t="s">
        <v>53</v>
      </c>
      <c r="C98" s="1">
        <v>43700</v>
      </c>
      <c r="D98">
        <v>10829.35</v>
      </c>
      <c r="E98" s="1">
        <v>43725</v>
      </c>
      <c r="F98">
        <v>10817.6</v>
      </c>
      <c r="G98" s="2">
        <v>-1.1000000000000001E-3</v>
      </c>
      <c r="H98" s="40">
        <f t="shared" si="32"/>
        <v>25</v>
      </c>
      <c r="I98" s="4">
        <f t="shared" si="33"/>
        <v>1.5E-3</v>
      </c>
      <c r="J98" s="4">
        <f t="shared" si="34"/>
        <v>4.1666666666666666E-3</v>
      </c>
      <c r="K98" s="4">
        <f t="shared" si="35"/>
        <v>-6.7666666666666674E-3</v>
      </c>
      <c r="L98">
        <f t="shared" si="36"/>
        <v>418.94231261738264</v>
      </c>
      <c r="M98">
        <f t="shared" si="37"/>
        <v>424.02553497086876</v>
      </c>
      <c r="N98">
        <f t="shared" si="38"/>
        <v>-5.0832223534861214</v>
      </c>
      <c r="O98" s="39">
        <f t="shared" si="39"/>
        <v>-1.1988009999999993E-2</v>
      </c>
      <c r="Q98">
        <f t="shared" si="40"/>
        <v>271.99829687412239</v>
      </c>
      <c r="R98">
        <f t="shared" si="41"/>
        <v>277.85243275982384</v>
      </c>
      <c r="S98">
        <f t="shared" si="42"/>
        <v>-5.8541358857014529</v>
      </c>
      <c r="T98" s="39">
        <f t="shared" si="43"/>
        <v>-2.1069226666666541E-2</v>
      </c>
      <c r="U98">
        <f t="shared" si="44"/>
        <v>2019</v>
      </c>
      <c r="V98">
        <f t="shared" si="45"/>
        <v>2019</v>
      </c>
    </row>
    <row r="99" spans="1:22" x14ac:dyDescent="0.25">
      <c r="A99" t="s">
        <v>52</v>
      </c>
      <c r="B99" t="s">
        <v>53</v>
      </c>
      <c r="C99" s="1">
        <v>43728</v>
      </c>
      <c r="D99">
        <v>11274.2</v>
      </c>
      <c r="E99" s="1">
        <v>43742</v>
      </c>
      <c r="F99">
        <v>11174.75</v>
      </c>
      <c r="G99" s="2">
        <v>-8.8000000000000005E-3</v>
      </c>
      <c r="H99" s="40">
        <f t="shared" si="32"/>
        <v>14</v>
      </c>
      <c r="I99" s="4">
        <f t="shared" si="33"/>
        <v>1.5E-3</v>
      </c>
      <c r="J99" s="4">
        <f t="shared" si="34"/>
        <v>2.3333333333333335E-3</v>
      </c>
      <c r="K99" s="4">
        <f t="shared" si="35"/>
        <v>-1.2633333333333333E-2</v>
      </c>
      <c r="L99">
        <f t="shared" si="36"/>
        <v>415.25562026634964</v>
      </c>
      <c r="M99">
        <f t="shared" si="37"/>
        <v>424.02553497086876</v>
      </c>
      <c r="N99">
        <f t="shared" si="38"/>
        <v>-8.7699147045191239</v>
      </c>
      <c r="O99" s="39">
        <f t="shared" si="39"/>
        <v>-2.0682515512000076E-2</v>
      </c>
      <c r="Q99">
        <f t="shared" si="40"/>
        <v>268.56205172361263</v>
      </c>
      <c r="R99">
        <f t="shared" si="41"/>
        <v>277.85243275982384</v>
      </c>
      <c r="S99">
        <f t="shared" si="42"/>
        <v>-9.2903810362112154</v>
      </c>
      <c r="T99" s="39">
        <f t="shared" si="43"/>
        <v>-3.343638543644438E-2</v>
      </c>
      <c r="U99">
        <f t="shared" si="44"/>
        <v>2019</v>
      </c>
      <c r="V99">
        <f t="shared" si="45"/>
        <v>2019</v>
      </c>
    </row>
    <row r="100" spans="1:22" x14ac:dyDescent="0.25">
      <c r="A100" t="s">
        <v>52</v>
      </c>
      <c r="B100" t="s">
        <v>53</v>
      </c>
      <c r="C100" s="1">
        <v>43753</v>
      </c>
      <c r="D100">
        <v>11428.3</v>
      </c>
      <c r="E100" s="1">
        <v>43805</v>
      </c>
      <c r="F100">
        <v>11921.5</v>
      </c>
      <c r="G100" s="2">
        <v>4.3200000000000002E-2</v>
      </c>
      <c r="H100" s="40">
        <f t="shared" si="32"/>
        <v>52</v>
      </c>
      <c r="I100" s="4">
        <f t="shared" si="33"/>
        <v>1.5E-3</v>
      </c>
      <c r="J100" s="4">
        <f t="shared" si="34"/>
        <v>8.666666666666668E-3</v>
      </c>
      <c r="K100" s="4">
        <f t="shared" si="35"/>
        <v>3.3033333333333331E-2</v>
      </c>
      <c r="L100">
        <f t="shared" si="36"/>
        <v>433.19466306185592</v>
      </c>
      <c r="M100">
        <f t="shared" si="37"/>
        <v>433.19466306185592</v>
      </c>
      <c r="N100" t="str">
        <f t="shared" si="38"/>
        <v/>
      </c>
      <c r="O100" s="39">
        <f t="shared" si="39"/>
        <v>0</v>
      </c>
      <c r="Q100">
        <f t="shared" si="40"/>
        <v>277.43355149888259</v>
      </c>
      <c r="R100">
        <f t="shared" si="41"/>
        <v>277.85243275982384</v>
      </c>
      <c r="S100">
        <f t="shared" si="42"/>
        <v>-0.418881260941248</v>
      </c>
      <c r="T100" s="39">
        <f t="shared" si="43"/>
        <v>-1.5075673686950574E-3</v>
      </c>
      <c r="U100">
        <f t="shared" si="44"/>
        <v>2019</v>
      </c>
      <c r="V100">
        <f t="shared" si="45"/>
        <v>2019</v>
      </c>
    </row>
    <row r="101" spans="1:22" x14ac:dyDescent="0.25">
      <c r="A101" t="s">
        <v>52</v>
      </c>
      <c r="B101" t="s">
        <v>53</v>
      </c>
      <c r="C101" s="1">
        <v>43812</v>
      </c>
      <c r="D101">
        <v>12086.7</v>
      </c>
      <c r="E101" s="1">
        <v>43836</v>
      </c>
      <c r="F101">
        <v>11993.05</v>
      </c>
      <c r="G101" s="2">
        <v>-7.7000000000000002E-3</v>
      </c>
      <c r="H101" s="40">
        <f t="shared" si="32"/>
        <v>24</v>
      </c>
      <c r="I101" s="4">
        <f t="shared" si="33"/>
        <v>1.5E-3</v>
      </c>
      <c r="J101" s="4">
        <f t="shared" si="34"/>
        <v>4.0000000000000001E-3</v>
      </c>
      <c r="K101" s="4">
        <f t="shared" si="35"/>
        <v>-1.32E-2</v>
      </c>
      <c r="L101">
        <f t="shared" si="36"/>
        <v>429.8590641562796</v>
      </c>
      <c r="M101">
        <f t="shared" si="37"/>
        <v>433.19466306185592</v>
      </c>
      <c r="N101">
        <f t="shared" si="38"/>
        <v>-3.3355989055763189</v>
      </c>
      <c r="O101" s="39">
        <f t="shared" si="39"/>
        <v>-7.7000000000000653E-3</v>
      </c>
      <c r="Q101">
        <f t="shared" si="40"/>
        <v>273.77142861909732</v>
      </c>
      <c r="R101">
        <f t="shared" si="41"/>
        <v>277.85243275982384</v>
      </c>
      <c r="S101">
        <f t="shared" si="42"/>
        <v>-4.0810041407265203</v>
      </c>
      <c r="T101" s="39">
        <f t="shared" si="43"/>
        <v>-1.4687667479428361E-2</v>
      </c>
      <c r="U101">
        <f t="shared" si="44"/>
        <v>2020</v>
      </c>
      <c r="V101">
        <f t="shared" si="45"/>
        <v>2019</v>
      </c>
    </row>
    <row r="102" spans="1:22" x14ac:dyDescent="0.25">
      <c r="A102" t="s">
        <v>52</v>
      </c>
      <c r="B102" t="s">
        <v>53</v>
      </c>
      <c r="C102" s="1">
        <v>43839</v>
      </c>
      <c r="D102">
        <v>12215.9</v>
      </c>
      <c r="E102" s="1">
        <v>43851</v>
      </c>
      <c r="F102">
        <v>12169.85</v>
      </c>
      <c r="G102" s="2">
        <v>-3.8E-3</v>
      </c>
      <c r="H102" s="40">
        <f t="shared" si="32"/>
        <v>12</v>
      </c>
      <c r="I102" s="4">
        <f t="shared" si="33"/>
        <v>1.5E-3</v>
      </c>
      <c r="J102" s="4">
        <f t="shared" si="34"/>
        <v>2E-3</v>
      </c>
      <c r="K102" s="4">
        <f t="shared" si="35"/>
        <v>-7.3000000000000001E-3</v>
      </c>
      <c r="L102">
        <f t="shared" si="36"/>
        <v>428.22559971248575</v>
      </c>
      <c r="M102">
        <f t="shared" si="37"/>
        <v>433.19466306185592</v>
      </c>
      <c r="N102">
        <f t="shared" si="38"/>
        <v>-4.9690633493701739</v>
      </c>
      <c r="O102" s="39">
        <f t="shared" si="39"/>
        <v>-1.1470740000000049E-2</v>
      </c>
      <c r="Q102">
        <f t="shared" si="40"/>
        <v>271.7728971901779</v>
      </c>
      <c r="R102">
        <f t="shared" si="41"/>
        <v>277.85243275982384</v>
      </c>
      <c r="S102">
        <f t="shared" si="42"/>
        <v>-6.079535569645941</v>
      </c>
      <c r="T102" s="39">
        <f t="shared" si="43"/>
        <v>-2.1880447506828573E-2</v>
      </c>
      <c r="U102">
        <f t="shared" si="44"/>
        <v>2020</v>
      </c>
      <c r="V102">
        <f t="shared" si="45"/>
        <v>2020</v>
      </c>
    </row>
    <row r="103" spans="1:22" x14ac:dyDescent="0.25">
      <c r="A103" t="s">
        <v>52</v>
      </c>
      <c r="B103" t="s">
        <v>53</v>
      </c>
      <c r="C103" s="1">
        <v>43865</v>
      </c>
      <c r="D103">
        <v>11979.65</v>
      </c>
      <c r="E103" s="1">
        <v>43885</v>
      </c>
      <c r="F103">
        <v>11829.4</v>
      </c>
      <c r="G103" s="2">
        <v>-1.2500000000000001E-2</v>
      </c>
      <c r="H103" s="40">
        <f t="shared" si="32"/>
        <v>20</v>
      </c>
      <c r="I103" s="4">
        <f t="shared" si="33"/>
        <v>1.5E-3</v>
      </c>
      <c r="J103" s="4">
        <f t="shared" si="34"/>
        <v>3.3333333333333331E-3</v>
      </c>
      <c r="K103" s="4">
        <f t="shared" si="35"/>
        <v>-1.7333333333333333E-2</v>
      </c>
      <c r="L103">
        <f t="shared" si="36"/>
        <v>422.87277971607972</v>
      </c>
      <c r="M103">
        <f t="shared" si="37"/>
        <v>433.19466306185592</v>
      </c>
      <c r="N103">
        <f t="shared" si="38"/>
        <v>-10.3218833457762</v>
      </c>
      <c r="O103" s="39">
        <f t="shared" si="39"/>
        <v>-2.3827355749999942E-2</v>
      </c>
      <c r="Q103">
        <f t="shared" si="40"/>
        <v>267.06216697221481</v>
      </c>
      <c r="R103">
        <f t="shared" si="41"/>
        <v>277.85243275982384</v>
      </c>
      <c r="S103">
        <f t="shared" si="42"/>
        <v>-10.79026578760903</v>
      </c>
      <c r="T103" s="39">
        <f t="shared" si="43"/>
        <v>-3.8834519750043567E-2</v>
      </c>
      <c r="U103">
        <f t="shared" si="44"/>
        <v>2020</v>
      </c>
      <c r="V103">
        <f t="shared" si="45"/>
        <v>2020</v>
      </c>
    </row>
    <row r="104" spans="1:22" x14ac:dyDescent="0.25">
      <c r="A104" t="s">
        <v>52</v>
      </c>
      <c r="B104" t="s">
        <v>53</v>
      </c>
      <c r="C104" s="1">
        <v>43914</v>
      </c>
      <c r="D104">
        <v>7801.05</v>
      </c>
      <c r="E104" s="1">
        <v>43924</v>
      </c>
      <c r="F104">
        <v>8083.799</v>
      </c>
      <c r="G104" s="2">
        <v>3.6200000000000003E-2</v>
      </c>
      <c r="H104" s="40">
        <f t="shared" si="32"/>
        <v>10</v>
      </c>
      <c r="I104" s="4">
        <f t="shared" si="33"/>
        <v>1.5E-3</v>
      </c>
      <c r="J104" s="4">
        <f t="shared" si="34"/>
        <v>1.6666666666666666E-3</v>
      </c>
      <c r="K104" s="4">
        <f t="shared" si="35"/>
        <v>3.3033333333333338E-2</v>
      </c>
      <c r="L104">
        <f t="shared" si="36"/>
        <v>438.18077434180179</v>
      </c>
      <c r="M104">
        <f t="shared" si="37"/>
        <v>438.18077434180179</v>
      </c>
      <c r="N104" t="str">
        <f t="shared" si="38"/>
        <v/>
      </c>
      <c r="O104" s="39">
        <f t="shared" si="39"/>
        <v>0</v>
      </c>
      <c r="Q104">
        <f t="shared" si="40"/>
        <v>275.88412055453028</v>
      </c>
      <c r="R104">
        <f t="shared" si="41"/>
        <v>277.85243275982384</v>
      </c>
      <c r="S104">
        <f t="shared" si="42"/>
        <v>-1.9683122052935573</v>
      </c>
      <c r="T104" s="39">
        <f t="shared" si="43"/>
        <v>-7.0840200524534191E-3</v>
      </c>
      <c r="U104">
        <f t="shared" si="44"/>
        <v>2020</v>
      </c>
      <c r="V104">
        <f t="shared" si="45"/>
        <v>2020</v>
      </c>
    </row>
    <row r="105" spans="1:22" x14ac:dyDescent="0.25">
      <c r="A105" t="s">
        <v>52</v>
      </c>
      <c r="B105" t="s">
        <v>53</v>
      </c>
      <c r="C105" s="1">
        <v>43928</v>
      </c>
      <c r="D105">
        <v>8792.2000000000007</v>
      </c>
      <c r="E105" s="1">
        <v>43955</v>
      </c>
      <c r="F105">
        <v>9293.5</v>
      </c>
      <c r="G105" s="2">
        <v>5.7000000000000002E-2</v>
      </c>
      <c r="H105" s="40">
        <f t="shared" si="32"/>
        <v>27</v>
      </c>
      <c r="I105" s="4">
        <f t="shared" si="33"/>
        <v>1.5E-3</v>
      </c>
      <c r="J105" s="4">
        <f t="shared" si="34"/>
        <v>4.5000000000000005E-3</v>
      </c>
      <c r="K105" s="4">
        <f t="shared" si="35"/>
        <v>5.1000000000000004E-2</v>
      </c>
      <c r="L105">
        <f t="shared" si="36"/>
        <v>463.15707847928445</v>
      </c>
      <c r="M105">
        <f t="shared" si="37"/>
        <v>463.15707847928445</v>
      </c>
      <c r="N105" t="str">
        <f t="shared" si="38"/>
        <v/>
      </c>
      <c r="O105" s="39">
        <f t="shared" si="39"/>
        <v>0</v>
      </c>
      <c r="Q105">
        <f t="shared" si="40"/>
        <v>289.95421070281134</v>
      </c>
      <c r="R105">
        <f t="shared" si="41"/>
        <v>289.95421070281134</v>
      </c>
      <c r="S105" t="str">
        <f t="shared" si="42"/>
        <v/>
      </c>
      <c r="T105" s="39">
        <f t="shared" si="43"/>
        <v>0</v>
      </c>
      <c r="U105">
        <f t="shared" si="44"/>
        <v>2020</v>
      </c>
      <c r="V105">
        <f t="shared" si="45"/>
        <v>2020</v>
      </c>
    </row>
    <row r="106" spans="1:22" x14ac:dyDescent="0.25">
      <c r="A106" t="s">
        <v>52</v>
      </c>
      <c r="B106" t="s">
        <v>53</v>
      </c>
      <c r="C106" s="1">
        <v>43964</v>
      </c>
      <c r="D106">
        <v>9383.5499999999993</v>
      </c>
      <c r="E106" s="1">
        <v>43965</v>
      </c>
      <c r="F106">
        <v>9142.75</v>
      </c>
      <c r="G106" s="2">
        <v>-2.5700000000000001E-2</v>
      </c>
      <c r="H106" s="40">
        <f t="shared" si="32"/>
        <v>1</v>
      </c>
      <c r="I106" s="4">
        <f t="shared" si="33"/>
        <v>1.5E-3</v>
      </c>
      <c r="J106" s="4">
        <f t="shared" si="34"/>
        <v>1.6666666666666666E-4</v>
      </c>
      <c r="K106" s="4">
        <f t="shared" si="35"/>
        <v>-2.7366666666666668E-2</v>
      </c>
      <c r="L106">
        <f t="shared" si="36"/>
        <v>451.25394156236683</v>
      </c>
      <c r="M106">
        <f t="shared" si="37"/>
        <v>463.15707847928445</v>
      </c>
      <c r="N106">
        <f t="shared" si="38"/>
        <v>-11.903136916917617</v>
      </c>
      <c r="O106" s="39">
        <f t="shared" si="39"/>
        <v>-2.5700000000000014E-2</v>
      </c>
      <c r="Q106">
        <f t="shared" si="40"/>
        <v>282.01913046991109</v>
      </c>
      <c r="R106">
        <f t="shared" si="41"/>
        <v>289.95421070281134</v>
      </c>
      <c r="S106">
        <f t="shared" si="42"/>
        <v>-7.9350802329002477</v>
      </c>
      <c r="T106" s="39">
        <f t="shared" si="43"/>
        <v>-2.7366666666666588E-2</v>
      </c>
      <c r="U106">
        <f t="shared" si="44"/>
        <v>2020</v>
      </c>
      <c r="V106">
        <f t="shared" si="45"/>
        <v>2020</v>
      </c>
    </row>
    <row r="107" spans="1:22" x14ac:dyDescent="0.25">
      <c r="A107" t="s">
        <v>52</v>
      </c>
      <c r="B107" t="s">
        <v>53</v>
      </c>
      <c r="C107" s="1">
        <v>43978</v>
      </c>
      <c r="D107">
        <v>9314.9500000000007</v>
      </c>
      <c r="E107" s="1">
        <v>43997</v>
      </c>
      <c r="F107">
        <v>9813.7000000000007</v>
      </c>
      <c r="G107" s="2">
        <v>5.3499999999999999E-2</v>
      </c>
      <c r="H107" s="40">
        <f t="shared" si="32"/>
        <v>19</v>
      </c>
      <c r="I107" s="4">
        <f t="shared" si="33"/>
        <v>1.5E-3</v>
      </c>
      <c r="J107" s="4">
        <f t="shared" si="34"/>
        <v>3.1666666666666666E-3</v>
      </c>
      <c r="K107" s="4">
        <f t="shared" si="35"/>
        <v>4.8833333333333333E-2</v>
      </c>
      <c r="L107">
        <f t="shared" si="36"/>
        <v>475.3960274359535</v>
      </c>
      <c r="M107">
        <f t="shared" si="37"/>
        <v>475.3960274359535</v>
      </c>
      <c r="N107" t="str">
        <f t="shared" si="38"/>
        <v/>
      </c>
      <c r="O107" s="39">
        <f t="shared" si="39"/>
        <v>0</v>
      </c>
      <c r="Q107">
        <f t="shared" si="40"/>
        <v>295.79106467452505</v>
      </c>
      <c r="R107">
        <f t="shared" si="41"/>
        <v>295.79106467452505</v>
      </c>
      <c r="S107" t="str">
        <f t="shared" si="42"/>
        <v/>
      </c>
      <c r="T107" s="39">
        <f t="shared" si="43"/>
        <v>0</v>
      </c>
      <c r="U107">
        <f t="shared" si="44"/>
        <v>2020</v>
      </c>
      <c r="V107">
        <f t="shared" si="45"/>
        <v>2020</v>
      </c>
    </row>
    <row r="108" spans="1:22" x14ac:dyDescent="0.25">
      <c r="A108" t="s">
        <v>52</v>
      </c>
      <c r="B108" t="s">
        <v>53</v>
      </c>
      <c r="C108" s="1">
        <v>44000</v>
      </c>
      <c r="D108">
        <v>10091.65</v>
      </c>
      <c r="E108" s="1">
        <v>44046</v>
      </c>
      <c r="F108">
        <v>10891.6</v>
      </c>
      <c r="G108" s="2">
        <v>7.9299999999999995E-2</v>
      </c>
      <c r="H108" s="40">
        <f t="shared" si="32"/>
        <v>46</v>
      </c>
      <c r="I108" s="4">
        <f t="shared" si="33"/>
        <v>1.5E-3</v>
      </c>
      <c r="J108" s="4">
        <f t="shared" si="34"/>
        <v>7.6666666666666671E-3</v>
      </c>
      <c r="K108" s="4">
        <f t="shared" si="35"/>
        <v>7.0133333333333325E-2</v>
      </c>
      <c r="L108">
        <f t="shared" si="36"/>
        <v>513.09493241162454</v>
      </c>
      <c r="M108">
        <f t="shared" si="37"/>
        <v>513.09493241162454</v>
      </c>
      <c r="N108" t="str">
        <f t="shared" si="38"/>
        <v/>
      </c>
      <c r="O108" s="39">
        <f t="shared" si="39"/>
        <v>0</v>
      </c>
      <c r="Q108">
        <f t="shared" si="40"/>
        <v>316.53587801036508</v>
      </c>
      <c r="R108">
        <f t="shared" si="41"/>
        <v>316.53587801036508</v>
      </c>
      <c r="S108" t="str">
        <f t="shared" si="42"/>
        <v/>
      </c>
      <c r="T108" s="39">
        <f t="shared" si="43"/>
        <v>0</v>
      </c>
      <c r="U108">
        <f t="shared" si="44"/>
        <v>2020</v>
      </c>
      <c r="V108">
        <f t="shared" si="45"/>
        <v>2020</v>
      </c>
    </row>
    <row r="109" spans="1:22" x14ac:dyDescent="0.25">
      <c r="A109" t="s">
        <v>52</v>
      </c>
      <c r="B109" t="s">
        <v>53</v>
      </c>
      <c r="C109" s="1">
        <v>44049</v>
      </c>
      <c r="D109">
        <v>11200.15</v>
      </c>
      <c r="E109" s="1">
        <v>44057</v>
      </c>
      <c r="F109">
        <v>11178.4</v>
      </c>
      <c r="G109" s="2">
        <v>-1.9E-3</v>
      </c>
      <c r="H109" s="40">
        <f t="shared" si="32"/>
        <v>8</v>
      </c>
      <c r="I109" s="4">
        <f t="shared" si="33"/>
        <v>1.5E-3</v>
      </c>
      <c r="J109" s="4">
        <f t="shared" si="34"/>
        <v>1.3333333333333333E-3</v>
      </c>
      <c r="K109" s="4">
        <f t="shared" si="35"/>
        <v>-4.7333333333333333E-3</v>
      </c>
      <c r="L109">
        <f t="shared" si="36"/>
        <v>512.12005204004242</v>
      </c>
      <c r="M109">
        <f t="shared" si="37"/>
        <v>513.09493241162454</v>
      </c>
      <c r="N109">
        <f t="shared" si="38"/>
        <v>-0.97488037158211682</v>
      </c>
      <c r="O109" s="39">
        <f t="shared" si="39"/>
        <v>-1.9000000000000588E-3</v>
      </c>
      <c r="Q109">
        <f t="shared" si="40"/>
        <v>315.03760818778267</v>
      </c>
      <c r="R109">
        <f t="shared" si="41"/>
        <v>316.53587801036508</v>
      </c>
      <c r="S109">
        <f t="shared" si="42"/>
        <v>-1.4982698225824151</v>
      </c>
      <c r="T109" s="39">
        <f t="shared" si="43"/>
        <v>-4.7333333333333975E-3</v>
      </c>
      <c r="U109">
        <f t="shared" si="44"/>
        <v>2020</v>
      </c>
      <c r="V109">
        <f t="shared" si="45"/>
        <v>2020</v>
      </c>
    </row>
    <row r="110" spans="1:22" x14ac:dyDescent="0.25">
      <c r="A110" t="s">
        <v>52</v>
      </c>
      <c r="B110" t="s">
        <v>53</v>
      </c>
      <c r="C110" s="1">
        <v>44061</v>
      </c>
      <c r="D110">
        <v>11385.35</v>
      </c>
      <c r="E110" s="1">
        <v>44074</v>
      </c>
      <c r="F110">
        <v>11387.5</v>
      </c>
      <c r="G110" s="2">
        <v>2.0000000000000001E-4</v>
      </c>
      <c r="H110" s="40">
        <f t="shared" si="32"/>
        <v>13</v>
      </c>
      <c r="I110" s="4">
        <f t="shared" si="33"/>
        <v>1.5E-3</v>
      </c>
      <c r="J110" s="4">
        <f t="shared" si="34"/>
        <v>2.166666666666667E-3</v>
      </c>
      <c r="K110" s="4">
        <f t="shared" si="35"/>
        <v>-3.4666666666666669E-3</v>
      </c>
      <c r="L110">
        <f t="shared" si="36"/>
        <v>512.22247605045038</v>
      </c>
      <c r="M110">
        <f t="shared" si="37"/>
        <v>513.09493241162454</v>
      </c>
      <c r="N110">
        <f t="shared" si="38"/>
        <v>-0.8724563611741587</v>
      </c>
      <c r="O110" s="39">
        <f t="shared" si="39"/>
        <v>-1.700380000000157E-3</v>
      </c>
      <c r="Q110">
        <f t="shared" si="40"/>
        <v>313.94547781273172</v>
      </c>
      <c r="R110">
        <f t="shared" si="41"/>
        <v>316.53587801036508</v>
      </c>
      <c r="S110">
        <f t="shared" si="42"/>
        <v>-2.5904001976333575</v>
      </c>
      <c r="T110" s="39">
        <f t="shared" si="43"/>
        <v>-8.1835911111110566E-3</v>
      </c>
      <c r="U110">
        <f t="shared" si="44"/>
        <v>2020</v>
      </c>
      <c r="V110">
        <f t="shared" si="45"/>
        <v>2020</v>
      </c>
    </row>
    <row r="111" spans="1:22" x14ac:dyDescent="0.25">
      <c r="A111" t="s">
        <v>52</v>
      </c>
      <c r="B111" t="s">
        <v>53</v>
      </c>
      <c r="C111" s="1">
        <v>44084</v>
      </c>
      <c r="D111">
        <v>11449.25</v>
      </c>
      <c r="E111" s="1">
        <v>44095</v>
      </c>
      <c r="F111">
        <v>11250.55</v>
      </c>
      <c r="G111" s="2">
        <v>-1.7399999999999999E-2</v>
      </c>
      <c r="H111" s="40">
        <f t="shared" si="32"/>
        <v>11</v>
      </c>
      <c r="I111" s="4">
        <f t="shared" si="33"/>
        <v>1.5E-3</v>
      </c>
      <c r="J111" s="4">
        <f t="shared" si="34"/>
        <v>1.8333333333333333E-3</v>
      </c>
      <c r="K111" s="4">
        <f t="shared" si="35"/>
        <v>-2.0733333333333333E-2</v>
      </c>
      <c r="L111">
        <f t="shared" si="36"/>
        <v>503.30980496717257</v>
      </c>
      <c r="M111">
        <f t="shared" si="37"/>
        <v>513.09493241162454</v>
      </c>
      <c r="N111">
        <f t="shared" si="38"/>
        <v>-9.7851274444519731</v>
      </c>
      <c r="O111" s="39">
        <f t="shared" si="39"/>
        <v>-1.907079338800011E-2</v>
      </c>
      <c r="Q111">
        <f t="shared" si="40"/>
        <v>307.43634157274772</v>
      </c>
      <c r="R111">
        <f t="shared" si="41"/>
        <v>316.53587801036508</v>
      </c>
      <c r="S111">
        <f t="shared" si="42"/>
        <v>-9.0995364376173598</v>
      </c>
      <c r="T111" s="39">
        <f t="shared" si="43"/>
        <v>-2.8747251322074119E-2</v>
      </c>
      <c r="U111">
        <f t="shared" si="44"/>
        <v>2020</v>
      </c>
      <c r="V111">
        <f t="shared" si="45"/>
        <v>2020</v>
      </c>
    </row>
    <row r="112" spans="1:22" x14ac:dyDescent="0.25">
      <c r="A112" t="s">
        <v>52</v>
      </c>
      <c r="B112" t="s">
        <v>53</v>
      </c>
      <c r="C112" s="1">
        <v>44102</v>
      </c>
      <c r="D112">
        <v>11227.55</v>
      </c>
      <c r="E112" s="1">
        <v>44134</v>
      </c>
      <c r="F112">
        <v>11642.4</v>
      </c>
      <c r="G112" s="2">
        <v>3.6900000000000002E-2</v>
      </c>
      <c r="H112" s="40">
        <f t="shared" si="32"/>
        <v>32</v>
      </c>
      <c r="I112" s="4">
        <f t="shared" si="33"/>
        <v>1.5E-3</v>
      </c>
      <c r="J112" s="4">
        <f t="shared" si="34"/>
        <v>5.3333333333333332E-3</v>
      </c>
      <c r="K112" s="4">
        <f t="shared" si="35"/>
        <v>3.0066666666666669E-2</v>
      </c>
      <c r="L112">
        <f t="shared" si="36"/>
        <v>521.88193677046115</v>
      </c>
      <c r="M112">
        <f t="shared" si="37"/>
        <v>521.88193677046115</v>
      </c>
      <c r="N112" t="str">
        <f t="shared" si="38"/>
        <v/>
      </c>
      <c r="O112" s="39">
        <f t="shared" si="39"/>
        <v>0</v>
      </c>
      <c r="Q112">
        <f t="shared" si="40"/>
        <v>316.67992757603503</v>
      </c>
      <c r="R112">
        <f t="shared" si="41"/>
        <v>316.67992757603503</v>
      </c>
      <c r="S112" t="str">
        <f t="shared" si="42"/>
        <v/>
      </c>
      <c r="T112" s="39">
        <f t="shared" si="43"/>
        <v>0</v>
      </c>
      <c r="U112">
        <f t="shared" si="44"/>
        <v>2020</v>
      </c>
      <c r="V112">
        <f t="shared" si="45"/>
        <v>2020</v>
      </c>
    </row>
    <row r="113" spans="1:22" x14ac:dyDescent="0.25">
      <c r="A113" t="s">
        <v>52</v>
      </c>
      <c r="B113" t="s">
        <v>53</v>
      </c>
      <c r="C113" s="1">
        <v>44139</v>
      </c>
      <c r="D113">
        <v>11908.5</v>
      </c>
      <c r="E113" s="1">
        <v>44186</v>
      </c>
      <c r="F113">
        <v>13328.4</v>
      </c>
      <c r="G113" s="2">
        <v>0.1192</v>
      </c>
      <c r="H113" s="40">
        <f t="shared" si="32"/>
        <v>47</v>
      </c>
      <c r="I113" s="4">
        <f t="shared" si="33"/>
        <v>1.5E-3</v>
      </c>
      <c r="J113" s="4">
        <f t="shared" si="34"/>
        <v>7.8333333333333328E-3</v>
      </c>
      <c r="K113" s="4">
        <f t="shared" si="35"/>
        <v>0.10986666666666667</v>
      </c>
      <c r="L113">
        <f t="shared" si="36"/>
        <v>584.09026363350006</v>
      </c>
      <c r="M113">
        <f t="shared" si="37"/>
        <v>584.09026363350006</v>
      </c>
      <c r="N113" t="str">
        <f t="shared" si="38"/>
        <v/>
      </c>
      <c r="O113" s="39">
        <f t="shared" si="39"/>
        <v>0</v>
      </c>
      <c r="Q113">
        <f t="shared" si="40"/>
        <v>351.47249561905539</v>
      </c>
      <c r="R113">
        <f t="shared" si="41"/>
        <v>351.47249561905539</v>
      </c>
      <c r="S113" t="str">
        <f t="shared" si="42"/>
        <v/>
      </c>
      <c r="T113" s="39">
        <f t="shared" si="43"/>
        <v>0</v>
      </c>
      <c r="U113">
        <f t="shared" si="44"/>
        <v>2020</v>
      </c>
      <c r="V113">
        <f t="shared" si="45"/>
        <v>2020</v>
      </c>
    </row>
    <row r="114" spans="1:22" x14ac:dyDescent="0.25">
      <c r="A114" t="s">
        <v>52</v>
      </c>
      <c r="B114" t="s">
        <v>53</v>
      </c>
      <c r="C114" s="1">
        <v>44188</v>
      </c>
      <c r="D114">
        <v>13601.1</v>
      </c>
      <c r="E114" s="1">
        <v>44223</v>
      </c>
      <c r="F114">
        <v>13967.5</v>
      </c>
      <c r="G114" s="2">
        <v>2.69E-2</v>
      </c>
      <c r="H114" s="40">
        <f t="shared" si="32"/>
        <v>35</v>
      </c>
      <c r="I114" s="4">
        <f t="shared" si="33"/>
        <v>1.5E-3</v>
      </c>
      <c r="J114" s="4">
        <f t="shared" si="34"/>
        <v>5.8333333333333336E-3</v>
      </c>
      <c r="K114" s="4">
        <f t="shared" si="35"/>
        <v>1.9566666666666666E-2</v>
      </c>
      <c r="L114">
        <f t="shared" si="36"/>
        <v>599.80229172524116</v>
      </c>
      <c r="M114">
        <f t="shared" si="37"/>
        <v>599.80229172524116</v>
      </c>
      <c r="N114" t="str">
        <f t="shared" si="38"/>
        <v/>
      </c>
      <c r="O114" s="39">
        <f t="shared" si="39"/>
        <v>0</v>
      </c>
      <c r="Q114">
        <f t="shared" si="40"/>
        <v>358.34964078333496</v>
      </c>
      <c r="R114">
        <f t="shared" si="41"/>
        <v>358.34964078333496</v>
      </c>
      <c r="S114" t="str">
        <f t="shared" si="42"/>
        <v/>
      </c>
      <c r="T114" s="39">
        <f t="shared" si="43"/>
        <v>0</v>
      </c>
      <c r="U114">
        <f t="shared" si="44"/>
        <v>2021</v>
      </c>
      <c r="V114">
        <f t="shared" si="45"/>
        <v>2020</v>
      </c>
    </row>
    <row r="115" spans="1:22" x14ac:dyDescent="0.25">
      <c r="A115" t="s">
        <v>52</v>
      </c>
      <c r="B115" t="s">
        <v>53</v>
      </c>
      <c r="C115" s="1">
        <v>44228</v>
      </c>
      <c r="D115">
        <v>14281.2</v>
      </c>
      <c r="E115" s="1">
        <v>44246</v>
      </c>
      <c r="F115">
        <v>14981.75</v>
      </c>
      <c r="G115" s="2">
        <v>4.9099999999999998E-2</v>
      </c>
      <c r="H115" s="40">
        <f t="shared" si="32"/>
        <v>18</v>
      </c>
      <c r="I115" s="4">
        <f t="shared" si="33"/>
        <v>1.5E-3</v>
      </c>
      <c r="J115" s="4">
        <f t="shared" si="34"/>
        <v>3.0000000000000001E-3</v>
      </c>
      <c r="K115" s="4">
        <f t="shared" si="35"/>
        <v>4.4600000000000001E-2</v>
      </c>
      <c r="L115">
        <f t="shared" si="36"/>
        <v>629.25258424895048</v>
      </c>
      <c r="M115">
        <f t="shared" si="37"/>
        <v>629.25258424895048</v>
      </c>
      <c r="N115" t="str">
        <f t="shared" si="38"/>
        <v/>
      </c>
      <c r="O115" s="39">
        <f t="shared" si="39"/>
        <v>0</v>
      </c>
      <c r="Q115">
        <f t="shared" si="40"/>
        <v>374.33203476227169</v>
      </c>
      <c r="R115">
        <f t="shared" si="41"/>
        <v>374.33203476227169</v>
      </c>
      <c r="S115" t="str">
        <f t="shared" si="42"/>
        <v/>
      </c>
      <c r="T115" s="39">
        <f t="shared" si="43"/>
        <v>0</v>
      </c>
      <c r="U115">
        <f t="shared" si="44"/>
        <v>2021</v>
      </c>
      <c r="V115">
        <f t="shared" si="45"/>
        <v>2021</v>
      </c>
    </row>
    <row r="116" spans="1:22" x14ac:dyDescent="0.25">
      <c r="A116" t="s">
        <v>52</v>
      </c>
      <c r="B116" t="s">
        <v>53</v>
      </c>
      <c r="C116" s="1">
        <v>44251</v>
      </c>
      <c r="D116">
        <v>14982</v>
      </c>
      <c r="E116" s="1">
        <v>44253</v>
      </c>
      <c r="F116">
        <v>14529.15</v>
      </c>
      <c r="G116" s="2">
        <v>-3.0200000000000001E-2</v>
      </c>
      <c r="H116" s="40">
        <f t="shared" si="32"/>
        <v>2</v>
      </c>
      <c r="I116" s="4">
        <f t="shared" si="33"/>
        <v>1.5E-3</v>
      </c>
      <c r="J116" s="4">
        <f t="shared" si="34"/>
        <v>3.3333333333333332E-4</v>
      </c>
      <c r="K116" s="4">
        <f t="shared" si="35"/>
        <v>-3.2033333333333337E-2</v>
      </c>
      <c r="L116">
        <f t="shared" si="36"/>
        <v>610.24915620463219</v>
      </c>
      <c r="M116">
        <f t="shared" si="37"/>
        <v>629.25258424895048</v>
      </c>
      <c r="N116">
        <f t="shared" si="38"/>
        <v>-19.003428044318298</v>
      </c>
      <c r="O116" s="39">
        <f t="shared" si="39"/>
        <v>-3.0199999999999991E-2</v>
      </c>
      <c r="Q116">
        <f t="shared" si="40"/>
        <v>362.34093191538693</v>
      </c>
      <c r="R116">
        <f t="shared" si="41"/>
        <v>374.33203476227169</v>
      </c>
      <c r="S116">
        <f t="shared" si="42"/>
        <v>-11.991102846884758</v>
      </c>
      <c r="T116" s="39">
        <f t="shared" si="43"/>
        <v>-3.2033333333333303E-2</v>
      </c>
      <c r="U116">
        <f t="shared" si="44"/>
        <v>2021</v>
      </c>
      <c r="V116">
        <f t="shared" si="45"/>
        <v>2021</v>
      </c>
    </row>
    <row r="117" spans="1:22" x14ac:dyDescent="0.25">
      <c r="A117" t="s">
        <v>52</v>
      </c>
      <c r="B117" t="s">
        <v>53</v>
      </c>
      <c r="C117" s="1">
        <v>44258</v>
      </c>
      <c r="D117">
        <v>15245.6</v>
      </c>
      <c r="E117" s="1">
        <v>44272</v>
      </c>
      <c r="F117">
        <v>14721.3</v>
      </c>
      <c r="G117" s="2">
        <v>-3.44E-2</v>
      </c>
      <c r="H117" s="40">
        <f t="shared" si="32"/>
        <v>14</v>
      </c>
      <c r="I117" s="4">
        <f t="shared" si="33"/>
        <v>1.5E-3</v>
      </c>
      <c r="J117" s="4">
        <f t="shared" si="34"/>
        <v>2.3333333333333335E-3</v>
      </c>
      <c r="K117" s="4">
        <f t="shared" si="35"/>
        <v>-3.8233333333333334E-2</v>
      </c>
      <c r="L117">
        <f t="shared" si="36"/>
        <v>589.25658523119284</v>
      </c>
      <c r="M117">
        <f t="shared" si="37"/>
        <v>629.25258424895048</v>
      </c>
      <c r="N117">
        <f t="shared" si="38"/>
        <v>-39.99599901775764</v>
      </c>
      <c r="O117" s="39">
        <f t="shared" si="39"/>
        <v>-6.3561119999999985E-2</v>
      </c>
      <c r="Q117">
        <f t="shared" si="40"/>
        <v>348.48743028515531</v>
      </c>
      <c r="R117">
        <f t="shared" si="41"/>
        <v>374.33203476227169</v>
      </c>
      <c r="S117">
        <f t="shared" si="42"/>
        <v>-25.844604477116377</v>
      </c>
      <c r="T117" s="39">
        <f t="shared" si="43"/>
        <v>-6.9041925555555508E-2</v>
      </c>
      <c r="U117">
        <f t="shared" si="44"/>
        <v>2021</v>
      </c>
      <c r="V117">
        <f t="shared" si="45"/>
        <v>2021</v>
      </c>
    </row>
    <row r="118" spans="1:22" x14ac:dyDescent="0.25">
      <c r="A118" t="s">
        <v>52</v>
      </c>
      <c r="B118" t="s">
        <v>53</v>
      </c>
      <c r="C118" s="1">
        <v>44285</v>
      </c>
      <c r="D118">
        <v>14845.1</v>
      </c>
      <c r="E118" s="1">
        <v>44298</v>
      </c>
      <c r="F118">
        <v>14310.8</v>
      </c>
      <c r="G118" s="2">
        <v>-3.5999999999999997E-2</v>
      </c>
      <c r="H118" s="40">
        <f t="shared" si="32"/>
        <v>13</v>
      </c>
      <c r="I118" s="4">
        <f t="shared" si="33"/>
        <v>1.5E-3</v>
      </c>
      <c r="J118" s="4">
        <f t="shared" si="34"/>
        <v>2.166666666666667E-3</v>
      </c>
      <c r="K118" s="4">
        <f t="shared" si="35"/>
        <v>-3.9666666666666663E-2</v>
      </c>
      <c r="L118">
        <f t="shared" si="36"/>
        <v>568.04334816286985</v>
      </c>
      <c r="M118">
        <f t="shared" si="37"/>
        <v>629.25258424895048</v>
      </c>
      <c r="N118">
        <f t="shared" si="38"/>
        <v>-61.209236086080637</v>
      </c>
      <c r="O118" s="39">
        <f t="shared" si="39"/>
        <v>-9.7272919680000069E-2</v>
      </c>
      <c r="Q118">
        <f t="shared" si="40"/>
        <v>334.66409555051081</v>
      </c>
      <c r="R118">
        <f t="shared" si="41"/>
        <v>374.33203476227169</v>
      </c>
      <c r="S118">
        <f t="shared" si="42"/>
        <v>-39.667939211760881</v>
      </c>
      <c r="T118" s="39">
        <f t="shared" si="43"/>
        <v>-0.10596992917518516</v>
      </c>
      <c r="U118">
        <f t="shared" si="44"/>
        <v>2021</v>
      </c>
      <c r="V118">
        <f t="shared" si="45"/>
        <v>2021</v>
      </c>
    </row>
    <row r="119" spans="1:22" x14ac:dyDescent="0.25">
      <c r="A119" t="s">
        <v>52</v>
      </c>
      <c r="B119" t="s">
        <v>53</v>
      </c>
      <c r="C119" s="1">
        <v>44313</v>
      </c>
      <c r="D119">
        <v>14653.05</v>
      </c>
      <c r="E119" s="1">
        <v>44320</v>
      </c>
      <c r="F119">
        <v>14496.5</v>
      </c>
      <c r="G119" s="2">
        <v>-1.0699999999999999E-2</v>
      </c>
      <c r="H119" s="40">
        <f t="shared" si="32"/>
        <v>7</v>
      </c>
      <c r="I119" s="4">
        <f t="shared" si="33"/>
        <v>1.5E-3</v>
      </c>
      <c r="J119" s="4">
        <f t="shared" si="34"/>
        <v>1.1666666666666668E-3</v>
      </c>
      <c r="K119" s="4">
        <f t="shared" si="35"/>
        <v>-1.3366666666666666E-2</v>
      </c>
      <c r="L119">
        <f t="shared" si="36"/>
        <v>561.96528433752712</v>
      </c>
      <c r="M119">
        <f t="shared" si="37"/>
        <v>629.25258424895048</v>
      </c>
      <c r="N119">
        <f t="shared" si="38"/>
        <v>-67.287299911423361</v>
      </c>
      <c r="O119" s="39">
        <f t="shared" si="39"/>
        <v>-0.1069320994394241</v>
      </c>
      <c r="Q119">
        <f t="shared" si="40"/>
        <v>330.19075213998565</v>
      </c>
      <c r="R119">
        <f t="shared" si="41"/>
        <v>374.33203476227169</v>
      </c>
      <c r="S119">
        <f t="shared" si="42"/>
        <v>-44.141282622286042</v>
      </c>
      <c r="T119" s="39">
        <f t="shared" si="43"/>
        <v>-0.11792013112187685</v>
      </c>
      <c r="U119">
        <f t="shared" si="44"/>
        <v>2021</v>
      </c>
      <c r="V119">
        <f t="shared" si="45"/>
        <v>2021</v>
      </c>
    </row>
    <row r="120" spans="1:22" x14ac:dyDescent="0.25">
      <c r="A120" t="s">
        <v>52</v>
      </c>
      <c r="B120" t="s">
        <v>53</v>
      </c>
      <c r="C120" s="1">
        <v>44323</v>
      </c>
      <c r="D120">
        <v>14823.15</v>
      </c>
      <c r="E120" s="1">
        <v>44328</v>
      </c>
      <c r="F120">
        <v>14696.5</v>
      </c>
      <c r="G120" s="2">
        <v>-8.5000000000000006E-3</v>
      </c>
      <c r="H120" s="40">
        <f t="shared" si="32"/>
        <v>5</v>
      </c>
      <c r="I120" s="4">
        <f t="shared" si="33"/>
        <v>1.5E-3</v>
      </c>
      <c r="J120" s="4">
        <f t="shared" si="34"/>
        <v>8.3333333333333328E-4</v>
      </c>
      <c r="K120" s="4">
        <f t="shared" si="35"/>
        <v>-1.0833333333333334E-2</v>
      </c>
      <c r="L120">
        <f t="shared" si="36"/>
        <v>557.18857942065813</v>
      </c>
      <c r="M120">
        <f t="shared" si="37"/>
        <v>629.25258424895048</v>
      </c>
      <c r="N120">
        <f t="shared" si="38"/>
        <v>-72.064004828292354</v>
      </c>
      <c r="O120" s="39">
        <f t="shared" si="39"/>
        <v>-0.11452317659418901</v>
      </c>
      <c r="Q120">
        <f t="shared" si="40"/>
        <v>326.61368565846914</v>
      </c>
      <c r="R120">
        <f t="shared" si="41"/>
        <v>374.33203476227169</v>
      </c>
      <c r="S120">
        <f t="shared" si="42"/>
        <v>-47.718349103802552</v>
      </c>
      <c r="T120" s="39">
        <f t="shared" si="43"/>
        <v>-0.12747599636805651</v>
      </c>
      <c r="U120">
        <f t="shared" si="44"/>
        <v>2021</v>
      </c>
      <c r="V120">
        <f t="shared" si="45"/>
        <v>2021</v>
      </c>
    </row>
    <row r="121" spans="1:22" x14ac:dyDescent="0.25">
      <c r="A121" t="s">
        <v>52</v>
      </c>
      <c r="B121" t="s">
        <v>53</v>
      </c>
      <c r="C121" s="1">
        <v>44333</v>
      </c>
      <c r="D121">
        <v>14923.15</v>
      </c>
      <c r="E121" s="1">
        <v>44397</v>
      </c>
      <c r="F121">
        <v>15632.1</v>
      </c>
      <c r="G121" s="2">
        <v>4.7500000000000001E-2</v>
      </c>
      <c r="H121" s="40">
        <f t="shared" si="32"/>
        <v>64</v>
      </c>
      <c r="I121" s="4">
        <f t="shared" si="33"/>
        <v>1.5E-3</v>
      </c>
      <c r="J121" s="4">
        <f t="shared" si="34"/>
        <v>1.0666666666666666E-2</v>
      </c>
      <c r="K121" s="4">
        <f t="shared" si="35"/>
        <v>3.5333333333333335E-2</v>
      </c>
      <c r="L121">
        <f t="shared" si="36"/>
        <v>583.65503694313941</v>
      </c>
      <c r="M121">
        <f t="shared" si="37"/>
        <v>629.25258424895048</v>
      </c>
      <c r="N121">
        <f t="shared" si="38"/>
        <v>-45.597547305811077</v>
      </c>
      <c r="O121" s="39">
        <f t="shared" si="39"/>
        <v>-7.2463027482412956E-2</v>
      </c>
      <c r="Q121">
        <f t="shared" si="40"/>
        <v>338.15403588506842</v>
      </c>
      <c r="R121">
        <f t="shared" si="41"/>
        <v>374.33203476227169</v>
      </c>
      <c r="S121">
        <f t="shared" si="42"/>
        <v>-36.177998877203265</v>
      </c>
      <c r="T121" s="39">
        <f t="shared" si="43"/>
        <v>-9.6646814906394402E-2</v>
      </c>
      <c r="U121">
        <f t="shared" si="44"/>
        <v>2021</v>
      </c>
      <c r="V121">
        <f t="shared" si="45"/>
        <v>2021</v>
      </c>
    </row>
    <row r="122" spans="1:22" x14ac:dyDescent="0.25">
      <c r="A122" t="s">
        <v>52</v>
      </c>
      <c r="B122" t="s">
        <v>53</v>
      </c>
      <c r="C122" s="1">
        <v>44399</v>
      </c>
      <c r="D122">
        <v>15824.05</v>
      </c>
      <c r="E122" s="1">
        <v>44491</v>
      </c>
      <c r="F122">
        <v>18114.900000000001</v>
      </c>
      <c r="G122" s="2">
        <v>0.14480000000000001</v>
      </c>
      <c r="H122" s="40">
        <f t="shared" si="32"/>
        <v>92</v>
      </c>
      <c r="I122" s="4">
        <f t="shared" si="33"/>
        <v>1.5E-3</v>
      </c>
      <c r="J122" s="4">
        <f t="shared" si="34"/>
        <v>1.5333333333333334E-2</v>
      </c>
      <c r="K122" s="4">
        <f t="shared" si="35"/>
        <v>0.12796666666666667</v>
      </c>
      <c r="L122">
        <f t="shared" si="36"/>
        <v>668.16828629250597</v>
      </c>
      <c r="M122">
        <f t="shared" si="37"/>
        <v>668.16828629250597</v>
      </c>
      <c r="N122" t="str">
        <f t="shared" si="38"/>
        <v/>
      </c>
      <c r="O122" s="39">
        <f t="shared" si="39"/>
        <v>0</v>
      </c>
      <c r="Q122">
        <f t="shared" si="40"/>
        <v>381.42648067716095</v>
      </c>
      <c r="R122">
        <f t="shared" si="41"/>
        <v>381.42648067716095</v>
      </c>
      <c r="S122" t="str">
        <f t="shared" si="42"/>
        <v/>
      </c>
      <c r="T122" s="39">
        <f t="shared" si="43"/>
        <v>0</v>
      </c>
      <c r="U122">
        <f t="shared" si="44"/>
        <v>2021</v>
      </c>
      <c r="V122">
        <f t="shared" si="45"/>
        <v>2021</v>
      </c>
    </row>
    <row r="123" spans="1:22" x14ac:dyDescent="0.25">
      <c r="A123" t="s">
        <v>52</v>
      </c>
      <c r="B123" t="s">
        <v>53</v>
      </c>
      <c r="C123" s="1">
        <v>44508</v>
      </c>
      <c r="D123">
        <v>18068.55</v>
      </c>
      <c r="E123" s="1">
        <v>44517</v>
      </c>
      <c r="F123">
        <v>17898.650000000001</v>
      </c>
      <c r="G123" s="2">
        <v>-9.4000000000000004E-3</v>
      </c>
      <c r="H123" s="40">
        <f t="shared" si="32"/>
        <v>9</v>
      </c>
      <c r="I123" s="4">
        <f t="shared" si="33"/>
        <v>1.5E-3</v>
      </c>
      <c r="J123" s="4">
        <f t="shared" si="34"/>
        <v>1.5E-3</v>
      </c>
      <c r="K123" s="4">
        <f t="shared" si="35"/>
        <v>-1.2400000000000001E-2</v>
      </c>
      <c r="L123">
        <f t="shared" si="36"/>
        <v>661.88750440135641</v>
      </c>
      <c r="M123">
        <f t="shared" si="37"/>
        <v>668.16828629250597</v>
      </c>
      <c r="N123">
        <f t="shared" si="38"/>
        <v>-6.2807818911495588</v>
      </c>
      <c r="O123" s="39">
        <f t="shared" si="39"/>
        <v>-9.4000000000000038E-3</v>
      </c>
      <c r="Q123">
        <f t="shared" si="40"/>
        <v>376.69679231676417</v>
      </c>
      <c r="R123">
        <f t="shared" si="41"/>
        <v>381.42648067716095</v>
      </c>
      <c r="S123">
        <f t="shared" si="42"/>
        <v>-4.7296883603967785</v>
      </c>
      <c r="T123" s="39">
        <f t="shared" si="43"/>
        <v>-1.2399999999999954E-2</v>
      </c>
      <c r="U123">
        <f t="shared" si="44"/>
        <v>2021</v>
      </c>
      <c r="V123">
        <f t="shared" si="45"/>
        <v>2021</v>
      </c>
    </row>
    <row r="124" spans="1:22" x14ac:dyDescent="0.25">
      <c r="A124" t="s">
        <v>52</v>
      </c>
      <c r="B124" t="s">
        <v>53</v>
      </c>
      <c r="C124" s="1">
        <v>44736</v>
      </c>
      <c r="D124">
        <v>15699.25</v>
      </c>
      <c r="E124" s="1">
        <v>44795</v>
      </c>
      <c r="F124">
        <v>17490.7</v>
      </c>
      <c r="G124" s="2">
        <v>0.11409999999999999</v>
      </c>
      <c r="H124" s="40">
        <f t="shared" si="32"/>
        <v>59</v>
      </c>
      <c r="I124" s="4">
        <f t="shared" si="33"/>
        <v>1.5E-3</v>
      </c>
      <c r="J124" s="4">
        <f t="shared" si="34"/>
        <v>9.8333333333333328E-3</v>
      </c>
      <c r="K124" s="4">
        <f t="shared" si="35"/>
        <v>0.10276666666666666</v>
      </c>
      <c r="L124">
        <f t="shared" si="36"/>
        <v>737.40886865355128</v>
      </c>
      <c r="M124">
        <f t="shared" si="37"/>
        <v>737.40886865355128</v>
      </c>
      <c r="N124" t="str">
        <f t="shared" si="38"/>
        <v/>
      </c>
      <c r="O124" s="39">
        <f t="shared" si="39"/>
        <v>0</v>
      </c>
      <c r="Q124">
        <f t="shared" si="40"/>
        <v>415.40866600718363</v>
      </c>
      <c r="R124">
        <f t="shared" si="41"/>
        <v>415.40866600718363</v>
      </c>
      <c r="S124" t="str">
        <f t="shared" si="42"/>
        <v/>
      </c>
      <c r="T124" s="39">
        <f t="shared" si="43"/>
        <v>0</v>
      </c>
      <c r="U124">
        <f t="shared" si="44"/>
        <v>2022</v>
      </c>
      <c r="V124">
        <f t="shared" si="45"/>
        <v>2022</v>
      </c>
    </row>
    <row r="125" spans="1:22" x14ac:dyDescent="0.25">
      <c r="A125" t="s">
        <v>52</v>
      </c>
      <c r="B125" t="s">
        <v>53</v>
      </c>
      <c r="C125" s="1">
        <v>44803</v>
      </c>
      <c r="D125">
        <v>17759.3</v>
      </c>
      <c r="E125" s="1">
        <v>44820</v>
      </c>
      <c r="F125">
        <v>17530.849999999999</v>
      </c>
      <c r="G125" s="2">
        <v>-1.29E-2</v>
      </c>
      <c r="H125" s="40">
        <f t="shared" si="32"/>
        <v>17</v>
      </c>
      <c r="I125" s="4">
        <f t="shared" si="33"/>
        <v>1.5E-3</v>
      </c>
      <c r="J125" s="4">
        <f t="shared" si="34"/>
        <v>2.8333333333333331E-3</v>
      </c>
      <c r="K125" s="4">
        <f t="shared" si="35"/>
        <v>-1.7233333333333333E-2</v>
      </c>
      <c r="L125">
        <f t="shared" si="36"/>
        <v>727.89629424792042</v>
      </c>
      <c r="M125">
        <f t="shared" si="37"/>
        <v>737.40886865355128</v>
      </c>
      <c r="N125">
        <f t="shared" si="38"/>
        <v>-9.5125744056308577</v>
      </c>
      <c r="O125" s="39">
        <f t="shared" si="39"/>
        <v>-1.2900000000000062E-2</v>
      </c>
      <c r="Q125">
        <f t="shared" si="40"/>
        <v>408.24978999632651</v>
      </c>
      <c r="R125">
        <f t="shared" si="41"/>
        <v>415.40866600718363</v>
      </c>
      <c r="S125">
        <f t="shared" si="42"/>
        <v>-7.1588760108571137</v>
      </c>
      <c r="T125" s="39">
        <f t="shared" si="43"/>
        <v>-1.7233333333333292E-2</v>
      </c>
      <c r="U125">
        <f t="shared" si="44"/>
        <v>2022</v>
      </c>
      <c r="V125">
        <f t="shared" si="45"/>
        <v>2022</v>
      </c>
    </row>
    <row r="126" spans="1:22" x14ac:dyDescent="0.25">
      <c r="A126" t="s">
        <v>52</v>
      </c>
      <c r="B126" t="s">
        <v>53</v>
      </c>
      <c r="C126" s="1">
        <v>44824</v>
      </c>
      <c r="D126">
        <v>17816.25</v>
      </c>
      <c r="E126" s="1">
        <v>44827</v>
      </c>
      <c r="F126">
        <v>17327.349999999999</v>
      </c>
      <c r="G126" s="2">
        <v>-2.7400000000000001E-2</v>
      </c>
      <c r="H126" s="40">
        <f t="shared" si="32"/>
        <v>3</v>
      </c>
      <c r="I126" s="4">
        <f t="shared" si="33"/>
        <v>1.5E-3</v>
      </c>
      <c r="J126" s="4">
        <f t="shared" si="34"/>
        <v>5.0000000000000001E-4</v>
      </c>
      <c r="K126" s="4">
        <f t="shared" si="35"/>
        <v>-2.9400000000000003E-2</v>
      </c>
      <c r="L126">
        <f t="shared" si="36"/>
        <v>707.95193578552744</v>
      </c>
      <c r="M126">
        <f t="shared" si="37"/>
        <v>737.40886865355128</v>
      </c>
      <c r="N126">
        <f t="shared" si="38"/>
        <v>-29.456932868023841</v>
      </c>
      <c r="O126" s="39">
        <f t="shared" si="39"/>
        <v>-3.994654000000001E-2</v>
      </c>
      <c r="Q126">
        <f t="shared" si="40"/>
        <v>396.24724617043449</v>
      </c>
      <c r="R126">
        <f t="shared" si="41"/>
        <v>415.40866600718363</v>
      </c>
      <c r="S126">
        <f t="shared" si="42"/>
        <v>-19.161419836749133</v>
      </c>
      <c r="T126" s="39">
        <f t="shared" si="43"/>
        <v>-4.612667333333334E-2</v>
      </c>
      <c r="U126">
        <f t="shared" si="44"/>
        <v>2022</v>
      </c>
      <c r="V126">
        <f t="shared" si="45"/>
        <v>2022</v>
      </c>
    </row>
    <row r="127" spans="1:22" x14ac:dyDescent="0.25">
      <c r="A127" t="s">
        <v>52</v>
      </c>
      <c r="B127" t="s">
        <v>53</v>
      </c>
      <c r="C127" s="1">
        <v>44838</v>
      </c>
      <c r="D127">
        <v>17274.3</v>
      </c>
      <c r="E127" s="1">
        <v>44845</v>
      </c>
      <c r="F127">
        <v>16983.55</v>
      </c>
      <c r="G127" s="2">
        <v>-1.6799999999999999E-2</v>
      </c>
      <c r="H127" s="40">
        <f t="shared" si="32"/>
        <v>7</v>
      </c>
      <c r="I127" s="4">
        <f t="shared" si="33"/>
        <v>1.5E-3</v>
      </c>
      <c r="J127" s="4">
        <f t="shared" si="34"/>
        <v>1.1666666666666668E-3</v>
      </c>
      <c r="K127" s="4">
        <f t="shared" si="35"/>
        <v>-1.9466666666666667E-2</v>
      </c>
      <c r="L127">
        <f t="shared" si="36"/>
        <v>696.05834326433057</v>
      </c>
      <c r="M127">
        <f t="shared" si="37"/>
        <v>737.40886865355128</v>
      </c>
      <c r="N127">
        <f t="shared" si="38"/>
        <v>-41.350525389220707</v>
      </c>
      <c r="O127" s="39">
        <f t="shared" si="39"/>
        <v>-5.6075438128000019E-2</v>
      </c>
      <c r="Q127">
        <f t="shared" si="40"/>
        <v>388.53363311165003</v>
      </c>
      <c r="R127">
        <f t="shared" si="41"/>
        <v>415.40866600718363</v>
      </c>
      <c r="S127">
        <f t="shared" si="42"/>
        <v>-26.875032895533593</v>
      </c>
      <c r="T127" s="39">
        <f t="shared" si="43"/>
        <v>-6.4695407425777784E-2</v>
      </c>
      <c r="U127">
        <f t="shared" si="44"/>
        <v>2022</v>
      </c>
      <c r="V127">
        <f t="shared" si="45"/>
        <v>2022</v>
      </c>
    </row>
    <row r="128" spans="1:22" x14ac:dyDescent="0.25">
      <c r="A128" t="s">
        <v>52</v>
      </c>
      <c r="B128" t="s">
        <v>53</v>
      </c>
      <c r="C128" s="1">
        <v>44851</v>
      </c>
      <c r="D128">
        <v>17311.8</v>
      </c>
      <c r="E128" s="1">
        <v>44904</v>
      </c>
      <c r="F128">
        <v>18496.599999999999</v>
      </c>
      <c r="G128" s="2">
        <v>6.8400000000000002E-2</v>
      </c>
      <c r="H128" s="40">
        <f t="shared" si="32"/>
        <v>53</v>
      </c>
      <c r="I128" s="4">
        <f t="shared" si="33"/>
        <v>1.5E-3</v>
      </c>
      <c r="J128" s="4">
        <f t="shared" si="34"/>
        <v>8.8333333333333337E-3</v>
      </c>
      <c r="K128" s="4">
        <f t="shared" si="35"/>
        <v>5.8066666666666669E-2</v>
      </c>
      <c r="L128">
        <f t="shared" si="36"/>
        <v>743.66873394361085</v>
      </c>
      <c r="M128">
        <f t="shared" si="37"/>
        <v>743.66873394361085</v>
      </c>
      <c r="N128" t="str">
        <f t="shared" si="38"/>
        <v/>
      </c>
      <c r="O128" s="39">
        <f t="shared" si="39"/>
        <v>0</v>
      </c>
      <c r="Q128">
        <f t="shared" si="40"/>
        <v>411.09448607433319</v>
      </c>
      <c r="R128">
        <f t="shared" si="41"/>
        <v>415.40866600718363</v>
      </c>
      <c r="S128">
        <f t="shared" si="42"/>
        <v>-4.3141799328504362</v>
      </c>
      <c r="T128" s="39">
        <f t="shared" si="43"/>
        <v>-1.0385387416967925E-2</v>
      </c>
      <c r="U128">
        <f t="shared" si="44"/>
        <v>2022</v>
      </c>
      <c r="V128">
        <f t="shared" si="45"/>
        <v>2022</v>
      </c>
    </row>
    <row r="129" spans="1:22" x14ac:dyDescent="0.25">
      <c r="A129" t="s">
        <v>52</v>
      </c>
      <c r="B129" t="s">
        <v>53</v>
      </c>
      <c r="C129" s="1">
        <v>44908</v>
      </c>
      <c r="D129">
        <v>18608</v>
      </c>
      <c r="E129" s="1">
        <v>44910</v>
      </c>
      <c r="F129">
        <v>18414.900000000001</v>
      </c>
      <c r="G129" s="2">
        <v>-1.04E-2</v>
      </c>
      <c r="H129" s="40">
        <f t="shared" si="32"/>
        <v>2</v>
      </c>
      <c r="I129" s="4">
        <f t="shared" si="33"/>
        <v>1.5E-3</v>
      </c>
      <c r="J129" s="4">
        <f t="shared" si="34"/>
        <v>3.3333333333333332E-4</v>
      </c>
      <c r="K129" s="4">
        <f t="shared" si="35"/>
        <v>-1.2233333333333332E-2</v>
      </c>
      <c r="L129">
        <f t="shared" si="36"/>
        <v>735.93457911059727</v>
      </c>
      <c r="M129">
        <f t="shared" si="37"/>
        <v>743.66873394361085</v>
      </c>
      <c r="N129">
        <f t="shared" si="38"/>
        <v>-7.7341548330135765</v>
      </c>
      <c r="O129" s="39">
        <f t="shared" si="39"/>
        <v>-1.0400000000000032E-2</v>
      </c>
      <c r="Q129">
        <f t="shared" si="40"/>
        <v>406.06543019469052</v>
      </c>
      <c r="R129">
        <f t="shared" si="41"/>
        <v>415.40866600718363</v>
      </c>
      <c r="S129">
        <f t="shared" si="42"/>
        <v>-9.3432358124931056</v>
      </c>
      <c r="T129" s="39">
        <f t="shared" si="43"/>
        <v>-2.249167284423367E-2</v>
      </c>
      <c r="U129">
        <f t="shared" si="44"/>
        <v>2022</v>
      </c>
      <c r="V129">
        <f t="shared" si="45"/>
        <v>2022</v>
      </c>
    </row>
    <row r="130" spans="1:22" x14ac:dyDescent="0.25">
      <c r="A130" t="s">
        <v>52</v>
      </c>
      <c r="B130" t="s">
        <v>53</v>
      </c>
      <c r="C130" s="1">
        <v>44979</v>
      </c>
      <c r="D130">
        <v>17554.3</v>
      </c>
      <c r="E130" s="1">
        <v>44981</v>
      </c>
      <c r="F130">
        <v>17465.8</v>
      </c>
      <c r="G130" s="2">
        <v>-5.0000000000000001E-3</v>
      </c>
      <c r="H130" s="40">
        <f t="shared" si="32"/>
        <v>2</v>
      </c>
      <c r="I130" s="4">
        <f t="shared" si="33"/>
        <v>1.5E-3</v>
      </c>
      <c r="J130" s="4">
        <f t="shared" si="34"/>
        <v>3.3333333333333332E-4</v>
      </c>
      <c r="K130" s="4">
        <f t="shared" si="35"/>
        <v>-6.8333333333333336E-3</v>
      </c>
      <c r="L130">
        <f t="shared" si="36"/>
        <v>732.25490621504423</v>
      </c>
      <c r="M130">
        <f t="shared" si="37"/>
        <v>743.66873394361085</v>
      </c>
      <c r="N130">
        <f t="shared" si="38"/>
        <v>-11.413827728566616</v>
      </c>
      <c r="O130" s="39">
        <f t="shared" si="39"/>
        <v>-1.5348000000000103E-2</v>
      </c>
      <c r="Q130">
        <f t="shared" si="40"/>
        <v>403.29064975502678</v>
      </c>
      <c r="R130">
        <f t="shared" si="41"/>
        <v>415.40866600718363</v>
      </c>
      <c r="S130">
        <f t="shared" si="42"/>
        <v>-12.118016252156849</v>
      </c>
      <c r="T130" s="39">
        <f t="shared" si="43"/>
        <v>-2.9171313079798131E-2</v>
      </c>
      <c r="U130">
        <f t="shared" si="44"/>
        <v>2023</v>
      </c>
      <c r="V130">
        <f t="shared" si="45"/>
        <v>2023</v>
      </c>
    </row>
    <row r="131" spans="1:22" x14ac:dyDescent="0.25">
      <c r="A131" t="s">
        <v>52</v>
      </c>
      <c r="B131" t="s">
        <v>53</v>
      </c>
      <c r="C131" s="1">
        <v>44988</v>
      </c>
      <c r="D131">
        <v>17594.349999999999</v>
      </c>
      <c r="E131" s="1">
        <v>44998</v>
      </c>
      <c r="F131">
        <v>17154.3</v>
      </c>
      <c r="G131" s="2">
        <v>-2.5000000000000001E-2</v>
      </c>
      <c r="H131" s="40">
        <f t="shared" si="32"/>
        <v>10</v>
      </c>
      <c r="I131" s="4">
        <f t="shared" si="33"/>
        <v>1.5E-3</v>
      </c>
      <c r="J131" s="4">
        <f t="shared" si="34"/>
        <v>1.6666666666666666E-3</v>
      </c>
      <c r="K131" s="4">
        <f t="shared" si="35"/>
        <v>-2.8166666666666666E-2</v>
      </c>
      <c r="L131">
        <f t="shared" si="36"/>
        <v>713.94853355966814</v>
      </c>
      <c r="M131">
        <f t="shared" si="37"/>
        <v>743.66873394361085</v>
      </c>
      <c r="N131">
        <f t="shared" si="38"/>
        <v>-29.720200383942711</v>
      </c>
      <c r="O131" s="39">
        <f t="shared" si="39"/>
        <v>-3.9964300000000084E-2</v>
      </c>
      <c r="Q131">
        <f t="shared" si="40"/>
        <v>391.93129645359352</v>
      </c>
      <c r="R131">
        <f t="shared" si="41"/>
        <v>415.40866600718363</v>
      </c>
      <c r="S131">
        <f t="shared" si="42"/>
        <v>-23.477369553590108</v>
      </c>
      <c r="T131" s="39">
        <f t="shared" si="43"/>
        <v>-5.6516321094717166E-2</v>
      </c>
      <c r="U131">
        <f t="shared" si="44"/>
        <v>2023</v>
      </c>
      <c r="V131">
        <f t="shared" si="45"/>
        <v>2023</v>
      </c>
    </row>
    <row r="132" spans="1:22" x14ac:dyDescent="0.25">
      <c r="A132" t="s">
        <v>52</v>
      </c>
      <c r="B132" t="s">
        <v>53</v>
      </c>
      <c r="C132" s="1">
        <v>45016</v>
      </c>
      <c r="D132">
        <v>17359.75</v>
      </c>
      <c r="E132" s="1">
        <v>45140</v>
      </c>
      <c r="F132">
        <v>19526.55</v>
      </c>
      <c r="G132" s="2">
        <v>0.12479999999999999</v>
      </c>
      <c r="H132" s="40">
        <f t="shared" si="32"/>
        <v>124</v>
      </c>
      <c r="I132" s="4">
        <f t="shared" si="33"/>
        <v>1.5E-3</v>
      </c>
      <c r="J132" s="4">
        <f t="shared" si="34"/>
        <v>2.066666666666667E-2</v>
      </c>
      <c r="K132" s="4">
        <f t="shared" si="35"/>
        <v>0.10263333333333333</v>
      </c>
      <c r="L132">
        <f t="shared" si="36"/>
        <v>803.04931054791473</v>
      </c>
      <c r="M132">
        <f t="shared" si="37"/>
        <v>803.04931054791473</v>
      </c>
      <c r="N132" t="str">
        <f t="shared" si="38"/>
        <v/>
      </c>
      <c r="O132" s="39">
        <f t="shared" si="39"/>
        <v>0</v>
      </c>
      <c r="Q132">
        <f t="shared" si="40"/>
        <v>432.15651184628069</v>
      </c>
      <c r="R132">
        <f t="shared" si="41"/>
        <v>432.15651184628069</v>
      </c>
      <c r="S132" t="str">
        <f t="shared" si="42"/>
        <v/>
      </c>
      <c r="T132" s="39">
        <f t="shared" si="43"/>
        <v>0</v>
      </c>
      <c r="U132">
        <f t="shared" si="44"/>
        <v>2023</v>
      </c>
      <c r="V132">
        <f t="shared" si="45"/>
        <v>2023</v>
      </c>
    </row>
    <row r="133" spans="1:22" x14ac:dyDescent="0.25">
      <c r="A133" t="s">
        <v>52</v>
      </c>
      <c r="B133" t="s">
        <v>53</v>
      </c>
      <c r="C133" s="1">
        <v>45147</v>
      </c>
      <c r="D133">
        <v>19632.55</v>
      </c>
      <c r="E133" s="1">
        <v>45155</v>
      </c>
      <c r="F133">
        <v>19365.25</v>
      </c>
      <c r="G133" s="2">
        <v>-1.3599999999999999E-2</v>
      </c>
      <c r="H133" s="40">
        <f t="shared" si="32"/>
        <v>8</v>
      </c>
      <c r="I133" s="4">
        <f t="shared" si="33"/>
        <v>1.5E-3</v>
      </c>
      <c r="J133" s="4">
        <f t="shared" si="34"/>
        <v>1.3333333333333333E-3</v>
      </c>
      <c r="K133" s="4">
        <f t="shared" si="35"/>
        <v>-1.6433333333333335E-2</v>
      </c>
      <c r="L133">
        <f t="shared" si="36"/>
        <v>792.12783992446316</v>
      </c>
      <c r="M133">
        <f t="shared" si="37"/>
        <v>803.04931054791473</v>
      </c>
      <c r="N133">
        <f t="shared" si="38"/>
        <v>-10.921470623451569</v>
      </c>
      <c r="O133" s="39">
        <f t="shared" si="39"/>
        <v>-1.3599999999999911E-2</v>
      </c>
      <c r="Q133">
        <f t="shared" si="40"/>
        <v>425.05473983494016</v>
      </c>
      <c r="R133">
        <f t="shared" si="41"/>
        <v>432.15651184628069</v>
      </c>
      <c r="S133">
        <f t="shared" si="42"/>
        <v>-7.1017720113405289</v>
      </c>
      <c r="T133" s="39">
        <f t="shared" si="43"/>
        <v>-1.6433333333333293E-2</v>
      </c>
      <c r="U133">
        <f t="shared" si="44"/>
        <v>2023</v>
      </c>
      <c r="V133">
        <f t="shared" si="45"/>
        <v>2023</v>
      </c>
    </row>
    <row r="134" spans="1:22" x14ac:dyDescent="0.25">
      <c r="A134" t="s">
        <v>52</v>
      </c>
      <c r="B134" t="s">
        <v>53</v>
      </c>
      <c r="C134" s="1">
        <v>45170</v>
      </c>
      <c r="D134">
        <v>19435.3</v>
      </c>
      <c r="E134" s="1">
        <v>45190</v>
      </c>
      <c r="F134">
        <v>19742.349999999999</v>
      </c>
      <c r="G134" s="2">
        <v>1.5800000000000002E-2</v>
      </c>
      <c r="H134" s="40">
        <f t="shared" si="32"/>
        <v>20</v>
      </c>
      <c r="I134" s="4">
        <f t="shared" si="33"/>
        <v>1.5E-3</v>
      </c>
      <c r="J134" s="4">
        <f t="shared" si="34"/>
        <v>3.3333333333333331E-3</v>
      </c>
      <c r="K134" s="4">
        <f t="shared" si="35"/>
        <v>1.0966666666666668E-2</v>
      </c>
      <c r="L134">
        <f t="shared" si="36"/>
        <v>804.64345979526968</v>
      </c>
      <c r="M134">
        <f t="shared" si="37"/>
        <v>804.64345979526968</v>
      </c>
      <c r="N134" t="str">
        <f t="shared" si="38"/>
        <v/>
      </c>
      <c r="O134" s="39">
        <f t="shared" si="39"/>
        <v>0</v>
      </c>
      <c r="Q134">
        <f t="shared" si="40"/>
        <v>429.71617348179666</v>
      </c>
      <c r="R134">
        <f t="shared" si="41"/>
        <v>432.15651184628069</v>
      </c>
      <c r="S134">
        <f t="shared" si="42"/>
        <v>-2.4403383644840346</v>
      </c>
      <c r="T134" s="39">
        <f t="shared" si="43"/>
        <v>-5.6468855555555529E-3</v>
      </c>
      <c r="U134">
        <f t="shared" si="44"/>
        <v>2023</v>
      </c>
      <c r="V134">
        <f t="shared" si="45"/>
        <v>2023</v>
      </c>
    </row>
    <row r="135" spans="1:22" x14ac:dyDescent="0.25">
      <c r="A135" t="s">
        <v>52</v>
      </c>
      <c r="B135" t="s">
        <v>53</v>
      </c>
      <c r="C135" s="1">
        <v>45205</v>
      </c>
      <c r="D135">
        <v>19653.5</v>
      </c>
      <c r="E135" s="1">
        <v>45219</v>
      </c>
      <c r="F135">
        <v>19542.650000000001</v>
      </c>
      <c r="G135" s="2">
        <v>-5.5999999999999999E-3</v>
      </c>
      <c r="H135" s="40">
        <f t="shared" si="32"/>
        <v>14</v>
      </c>
      <c r="I135" s="4">
        <f t="shared" si="33"/>
        <v>1.5E-3</v>
      </c>
      <c r="J135" s="4">
        <f t="shared" si="34"/>
        <v>2.3333333333333335E-3</v>
      </c>
      <c r="K135" s="4">
        <f t="shared" si="35"/>
        <v>-9.4333333333333335E-3</v>
      </c>
      <c r="L135">
        <f t="shared" si="36"/>
        <v>800.13745642041613</v>
      </c>
      <c r="M135">
        <f t="shared" si="37"/>
        <v>804.64345979526968</v>
      </c>
      <c r="N135">
        <f t="shared" si="38"/>
        <v>-4.5060033748535488</v>
      </c>
      <c r="O135" s="39">
        <f t="shared" si="39"/>
        <v>-5.6000000000000476E-3</v>
      </c>
      <c r="Q135">
        <f t="shared" si="40"/>
        <v>425.66251757861841</v>
      </c>
      <c r="R135">
        <f t="shared" si="41"/>
        <v>432.15651184628069</v>
      </c>
      <c r="S135">
        <f t="shared" si="42"/>
        <v>-6.4939942676622877</v>
      </c>
      <c r="T135" s="39">
        <f t="shared" si="43"/>
        <v>-1.5026949935148078E-2</v>
      </c>
      <c r="U135">
        <f t="shared" si="44"/>
        <v>2023</v>
      </c>
      <c r="V135">
        <f t="shared" si="45"/>
        <v>2023</v>
      </c>
    </row>
    <row r="136" spans="1:22" x14ac:dyDescent="0.25">
      <c r="A136" t="s">
        <v>52</v>
      </c>
      <c r="B136" t="s">
        <v>53</v>
      </c>
      <c r="C136" s="1">
        <v>45233</v>
      </c>
      <c r="D136">
        <v>19230.599999999999</v>
      </c>
      <c r="E136" s="1">
        <v>45308</v>
      </c>
      <c r="F136">
        <v>21571.95</v>
      </c>
      <c r="G136" s="2">
        <v>0.12180000000000001</v>
      </c>
      <c r="H136" s="40">
        <f t="shared" si="32"/>
        <v>75</v>
      </c>
      <c r="I136" s="4">
        <f t="shared" si="33"/>
        <v>1.5E-3</v>
      </c>
      <c r="J136" s="4">
        <f t="shared" si="34"/>
        <v>1.2500000000000001E-2</v>
      </c>
      <c r="K136" s="4">
        <f t="shared" si="35"/>
        <v>0.10780000000000001</v>
      </c>
      <c r="L136">
        <f t="shared" si="36"/>
        <v>897.5941986124227</v>
      </c>
      <c r="M136">
        <f t="shared" si="37"/>
        <v>897.5941986124227</v>
      </c>
      <c r="N136" t="str">
        <f t="shared" si="38"/>
        <v/>
      </c>
      <c r="O136" s="39">
        <f t="shared" si="39"/>
        <v>0</v>
      </c>
      <c r="Q136">
        <f t="shared" si="40"/>
        <v>471.54893697359353</v>
      </c>
      <c r="R136">
        <f t="shared" si="41"/>
        <v>471.54893697359353</v>
      </c>
      <c r="S136" t="str">
        <f t="shared" si="42"/>
        <v/>
      </c>
      <c r="T136" s="39">
        <f t="shared" si="43"/>
        <v>0</v>
      </c>
      <c r="U136">
        <f t="shared" si="44"/>
        <v>2024</v>
      </c>
      <c r="V136">
        <f t="shared" si="45"/>
        <v>2023</v>
      </c>
    </row>
    <row r="137" spans="1:22" x14ac:dyDescent="0.25">
      <c r="A137" t="s">
        <v>52</v>
      </c>
      <c r="B137" t="s">
        <v>53</v>
      </c>
      <c r="C137" s="1">
        <v>45320</v>
      </c>
      <c r="D137">
        <v>21737.599999999999</v>
      </c>
      <c r="E137" s="1">
        <v>45334</v>
      </c>
      <c r="F137">
        <v>21616.05</v>
      </c>
      <c r="G137" s="2">
        <v>-5.5999999999999999E-3</v>
      </c>
      <c r="H137" s="40">
        <f t="shared" si="32"/>
        <v>14</v>
      </c>
      <c r="I137" s="4">
        <f t="shared" si="33"/>
        <v>1.5E-3</v>
      </c>
      <c r="J137" s="4">
        <f t="shared" si="34"/>
        <v>2.3333333333333335E-3</v>
      </c>
      <c r="K137" s="4">
        <f t="shared" si="35"/>
        <v>-9.4333333333333335E-3</v>
      </c>
      <c r="L137">
        <f t="shared" si="36"/>
        <v>892.56767110019314</v>
      </c>
      <c r="M137">
        <f t="shared" si="37"/>
        <v>897.5941986124227</v>
      </c>
      <c r="N137">
        <f t="shared" si="38"/>
        <v>-5.0265275122295634</v>
      </c>
      <c r="O137" s="39">
        <f t="shared" si="39"/>
        <v>-5.5999999999999956E-3</v>
      </c>
      <c r="Q137">
        <f t="shared" si="40"/>
        <v>467.10065866814267</v>
      </c>
      <c r="R137">
        <f t="shared" si="41"/>
        <v>471.54893697359353</v>
      </c>
      <c r="S137">
        <f t="shared" si="42"/>
        <v>-4.4482783054508559</v>
      </c>
      <c r="T137" s="39">
        <f t="shared" si="43"/>
        <v>-9.4333333333332416E-3</v>
      </c>
      <c r="U137">
        <f t="shared" si="44"/>
        <v>2024</v>
      </c>
      <c r="V137">
        <f t="shared" si="45"/>
        <v>2024</v>
      </c>
    </row>
    <row r="138" spans="1:22" x14ac:dyDescent="0.25">
      <c r="A138" t="s">
        <v>52</v>
      </c>
      <c r="B138" t="s">
        <v>53</v>
      </c>
      <c r="C138" s="1">
        <v>45337</v>
      </c>
      <c r="D138">
        <v>21910.75</v>
      </c>
      <c r="E138" s="1">
        <v>45364</v>
      </c>
      <c r="F138">
        <v>21997.7</v>
      </c>
      <c r="G138" s="2">
        <v>4.0000000000000001E-3</v>
      </c>
      <c r="H138" s="40">
        <f t="shared" si="32"/>
        <v>27</v>
      </c>
      <c r="I138" s="4">
        <f t="shared" si="33"/>
        <v>1.5E-3</v>
      </c>
      <c r="J138" s="4">
        <f t="shared" si="34"/>
        <v>4.5000000000000005E-3</v>
      </c>
      <c r="K138" s="4">
        <f t="shared" si="35"/>
        <v>-2E-3</v>
      </c>
      <c r="L138">
        <f t="shared" si="36"/>
        <v>896.13794178459386</v>
      </c>
      <c r="M138">
        <f t="shared" si="37"/>
        <v>897.5941986124227</v>
      </c>
      <c r="N138">
        <f t="shared" si="38"/>
        <v>-1.4562568278288381</v>
      </c>
      <c r="O138" s="39">
        <f t="shared" si="39"/>
        <v>-1.6224000000000485E-3</v>
      </c>
      <c r="Q138">
        <f t="shared" si="40"/>
        <v>466.16645735080641</v>
      </c>
      <c r="R138">
        <f t="shared" si="41"/>
        <v>471.54893697359353</v>
      </c>
      <c r="S138">
        <f t="shared" si="42"/>
        <v>-5.3824796227871161</v>
      </c>
      <c r="T138" s="39">
        <f t="shared" si="43"/>
        <v>-1.1414466666666522E-2</v>
      </c>
      <c r="U138">
        <f t="shared" si="44"/>
        <v>2024</v>
      </c>
      <c r="V138">
        <f t="shared" si="45"/>
        <v>2024</v>
      </c>
    </row>
    <row r="139" spans="1:22" x14ac:dyDescent="0.25">
      <c r="A139" t="s">
        <v>52</v>
      </c>
      <c r="B139" t="s">
        <v>53</v>
      </c>
      <c r="C139" s="1">
        <v>45373</v>
      </c>
      <c r="D139">
        <v>22096.75</v>
      </c>
      <c r="E139" s="1">
        <v>45397</v>
      </c>
      <c r="F139">
        <v>22272.5</v>
      </c>
      <c r="G139" s="2">
        <v>8.0000000000000002E-3</v>
      </c>
      <c r="H139" s="40">
        <f t="shared" si="32"/>
        <v>24</v>
      </c>
      <c r="I139" s="4">
        <f t="shared" si="33"/>
        <v>1.5E-3</v>
      </c>
      <c r="J139" s="4">
        <f t="shared" si="34"/>
        <v>4.0000000000000001E-3</v>
      </c>
      <c r="K139" s="4">
        <f t="shared" si="35"/>
        <v>2.5000000000000005E-3</v>
      </c>
      <c r="L139">
        <f t="shared" si="36"/>
        <v>903.30704531887056</v>
      </c>
      <c r="M139">
        <f t="shared" si="37"/>
        <v>903.30704531887056</v>
      </c>
      <c r="N139" t="str">
        <f t="shared" si="38"/>
        <v/>
      </c>
      <c r="O139" s="39">
        <f t="shared" si="39"/>
        <v>0</v>
      </c>
      <c r="Q139">
        <f t="shared" si="40"/>
        <v>467.33187349418341</v>
      </c>
      <c r="R139">
        <f t="shared" si="41"/>
        <v>471.54893697359353</v>
      </c>
      <c r="S139">
        <f t="shared" si="42"/>
        <v>-4.2170634794101147</v>
      </c>
      <c r="T139" s="39">
        <f t="shared" si="43"/>
        <v>-8.9430028333332204E-3</v>
      </c>
      <c r="U139">
        <f t="shared" si="44"/>
        <v>2024</v>
      </c>
      <c r="V139">
        <f t="shared" si="45"/>
        <v>2024</v>
      </c>
    </row>
    <row r="140" spans="1:22" x14ac:dyDescent="0.25">
      <c r="A140" t="s">
        <v>52</v>
      </c>
      <c r="B140" t="s">
        <v>53</v>
      </c>
      <c r="C140" s="1">
        <v>45404</v>
      </c>
      <c r="D140">
        <v>22336.400000000001</v>
      </c>
      <c r="E140" s="1">
        <v>45421</v>
      </c>
      <c r="F140">
        <v>21957.5</v>
      </c>
      <c r="G140" s="2">
        <v>-1.7000000000000001E-2</v>
      </c>
      <c r="H140" s="40">
        <f t="shared" si="32"/>
        <v>17</v>
      </c>
      <c r="I140" s="4">
        <f t="shared" si="33"/>
        <v>1.5E-3</v>
      </c>
      <c r="J140" s="4">
        <f t="shared" si="34"/>
        <v>2.8333333333333331E-3</v>
      </c>
      <c r="K140" s="4">
        <f t="shared" si="35"/>
        <v>-2.1333333333333336E-2</v>
      </c>
      <c r="L140">
        <f t="shared" si="36"/>
        <v>887.95082554844976</v>
      </c>
      <c r="M140">
        <f t="shared" si="37"/>
        <v>903.30704531887056</v>
      </c>
      <c r="N140">
        <f t="shared" si="38"/>
        <v>-15.356219770420807</v>
      </c>
      <c r="O140" s="39">
        <f t="shared" si="39"/>
        <v>-1.7000000000000008E-2</v>
      </c>
      <c r="Q140">
        <f t="shared" si="40"/>
        <v>457.36212685964085</v>
      </c>
      <c r="R140">
        <f t="shared" si="41"/>
        <v>471.54893697359353</v>
      </c>
      <c r="S140">
        <f t="shared" si="42"/>
        <v>-14.186810113952674</v>
      </c>
      <c r="T140" s="39">
        <f t="shared" si="43"/>
        <v>-3.0085552106222067E-2</v>
      </c>
      <c r="U140">
        <f t="shared" si="44"/>
        <v>2024</v>
      </c>
      <c r="V140">
        <f t="shared" si="45"/>
        <v>2024</v>
      </c>
    </row>
    <row r="141" spans="1:22" x14ac:dyDescent="0.25">
      <c r="A141" t="s">
        <v>52</v>
      </c>
      <c r="B141" t="s">
        <v>53</v>
      </c>
      <c r="C141" s="1">
        <v>45428</v>
      </c>
      <c r="D141">
        <v>22403.85</v>
      </c>
      <c r="E141" s="1">
        <v>45442</v>
      </c>
      <c r="F141">
        <v>22488.65</v>
      </c>
      <c r="G141" s="2">
        <v>3.8E-3</v>
      </c>
      <c r="H141" s="40">
        <f t="shared" si="32"/>
        <v>14</v>
      </c>
      <c r="I141" s="4">
        <f t="shared" si="33"/>
        <v>1.5E-3</v>
      </c>
      <c r="J141" s="4">
        <f t="shared" si="34"/>
        <v>2.3333333333333335E-3</v>
      </c>
      <c r="K141" s="4">
        <f t="shared" si="35"/>
        <v>-3.3333333333333565E-5</v>
      </c>
      <c r="L141">
        <f t="shared" si="36"/>
        <v>891.32503868553385</v>
      </c>
      <c r="M141">
        <f t="shared" si="37"/>
        <v>903.30704531887056</v>
      </c>
      <c r="N141">
        <f t="shared" si="38"/>
        <v>-11.982006633336709</v>
      </c>
      <c r="O141" s="39">
        <f t="shared" si="39"/>
        <v>-1.326460000000002E-2</v>
      </c>
      <c r="Q141">
        <f t="shared" si="40"/>
        <v>457.34688145541219</v>
      </c>
      <c r="R141">
        <f t="shared" si="41"/>
        <v>471.54893697359353</v>
      </c>
      <c r="S141">
        <f t="shared" si="42"/>
        <v>-14.202055518181339</v>
      </c>
      <c r="T141" s="39">
        <f t="shared" si="43"/>
        <v>-3.0117882587818549E-2</v>
      </c>
      <c r="U141">
        <f t="shared" si="44"/>
        <v>2024</v>
      </c>
      <c r="V141">
        <f t="shared" si="45"/>
        <v>2024</v>
      </c>
    </row>
    <row r="142" spans="1:22" x14ac:dyDescent="0.25">
      <c r="A142" t="s">
        <v>52</v>
      </c>
      <c r="B142" t="s">
        <v>53</v>
      </c>
      <c r="C142" s="1">
        <v>45446</v>
      </c>
      <c r="D142">
        <v>23263.9</v>
      </c>
      <c r="E142" s="1">
        <v>45447</v>
      </c>
      <c r="F142">
        <v>21884.5</v>
      </c>
      <c r="G142" s="2">
        <v>-5.9299999999999999E-2</v>
      </c>
      <c r="H142" s="40">
        <f t="shared" si="32"/>
        <v>1</v>
      </c>
      <c r="I142" s="4">
        <f t="shared" si="33"/>
        <v>1.5E-3</v>
      </c>
      <c r="J142" s="4">
        <f t="shared" si="34"/>
        <v>1.6666666666666666E-4</v>
      </c>
      <c r="K142" s="4">
        <f t="shared" si="35"/>
        <v>-6.0966666666666662E-2</v>
      </c>
      <c r="L142">
        <f t="shared" si="36"/>
        <v>838.46946389148172</v>
      </c>
      <c r="M142">
        <f t="shared" si="37"/>
        <v>903.30704531887056</v>
      </c>
      <c r="N142">
        <f t="shared" si="38"/>
        <v>-64.837581427388841</v>
      </c>
      <c r="O142" s="39">
        <f t="shared" si="39"/>
        <v>-7.1778009219999994E-2</v>
      </c>
      <c r="Q142">
        <f t="shared" si="40"/>
        <v>429.4639665826806</v>
      </c>
      <c r="R142">
        <f t="shared" si="41"/>
        <v>471.54893697359353</v>
      </c>
      <c r="S142">
        <f t="shared" si="42"/>
        <v>-42.084970390912929</v>
      </c>
      <c r="T142" s="39">
        <f t="shared" si="43"/>
        <v>-8.9248362346047799E-2</v>
      </c>
      <c r="U142">
        <f t="shared" si="44"/>
        <v>2024</v>
      </c>
      <c r="V142">
        <f t="shared" si="45"/>
        <v>2024</v>
      </c>
    </row>
    <row r="143" spans="1:22" x14ac:dyDescent="0.25">
      <c r="A143" t="s">
        <v>52</v>
      </c>
      <c r="B143" t="s">
        <v>53</v>
      </c>
      <c r="C143" s="1">
        <v>45450</v>
      </c>
      <c r="D143">
        <v>23290.15</v>
      </c>
      <c r="E143" s="1">
        <v>45509</v>
      </c>
      <c r="F143">
        <v>24055.599999999999</v>
      </c>
      <c r="G143" s="2">
        <v>3.2899999999999999E-2</v>
      </c>
      <c r="H143" s="40">
        <f t="shared" si="32"/>
        <v>59</v>
      </c>
      <c r="I143" s="4">
        <f t="shared" si="33"/>
        <v>1.5E-3</v>
      </c>
      <c r="J143" s="4">
        <f t="shared" si="34"/>
        <v>9.8333333333333328E-3</v>
      </c>
      <c r="K143" s="4">
        <f t="shared" si="35"/>
        <v>2.1566666666666665E-2</v>
      </c>
      <c r="L143">
        <f t="shared" si="36"/>
        <v>866.05510925351143</v>
      </c>
      <c r="M143">
        <f t="shared" si="37"/>
        <v>903.30704531887056</v>
      </c>
      <c r="N143">
        <f t="shared" si="38"/>
        <v>-37.251936065359132</v>
      </c>
      <c r="O143" s="39">
        <f t="shared" si="39"/>
        <v>-4.1239505723338038E-2</v>
      </c>
      <c r="Q143">
        <f t="shared" si="40"/>
        <v>438.72607279531377</v>
      </c>
      <c r="R143">
        <f t="shared" si="41"/>
        <v>471.54893697359353</v>
      </c>
      <c r="S143">
        <f t="shared" si="42"/>
        <v>-32.822864178279758</v>
      </c>
      <c r="T143" s="39">
        <f t="shared" si="43"/>
        <v>-6.9606485360644163E-2</v>
      </c>
      <c r="U143">
        <f t="shared" si="44"/>
        <v>2024</v>
      </c>
      <c r="V143">
        <f t="shared" si="45"/>
        <v>2024</v>
      </c>
    </row>
    <row r="144" spans="1:22" x14ac:dyDescent="0.25">
      <c r="A144" t="s">
        <v>52</v>
      </c>
      <c r="B144" t="s">
        <v>53</v>
      </c>
      <c r="C144" s="1">
        <v>45520</v>
      </c>
      <c r="D144">
        <v>24541.15</v>
      </c>
      <c r="E144" s="1">
        <v>45541</v>
      </c>
      <c r="F144">
        <v>24852.15</v>
      </c>
      <c r="G144" s="2">
        <v>1.2699999999999999E-2</v>
      </c>
      <c r="H144" s="40">
        <f t="shared" si="32"/>
        <v>21</v>
      </c>
      <c r="I144" s="4">
        <f t="shared" si="33"/>
        <v>1.5E-3</v>
      </c>
      <c r="J144" s="4">
        <f t="shared" si="34"/>
        <v>3.4999999999999996E-3</v>
      </c>
      <c r="K144" s="4">
        <f t="shared" si="35"/>
        <v>7.7000000000000002E-3</v>
      </c>
      <c r="L144">
        <f t="shared" si="36"/>
        <v>877.05400914103097</v>
      </c>
      <c r="M144">
        <f t="shared" si="37"/>
        <v>903.30704531887056</v>
      </c>
      <c r="N144">
        <f t="shared" si="38"/>
        <v>-26.25303617783959</v>
      </c>
      <c r="O144" s="39">
        <f t="shared" si="39"/>
        <v>-2.9063247446024485E-2</v>
      </c>
      <c r="Q144">
        <f t="shared" si="40"/>
        <v>442.10426355583769</v>
      </c>
      <c r="R144">
        <f t="shared" si="41"/>
        <v>471.54893697359353</v>
      </c>
      <c r="S144">
        <f t="shared" si="42"/>
        <v>-29.444673417755837</v>
      </c>
      <c r="T144" s="39">
        <f t="shared" si="43"/>
        <v>-6.2442455297921119E-2</v>
      </c>
      <c r="U144">
        <f t="shared" si="44"/>
        <v>2024</v>
      </c>
      <c r="V144">
        <f t="shared" si="45"/>
        <v>2024</v>
      </c>
    </row>
    <row r="145" spans="1:22" x14ac:dyDescent="0.25">
      <c r="A145" t="s">
        <v>52</v>
      </c>
      <c r="B145" t="s">
        <v>53</v>
      </c>
      <c r="C145" s="1">
        <v>45547</v>
      </c>
      <c r="D145">
        <v>25388.9</v>
      </c>
      <c r="E145" s="1">
        <v>45565</v>
      </c>
      <c r="F145">
        <v>25810.85</v>
      </c>
      <c r="G145" s="2">
        <v>1.66E-2</v>
      </c>
      <c r="H145" s="40">
        <f t="shared" si="32"/>
        <v>18</v>
      </c>
      <c r="I145" s="4">
        <f t="shared" si="33"/>
        <v>1.5E-3</v>
      </c>
      <c r="J145" s="4">
        <f t="shared" si="34"/>
        <v>3.0000000000000001E-3</v>
      </c>
      <c r="K145" s="4">
        <f t="shared" si="35"/>
        <v>1.21E-2</v>
      </c>
      <c r="L145">
        <f t="shared" si="36"/>
        <v>891.61310569277202</v>
      </c>
      <c r="M145">
        <f t="shared" si="37"/>
        <v>903.30704531887056</v>
      </c>
      <c r="N145">
        <f t="shared" si="38"/>
        <v>-11.69393962609854</v>
      </c>
      <c r="O145" s="39">
        <f t="shared" si="39"/>
        <v>-1.2945697353628565E-2</v>
      </c>
      <c r="Q145">
        <f t="shared" si="40"/>
        <v>447.45372514486331</v>
      </c>
      <c r="R145">
        <f t="shared" si="41"/>
        <v>471.54893697359353</v>
      </c>
      <c r="S145">
        <f t="shared" si="42"/>
        <v>-24.095211828730214</v>
      </c>
      <c r="T145" s="39">
        <f t="shared" si="43"/>
        <v>-5.1098009007025991E-2</v>
      </c>
      <c r="U145">
        <f t="shared" si="44"/>
        <v>2024</v>
      </c>
      <c r="V145">
        <f t="shared" si="45"/>
        <v>2024</v>
      </c>
    </row>
    <row r="146" spans="1:22" x14ac:dyDescent="0.25">
      <c r="A146" t="s">
        <v>52</v>
      </c>
      <c r="B146" t="s">
        <v>53</v>
      </c>
      <c r="C146" s="1">
        <v>45709</v>
      </c>
      <c r="D146">
        <v>22795.9</v>
      </c>
      <c r="E146" s="1">
        <v>45712</v>
      </c>
      <c r="F146">
        <v>22553.35</v>
      </c>
      <c r="G146" s="2">
        <v>-1.06E-2</v>
      </c>
      <c r="H146" s="40">
        <f t="shared" si="32"/>
        <v>3</v>
      </c>
      <c r="I146" s="4">
        <f t="shared" si="33"/>
        <v>1.5E-3</v>
      </c>
      <c r="J146" s="4">
        <f t="shared" si="34"/>
        <v>5.0000000000000001E-4</v>
      </c>
      <c r="K146" s="4">
        <f t="shared" si="35"/>
        <v>-1.26E-2</v>
      </c>
      <c r="L146">
        <f t="shared" si="36"/>
        <v>882.16200677242864</v>
      </c>
      <c r="M146">
        <f t="shared" si="37"/>
        <v>903.30704531887056</v>
      </c>
      <c r="N146">
        <f t="shared" si="38"/>
        <v>-21.145038546441924</v>
      </c>
      <c r="O146" s="39">
        <f t="shared" si="39"/>
        <v>-2.3408472961680103E-2</v>
      </c>
      <c r="Q146">
        <f t="shared" si="40"/>
        <v>441.81580820803805</v>
      </c>
      <c r="R146">
        <f t="shared" si="41"/>
        <v>471.54893697359353</v>
      </c>
      <c r="S146">
        <f t="shared" si="42"/>
        <v>-29.733128765555477</v>
      </c>
      <c r="T146" s="39">
        <f t="shared" si="43"/>
        <v>-6.3054174093537432E-2</v>
      </c>
      <c r="U146">
        <f t="shared" si="44"/>
        <v>2025</v>
      </c>
      <c r="V146">
        <f t="shared" si="45"/>
        <v>2025</v>
      </c>
    </row>
    <row r="147" spans="1:22" x14ac:dyDescent="0.25">
      <c r="A147" t="s">
        <v>52</v>
      </c>
      <c r="B147" t="s">
        <v>53</v>
      </c>
      <c r="C147" s="1">
        <v>45721</v>
      </c>
      <c r="D147">
        <v>22337.3</v>
      </c>
      <c r="E147" s="1">
        <v>45748</v>
      </c>
      <c r="F147">
        <v>23165.7</v>
      </c>
      <c r="G147" s="2">
        <v>3.7100000000000001E-2</v>
      </c>
      <c r="H147" s="40">
        <f t="shared" si="32"/>
        <v>27</v>
      </c>
      <c r="I147" s="4">
        <f t="shared" si="33"/>
        <v>1.5E-3</v>
      </c>
      <c r="J147" s="4">
        <f t="shared" si="34"/>
        <v>4.5000000000000005E-3</v>
      </c>
      <c r="K147" s="4">
        <f t="shared" si="35"/>
        <v>3.1100000000000003E-2</v>
      </c>
      <c r="L147">
        <f t="shared" si="36"/>
        <v>914.89021722368568</v>
      </c>
      <c r="M147">
        <f t="shared" si="37"/>
        <v>914.89021722368568</v>
      </c>
      <c r="N147" t="str">
        <f t="shared" si="38"/>
        <v/>
      </c>
      <c r="O147" s="39">
        <f t="shared" si="39"/>
        <v>0</v>
      </c>
      <c r="Q147">
        <f t="shared" si="40"/>
        <v>455.556279843308</v>
      </c>
      <c r="R147">
        <f t="shared" si="41"/>
        <v>471.54893697359353</v>
      </c>
      <c r="S147">
        <f t="shared" si="42"/>
        <v>-15.992657130285522</v>
      </c>
      <c r="T147" s="39">
        <f t="shared" si="43"/>
        <v>-3.3915158907846507E-2</v>
      </c>
      <c r="U147">
        <f t="shared" si="44"/>
        <v>2025</v>
      </c>
      <c r="V147">
        <f t="shared" si="45"/>
        <v>2025</v>
      </c>
    </row>
    <row r="148" spans="1:22" x14ac:dyDescent="0.25">
      <c r="A148" t="s">
        <v>52</v>
      </c>
      <c r="B148" t="s">
        <v>53</v>
      </c>
      <c r="C148" s="1">
        <v>45755</v>
      </c>
      <c r="D148">
        <v>22535.85</v>
      </c>
      <c r="E148" s="1">
        <v>45849</v>
      </c>
      <c r="F148">
        <v>25149.85</v>
      </c>
      <c r="G148" s="2">
        <v>0.11600000000000001</v>
      </c>
      <c r="H148" s="40">
        <f t="shared" si="32"/>
        <v>94</v>
      </c>
      <c r="I148" s="4">
        <f t="shared" si="33"/>
        <v>1.5E-3</v>
      </c>
      <c r="J148" s="4">
        <f t="shared" si="34"/>
        <v>1.5666666666666666E-2</v>
      </c>
      <c r="K148" s="4">
        <f t="shared" si="35"/>
        <v>9.8833333333333342E-2</v>
      </c>
      <c r="L148">
        <f t="shared" si="36"/>
        <v>1021.0174824216333</v>
      </c>
      <c r="M148">
        <f t="shared" si="37"/>
        <v>1021.0174824216333</v>
      </c>
      <c r="N148" t="str">
        <f t="shared" si="38"/>
        <v/>
      </c>
      <c r="O148" s="39">
        <f t="shared" si="39"/>
        <v>0</v>
      </c>
      <c r="Q148">
        <f t="shared" si="40"/>
        <v>500.58042550115493</v>
      </c>
      <c r="R148">
        <f t="shared" si="41"/>
        <v>500.58042550115493</v>
      </c>
      <c r="S148" t="str">
        <f t="shared" si="42"/>
        <v/>
      </c>
      <c r="T148" s="39">
        <f t="shared" si="43"/>
        <v>0</v>
      </c>
      <c r="U148">
        <f t="shared" si="44"/>
        <v>2025</v>
      </c>
      <c r="V148">
        <f t="shared" si="45"/>
        <v>2025</v>
      </c>
    </row>
    <row r="149" spans="1:22" x14ac:dyDescent="0.25">
      <c r="A149" t="s">
        <v>52</v>
      </c>
      <c r="B149" t="s">
        <v>53</v>
      </c>
      <c r="C149" s="1">
        <v>45861</v>
      </c>
      <c r="D149">
        <v>25219.9</v>
      </c>
      <c r="E149" s="1">
        <v>45863</v>
      </c>
      <c r="F149">
        <v>24837</v>
      </c>
      <c r="G149" s="2">
        <v>-1.52E-2</v>
      </c>
      <c r="H149" s="40">
        <f t="shared" si="32"/>
        <v>2</v>
      </c>
      <c r="I149" s="4">
        <f t="shared" si="33"/>
        <v>1.5E-3</v>
      </c>
      <c r="J149" s="4">
        <f t="shared" si="34"/>
        <v>3.3333333333333332E-4</v>
      </c>
      <c r="K149" s="4">
        <f t="shared" si="35"/>
        <v>-1.7033333333333334E-2</v>
      </c>
      <c r="L149">
        <f t="shared" si="36"/>
        <v>1005.4980166888245</v>
      </c>
      <c r="M149">
        <f t="shared" si="37"/>
        <v>1021.0174824216333</v>
      </c>
      <c r="N149">
        <f t="shared" si="38"/>
        <v>-15.51946573280884</v>
      </c>
      <c r="O149" s="39">
        <f t="shared" si="39"/>
        <v>-1.5200000000000014E-2</v>
      </c>
      <c r="Q149">
        <f t="shared" si="40"/>
        <v>492.05387225345191</v>
      </c>
      <c r="R149">
        <f t="shared" si="41"/>
        <v>500.58042550115493</v>
      </c>
      <c r="S149">
        <f t="shared" si="42"/>
        <v>-8.5265532477030206</v>
      </c>
      <c r="T149" s="39">
        <f t="shared" si="43"/>
        <v>-1.7033333333333362E-2</v>
      </c>
      <c r="U149">
        <f t="shared" si="44"/>
        <v>2025</v>
      </c>
      <c r="V149">
        <f t="shared" si="45"/>
        <v>2025</v>
      </c>
    </row>
    <row r="150" spans="1:22" x14ac:dyDescent="0.25">
      <c r="A150" t="s">
        <v>52</v>
      </c>
      <c r="B150" t="s">
        <v>53</v>
      </c>
      <c r="C150" s="1">
        <v>45887</v>
      </c>
      <c r="D150">
        <v>24876.95</v>
      </c>
      <c r="E150" s="1">
        <v>45895</v>
      </c>
      <c r="F150">
        <v>24712.05</v>
      </c>
      <c r="G150" s="2">
        <v>-6.6E-3</v>
      </c>
      <c r="H150" s="40">
        <f t="shared" ref="H150:H152" si="46">E150-C150</f>
        <v>8</v>
      </c>
      <c r="I150" s="4">
        <f t="shared" ref="I150:I152" si="47">C$1</f>
        <v>1.5E-3</v>
      </c>
      <c r="J150" s="4">
        <f t="shared" ref="J150:J152" si="48">H150/30*D$1</f>
        <v>1.3333333333333333E-3</v>
      </c>
      <c r="K150" s="4">
        <f t="shared" ref="K150:K152" si="49">G150-SUM(I150,J150)</f>
        <v>-9.4333333333333335E-3</v>
      </c>
      <c r="L150">
        <f t="shared" ref="L150:L152" si="50">L149*(1+G150)</f>
        <v>998.86172977867818</v>
      </c>
      <c r="M150">
        <f t="shared" ref="M150:M152" si="51">MAX(L150,M149)</f>
        <v>1021.0174824216333</v>
      </c>
      <c r="N150">
        <f t="shared" ref="N150:N152" si="52">IF(M150&gt;L150,L150-M150,"")</f>
        <v>-22.155752642955122</v>
      </c>
      <c r="O150" s="39">
        <f t="shared" ref="O150:O152" si="53">IFERROR(N150/M150,0)</f>
        <v>-2.1699680000000054E-2</v>
      </c>
      <c r="Q150">
        <f t="shared" ref="Q150:Q152" si="54">Q149*(1+K150)</f>
        <v>487.41216405852771</v>
      </c>
      <c r="R150">
        <f t="shared" ref="R150:R152" si="55">MAX(Q150,R149)</f>
        <v>500.58042550115493</v>
      </c>
      <c r="S150">
        <f t="shared" ref="S150:S152" si="56">IF(R150&gt;Q150,Q150-R150,"")</f>
        <v>-13.168261442627227</v>
      </c>
      <c r="T150" s="39">
        <f t="shared" ref="T150:T152" si="57">IFERROR(S150/R150,0)</f>
        <v>-2.6305985555555536E-2</v>
      </c>
      <c r="U150">
        <f t="shared" ref="U150:U152" si="58">YEAR(E150)</f>
        <v>2025</v>
      </c>
      <c r="V150">
        <f t="shared" ref="V150:V152" si="59">YEAR(C150)</f>
        <v>2025</v>
      </c>
    </row>
    <row r="151" spans="1:22" x14ac:dyDescent="0.25">
      <c r="A151" t="s">
        <v>52</v>
      </c>
      <c r="B151" t="s">
        <v>53</v>
      </c>
      <c r="C151" s="1">
        <v>45903</v>
      </c>
      <c r="D151">
        <v>24715.05</v>
      </c>
      <c r="E151" s="1">
        <v>45924</v>
      </c>
      <c r="F151">
        <v>25056.9</v>
      </c>
      <c r="G151" s="2">
        <v>1.38E-2</v>
      </c>
      <c r="H151" s="40">
        <f t="shared" si="46"/>
        <v>21</v>
      </c>
      <c r="I151" s="4">
        <f t="shared" si="47"/>
        <v>1.5E-3</v>
      </c>
      <c r="J151" s="4">
        <f t="shared" si="48"/>
        <v>3.4999999999999996E-3</v>
      </c>
      <c r="K151" s="4">
        <f t="shared" si="49"/>
        <v>8.8000000000000005E-3</v>
      </c>
      <c r="L151">
        <f t="shared" si="50"/>
        <v>1012.646021649624</v>
      </c>
      <c r="M151">
        <f t="shared" si="51"/>
        <v>1021.0174824216333</v>
      </c>
      <c r="N151">
        <f t="shared" si="52"/>
        <v>-8.3714607720092999</v>
      </c>
      <c r="O151" s="39">
        <f t="shared" si="53"/>
        <v>-8.1991355839999922E-3</v>
      </c>
      <c r="Q151">
        <f t="shared" si="54"/>
        <v>491.70139110224272</v>
      </c>
      <c r="R151">
        <f t="shared" si="55"/>
        <v>500.58042550115493</v>
      </c>
      <c r="S151">
        <f t="shared" si="56"/>
        <v>-8.8790343989122107</v>
      </c>
      <c r="T151" s="39">
        <f t="shared" si="57"/>
        <v>-1.7737478228444483E-2</v>
      </c>
      <c r="U151">
        <f t="shared" si="58"/>
        <v>2025</v>
      </c>
      <c r="V151">
        <f t="shared" si="59"/>
        <v>2025</v>
      </c>
    </row>
    <row r="152" spans="1:22" x14ac:dyDescent="0.25">
      <c r="A152" t="s">
        <v>52</v>
      </c>
      <c r="B152" t="s">
        <v>53</v>
      </c>
      <c r="C152" s="1">
        <v>45933</v>
      </c>
      <c r="D152">
        <v>24894.25</v>
      </c>
      <c r="E152" s="1">
        <v>45965</v>
      </c>
      <c r="F152">
        <v>25597.65</v>
      </c>
      <c r="G152" s="2">
        <v>2.8299999999999999E-2</v>
      </c>
      <c r="H152" s="40">
        <f t="shared" si="46"/>
        <v>32</v>
      </c>
      <c r="I152" s="4">
        <f t="shared" si="47"/>
        <v>1.5E-3</v>
      </c>
      <c r="J152" s="4">
        <f t="shared" si="48"/>
        <v>5.3333333333333332E-3</v>
      </c>
      <c r="K152" s="4">
        <f t="shared" si="49"/>
        <v>2.1466666666666665E-2</v>
      </c>
      <c r="L152">
        <f t="shared" si="50"/>
        <v>1041.3039040623084</v>
      </c>
      <c r="M152">
        <f t="shared" si="51"/>
        <v>1041.3039040623084</v>
      </c>
      <c r="N152" t="str">
        <f t="shared" si="52"/>
        <v/>
      </c>
      <c r="O152" s="39">
        <f t="shared" si="53"/>
        <v>0</v>
      </c>
      <c r="Q152">
        <f t="shared" si="54"/>
        <v>502.2565809645709</v>
      </c>
      <c r="R152">
        <f t="shared" si="55"/>
        <v>502.2565809645709</v>
      </c>
      <c r="S152" t="str">
        <f t="shared" si="56"/>
        <v/>
      </c>
      <c r="T152" s="39">
        <f t="shared" si="57"/>
        <v>0</v>
      </c>
      <c r="U152">
        <f t="shared" si="58"/>
        <v>2025</v>
      </c>
      <c r="V152">
        <f t="shared" si="59"/>
        <v>2025</v>
      </c>
    </row>
    <row r="153" spans="1:22" x14ac:dyDescent="0.25">
      <c r="A153" t="s">
        <v>52</v>
      </c>
      <c r="B153" t="s">
        <v>53</v>
      </c>
      <c r="C153" s="1">
        <v>45972</v>
      </c>
      <c r="D153">
        <v>25694.95</v>
      </c>
      <c r="E153" s="1">
        <v>46001</v>
      </c>
      <c r="F153">
        <v>25758</v>
      </c>
      <c r="G153" s="2">
        <v>2.5000000000000001E-3</v>
      </c>
      <c r="H153" s="40">
        <f t="shared" ref="H153:H154" si="60">E153-C153</f>
        <v>29</v>
      </c>
      <c r="I153" s="4">
        <f t="shared" ref="I153:I154" si="61">C$1</f>
        <v>1.5E-3</v>
      </c>
      <c r="J153" s="4">
        <f t="shared" ref="J153:J154" si="62">H153/30*D$1</f>
        <v>4.8333333333333336E-3</v>
      </c>
      <c r="K153" s="4">
        <f t="shared" ref="K153:K154" si="63">G153-SUM(I153,J153)</f>
        <v>-3.8333333333333331E-3</v>
      </c>
      <c r="L153">
        <f t="shared" ref="L153:L154" si="64">L152*(1+G153)</f>
        <v>1043.9071638224641</v>
      </c>
      <c r="M153">
        <f t="shared" ref="M153:M154" si="65">MAX(L153,M152)</f>
        <v>1043.9071638224641</v>
      </c>
      <c r="N153" t="str">
        <f t="shared" ref="N153:N154" si="66">IF(M153&gt;L153,L153-M153,"")</f>
        <v/>
      </c>
      <c r="O153" s="39">
        <f t="shared" ref="O153:O154" si="67">IFERROR(N153/M153,0)</f>
        <v>0</v>
      </c>
      <c r="Q153">
        <f t="shared" ref="Q153:Q154" si="68">Q152*(1+K153)</f>
        <v>500.33126407087337</v>
      </c>
      <c r="R153">
        <f t="shared" ref="R153:R154" si="69">MAX(Q153,R152)</f>
        <v>502.2565809645709</v>
      </c>
      <c r="S153">
        <f t="shared" ref="S153:S154" si="70">IF(R153&gt;Q153,Q153-R153,"")</f>
        <v>-1.9253168936975271</v>
      </c>
      <c r="T153" s="39">
        <f t="shared" ref="T153:T154" si="71">IFERROR(S153/R153,0)</f>
        <v>-3.833333333333344E-3</v>
      </c>
      <c r="U153">
        <f t="shared" ref="U153:U154" si="72">YEAR(E153)</f>
        <v>2025</v>
      </c>
      <c r="V153">
        <f t="shared" ref="V153:V154" si="73">YEAR(C153)</f>
        <v>2025</v>
      </c>
    </row>
    <row r="154" spans="1:22" x14ac:dyDescent="0.25">
      <c r="A154" t="s">
        <v>52</v>
      </c>
      <c r="B154" t="s">
        <v>53</v>
      </c>
      <c r="C154" s="1">
        <v>46003</v>
      </c>
      <c r="D154">
        <v>26046.95</v>
      </c>
      <c r="E154" s="1">
        <v>46030</v>
      </c>
      <c r="F154">
        <v>25876.85</v>
      </c>
      <c r="G154" s="2">
        <v>-6.4999999999999997E-3</v>
      </c>
      <c r="H154" s="40">
        <f t="shared" si="60"/>
        <v>27</v>
      </c>
      <c r="I154" s="4">
        <f t="shared" si="61"/>
        <v>1.5E-3</v>
      </c>
      <c r="J154" s="4">
        <f t="shared" si="62"/>
        <v>4.5000000000000005E-3</v>
      </c>
      <c r="K154" s="4">
        <f t="shared" si="63"/>
        <v>-1.2500000000000001E-2</v>
      </c>
      <c r="L154">
        <f t="shared" si="64"/>
        <v>1037.1217672576181</v>
      </c>
      <c r="M154">
        <f t="shared" si="65"/>
        <v>1043.9071638224641</v>
      </c>
      <c r="N154">
        <f t="shared" si="66"/>
        <v>-6.7853965648459962</v>
      </c>
      <c r="O154" s="39">
        <f t="shared" si="67"/>
        <v>-6.4999999999999806E-3</v>
      </c>
      <c r="Q154">
        <f t="shared" si="68"/>
        <v>494.07712326998745</v>
      </c>
      <c r="R154">
        <f t="shared" si="69"/>
        <v>502.2565809645709</v>
      </c>
      <c r="S154">
        <f t="shared" si="70"/>
        <v>-8.1794576945834478</v>
      </c>
      <c r="T154" s="39">
        <f t="shared" si="71"/>
        <v>-1.6285416666666684E-2</v>
      </c>
      <c r="U154">
        <f t="shared" si="72"/>
        <v>2026</v>
      </c>
      <c r="V154">
        <f t="shared" si="73"/>
        <v>2025</v>
      </c>
    </row>
    <row r="155" spans="1:22" x14ac:dyDescent="0.25">
      <c r="C155" s="1"/>
      <c r="E155" s="1"/>
      <c r="G155" s="2"/>
      <c r="I155" s="2"/>
      <c r="O155" s="2"/>
      <c r="P155" s="2"/>
    </row>
    <row r="156" spans="1:22" x14ac:dyDescent="0.25">
      <c r="C156" s="1"/>
      <c r="E156" s="1"/>
      <c r="G156" s="2"/>
      <c r="I156" s="2"/>
      <c r="O156" s="2"/>
      <c r="P156" s="2"/>
    </row>
    <row r="157" spans="1:22" x14ac:dyDescent="0.25">
      <c r="C157" s="1"/>
      <c r="E157" s="1"/>
      <c r="G157" s="2"/>
      <c r="I157" s="2"/>
      <c r="O157" s="2"/>
      <c r="P157" s="2"/>
    </row>
    <row r="158" spans="1:22" x14ac:dyDescent="0.25">
      <c r="C158" s="1"/>
      <c r="E158" s="1"/>
      <c r="G158" s="2"/>
      <c r="I158" s="2"/>
      <c r="O158" s="2"/>
      <c r="P158" s="2"/>
    </row>
    <row r="159" spans="1:22" x14ac:dyDescent="0.25">
      <c r="C159" s="1"/>
      <c r="E159" s="1"/>
      <c r="G159" s="2"/>
      <c r="I159" s="2"/>
      <c r="O159" s="2"/>
      <c r="P159" s="2"/>
    </row>
    <row r="160" spans="1:22" x14ac:dyDescent="0.25">
      <c r="C160" s="1"/>
      <c r="E160" s="1"/>
      <c r="G160" s="2"/>
      <c r="I160" s="2"/>
      <c r="O160" s="2"/>
      <c r="P160" s="2"/>
    </row>
    <row r="161" spans="3:16" x14ac:dyDescent="0.25">
      <c r="C161" s="1"/>
      <c r="E161" s="1"/>
      <c r="G161" s="2"/>
      <c r="I161" s="2"/>
      <c r="O161" s="2"/>
      <c r="P161" s="2"/>
    </row>
    <row r="162" spans="3:16" x14ac:dyDescent="0.25">
      <c r="C162" s="1"/>
      <c r="E162" s="1"/>
      <c r="G162" s="2"/>
      <c r="I162" s="2"/>
      <c r="O162" s="2"/>
      <c r="P162" s="2"/>
    </row>
    <row r="163" spans="3:16" x14ac:dyDescent="0.25">
      <c r="C163" s="1"/>
      <c r="E163" s="1"/>
      <c r="G163" s="2"/>
      <c r="I163" s="2"/>
      <c r="O163" s="2"/>
      <c r="P163" s="2"/>
    </row>
    <row r="164" spans="3:16" x14ac:dyDescent="0.25">
      <c r="C164" s="1"/>
      <c r="E164" s="1"/>
      <c r="G164" s="2"/>
      <c r="I164" s="2"/>
      <c r="O164" s="2"/>
      <c r="P164" s="2"/>
    </row>
    <row r="165" spans="3:16" x14ac:dyDescent="0.25">
      <c r="C165" s="1"/>
      <c r="E165" s="1"/>
      <c r="G165" s="2"/>
      <c r="I165" s="2"/>
      <c r="O165" s="2"/>
      <c r="P165" s="2"/>
    </row>
    <row r="166" spans="3:16" x14ac:dyDescent="0.25">
      <c r="C166" s="1"/>
      <c r="E166" s="1"/>
      <c r="G166" s="2"/>
      <c r="I166" s="2"/>
      <c r="O166" s="2"/>
      <c r="P166" s="2"/>
    </row>
    <row r="167" spans="3:16" x14ac:dyDescent="0.25">
      <c r="C167" s="1"/>
      <c r="E167" s="1"/>
      <c r="G167" s="2"/>
      <c r="I167" s="2"/>
      <c r="O167" s="2"/>
      <c r="P167" s="2"/>
    </row>
    <row r="168" spans="3:16" x14ac:dyDescent="0.25">
      <c r="C168" s="1"/>
      <c r="E168" s="1"/>
      <c r="G168" s="2"/>
      <c r="I168" s="2"/>
      <c r="O168" s="2"/>
      <c r="P168" s="2"/>
    </row>
    <row r="169" spans="3:16" x14ac:dyDescent="0.25">
      <c r="C169" s="1"/>
      <c r="E169" s="1"/>
      <c r="G169" s="2"/>
      <c r="I169" s="2"/>
      <c r="O169" s="2"/>
      <c r="P169" s="2"/>
    </row>
    <row r="170" spans="3:16" x14ac:dyDescent="0.25">
      <c r="C170" s="1"/>
      <c r="E170" s="1"/>
      <c r="G170" s="2"/>
      <c r="I170" s="2"/>
      <c r="O170" s="2"/>
      <c r="P170" s="2"/>
    </row>
    <row r="171" spans="3:16" x14ac:dyDescent="0.25">
      <c r="C171" s="1"/>
      <c r="E171" s="1"/>
      <c r="G171" s="2"/>
      <c r="I171" s="2"/>
      <c r="O171" s="2"/>
      <c r="P171" s="2"/>
    </row>
    <row r="172" spans="3:16" x14ac:dyDescent="0.25">
      <c r="C172" s="1"/>
      <c r="E172" s="1"/>
      <c r="G172" s="2"/>
      <c r="I172" s="2"/>
      <c r="O172" s="2"/>
      <c r="P172" s="2"/>
    </row>
    <row r="173" spans="3:16" x14ac:dyDescent="0.25">
      <c r="C173" s="1"/>
      <c r="E173" s="1"/>
      <c r="G173" s="2"/>
      <c r="I173" s="2"/>
      <c r="O173" s="2"/>
      <c r="P173" s="2"/>
    </row>
    <row r="174" spans="3:16" x14ac:dyDescent="0.25">
      <c r="C174" s="1"/>
      <c r="E174" s="1"/>
      <c r="G174" s="2"/>
      <c r="I174" s="2"/>
      <c r="O174" s="2"/>
      <c r="P174" s="2"/>
    </row>
    <row r="175" spans="3:16" x14ac:dyDescent="0.25">
      <c r="C175" s="1"/>
      <c r="E175" s="1"/>
      <c r="G175" s="2"/>
      <c r="I175" s="2"/>
      <c r="O175" s="2"/>
      <c r="P175" s="2"/>
    </row>
    <row r="176" spans="3:16" x14ac:dyDescent="0.25">
      <c r="C176" s="1"/>
      <c r="E176" s="1"/>
      <c r="G176" s="2"/>
      <c r="I176" s="2"/>
      <c r="O176" s="2"/>
      <c r="P176" s="2"/>
    </row>
    <row r="177" spans="3:16" x14ac:dyDescent="0.25">
      <c r="C177" s="1"/>
      <c r="E177" s="1"/>
      <c r="G177" s="2"/>
      <c r="I177" s="2"/>
      <c r="O177" s="2"/>
      <c r="P177" s="2"/>
    </row>
    <row r="178" spans="3:16" x14ac:dyDescent="0.25">
      <c r="C178" s="1"/>
      <c r="E178" s="1"/>
      <c r="G178" s="2"/>
      <c r="I178" s="2"/>
      <c r="O178" s="2"/>
      <c r="P178" s="2"/>
    </row>
    <row r="179" spans="3:16" x14ac:dyDescent="0.25">
      <c r="C179" s="1"/>
      <c r="E179" s="1"/>
      <c r="G179" s="2"/>
      <c r="I179" s="2"/>
      <c r="O179" s="2"/>
      <c r="P179" s="2"/>
    </row>
    <row r="180" spans="3:16" x14ac:dyDescent="0.25">
      <c r="C180" s="1"/>
      <c r="E180" s="1"/>
      <c r="G180" s="2"/>
      <c r="I180" s="2"/>
      <c r="O180" s="2"/>
      <c r="P180" s="2"/>
    </row>
    <row r="181" spans="3:16" x14ac:dyDescent="0.25">
      <c r="C181" s="1"/>
      <c r="E181" s="1"/>
      <c r="G181" s="2"/>
      <c r="I181" s="2"/>
      <c r="O181" s="2"/>
      <c r="P181" s="2"/>
    </row>
    <row r="182" spans="3:16" x14ac:dyDescent="0.25">
      <c r="C182" s="1"/>
      <c r="E182" s="1"/>
      <c r="G182" s="2"/>
      <c r="I182" s="2"/>
      <c r="O182" s="2"/>
      <c r="P182" s="2"/>
    </row>
    <row r="183" spans="3:16" x14ac:dyDescent="0.25">
      <c r="C183" s="1"/>
      <c r="E183" s="1"/>
      <c r="G183" s="2"/>
      <c r="I183" s="2"/>
      <c r="O183" s="2"/>
      <c r="P183" s="2"/>
    </row>
    <row r="184" spans="3:16" x14ac:dyDescent="0.25">
      <c r="C184" s="1"/>
      <c r="E184" s="1"/>
      <c r="G184" s="2"/>
      <c r="I184" s="2"/>
      <c r="O184" s="2"/>
      <c r="P184" s="2"/>
    </row>
    <row r="185" spans="3:16" x14ac:dyDescent="0.25">
      <c r="C185" s="1"/>
      <c r="E185" s="1"/>
      <c r="G185" s="2"/>
      <c r="I185" s="2"/>
      <c r="O185" s="2"/>
      <c r="P185" s="2"/>
    </row>
    <row r="186" spans="3:16" x14ac:dyDescent="0.25">
      <c r="C186" s="1"/>
      <c r="E186" s="1"/>
      <c r="G186" s="2"/>
      <c r="I186" s="2"/>
      <c r="O186" s="2"/>
      <c r="P186" s="2"/>
    </row>
    <row r="187" spans="3:16" x14ac:dyDescent="0.25">
      <c r="C187" s="1"/>
      <c r="E187" s="1"/>
      <c r="G187" s="2"/>
      <c r="I187" s="2"/>
      <c r="O187" s="2"/>
      <c r="P187" s="2"/>
    </row>
    <row r="188" spans="3:16" x14ac:dyDescent="0.25">
      <c r="C188" s="1"/>
      <c r="E188" s="1"/>
      <c r="G188" s="2"/>
      <c r="I188" s="2"/>
      <c r="O188" s="2"/>
      <c r="P188" s="2"/>
    </row>
    <row r="189" spans="3:16" x14ac:dyDescent="0.25">
      <c r="C189" s="1"/>
      <c r="E189" s="1"/>
      <c r="G189" s="2"/>
      <c r="I189" s="2"/>
      <c r="O189" s="2"/>
      <c r="P189" s="2"/>
    </row>
    <row r="190" spans="3:16" x14ac:dyDescent="0.25">
      <c r="C190" s="1"/>
      <c r="E190" s="1"/>
      <c r="G190" s="2"/>
      <c r="I190" s="2"/>
      <c r="O190" s="2"/>
      <c r="P190" s="2"/>
    </row>
    <row r="191" spans="3:16" x14ac:dyDescent="0.25">
      <c r="C191" s="1"/>
      <c r="E191" s="1"/>
      <c r="G191" s="2"/>
      <c r="I191" s="2"/>
      <c r="O191" s="2"/>
      <c r="P191" s="2"/>
    </row>
    <row r="192" spans="3:16" x14ac:dyDescent="0.25">
      <c r="C192" s="1"/>
      <c r="E192" s="1"/>
      <c r="G192" s="2"/>
      <c r="I192" s="2"/>
      <c r="O192" s="2"/>
      <c r="P192" s="2"/>
    </row>
    <row r="193" spans="3:16" x14ac:dyDescent="0.25">
      <c r="C193" s="1"/>
      <c r="E193" s="1"/>
      <c r="G193" s="2"/>
      <c r="I193" s="2"/>
      <c r="O193" s="2"/>
      <c r="P193" s="2"/>
    </row>
    <row r="194" spans="3:16" x14ac:dyDescent="0.25">
      <c r="C194" s="1"/>
      <c r="E194" s="1"/>
      <c r="G194" s="2"/>
      <c r="I194" s="2"/>
      <c r="O194" s="2"/>
      <c r="P194" s="2"/>
    </row>
    <row r="195" spans="3:16" x14ac:dyDescent="0.25">
      <c r="C195" s="1"/>
      <c r="E195" s="1"/>
      <c r="G195" s="2"/>
      <c r="I195" s="2"/>
      <c r="O195" s="2"/>
      <c r="P195" s="2"/>
    </row>
    <row r="196" spans="3:16" x14ac:dyDescent="0.25">
      <c r="C196" s="1"/>
      <c r="E196" s="1"/>
      <c r="G196" s="2"/>
      <c r="I196" s="2"/>
      <c r="O196" s="2"/>
      <c r="P196" s="2"/>
    </row>
    <row r="197" spans="3:16" x14ac:dyDescent="0.25">
      <c r="C197" s="1"/>
      <c r="E197" s="1"/>
      <c r="G197" s="2"/>
      <c r="I197" s="2"/>
      <c r="O197" s="2"/>
      <c r="P197" s="2"/>
    </row>
    <row r="198" spans="3:16" x14ac:dyDescent="0.25">
      <c r="C198" s="1"/>
      <c r="E198" s="1"/>
      <c r="G198" s="2"/>
      <c r="I198" s="2"/>
      <c r="O198" s="2"/>
      <c r="P198" s="2"/>
    </row>
    <row r="199" spans="3:16" x14ac:dyDescent="0.25">
      <c r="C199" s="1"/>
      <c r="E199" s="1"/>
      <c r="G199" s="2"/>
      <c r="I199" s="2"/>
      <c r="O199" s="2"/>
      <c r="P199" s="2"/>
    </row>
    <row r="200" spans="3:16" x14ac:dyDescent="0.25">
      <c r="C200" s="1"/>
      <c r="E200" s="1"/>
      <c r="G200" s="2"/>
      <c r="I200" s="2"/>
      <c r="O200" s="2"/>
      <c r="P200" s="2"/>
    </row>
    <row r="201" spans="3:16" x14ac:dyDescent="0.25">
      <c r="C201" s="1"/>
      <c r="E201" s="1"/>
      <c r="G201" s="2"/>
      <c r="I201" s="2"/>
      <c r="O201" s="2"/>
      <c r="P201" s="2"/>
    </row>
  </sheetData>
  <conditionalFormatting sqref="AM21:AM38">
    <cfRule type="cellIs" dxfId="3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M199"/>
  <sheetViews>
    <sheetView zoomScaleNormal="100" workbookViewId="0"/>
  </sheetViews>
  <sheetFormatPr defaultRowHeight="15" x14ac:dyDescent="0.25"/>
  <cols>
    <col min="1" max="1" width="16.28515625" bestFit="1" customWidth="1"/>
    <col min="2" max="2" width="8.140625" bestFit="1" customWidth="1"/>
    <col min="3" max="3" width="10.42578125" bestFit="1" customWidth="1"/>
    <col min="4" max="4" width="9" bestFit="1" customWidth="1"/>
    <col min="5" max="5" width="10.42578125" bestFit="1" customWidth="1"/>
    <col min="6" max="6" width="9" bestFit="1" customWidth="1"/>
    <col min="7" max="7" width="7.140625" bestFit="1" customWidth="1"/>
    <col min="8" max="8" width="11" bestFit="1" customWidth="1"/>
    <col min="9" max="9" width="8" bestFit="1" customWidth="1"/>
    <col min="10" max="10" width="6.85546875" bestFit="1" customWidth="1"/>
    <col min="11" max="11" width="13.7109375" bestFit="1" customWidth="1"/>
    <col min="12" max="12" width="12" bestFit="1" customWidth="1"/>
    <col min="13" max="13" width="6.140625" bestFit="1" customWidth="1"/>
    <col min="14" max="14" width="10.7109375" bestFit="1" customWidth="1"/>
    <col min="15" max="15" width="6.85546875" bestFit="1" customWidth="1"/>
    <col min="16" max="16" width="7.140625" bestFit="1" customWidth="1"/>
    <col min="17" max="17" width="11.85546875" bestFit="1" customWidth="1"/>
    <col min="25" max="25" width="16.42578125" customWidth="1"/>
    <col min="26" max="26" width="16.28515625" bestFit="1" customWidth="1"/>
    <col min="27" max="28" width="6.140625" customWidth="1"/>
    <col min="29" max="29" width="5.85546875" customWidth="1"/>
    <col min="30" max="32" width="6.140625" customWidth="1"/>
    <col min="33" max="33" width="5.85546875" customWidth="1"/>
    <col min="34" max="34" width="6.140625" customWidth="1"/>
    <col min="35" max="36" width="5.85546875" customWidth="1"/>
    <col min="37" max="37" width="6.140625" customWidth="1"/>
    <col min="38" max="38" width="11.28515625" bestFit="1" customWidth="1"/>
  </cols>
  <sheetData>
    <row r="1" spans="1:26" x14ac:dyDescent="0.25">
      <c r="A1" s="1" t="s">
        <v>0</v>
      </c>
      <c r="B1" s="3"/>
      <c r="C1" s="4">
        <v>1.5E-3</v>
      </c>
      <c r="D1" s="4">
        <v>5.0000000000000001E-3</v>
      </c>
      <c r="E1" s="3"/>
      <c r="F1" s="3"/>
      <c r="G1" s="3"/>
      <c r="H1" s="5">
        <v>40544</v>
      </c>
      <c r="I1" s="3">
        <f>YEAR(H1)</f>
        <v>2011</v>
      </c>
      <c r="J1" s="5">
        <f>INDEX(C21:C1048576,MATCH(I1,V21:V1048575,0),1)</f>
        <v>40812</v>
      </c>
      <c r="K1" s="4"/>
      <c r="L1" s="5">
        <f>MAX(E21:E1048576)</f>
        <v>46041</v>
      </c>
      <c r="M1" s="3"/>
    </row>
    <row r="2" spans="1:26" ht="15.75" thickBot="1" x14ac:dyDescent="0.3">
      <c r="A2" s="3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  <c r="N2" s="2"/>
    </row>
    <row r="3" spans="1:26" ht="45" x14ac:dyDescent="0.25">
      <c r="A3" s="7" t="s">
        <v>6</v>
      </c>
      <c r="B3" s="8">
        <f>SUM(G21:G1048576)</f>
        <v>2.645</v>
      </c>
      <c r="C3" s="8">
        <f>SUM(I21:I1048576)</f>
        <v>0.15150000000000011</v>
      </c>
      <c r="D3" s="8">
        <f>SUM(J21:J1048576)</f>
        <v>0.63466666666666638</v>
      </c>
      <c r="E3" s="8">
        <f>SUM(K21:K1048576)</f>
        <v>1.8588333333333331</v>
      </c>
      <c r="F3" s="9">
        <f>SUM(H21:H1048576)</f>
        <v>3808</v>
      </c>
      <c r="G3" s="3"/>
      <c r="H3" s="7" t="s">
        <v>6</v>
      </c>
      <c r="I3" s="8">
        <f t="array" ref="I3">SUM(IF(H$1&lt;=C21:C1048576,G21:G1048576,""))</f>
        <v>1.7112000000000001</v>
      </c>
      <c r="J3" s="8">
        <f t="array" ref="J3">SUM(IF(H$1&lt;=C21:C1048576,I21:I1048576,""))</f>
        <v>0.12900000000000009</v>
      </c>
      <c r="K3" s="8">
        <f t="array" ref="K3">SUM(IF(H$1&lt;=C21:C1048576,J21:J1048576,""))</f>
        <v>0.52866666666666684</v>
      </c>
      <c r="L3" s="8">
        <f t="array" ref="L3">SUM(IF(H$1&lt;=C21:C1048576,K21:K1048576,""))</f>
        <v>1.0535333333333332</v>
      </c>
      <c r="M3" s="10">
        <f t="array" ref="M3">SUM(IF(H$1&lt;=C21:C1048576,H21:H1048576,""))</f>
        <v>3172</v>
      </c>
      <c r="N3" s="2"/>
      <c r="O3" s="11" t="s">
        <v>7</v>
      </c>
      <c r="P3" s="12" t="s">
        <v>8</v>
      </c>
      <c r="Q3" s="12" t="s">
        <v>9</v>
      </c>
      <c r="R3" s="12" t="s">
        <v>10</v>
      </c>
      <c r="S3" s="13" t="s">
        <v>11</v>
      </c>
      <c r="T3" s="13" t="s">
        <v>12</v>
      </c>
      <c r="U3" s="13" t="s">
        <v>13</v>
      </c>
      <c r="V3" s="14" t="s">
        <v>14</v>
      </c>
      <c r="W3" s="14" t="s">
        <v>15</v>
      </c>
      <c r="X3" s="14" t="s">
        <v>16</v>
      </c>
      <c r="Y3" s="12" t="s">
        <v>17</v>
      </c>
      <c r="Z3" s="15" t="s">
        <v>18</v>
      </c>
    </row>
    <row r="4" spans="1:26" ht="15.75" x14ac:dyDescent="0.25">
      <c r="A4" s="7" t="s">
        <v>19</v>
      </c>
      <c r="B4" s="8">
        <f>AVERAGE(G21:G1048576)</f>
        <v>2.6188118811881187E-2</v>
      </c>
      <c r="C4" s="9"/>
      <c r="D4" s="9"/>
      <c r="E4" s="8">
        <f>AVERAGE(K21:K1048576)</f>
        <v>1.8404290429042902E-2</v>
      </c>
      <c r="F4" s="16">
        <f>AVERAGE(H21:H1048576)</f>
        <v>37.702970297029701</v>
      </c>
      <c r="G4" s="3"/>
      <c r="H4" s="7" t="s">
        <v>19</v>
      </c>
      <c r="I4" s="8">
        <f t="array" ref="I4">AVERAGE(IF(H$1&lt;=C21:C1048576,G21:G1048576,""))</f>
        <v>1.9897674418604652E-2</v>
      </c>
      <c r="J4" s="9"/>
      <c r="K4" s="9"/>
      <c r="L4" s="8">
        <f t="array" ref="L4">AVERAGE(IF(H$1&lt;=C21:C1048576,K21:K1048576,""))</f>
        <v>1.2250387596899224E-2</v>
      </c>
      <c r="M4" s="16">
        <f t="array" ref="M4">AVERAGE(IF(H$1&lt;=C21:C1048576,H21:H1048576,""))</f>
        <v>36.883720930232556</v>
      </c>
      <c r="N4" s="2"/>
      <c r="O4" s="17" t="s">
        <v>20</v>
      </c>
      <c r="P4" s="18">
        <v>39447</v>
      </c>
      <c r="Q4" s="18">
        <v>45869</v>
      </c>
      <c r="R4" s="19">
        <f t="array" ref="R4">COUNT(IF((P4&lt;=$C$21:$C$1048576)*(Q4&gt;=$E$21:$E$1048576),$G$21:$G$1048576,""))</f>
        <v>98</v>
      </c>
      <c r="S4" s="20">
        <f t="array" ref="S4">SUM(IF((P4&lt;=$C$21:$C$1048576)*(Q4&gt;=$E$21:$E$1048576),$G$21:$G$1048576,""))</f>
        <v>2.6199000000000003</v>
      </c>
      <c r="T4" s="20">
        <f t="array" ref="T4">AVERAGE(IF((P4&lt;=$C$21:$C$1048576)*(Q4&gt;=$E$21:$E$1048576),$G$21:$G$1048576,""))</f>
        <v>2.6733673469387757E-2</v>
      </c>
      <c r="U4" s="20">
        <f>T4/Z4</f>
        <v>2.1755227334603871E-2</v>
      </c>
      <c r="V4" s="20">
        <f t="array" ref="V4">SUM(IF((P4&lt;=$C$21:$C$1048576)*(Q4&gt;=$E$21:$E$1048576),$K$21:$K$1048576,""))</f>
        <v>1.8607333333333331</v>
      </c>
      <c r="W4" s="20">
        <f t="array" ref="W4">AVERAGE(IF((P4&lt;=$C$21:$C$1048576)*(Q4&gt;=$E$21:$E$1048576),$K$21:$K$1048576,""))</f>
        <v>1.898707482993197E-2</v>
      </c>
      <c r="X4" s="20">
        <f>W4/Z4</f>
        <v>1.5451229694164625E-2</v>
      </c>
      <c r="Y4" s="21">
        <f t="array" ref="Y4">AVERAGE(IF((P4&lt;=$C$21:$C$1048576)*(Q4&gt;=$E$21:$E$1048576),$H$21:$H$1048576,""))</f>
        <v>37.479591836734691</v>
      </c>
      <c r="Z4" s="22">
        <f>Y4/30.5</f>
        <v>1.2288390766142521</v>
      </c>
    </row>
    <row r="5" spans="1:26" ht="15.75" x14ac:dyDescent="0.25">
      <c r="A5" s="3" t="s">
        <v>21</v>
      </c>
      <c r="B5" s="23">
        <f>COUNT(G21:G1048576)</f>
        <v>101</v>
      </c>
      <c r="C5" s="23"/>
      <c r="D5" s="23"/>
      <c r="E5" s="23">
        <f>COUNT(K21:K1048576)</f>
        <v>101</v>
      </c>
      <c r="F5" s="24">
        <f>F4/30.5</f>
        <v>1.2361629605583508</v>
      </c>
      <c r="G5" s="3"/>
      <c r="H5" s="3" t="s">
        <v>21</v>
      </c>
      <c r="I5" s="23">
        <f t="array" ref="I5">COUNT(IF(H$1&lt;=C21:C1048576,G21:G1048576,""))</f>
        <v>86</v>
      </c>
      <c r="J5" s="23"/>
      <c r="K5" s="23"/>
      <c r="L5" s="23">
        <f t="array" ref="L5">COUNT(IF(H$1&lt;=C21:C1048576,K21:K1048576,""))</f>
        <v>86</v>
      </c>
      <c r="M5" s="24">
        <f>M4/30.5</f>
        <v>1.2093023255813953</v>
      </c>
      <c r="N5" s="2"/>
      <c r="O5" s="17" t="s">
        <v>22</v>
      </c>
      <c r="P5" s="18">
        <v>39447</v>
      </c>
      <c r="Q5" s="18">
        <v>40543</v>
      </c>
      <c r="R5" s="19">
        <f t="array" ref="R5">COUNT(IF((P5&lt;=$C$21:$C$1048576)*(Q5&gt;=$E$21:$E$1048576),$G$21:$G$1048576,""))</f>
        <v>15</v>
      </c>
      <c r="S5" s="20">
        <f t="array" ref="S5">SUM(IF((P5&lt;=$C$21:$C$1048576)*(Q5&gt;=$E$21:$E$1048576),$G$21:$G$1048576,""))</f>
        <v>0.93379999999999996</v>
      </c>
      <c r="T5" s="20">
        <f t="array" ref="T5">AVERAGE(IF((P5&lt;=$C$21:$C$1048576)*(Q5&gt;=$E$21:$E$1048576),$G$21:$G$1048576,""))</f>
        <v>6.2253333333333334E-2</v>
      </c>
      <c r="U5" s="20">
        <f t="shared" ref="U5:U7" si="0">T5/Z5</f>
        <v>4.4781289308176098E-2</v>
      </c>
      <c r="V5" s="20">
        <f t="array" ref="V5">SUM(IF((P5&lt;=$C$21:$C$1048576)*(Q5&gt;=$E$21:$E$1048576),$K$21:$K$1048576,""))</f>
        <v>0.80530000000000002</v>
      </c>
      <c r="W5" s="20">
        <f t="array" ref="W5">AVERAGE(IF((P5&lt;=$C$21:$C$1048576)*(Q5&gt;=$E$21:$E$1048576),$K$21:$K$1048576,""))</f>
        <v>5.3686666666666667E-2</v>
      </c>
      <c r="X5" s="20">
        <f t="shared" ref="X5:X7" si="1">W5/Z5</f>
        <v>3.8618946540880501E-2</v>
      </c>
      <c r="Y5" s="21">
        <f t="array" ref="Y5">AVERAGE(IF((P5&lt;=$C$21:$C$1048576)*(Q5&gt;=$E$21:$E$1048576),$H$21:$H$1048576,""))</f>
        <v>42.4</v>
      </c>
      <c r="Z5" s="22">
        <f t="shared" ref="Z5:Z7" si="2">Y5/30.5</f>
        <v>1.3901639344262295</v>
      </c>
    </row>
    <row r="6" spans="1:26" ht="15.75" x14ac:dyDescent="0.25">
      <c r="A6" s="7" t="s">
        <v>23</v>
      </c>
      <c r="B6" s="25">
        <f>COUNTIF(G21:G1048576,"&gt;0")/B5</f>
        <v>0.50495049504950495</v>
      </c>
      <c r="C6" s="9"/>
      <c r="D6" s="9"/>
      <c r="E6" s="25">
        <f>COUNTIF(K21:K1048576,"&gt;0")/E5</f>
        <v>0.43564356435643564</v>
      </c>
      <c r="F6" s="9"/>
      <c r="G6" s="3"/>
      <c r="H6" s="7" t="s">
        <v>23</v>
      </c>
      <c r="I6" s="25">
        <f t="array" ref="I6">COUNT(IF((H$1&lt;=C21:C1048576)*(0&lt;G21:G1048576),G21:G1048576,""))/I5</f>
        <v>0.48837209302325579</v>
      </c>
      <c r="J6" s="9"/>
      <c r="K6" s="9"/>
      <c r="L6" s="25">
        <f t="array" ref="L6">COUNT(IF((H$1&lt;=C21:C1048576)*(0&lt;K21:K1048576),K21:K1048576,""))/L5</f>
        <v>0.41860465116279072</v>
      </c>
      <c r="M6" s="9"/>
      <c r="N6" s="2"/>
      <c r="O6" s="17" t="s">
        <v>24</v>
      </c>
      <c r="P6" s="18">
        <v>40543</v>
      </c>
      <c r="Q6" s="18">
        <v>43830</v>
      </c>
      <c r="R6" s="19">
        <f t="array" ref="R6">COUNT(IF((P6&lt;=$C$21:$C$1048576)*(Q6&gt;=$E$21:$E$1048576),$G$21:$G$1048576,""))</f>
        <v>45</v>
      </c>
      <c r="S6" s="20">
        <f t="array" ref="S6">SUM(IF((P6&lt;=$C$21:$C$1048576)*(Q6&gt;=$E$21:$E$1048576),$G$21:$G$1048576,""))</f>
        <v>0.67689999999999995</v>
      </c>
      <c r="T6" s="20">
        <f t="array" ref="T6">AVERAGE(IF((P6&lt;=$C$21:$C$1048576)*(Q6&gt;=$E$21:$E$1048576),$G$21:$G$1048576,""))</f>
        <v>1.5042222222222221E-2</v>
      </c>
      <c r="U6" s="20">
        <f t="shared" si="0"/>
        <v>1.2992731277533039E-2</v>
      </c>
      <c r="V6" s="20">
        <f t="array" ref="V6">SUM(IF((P6&lt;=$C$21:$C$1048576)*(Q6&gt;=$E$21:$E$1048576),$K$21:$K$1048576,""))</f>
        <v>0.34456666666666674</v>
      </c>
      <c r="W6" s="20">
        <f t="array" ref="W6">AVERAGE(IF((P6&lt;=$C$21:$C$1048576)*(Q6&gt;=$E$21:$E$1048576),$K$21:$K$1048576,""))</f>
        <v>7.6570370370370386E-3</v>
      </c>
      <c r="X6" s="20">
        <f t="shared" si="1"/>
        <v>6.6137717642122942E-3</v>
      </c>
      <c r="Y6" s="21">
        <f t="array" ref="Y6">AVERAGE(IF((P6&lt;=$C$21:$C$1048576)*(Q6&gt;=$E$21:$E$1048576),$H$21:$H$1048576,""))</f>
        <v>35.31111111111111</v>
      </c>
      <c r="Z6" s="22">
        <f t="shared" si="2"/>
        <v>1.1577413479052823</v>
      </c>
    </row>
    <row r="7" spans="1:26" ht="16.5" thickBot="1" x14ac:dyDescent="0.3">
      <c r="A7" s="3" t="s">
        <v>25</v>
      </c>
      <c r="B7" s="26">
        <f>AVERAGEIF(G21:G1048576,"&gt;0",G21:G1048576)</f>
        <v>6.8611764705882358E-2</v>
      </c>
      <c r="C7" s="23"/>
      <c r="D7" s="23"/>
      <c r="E7" s="26">
        <f>AVERAGEIF(K21:K1048576,"&gt;0",K21:K1048576)</f>
        <v>6.5761363636363659E-2</v>
      </c>
      <c r="F7" s="23"/>
      <c r="G7" s="3"/>
      <c r="H7" s="3" t="s">
        <v>25</v>
      </c>
      <c r="I7" s="26">
        <f t="array" ref="I7">AVERAGE(IF((H$1&lt;=C21:C1048576)*(0&lt;G21:G1048576),G21:G1048576,""))</f>
        <v>5.7173809523809523E-2</v>
      </c>
      <c r="J7" s="23"/>
      <c r="K7" s="23"/>
      <c r="L7" s="26">
        <f t="array" ref="L7">AVERAGE(IF((H$1&lt;=C21:C1048576)*(0&lt;K21:K1048576),K21:K1048576,""))</f>
        <v>5.268425925925925E-2</v>
      </c>
      <c r="M7" s="23"/>
      <c r="N7" s="2"/>
      <c r="O7" s="27" t="s">
        <v>26</v>
      </c>
      <c r="P7" s="28">
        <v>40543</v>
      </c>
      <c r="Q7" s="28">
        <v>45869</v>
      </c>
      <c r="R7" s="29">
        <f t="array" ref="R7">COUNT(IF((P7&lt;=$C$21:$C$1048576)*(Q7&gt;=$E$21:$E$1048576),$G$21:$G$1048576,""))</f>
        <v>83</v>
      </c>
      <c r="S7" s="30">
        <f t="array" ref="S7">SUM(IF((P7&lt;=$C$21:$C$1048576)*(Q7&gt;=$E$21:$E$1048576),$G$21:$G$1048576,""))</f>
        <v>1.6860999999999999</v>
      </c>
      <c r="T7" s="30">
        <f t="array" ref="T7">AVERAGE(IF((P7&lt;=$C$21:$C$1048576)*(Q7&gt;=$E$21:$E$1048576),$G$21:$G$1048576,""))</f>
        <v>2.0314457831325301E-2</v>
      </c>
      <c r="U7" s="30">
        <f t="shared" si="0"/>
        <v>1.6933174185051039E-2</v>
      </c>
      <c r="V7" s="30">
        <f t="array" ref="V7">SUM(IF((P7&lt;=$C$21:$C$1048576)*(Q7&gt;=$E$21:$E$1048576),$K$21:$K$1048576,""))</f>
        <v>1.0554333333333332</v>
      </c>
      <c r="W7" s="30">
        <f t="array" ref="W7">AVERAGE(IF((P7&lt;=$C$21:$C$1048576)*(Q7&gt;=$E$21:$E$1048576),$K$21:$K$1048576,""))</f>
        <v>1.2716064257028111E-2</v>
      </c>
      <c r="X7" s="30">
        <f t="shared" si="1"/>
        <v>1.0599511579409505E-2</v>
      </c>
      <c r="Y7" s="31">
        <f t="array" ref="Y7">AVERAGE(IF((P7&lt;=$C$21:$C$1048576)*(Q7&gt;=$E$21:$E$1048576),$H$21:$H$1048576,""))</f>
        <v>36.590361445783131</v>
      </c>
      <c r="Z7" s="32">
        <f t="shared" si="2"/>
        <v>1.1996839818289551</v>
      </c>
    </row>
    <row r="8" spans="1:26" x14ac:dyDescent="0.25">
      <c r="A8" s="3" t="s">
        <v>27</v>
      </c>
      <c r="B8" s="26">
        <f>AVERAGEIF(G21:G1048576,"&lt;0",G21:G1048576)</f>
        <v>-1.7083999999999998E-2</v>
      </c>
      <c r="C8" s="23"/>
      <c r="D8" s="23"/>
      <c r="E8" s="26">
        <f>AVERAGEIF(K21:K1048576,"&lt;0",K21:K1048576)</f>
        <v>-1.8152046783625725E-2</v>
      </c>
      <c r="F8" s="23"/>
      <c r="G8" s="3"/>
      <c r="H8" s="3" t="s">
        <v>27</v>
      </c>
      <c r="I8" s="26">
        <f t="array" ref="I8">AVERAGE(IF((H$1&lt;=C21:C1048576)*(0&gt;G21:G1048576),G21:G1048576,""))</f>
        <v>-1.5684090909090908E-2</v>
      </c>
      <c r="J8" s="23"/>
      <c r="K8" s="23"/>
      <c r="L8" s="26">
        <f t="array" ref="L8">AVERAGE(IF((H$1&lt;=C21:C1048576)*(0&gt;K21:K1048576),K21:K1048576,""))</f>
        <v>-1.6861999999999999E-2</v>
      </c>
      <c r="M8" s="23"/>
      <c r="N8" s="2"/>
    </row>
    <row r="9" spans="1:26" x14ac:dyDescent="0.25">
      <c r="A9" s="3" t="s">
        <v>28</v>
      </c>
      <c r="B9" s="33">
        <f>MAX(G21:G1048576)</f>
        <v>0.53190000000000004</v>
      </c>
      <c r="C9" s="23"/>
      <c r="D9" s="23"/>
      <c r="E9" s="33">
        <f>MAX(K21:K501)</f>
        <v>0.51123333333333332</v>
      </c>
      <c r="F9" s="23"/>
      <c r="G9" s="3"/>
      <c r="H9" s="3" t="s">
        <v>28</v>
      </c>
      <c r="I9" s="33">
        <f t="array" ref="I9">MAX(IF(H$1&lt;=C21:C1048576,G21:G1048576,""))</f>
        <v>0.23069999999999999</v>
      </c>
      <c r="J9" s="23"/>
      <c r="K9" s="23"/>
      <c r="L9" s="33">
        <f t="array" ref="L9">MAX(IF(H$1&lt;=C21:C1048576,K21:K1048576,""))</f>
        <v>0.20886666666666664</v>
      </c>
      <c r="M9" s="23"/>
      <c r="N9" s="2"/>
    </row>
    <row r="10" spans="1:26" x14ac:dyDescent="0.25">
      <c r="A10" s="3" t="s">
        <v>29</v>
      </c>
      <c r="B10" s="33">
        <f>MIN(G21:G1048576)</f>
        <v>-6.93E-2</v>
      </c>
      <c r="C10" s="23"/>
      <c r="D10" s="23"/>
      <c r="E10" s="33">
        <f>MIN(K21:K501)</f>
        <v>-7.2966666666666666E-2</v>
      </c>
      <c r="F10" s="23"/>
      <c r="G10" s="3"/>
      <c r="H10" s="3" t="s">
        <v>29</v>
      </c>
      <c r="I10" s="33">
        <f t="array" ref="I10">MIN(IF(H$1&lt;=C21:C1048576,G21:G1048576,""))</f>
        <v>-5.9299999999999999E-2</v>
      </c>
      <c r="J10" s="23"/>
      <c r="K10" s="23"/>
      <c r="L10" s="33">
        <f t="array" ref="L10">MIN(IF(H$1&lt;=C21:C1048576,K21:K1048576,""))</f>
        <v>-6.0966666666666662E-2</v>
      </c>
      <c r="M10" s="23"/>
      <c r="N10" s="2"/>
    </row>
    <row r="11" spans="1:26" x14ac:dyDescent="0.25">
      <c r="A11" s="7" t="s">
        <v>30</v>
      </c>
      <c r="B11" s="16">
        <f>((B6*B7)-((1-B6)*ABS(B8)))/(ABS(B8))</f>
        <v>1.532903231788878</v>
      </c>
      <c r="C11" s="9"/>
      <c r="D11" s="9"/>
      <c r="E11" s="16">
        <f>((E6*E7)-((1-E6)*ABS(E8)))/(ABS(E8))</f>
        <v>1.0138961544350322</v>
      </c>
      <c r="F11" s="9"/>
      <c r="G11" s="3"/>
      <c r="H11" s="7" t="s">
        <v>30</v>
      </c>
      <c r="I11" s="16">
        <f>((I6*I7)-((1-I6)*ABS(I8)))/(ABS(I8))</f>
        <v>1.268653346498485</v>
      </c>
      <c r="J11" s="9"/>
      <c r="K11" s="9"/>
      <c r="L11" s="16">
        <f>((L6*L7)-((1-L6)*ABS(L8)))/(ABS(L8))</f>
        <v>0.72650857531130497</v>
      </c>
      <c r="M11" s="9"/>
      <c r="N11" s="2"/>
    </row>
    <row r="12" spans="1:26" x14ac:dyDescent="0.25">
      <c r="A12" s="3" t="s">
        <v>31</v>
      </c>
      <c r="B12" s="33">
        <f>B4/F4*30</f>
        <v>2.0837710084033612E-2</v>
      </c>
      <c r="C12" s="23"/>
      <c r="D12" s="23"/>
      <c r="E12" s="33">
        <f>E4/F4*30</f>
        <v>1.4644170168067225E-2</v>
      </c>
      <c r="F12" s="23"/>
      <c r="G12" s="3"/>
      <c r="H12" s="3" t="s">
        <v>31</v>
      </c>
      <c r="I12" s="33">
        <f>I4/M4*30</f>
        <v>1.6184110970996219E-2</v>
      </c>
      <c r="J12" s="23"/>
      <c r="K12" s="23"/>
      <c r="L12" s="33">
        <f>L4/M4*30</f>
        <v>9.9640605296343002E-3</v>
      </c>
      <c r="M12" s="23"/>
      <c r="N12" s="2"/>
    </row>
    <row r="13" spans="1:26" x14ac:dyDescent="0.25">
      <c r="A13" s="3" t="s">
        <v>32</v>
      </c>
      <c r="B13" s="34">
        <f>ABS(B7/B8)</f>
        <v>4.0161416943269943</v>
      </c>
      <c r="C13" s="23"/>
      <c r="D13" s="23"/>
      <c r="E13" s="34">
        <f>ABS(E7/E8)</f>
        <v>3.6228070817713238</v>
      </c>
      <c r="F13" s="23"/>
      <c r="G13" s="3"/>
      <c r="H13" s="3" t="s">
        <v>32</v>
      </c>
      <c r="I13" s="34">
        <f>ABS(I7/I8)</f>
        <v>3.6453378047349938</v>
      </c>
      <c r="J13" s="23"/>
      <c r="K13" s="23"/>
      <c r="L13" s="34">
        <f>ABS(L7/L8)</f>
        <v>3.1244371521325616</v>
      </c>
      <c r="M13" s="23"/>
      <c r="N13" s="2"/>
    </row>
    <row r="14" spans="1:26" x14ac:dyDescent="0.25">
      <c r="A14" s="3" t="s">
        <v>33</v>
      </c>
      <c r="B14" s="35">
        <f>(INDEX($L$20:$L$1048576,MATCH(MAX($E$20:$E$1048576),$E$20:$E$1048576,0),1)/100)^(1/(((MAX(E20:E1048573)-MIN(C20:C1048576))/365)))-1</f>
        <v>0.14632906548480284</v>
      </c>
      <c r="C14" s="23"/>
      <c r="D14" s="23"/>
      <c r="E14" s="35">
        <f>(INDEX($Q$20:$Q$1048576,MATCH(MAX($E$20:$E$1048576),$E$20:$E$1048576,0),1)/100)^(1/(((MAX(E20:E1048576)-MIN(C20:C1048576))/365)))-1</f>
        <v>9.8503996472226962E-2</v>
      </c>
      <c r="F14" s="23"/>
      <c r="G14" s="3"/>
      <c r="H14" s="3" t="s">
        <v>33</v>
      </c>
      <c r="I14" s="35">
        <f>(INDEX(L20:L1048573,MATCH(L1,E20:E1048573,0),1)/INDEX(L20:L1048573,MATCH(J1,C20:C1048573,0)-1,1))^(1/(((MAX(E20:E1048573)-J1)/365)))-1</f>
        <v>0.11457454251633181</v>
      </c>
      <c r="J14" s="23"/>
      <c r="K14" s="23"/>
      <c r="L14" s="35">
        <f>(INDEX(Q20:Q1048573,MATCH(L1,E20:E1048573,0),1)/INDEX(Q20:Q1048573,MATCH(J1,C20:C1048573,0)-1,1))^(1/(((MAX(E20:E1048573)-J1)/365)))-1</f>
        <v>6.7532064303493344E-2</v>
      </c>
      <c r="M14" s="23"/>
      <c r="N14" s="2"/>
    </row>
    <row r="15" spans="1:26" x14ac:dyDescent="0.25">
      <c r="A15" t="s">
        <v>34</v>
      </c>
      <c r="B15" s="35">
        <f>MIN($O$20:$O$1048576)</f>
        <v>-0.10679235602800001</v>
      </c>
      <c r="E15" s="35">
        <f>MIN($T$20:$T$1048576)</f>
        <v>-0.11646325195318522</v>
      </c>
      <c r="H15" t="s">
        <v>34</v>
      </c>
      <c r="I15" s="35">
        <f t="array" ref="I15">MIN(IF(H$1&lt;=C21:C1048576,O21:O1048576,""))</f>
        <v>-8.7834793488085386E-2</v>
      </c>
      <c r="L15" s="35">
        <f t="array" ref="L15">MIN(IF(J$1&lt;=C21:C1048576,T20:T1048575,""))</f>
        <v>-0.11159534642972825</v>
      </c>
      <c r="N15" s="2"/>
    </row>
    <row r="16" spans="1:26" x14ac:dyDescent="0.25">
      <c r="A16" t="s">
        <v>35</v>
      </c>
      <c r="B16" s="36">
        <f>ABS(B14/B15)</f>
        <v>1.3702204064721324</v>
      </c>
      <c r="E16" s="36">
        <f>ABS(E14/E15)</f>
        <v>0.84579465900387751</v>
      </c>
      <c r="H16" t="s">
        <v>35</v>
      </c>
      <c r="I16" s="36">
        <f>ABS(I14/I15)</f>
        <v>1.3044323094113452</v>
      </c>
      <c r="L16" s="36">
        <f>ABS(L14/L15)</f>
        <v>0.60515125822041671</v>
      </c>
      <c r="N16" s="2"/>
    </row>
    <row r="17" spans="1:39" x14ac:dyDescent="0.25">
      <c r="C17" s="1"/>
      <c r="E17" s="1"/>
      <c r="G17" s="2"/>
      <c r="I17" s="2"/>
      <c r="O17" s="2"/>
      <c r="P17" s="2"/>
    </row>
    <row r="18" spans="1:39" x14ac:dyDescent="0.25">
      <c r="C18" s="1"/>
      <c r="E18" s="1"/>
      <c r="G18" s="2"/>
      <c r="M18" t="s">
        <v>36</v>
      </c>
      <c r="R18" t="s">
        <v>37</v>
      </c>
    </row>
    <row r="19" spans="1:39" x14ac:dyDescent="0.25">
      <c r="C19" s="1"/>
      <c r="E19" s="1"/>
      <c r="G19" s="2"/>
      <c r="L19" t="s">
        <v>38</v>
      </c>
      <c r="M19" t="s">
        <v>39</v>
      </c>
      <c r="N19" t="s">
        <v>34</v>
      </c>
      <c r="O19" t="s">
        <v>40</v>
      </c>
      <c r="Q19" t="s">
        <v>38</v>
      </c>
      <c r="R19" t="s">
        <v>39</v>
      </c>
      <c r="S19" t="s">
        <v>34</v>
      </c>
      <c r="T19" t="s">
        <v>40</v>
      </c>
      <c r="U19" t="s">
        <v>41</v>
      </c>
      <c r="V19" t="s">
        <v>42</v>
      </c>
      <c r="Y19" s="45" t="s">
        <v>99</v>
      </c>
      <c r="Z19" s="45" t="s">
        <v>54</v>
      </c>
    </row>
    <row r="20" spans="1:39" x14ac:dyDescent="0.25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s="37" t="s">
        <v>5</v>
      </c>
      <c r="I20" s="23" t="s">
        <v>43</v>
      </c>
      <c r="J20" s="38" t="s">
        <v>3</v>
      </c>
      <c r="K20" s="38" t="s">
        <v>44</v>
      </c>
      <c r="L20">
        <v>100</v>
      </c>
      <c r="M20">
        <f t="shared" ref="M20:M23" si="3">MAX(L20,M19)</f>
        <v>100</v>
      </c>
      <c r="N20" t="str">
        <f t="shared" ref="N20:N23" si="4">IF(M20&gt;L20,L20-M20,"")</f>
        <v/>
      </c>
      <c r="O20" s="39"/>
      <c r="Q20">
        <v>100</v>
      </c>
      <c r="R20">
        <f t="shared" ref="R20:R23" si="5">MAX(Q20,R19)</f>
        <v>100</v>
      </c>
      <c r="S20" t="str">
        <f t="shared" ref="S20:S23" si="6">IF(R20&gt;Q20,Q20-R20,"")</f>
        <v/>
      </c>
      <c r="T20" s="39"/>
      <c r="Y20" s="45" t="s">
        <v>86</v>
      </c>
      <c r="Z20" t="s">
        <v>76</v>
      </c>
      <c r="AA20" t="s">
        <v>77</v>
      </c>
      <c r="AB20" t="s">
        <v>78</v>
      </c>
      <c r="AC20" t="s">
        <v>79</v>
      </c>
      <c r="AD20" t="s">
        <v>80</v>
      </c>
      <c r="AE20" t="s">
        <v>81</v>
      </c>
      <c r="AF20" t="s">
        <v>82</v>
      </c>
      <c r="AG20" t="s">
        <v>83</v>
      </c>
      <c r="AH20" t="s">
        <v>84</v>
      </c>
      <c r="AI20" t="s">
        <v>85</v>
      </c>
      <c r="AJ20" t="s">
        <v>74</v>
      </c>
      <c r="AK20" t="s">
        <v>75</v>
      </c>
      <c r="AL20" t="s">
        <v>55</v>
      </c>
      <c r="AM20" t="s">
        <v>87</v>
      </c>
    </row>
    <row r="21" spans="1:39" x14ac:dyDescent="0.25">
      <c r="A21" t="s">
        <v>52</v>
      </c>
      <c r="B21" t="s">
        <v>53</v>
      </c>
      <c r="C21" s="1">
        <v>39773</v>
      </c>
      <c r="D21">
        <v>2693.45</v>
      </c>
      <c r="E21" s="1">
        <v>39806</v>
      </c>
      <c r="F21">
        <v>2916.85</v>
      </c>
      <c r="G21" s="2">
        <v>8.2900000000000001E-2</v>
      </c>
      <c r="H21" s="41">
        <f t="shared" ref="H21:H23" si="7">E21-C21</f>
        <v>33</v>
      </c>
      <c r="I21" s="42">
        <f t="shared" ref="I21:I23" si="8">C$1</f>
        <v>1.5E-3</v>
      </c>
      <c r="J21" s="42">
        <f t="shared" ref="J21:J23" si="9">H21/30*D$1</f>
        <v>5.5000000000000005E-3</v>
      </c>
      <c r="K21" s="42">
        <f t="shared" ref="K21:K23" si="10">G21-SUM(I21,J21)</f>
        <v>7.5899999999999995E-2</v>
      </c>
      <c r="L21" s="43">
        <f t="shared" ref="L21:L23" si="11">L20*(1+G21)</f>
        <v>108.28999999999999</v>
      </c>
      <c r="M21" s="43">
        <f t="shared" si="3"/>
        <v>108.28999999999999</v>
      </c>
      <c r="N21" s="43" t="str">
        <f t="shared" si="4"/>
        <v/>
      </c>
      <c r="O21" s="44">
        <f t="shared" ref="O21:O23" si="12">IFERROR(N21/M21,0)</f>
        <v>0</v>
      </c>
      <c r="P21" s="43"/>
      <c r="Q21" s="43">
        <f t="shared" ref="Q21:Q23" si="13">Q20*(1+K21)</f>
        <v>107.59</v>
      </c>
      <c r="R21" s="43">
        <f t="shared" si="5"/>
        <v>107.59</v>
      </c>
      <c r="S21" s="43" t="str">
        <f t="shared" si="6"/>
        <v/>
      </c>
      <c r="T21" s="44">
        <f t="shared" ref="T21:T23" si="14">IFERROR(S21/R21,0)</f>
        <v>0</v>
      </c>
      <c r="U21" s="43">
        <f t="shared" ref="U21:U23" si="15">YEAR(E21)</f>
        <v>2008</v>
      </c>
      <c r="V21" s="43">
        <f t="shared" ref="V21:V23" si="16">YEAR(C21)</f>
        <v>2008</v>
      </c>
      <c r="Y21" s="46" t="s">
        <v>56</v>
      </c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>
        <v>7.5899999999999995E-2</v>
      </c>
      <c r="AK21" s="48">
        <v>-7.2966666666666666E-2</v>
      </c>
      <c r="AL21" s="48">
        <v>2.9333333333333295E-3</v>
      </c>
      <c r="AM21" s="47">
        <f>AVERAGE(Z21:AK21)</f>
        <v>1.4666666666666647E-3</v>
      </c>
    </row>
    <row r="22" spans="1:39" x14ac:dyDescent="0.25">
      <c r="A22" t="s">
        <v>52</v>
      </c>
      <c r="B22" t="s">
        <v>53</v>
      </c>
      <c r="C22" s="1">
        <v>39812</v>
      </c>
      <c r="D22">
        <v>2979.5</v>
      </c>
      <c r="E22" s="1">
        <v>39825</v>
      </c>
      <c r="F22">
        <v>2773.1</v>
      </c>
      <c r="G22" s="2">
        <v>-6.93E-2</v>
      </c>
      <c r="H22" s="40">
        <f t="shared" si="7"/>
        <v>13</v>
      </c>
      <c r="I22" s="4">
        <f t="shared" si="8"/>
        <v>1.5E-3</v>
      </c>
      <c r="J22" s="4">
        <f t="shared" si="9"/>
        <v>2.166666666666667E-3</v>
      </c>
      <c r="K22" s="4">
        <f t="shared" si="10"/>
        <v>-7.2966666666666666E-2</v>
      </c>
      <c r="L22">
        <f t="shared" si="11"/>
        <v>100.78550299999999</v>
      </c>
      <c r="M22">
        <f t="shared" si="3"/>
        <v>108.28999999999999</v>
      </c>
      <c r="N22">
        <f t="shared" si="4"/>
        <v>-7.5044970000000006</v>
      </c>
      <c r="O22" s="39">
        <f t="shared" si="12"/>
        <v>-6.9300000000000014E-2</v>
      </c>
      <c r="Q22">
        <f t="shared" si="13"/>
        <v>99.739516333333341</v>
      </c>
      <c r="R22">
        <f t="shared" si="5"/>
        <v>107.59</v>
      </c>
      <c r="S22">
        <f t="shared" si="6"/>
        <v>-7.850483666666662</v>
      </c>
      <c r="T22" s="39">
        <f t="shared" si="14"/>
        <v>-7.2966666666666624E-2</v>
      </c>
      <c r="U22">
        <f t="shared" si="15"/>
        <v>2009</v>
      </c>
      <c r="V22">
        <f t="shared" si="16"/>
        <v>2008</v>
      </c>
      <c r="Y22" s="46" t="s">
        <v>57</v>
      </c>
      <c r="Z22" s="48">
        <v>-5.0666666666666664E-3</v>
      </c>
      <c r="AA22" s="48">
        <v>-4.2066666666666662E-2</v>
      </c>
      <c r="AB22" s="48">
        <v>0.51123333333333332</v>
      </c>
      <c r="AC22" s="48"/>
      <c r="AD22" s="48"/>
      <c r="AE22" s="48"/>
      <c r="AF22" s="48">
        <v>0.1598</v>
      </c>
      <c r="AG22" s="48"/>
      <c r="AH22" s="48"/>
      <c r="AI22" s="48"/>
      <c r="AJ22" s="48">
        <v>5.7000000000000037E-3</v>
      </c>
      <c r="AK22" s="48"/>
      <c r="AL22" s="48">
        <v>0.62960000000000005</v>
      </c>
      <c r="AM22" s="47">
        <f t="shared" ref="AM22:AM37" si="17">AVERAGE(Z22:AK22)</f>
        <v>0.12592</v>
      </c>
    </row>
    <row r="23" spans="1:39" x14ac:dyDescent="0.25">
      <c r="A23" t="s">
        <v>52</v>
      </c>
      <c r="B23" t="s">
        <v>53</v>
      </c>
      <c r="C23" s="1">
        <v>39841</v>
      </c>
      <c r="D23">
        <v>2849.5</v>
      </c>
      <c r="E23" s="1">
        <v>39860</v>
      </c>
      <c r="F23">
        <v>2848.5</v>
      </c>
      <c r="G23" s="2">
        <v>-4.0000000000000002E-4</v>
      </c>
      <c r="H23" s="40">
        <f t="shared" si="7"/>
        <v>19</v>
      </c>
      <c r="I23" s="4">
        <f t="shared" si="8"/>
        <v>1.5E-3</v>
      </c>
      <c r="J23" s="4">
        <f t="shared" si="9"/>
        <v>3.1666666666666666E-3</v>
      </c>
      <c r="K23" s="4">
        <f t="shared" si="10"/>
        <v>-5.0666666666666664E-3</v>
      </c>
      <c r="L23">
        <f t="shared" si="11"/>
        <v>100.7451887988</v>
      </c>
      <c r="M23">
        <f t="shared" si="3"/>
        <v>108.28999999999999</v>
      </c>
      <c r="N23">
        <f t="shared" si="4"/>
        <v>-7.544811201199991</v>
      </c>
      <c r="O23" s="39">
        <f t="shared" si="12"/>
        <v>-6.967227999999992E-2</v>
      </c>
      <c r="Q23">
        <f t="shared" si="13"/>
        <v>99.234169450577781</v>
      </c>
      <c r="R23">
        <f t="shared" si="5"/>
        <v>107.59</v>
      </c>
      <c r="S23">
        <f t="shared" si="6"/>
        <v>-8.3558305494222225</v>
      </c>
      <c r="T23" s="39">
        <f t="shared" si="14"/>
        <v>-7.7663635555555555E-2</v>
      </c>
      <c r="U23">
        <f t="shared" si="15"/>
        <v>2009</v>
      </c>
      <c r="V23">
        <f t="shared" si="16"/>
        <v>2009</v>
      </c>
      <c r="Y23" s="46" t="s">
        <v>58</v>
      </c>
      <c r="Z23" s="48"/>
      <c r="AA23" s="48">
        <v>4.0899999999999999E-2</v>
      </c>
      <c r="AB23" s="48"/>
      <c r="AC23" s="48"/>
      <c r="AD23" s="48">
        <v>-2.5500000000000002E-2</v>
      </c>
      <c r="AE23" s="48">
        <v>0.14196666666666669</v>
      </c>
      <c r="AF23" s="48"/>
      <c r="AG23" s="48"/>
      <c r="AH23" s="48"/>
      <c r="AI23" s="48"/>
      <c r="AJ23" s="48"/>
      <c r="AK23" s="48">
        <v>1.54E-2</v>
      </c>
      <c r="AL23" s="48">
        <v>0.17276666666666668</v>
      </c>
      <c r="AM23" s="47">
        <f t="shared" si="17"/>
        <v>4.319166666666667E-2</v>
      </c>
    </row>
    <row r="24" spans="1:39" x14ac:dyDescent="0.25">
      <c r="A24" t="s">
        <v>52</v>
      </c>
      <c r="B24" t="s">
        <v>53</v>
      </c>
      <c r="C24" s="1">
        <v>39870</v>
      </c>
      <c r="D24">
        <v>2785.65</v>
      </c>
      <c r="E24" s="1">
        <v>39874</v>
      </c>
      <c r="F24">
        <v>2674.6</v>
      </c>
      <c r="G24" s="2">
        <v>-3.9899999999999998E-2</v>
      </c>
      <c r="H24" s="40">
        <f t="shared" ref="H24:H87" si="18">E24-C24</f>
        <v>4</v>
      </c>
      <c r="I24" s="4">
        <f t="shared" ref="I24:I87" si="19">C$1</f>
        <v>1.5E-3</v>
      </c>
      <c r="J24" s="4">
        <f t="shared" ref="J24:J87" si="20">H24/30*D$1</f>
        <v>6.6666666666666664E-4</v>
      </c>
      <c r="K24" s="4">
        <f t="shared" ref="K24:K87" si="21">G24-SUM(I24,J24)</f>
        <v>-4.2066666666666662E-2</v>
      </c>
      <c r="L24">
        <f t="shared" ref="L24:L87" si="22">L23*(1+G24)</f>
        <v>96.725455765727872</v>
      </c>
      <c r="M24">
        <f t="shared" ref="M24:M87" si="23">MAX(L24,M23)</f>
        <v>108.28999999999999</v>
      </c>
      <c r="N24">
        <f t="shared" ref="N24:N87" si="24">IF(M24&gt;L24,L24-M24,"")</f>
        <v>-11.56454423427212</v>
      </c>
      <c r="O24" s="39">
        <f t="shared" ref="O24:O87" si="25">IFERROR(N24/M24,0)</f>
        <v>-0.10679235602800001</v>
      </c>
      <c r="Q24">
        <f t="shared" ref="Q24:Q87" si="26">Q23*(1+K24)</f>
        <v>95.059718722356806</v>
      </c>
      <c r="R24">
        <f t="shared" ref="R24:R87" si="27">MAX(Q24,R23)</f>
        <v>107.59</v>
      </c>
      <c r="S24">
        <f t="shared" ref="S24:S87" si="28">IF(R24&gt;Q24,Q24-R24,"")</f>
        <v>-12.530281277643198</v>
      </c>
      <c r="T24" s="39">
        <f t="shared" ref="T24:T87" si="29">IFERROR(S24/R24,0)</f>
        <v>-0.11646325195318522</v>
      </c>
      <c r="U24">
        <f t="shared" ref="U24:U87" si="30">YEAR(E24)</f>
        <v>2009</v>
      </c>
      <c r="V24">
        <f t="shared" ref="V24:V87" si="31">YEAR(C24)</f>
        <v>2009</v>
      </c>
      <c r="Y24" s="46" t="s">
        <v>59</v>
      </c>
      <c r="Z24" s="48"/>
      <c r="AA24" s="48"/>
      <c r="AB24" s="48"/>
      <c r="AC24" s="48"/>
      <c r="AD24" s="48"/>
      <c r="AE24" s="48"/>
      <c r="AF24" s="48"/>
      <c r="AG24" s="48"/>
      <c r="AH24" s="48">
        <v>2.3333333333333279E-4</v>
      </c>
      <c r="AI24" s="48">
        <v>-1.6833333333333332E-2</v>
      </c>
      <c r="AJ24" s="48"/>
      <c r="AK24" s="48"/>
      <c r="AL24" s="48">
        <v>-1.66E-2</v>
      </c>
      <c r="AM24" s="47">
        <f t="shared" si="17"/>
        <v>-8.3000000000000001E-3</v>
      </c>
    </row>
    <row r="25" spans="1:39" x14ac:dyDescent="0.25">
      <c r="A25" t="s">
        <v>52</v>
      </c>
      <c r="B25" t="s">
        <v>53</v>
      </c>
      <c r="C25" s="1">
        <v>39885</v>
      </c>
      <c r="D25">
        <v>2719.25</v>
      </c>
      <c r="E25" s="1">
        <v>40000</v>
      </c>
      <c r="F25">
        <v>4165.7</v>
      </c>
      <c r="G25" s="2">
        <v>0.53190000000000004</v>
      </c>
      <c r="H25" s="40">
        <f t="shared" si="18"/>
        <v>115</v>
      </c>
      <c r="I25" s="4">
        <f t="shared" si="19"/>
        <v>1.5E-3</v>
      </c>
      <c r="J25" s="4">
        <f t="shared" si="20"/>
        <v>1.9166666666666669E-2</v>
      </c>
      <c r="K25" s="4">
        <f t="shared" si="21"/>
        <v>0.51123333333333332</v>
      </c>
      <c r="L25">
        <f t="shared" si="22"/>
        <v>148.17372568751853</v>
      </c>
      <c r="M25">
        <f t="shared" si="23"/>
        <v>148.17372568751853</v>
      </c>
      <c r="N25" t="str">
        <f t="shared" si="24"/>
        <v/>
      </c>
      <c r="O25" s="39">
        <f t="shared" si="25"/>
        <v>0</v>
      </c>
      <c r="Q25">
        <f t="shared" si="26"/>
        <v>143.65741559051634</v>
      </c>
      <c r="R25">
        <f t="shared" si="27"/>
        <v>143.65741559051634</v>
      </c>
      <c r="S25" t="str">
        <f t="shared" si="28"/>
        <v/>
      </c>
      <c r="T25" s="39">
        <f t="shared" si="29"/>
        <v>0</v>
      </c>
      <c r="U25">
        <f t="shared" si="30"/>
        <v>2009</v>
      </c>
      <c r="V25">
        <f t="shared" si="31"/>
        <v>2009</v>
      </c>
      <c r="Y25" s="46" t="s">
        <v>60</v>
      </c>
      <c r="Z25" s="48"/>
      <c r="AA25" s="48"/>
      <c r="AB25" s="48"/>
      <c r="AC25" s="48"/>
      <c r="AD25" s="48">
        <v>-2.0666666666666672E-3</v>
      </c>
      <c r="AE25" s="48">
        <v>1.4866666666666667E-2</v>
      </c>
      <c r="AF25" s="48">
        <v>-2.666666666666667E-3</v>
      </c>
      <c r="AG25" s="48"/>
      <c r="AH25" s="48">
        <v>6.6166666666666665E-2</v>
      </c>
      <c r="AI25" s="48"/>
      <c r="AJ25" s="48"/>
      <c r="AK25" s="48"/>
      <c r="AL25" s="48">
        <v>7.6299999999999993E-2</v>
      </c>
      <c r="AM25" s="47">
        <f t="shared" si="17"/>
        <v>1.9074999999999998E-2</v>
      </c>
    </row>
    <row r="26" spans="1:39" x14ac:dyDescent="0.25">
      <c r="A26" t="s">
        <v>52</v>
      </c>
      <c r="B26" t="s">
        <v>53</v>
      </c>
      <c r="C26" s="1">
        <v>40008</v>
      </c>
      <c r="D26">
        <v>4111.3999999999996</v>
      </c>
      <c r="E26" s="1">
        <v>40113</v>
      </c>
      <c r="F26">
        <v>4846.7</v>
      </c>
      <c r="G26" s="2">
        <v>0.17879999999999999</v>
      </c>
      <c r="H26" s="40">
        <f t="shared" si="18"/>
        <v>105</v>
      </c>
      <c r="I26" s="4">
        <f t="shared" si="19"/>
        <v>1.5E-3</v>
      </c>
      <c r="J26" s="4">
        <f t="shared" si="20"/>
        <v>1.7500000000000002E-2</v>
      </c>
      <c r="K26" s="4">
        <f t="shared" si="21"/>
        <v>0.1598</v>
      </c>
      <c r="L26">
        <f t="shared" si="22"/>
        <v>174.66718784044684</v>
      </c>
      <c r="M26">
        <f t="shared" si="23"/>
        <v>174.66718784044684</v>
      </c>
      <c r="N26" t="str">
        <f t="shared" si="24"/>
        <v/>
      </c>
      <c r="O26" s="39">
        <f t="shared" si="25"/>
        <v>0</v>
      </c>
      <c r="Q26">
        <f t="shared" si="26"/>
        <v>166.61387060188085</v>
      </c>
      <c r="R26">
        <f t="shared" si="27"/>
        <v>166.61387060188085</v>
      </c>
      <c r="S26" t="str">
        <f t="shared" si="28"/>
        <v/>
      </c>
      <c r="T26" s="39">
        <f t="shared" si="29"/>
        <v>0</v>
      </c>
      <c r="U26">
        <f t="shared" si="30"/>
        <v>2009</v>
      </c>
      <c r="V26">
        <f t="shared" si="31"/>
        <v>2009</v>
      </c>
      <c r="Y26" s="46" t="s">
        <v>61</v>
      </c>
      <c r="Z26" s="48"/>
      <c r="AA26" s="48"/>
      <c r="AB26" s="48"/>
      <c r="AC26" s="48"/>
      <c r="AD26" s="48"/>
      <c r="AE26" s="48"/>
      <c r="AF26" s="48"/>
      <c r="AG26" s="48">
        <v>-5.0699999999999995E-2</v>
      </c>
      <c r="AH26" s="48">
        <v>6.3166666666666663E-2</v>
      </c>
      <c r="AI26" s="48"/>
      <c r="AJ26" s="48">
        <v>-4.1300000000000003E-2</v>
      </c>
      <c r="AK26" s="48"/>
      <c r="AL26" s="48">
        <v>-2.8833333333333336E-2</v>
      </c>
      <c r="AM26" s="47">
        <f t="shared" si="17"/>
        <v>-9.6111111111111119E-3</v>
      </c>
    </row>
    <row r="27" spans="1:39" x14ac:dyDescent="0.25">
      <c r="A27" t="s">
        <v>52</v>
      </c>
      <c r="B27" t="s">
        <v>53</v>
      </c>
      <c r="C27" s="1">
        <v>40123</v>
      </c>
      <c r="D27">
        <v>4796.1499999999996</v>
      </c>
      <c r="E27" s="1">
        <v>40136</v>
      </c>
      <c r="F27">
        <v>4989</v>
      </c>
      <c r="G27" s="2">
        <v>4.02E-2</v>
      </c>
      <c r="H27" s="40">
        <f t="shared" si="18"/>
        <v>13</v>
      </c>
      <c r="I27" s="4">
        <f t="shared" si="19"/>
        <v>1.5E-3</v>
      </c>
      <c r="J27" s="4">
        <f t="shared" si="20"/>
        <v>2.166666666666667E-3</v>
      </c>
      <c r="K27" s="4">
        <f t="shared" si="21"/>
        <v>3.6533333333333334E-2</v>
      </c>
      <c r="L27">
        <f t="shared" si="22"/>
        <v>181.68880879163279</v>
      </c>
      <c r="M27">
        <f t="shared" si="23"/>
        <v>181.68880879163279</v>
      </c>
      <c r="N27" t="str">
        <f t="shared" si="24"/>
        <v/>
      </c>
      <c r="O27" s="39">
        <f t="shared" si="25"/>
        <v>0</v>
      </c>
      <c r="Q27">
        <f t="shared" si="26"/>
        <v>172.70083067453623</v>
      </c>
      <c r="R27">
        <f t="shared" si="27"/>
        <v>172.70083067453623</v>
      </c>
      <c r="S27" t="str">
        <f t="shared" si="28"/>
        <v/>
      </c>
      <c r="T27" s="39">
        <f t="shared" si="29"/>
        <v>0</v>
      </c>
      <c r="U27">
        <f t="shared" si="30"/>
        <v>2009</v>
      </c>
      <c r="V27">
        <f t="shared" si="31"/>
        <v>2009</v>
      </c>
      <c r="Y27" s="46" t="s">
        <v>62</v>
      </c>
      <c r="Z27" s="48"/>
      <c r="AA27" s="48">
        <v>0.17946666666666666</v>
      </c>
      <c r="AB27" s="48"/>
      <c r="AC27" s="48"/>
      <c r="AD27" s="48"/>
      <c r="AE27" s="48"/>
      <c r="AF27" s="48">
        <v>8.6999999999999994E-3</v>
      </c>
      <c r="AG27" s="48">
        <v>5.3666666666666654E-3</v>
      </c>
      <c r="AH27" s="48"/>
      <c r="AI27" s="48">
        <v>-2.1333333333333343E-3</v>
      </c>
      <c r="AJ27" s="48"/>
      <c r="AK27" s="48">
        <v>-7.000000000000001E-4</v>
      </c>
      <c r="AL27" s="48">
        <v>0.19069999999999995</v>
      </c>
      <c r="AM27" s="47">
        <f t="shared" si="17"/>
        <v>3.8139999999999993E-2</v>
      </c>
    </row>
    <row r="28" spans="1:39" x14ac:dyDescent="0.25">
      <c r="A28" t="s">
        <v>52</v>
      </c>
      <c r="B28" t="s">
        <v>53</v>
      </c>
      <c r="C28" s="1">
        <v>40140</v>
      </c>
      <c r="D28">
        <v>5103.55</v>
      </c>
      <c r="E28" s="1">
        <v>40143</v>
      </c>
      <c r="F28">
        <v>5005.55</v>
      </c>
      <c r="G28" s="2">
        <v>-1.9199999999999998E-2</v>
      </c>
      <c r="H28" s="40">
        <f t="shared" si="18"/>
        <v>3</v>
      </c>
      <c r="I28" s="4">
        <f t="shared" si="19"/>
        <v>1.5E-3</v>
      </c>
      <c r="J28" s="4">
        <f t="shared" si="20"/>
        <v>5.0000000000000001E-4</v>
      </c>
      <c r="K28" s="4">
        <f t="shared" si="21"/>
        <v>-2.1199999999999997E-2</v>
      </c>
      <c r="L28">
        <f t="shared" si="22"/>
        <v>178.20038366283345</v>
      </c>
      <c r="M28">
        <f t="shared" si="23"/>
        <v>181.68880879163279</v>
      </c>
      <c r="N28">
        <f t="shared" si="24"/>
        <v>-3.4884251287993493</v>
      </c>
      <c r="O28" s="39">
        <f t="shared" si="25"/>
        <v>-1.9199999999999998E-2</v>
      </c>
      <c r="Q28">
        <f t="shared" si="26"/>
        <v>169.03957306423607</v>
      </c>
      <c r="R28">
        <f t="shared" si="27"/>
        <v>172.70083067453623</v>
      </c>
      <c r="S28">
        <f t="shared" si="28"/>
        <v>-3.6612576103001686</v>
      </c>
      <c r="T28" s="39">
        <f t="shared" si="29"/>
        <v>-2.1200000000000004E-2</v>
      </c>
      <c r="U28">
        <f t="shared" si="30"/>
        <v>2009</v>
      </c>
      <c r="V28">
        <f t="shared" si="31"/>
        <v>2009</v>
      </c>
      <c r="Y28" s="46" t="s">
        <v>63</v>
      </c>
      <c r="Z28" s="48">
        <v>-5.4999999999999945E-3</v>
      </c>
      <c r="AA28" s="48">
        <v>-1.14E-2</v>
      </c>
      <c r="AB28" s="48">
        <v>-1.0199999999999999E-2</v>
      </c>
      <c r="AC28" s="48"/>
      <c r="AD28" s="48">
        <v>-8.4133333333333338E-2</v>
      </c>
      <c r="AE28" s="48">
        <v>1.3466666666666668E-2</v>
      </c>
      <c r="AF28" s="48"/>
      <c r="AG28" s="48"/>
      <c r="AH28" s="48"/>
      <c r="AI28" s="48"/>
      <c r="AJ28" s="48"/>
      <c r="AK28" s="48"/>
      <c r="AL28" s="48">
        <v>-9.7766666666666655E-2</v>
      </c>
      <c r="AM28" s="47">
        <f t="shared" si="17"/>
        <v>-1.9553333333333332E-2</v>
      </c>
    </row>
    <row r="29" spans="1:39" x14ac:dyDescent="0.25">
      <c r="A29" t="s">
        <v>52</v>
      </c>
      <c r="B29" t="s">
        <v>53</v>
      </c>
      <c r="C29" s="1">
        <v>40147</v>
      </c>
      <c r="D29">
        <v>5032.7</v>
      </c>
      <c r="E29" s="1">
        <v>40200</v>
      </c>
      <c r="F29">
        <v>5036</v>
      </c>
      <c r="G29" s="2">
        <v>6.9999999999999999E-4</v>
      </c>
      <c r="H29" s="40">
        <f t="shared" si="18"/>
        <v>53</v>
      </c>
      <c r="I29" s="4">
        <f t="shared" si="19"/>
        <v>1.5E-3</v>
      </c>
      <c r="J29" s="4">
        <f t="shared" si="20"/>
        <v>8.8333333333333337E-3</v>
      </c>
      <c r="K29" s="4">
        <f t="shared" si="21"/>
        <v>-9.633333333333334E-3</v>
      </c>
      <c r="L29">
        <f t="shared" si="22"/>
        <v>178.32512393139743</v>
      </c>
      <c r="M29">
        <f t="shared" si="23"/>
        <v>181.68880879163279</v>
      </c>
      <c r="N29">
        <f t="shared" si="24"/>
        <v>-3.3636848602353666</v>
      </c>
      <c r="O29" s="39">
        <f t="shared" si="25"/>
        <v>-1.8513440000000003E-2</v>
      </c>
      <c r="Q29">
        <f t="shared" si="26"/>
        <v>167.41115851038393</v>
      </c>
      <c r="R29">
        <f t="shared" si="27"/>
        <v>172.70083067453623</v>
      </c>
      <c r="S29">
        <f t="shared" si="28"/>
        <v>-5.2896721641523072</v>
      </c>
      <c r="T29" s="39">
        <f t="shared" si="29"/>
        <v>-3.0629106666666656E-2</v>
      </c>
      <c r="U29">
        <f t="shared" si="30"/>
        <v>2010</v>
      </c>
      <c r="V29">
        <f t="shared" si="31"/>
        <v>2009</v>
      </c>
      <c r="Y29" s="46" t="s">
        <v>64</v>
      </c>
      <c r="Z29" s="48"/>
      <c r="AA29" s="48">
        <v>-1.4466666666666668E-2</v>
      </c>
      <c r="AB29" s="48">
        <v>0.15266666666666667</v>
      </c>
      <c r="AC29" s="48"/>
      <c r="AD29" s="48"/>
      <c r="AE29" s="48"/>
      <c r="AF29" s="48"/>
      <c r="AG29" s="48"/>
      <c r="AH29" s="48"/>
      <c r="AI29" s="48">
        <v>-3.2099999999999997E-2</v>
      </c>
      <c r="AJ29" s="48">
        <v>-3.0899999999999997E-2</v>
      </c>
      <c r="AK29" s="48">
        <v>0.15786666666666668</v>
      </c>
      <c r="AL29" s="48">
        <v>0.2330666666666667</v>
      </c>
      <c r="AM29" s="47">
        <f t="shared" si="17"/>
        <v>4.661333333333334E-2</v>
      </c>
    </row>
    <row r="30" spans="1:39" x14ac:dyDescent="0.25">
      <c r="A30" t="s">
        <v>52</v>
      </c>
      <c r="B30" t="s">
        <v>53</v>
      </c>
      <c r="C30" s="1">
        <v>40225</v>
      </c>
      <c r="D30">
        <v>4855.75</v>
      </c>
      <c r="E30" s="1">
        <v>40303</v>
      </c>
      <c r="F30">
        <v>5124.8999999999996</v>
      </c>
      <c r="G30" s="2">
        <v>5.5399999999999998E-2</v>
      </c>
      <c r="H30" s="40">
        <f t="shared" si="18"/>
        <v>78</v>
      </c>
      <c r="I30" s="4">
        <f t="shared" si="19"/>
        <v>1.5E-3</v>
      </c>
      <c r="J30" s="4">
        <f t="shared" si="20"/>
        <v>1.3000000000000001E-2</v>
      </c>
      <c r="K30" s="4">
        <f t="shared" si="21"/>
        <v>4.0899999999999999E-2</v>
      </c>
      <c r="L30">
        <f t="shared" si="22"/>
        <v>188.20433579719682</v>
      </c>
      <c r="M30">
        <f t="shared" si="23"/>
        <v>188.20433579719682</v>
      </c>
      <c r="N30" t="str">
        <f t="shared" si="24"/>
        <v/>
      </c>
      <c r="O30" s="39">
        <f t="shared" si="25"/>
        <v>0</v>
      </c>
      <c r="Q30">
        <f t="shared" si="26"/>
        <v>174.25827489345863</v>
      </c>
      <c r="R30">
        <f t="shared" si="27"/>
        <v>174.25827489345863</v>
      </c>
      <c r="S30" t="str">
        <f t="shared" si="28"/>
        <v/>
      </c>
      <c r="T30" s="39">
        <f t="shared" si="29"/>
        <v>0</v>
      </c>
      <c r="U30">
        <f t="shared" si="30"/>
        <v>2010</v>
      </c>
      <c r="V30">
        <f t="shared" si="31"/>
        <v>2010</v>
      </c>
      <c r="Y30" s="46" t="s">
        <v>65</v>
      </c>
      <c r="Z30" s="48"/>
      <c r="AA30" s="48"/>
      <c r="AB30" s="48"/>
      <c r="AC30" s="48"/>
      <c r="AD30" s="48"/>
      <c r="AE30" s="48"/>
      <c r="AF30" s="48"/>
      <c r="AG30" s="48">
        <v>-4.0466666666666665E-2</v>
      </c>
      <c r="AH30" s="48"/>
      <c r="AI30" s="48">
        <v>1.2000000000000002E-2</v>
      </c>
      <c r="AJ30" s="48">
        <v>-9.1666666666666667E-3</v>
      </c>
      <c r="AK30" s="48">
        <v>1.2700000000000001E-2</v>
      </c>
      <c r="AL30" s="48">
        <v>-2.4933333333333321E-2</v>
      </c>
      <c r="AM30" s="47">
        <f t="shared" si="17"/>
        <v>-6.2333333333333303E-3</v>
      </c>
    </row>
    <row r="31" spans="1:39" x14ac:dyDescent="0.25">
      <c r="A31" t="s">
        <v>52</v>
      </c>
      <c r="B31" t="s">
        <v>53</v>
      </c>
      <c r="C31" s="1">
        <v>40308</v>
      </c>
      <c r="D31">
        <v>5193.6000000000004</v>
      </c>
      <c r="E31" s="1">
        <v>40315</v>
      </c>
      <c r="F31">
        <v>5059.8999999999996</v>
      </c>
      <c r="G31" s="2">
        <v>-2.5700000000000001E-2</v>
      </c>
      <c r="H31" s="40">
        <f t="shared" si="18"/>
        <v>7</v>
      </c>
      <c r="I31" s="4">
        <f t="shared" si="19"/>
        <v>1.5E-3</v>
      </c>
      <c r="J31" s="4">
        <f t="shared" si="20"/>
        <v>1.1666666666666668E-3</v>
      </c>
      <c r="K31" s="4">
        <f t="shared" si="21"/>
        <v>-2.8366666666666669E-2</v>
      </c>
      <c r="L31">
        <f t="shared" si="22"/>
        <v>183.36748436720885</v>
      </c>
      <c r="M31">
        <f t="shared" si="23"/>
        <v>188.20433579719682</v>
      </c>
      <c r="N31">
        <f t="shared" si="24"/>
        <v>-4.8368514299879735</v>
      </c>
      <c r="O31" s="39">
        <f t="shared" si="25"/>
        <v>-2.570000000000008E-2</v>
      </c>
      <c r="Q31">
        <f t="shared" si="26"/>
        <v>169.31514849564752</v>
      </c>
      <c r="R31">
        <f t="shared" si="27"/>
        <v>174.25827489345863</v>
      </c>
      <c r="S31">
        <f t="shared" si="28"/>
        <v>-4.9431263978111133</v>
      </c>
      <c r="T31" s="39">
        <f t="shared" si="29"/>
        <v>-2.8366666666666686E-2</v>
      </c>
      <c r="U31">
        <f t="shared" si="30"/>
        <v>2010</v>
      </c>
      <c r="V31">
        <f t="shared" si="31"/>
        <v>2010</v>
      </c>
      <c r="Y31" s="46" t="s">
        <v>67</v>
      </c>
      <c r="Z31" s="48"/>
      <c r="AA31" s="48">
        <v>3.8600000000000002E-2</v>
      </c>
      <c r="AB31" s="48"/>
      <c r="AC31" s="48"/>
      <c r="AD31" s="48"/>
      <c r="AE31" s="48"/>
      <c r="AF31" s="48"/>
      <c r="AG31" s="48">
        <v>-6.2333333333333329E-3</v>
      </c>
      <c r="AH31" s="48">
        <v>2.64E-2</v>
      </c>
      <c r="AI31" s="48"/>
      <c r="AJ31" s="48"/>
      <c r="AK31" s="48"/>
      <c r="AL31" s="48">
        <v>5.8766666666666668E-2</v>
      </c>
      <c r="AM31" s="47">
        <f t="shared" si="17"/>
        <v>1.9588888888888888E-2</v>
      </c>
    </row>
    <row r="32" spans="1:39" x14ac:dyDescent="0.25">
      <c r="A32" t="s">
        <v>52</v>
      </c>
      <c r="B32" t="s">
        <v>53</v>
      </c>
      <c r="C32" s="1">
        <v>40325</v>
      </c>
      <c r="D32">
        <v>5003.1000000000004</v>
      </c>
      <c r="E32" s="1">
        <v>40336</v>
      </c>
      <c r="F32">
        <v>5034</v>
      </c>
      <c r="G32" s="2">
        <v>6.1999999999999998E-3</v>
      </c>
      <c r="H32" s="40">
        <f t="shared" si="18"/>
        <v>11</v>
      </c>
      <c r="I32" s="4">
        <f t="shared" si="19"/>
        <v>1.5E-3</v>
      </c>
      <c r="J32" s="4">
        <f t="shared" si="20"/>
        <v>1.8333333333333333E-3</v>
      </c>
      <c r="K32" s="4">
        <f t="shared" si="21"/>
        <v>2.8666666666666667E-3</v>
      </c>
      <c r="L32">
        <f t="shared" si="22"/>
        <v>184.50436277028552</v>
      </c>
      <c r="M32">
        <f t="shared" si="23"/>
        <v>188.20433579719682</v>
      </c>
      <c r="N32">
        <f t="shared" si="24"/>
        <v>-3.6999730269112945</v>
      </c>
      <c r="O32" s="39">
        <f t="shared" si="25"/>
        <v>-1.9659340000000164E-2</v>
      </c>
      <c r="Q32">
        <f t="shared" si="26"/>
        <v>169.80051858800169</v>
      </c>
      <c r="R32">
        <f t="shared" si="27"/>
        <v>174.25827489345863</v>
      </c>
      <c r="S32">
        <f t="shared" si="28"/>
        <v>-4.4577563054569396</v>
      </c>
      <c r="T32" s="39">
        <f t="shared" si="29"/>
        <v>-2.5581317777777886E-2</v>
      </c>
      <c r="U32">
        <f t="shared" si="30"/>
        <v>2010</v>
      </c>
      <c r="V32">
        <f t="shared" si="31"/>
        <v>2010</v>
      </c>
      <c r="Y32" s="46" t="s">
        <v>68</v>
      </c>
      <c r="Z32" s="48"/>
      <c r="AA32" s="48">
        <v>-2.5000000000000001E-2</v>
      </c>
      <c r="AB32" s="48">
        <v>3.3033333333333338E-2</v>
      </c>
      <c r="AC32" s="48">
        <v>-4.07E-2</v>
      </c>
      <c r="AD32" s="48">
        <v>0.17623333333333333</v>
      </c>
      <c r="AE32" s="48"/>
      <c r="AF32" s="48"/>
      <c r="AG32" s="48"/>
      <c r="AH32" s="48">
        <v>0.20886666666666664</v>
      </c>
      <c r="AI32" s="48"/>
      <c r="AJ32" s="48"/>
      <c r="AK32" s="48"/>
      <c r="AL32" s="48">
        <v>0.35243333333333332</v>
      </c>
      <c r="AM32" s="47">
        <f t="shared" si="17"/>
        <v>7.048666666666667E-2</v>
      </c>
    </row>
    <row r="33" spans="1:39" x14ac:dyDescent="0.25">
      <c r="A33" t="s">
        <v>52</v>
      </c>
      <c r="B33" t="s">
        <v>53</v>
      </c>
      <c r="C33" s="1">
        <v>40340</v>
      </c>
      <c r="D33">
        <v>5119.3500000000004</v>
      </c>
      <c r="E33" s="1">
        <v>40498</v>
      </c>
      <c r="F33">
        <v>5988.7</v>
      </c>
      <c r="G33" s="2">
        <v>0.16980000000000001</v>
      </c>
      <c r="H33" s="40">
        <f t="shared" si="18"/>
        <v>158</v>
      </c>
      <c r="I33" s="4">
        <f t="shared" si="19"/>
        <v>1.5E-3</v>
      </c>
      <c r="J33" s="4">
        <f t="shared" si="20"/>
        <v>2.6333333333333334E-2</v>
      </c>
      <c r="K33" s="4">
        <f t="shared" si="21"/>
        <v>0.14196666666666669</v>
      </c>
      <c r="L33">
        <f t="shared" si="22"/>
        <v>215.83320356868001</v>
      </c>
      <c r="M33">
        <f t="shared" si="23"/>
        <v>215.83320356868001</v>
      </c>
      <c r="N33" t="str">
        <f t="shared" si="24"/>
        <v/>
      </c>
      <c r="O33" s="39">
        <f t="shared" si="25"/>
        <v>0</v>
      </c>
      <c r="Q33">
        <f t="shared" si="26"/>
        <v>193.90653221021168</v>
      </c>
      <c r="R33">
        <f t="shared" si="27"/>
        <v>193.90653221021168</v>
      </c>
      <c r="S33" t="str">
        <f t="shared" si="28"/>
        <v/>
      </c>
      <c r="T33" s="39">
        <f t="shared" si="29"/>
        <v>0</v>
      </c>
      <c r="U33">
        <f t="shared" si="30"/>
        <v>2010</v>
      </c>
      <c r="V33">
        <f t="shared" si="31"/>
        <v>2010</v>
      </c>
      <c r="Y33" s="46" t="s">
        <v>69</v>
      </c>
      <c r="Z33" s="48"/>
      <c r="AA33" s="48">
        <v>1.1733333333333332E-2</v>
      </c>
      <c r="AB33" s="48">
        <v>-6.3866666666666655E-2</v>
      </c>
      <c r="AC33" s="48">
        <v>-3.5000000000000001E-3</v>
      </c>
      <c r="AD33" s="48">
        <v>0.14436666666666667</v>
      </c>
      <c r="AE33" s="48"/>
      <c r="AF33" s="48"/>
      <c r="AG33" s="48"/>
      <c r="AH33" s="48"/>
      <c r="AI33" s="48"/>
      <c r="AJ33" s="48">
        <v>-1.2400000000000001E-2</v>
      </c>
      <c r="AK33" s="48"/>
      <c r="AL33" s="48">
        <v>7.6333333333333336E-2</v>
      </c>
      <c r="AM33" s="47">
        <f t="shared" si="17"/>
        <v>1.5266666666666668E-2</v>
      </c>
    </row>
    <row r="34" spans="1:39" x14ac:dyDescent="0.25">
      <c r="A34" t="s">
        <v>52</v>
      </c>
      <c r="B34" t="s">
        <v>53</v>
      </c>
      <c r="C34" s="1">
        <v>40513</v>
      </c>
      <c r="D34">
        <v>5960.9</v>
      </c>
      <c r="E34" s="1">
        <v>40520</v>
      </c>
      <c r="F34">
        <v>5903.7</v>
      </c>
      <c r="G34" s="2">
        <v>-9.5999999999999992E-3</v>
      </c>
      <c r="H34" s="40">
        <f t="shared" si="18"/>
        <v>7</v>
      </c>
      <c r="I34" s="4">
        <f t="shared" si="19"/>
        <v>1.5E-3</v>
      </c>
      <c r="J34" s="4">
        <f t="shared" si="20"/>
        <v>1.1666666666666668E-3</v>
      </c>
      <c r="K34" s="4">
        <f t="shared" si="21"/>
        <v>-1.2266666666666665E-2</v>
      </c>
      <c r="L34">
        <f t="shared" si="22"/>
        <v>213.76120481442067</v>
      </c>
      <c r="M34">
        <f t="shared" si="23"/>
        <v>215.83320356868001</v>
      </c>
      <c r="N34">
        <f t="shared" si="24"/>
        <v>-2.0719987542593401</v>
      </c>
      <c r="O34" s="39">
        <f t="shared" si="25"/>
        <v>-9.6000000000000564E-3</v>
      </c>
      <c r="Q34">
        <f t="shared" si="26"/>
        <v>191.52794541509977</v>
      </c>
      <c r="R34">
        <f t="shared" si="27"/>
        <v>193.90653221021168</v>
      </c>
      <c r="S34">
        <f t="shared" si="28"/>
        <v>-2.3785867951119144</v>
      </c>
      <c r="T34" s="39">
        <f t="shared" si="29"/>
        <v>-1.2266666666666587E-2</v>
      </c>
      <c r="U34">
        <f t="shared" si="30"/>
        <v>2010</v>
      </c>
      <c r="V34">
        <f t="shared" si="31"/>
        <v>2010</v>
      </c>
      <c r="Y34" s="46" t="s">
        <v>70</v>
      </c>
      <c r="Z34" s="48"/>
      <c r="AA34" s="48"/>
      <c r="AB34" s="48"/>
      <c r="AC34" s="48"/>
      <c r="AD34" s="48"/>
      <c r="AE34" s="48">
        <v>1.2333333333333335E-2</v>
      </c>
      <c r="AF34" s="48">
        <v>5.5E-2</v>
      </c>
      <c r="AG34" s="48">
        <v>2.5333333333333336E-3</v>
      </c>
      <c r="AH34" s="48">
        <v>-2.9400000000000003E-2</v>
      </c>
      <c r="AI34" s="48">
        <v>1.5133333333333339E-2</v>
      </c>
      <c r="AJ34" s="48"/>
      <c r="AK34" s="48"/>
      <c r="AL34" s="48">
        <v>5.5599999999999997E-2</v>
      </c>
      <c r="AM34" s="47">
        <f t="shared" si="17"/>
        <v>1.112E-2</v>
      </c>
    </row>
    <row r="35" spans="1:39" x14ac:dyDescent="0.25">
      <c r="A35" t="s">
        <v>52</v>
      </c>
      <c r="B35" t="s">
        <v>53</v>
      </c>
      <c r="C35" s="1">
        <v>40526</v>
      </c>
      <c r="D35">
        <v>5944.1</v>
      </c>
      <c r="E35" s="1">
        <v>40543</v>
      </c>
      <c r="F35">
        <v>6134.5</v>
      </c>
      <c r="G35" s="2">
        <v>3.2000000000000001E-2</v>
      </c>
      <c r="H35" s="40">
        <f t="shared" si="18"/>
        <v>17</v>
      </c>
      <c r="I35" s="4">
        <f t="shared" si="19"/>
        <v>1.5E-3</v>
      </c>
      <c r="J35" s="4">
        <f t="shared" si="20"/>
        <v>2.8333333333333331E-3</v>
      </c>
      <c r="K35" s="4">
        <f t="shared" si="21"/>
        <v>2.7666666666666666E-2</v>
      </c>
      <c r="L35">
        <f t="shared" si="22"/>
        <v>220.60156336848215</v>
      </c>
      <c r="M35">
        <f t="shared" si="23"/>
        <v>220.60156336848215</v>
      </c>
      <c r="N35" t="str">
        <f t="shared" si="24"/>
        <v/>
      </c>
      <c r="O35" s="39">
        <f t="shared" si="25"/>
        <v>0</v>
      </c>
      <c r="Q35">
        <f t="shared" si="26"/>
        <v>196.82688523825087</v>
      </c>
      <c r="R35">
        <f t="shared" si="27"/>
        <v>196.82688523825087</v>
      </c>
      <c r="S35" t="str">
        <f t="shared" si="28"/>
        <v/>
      </c>
      <c r="T35" s="39">
        <f t="shared" si="29"/>
        <v>0</v>
      </c>
      <c r="U35">
        <f t="shared" si="30"/>
        <v>2010</v>
      </c>
      <c r="V35">
        <f t="shared" si="31"/>
        <v>2010</v>
      </c>
      <c r="Y35" s="46" t="s">
        <v>71</v>
      </c>
      <c r="Z35" s="48"/>
      <c r="AA35" s="48">
        <v>-6.8333333333333336E-3</v>
      </c>
      <c r="AB35" s="48">
        <v>7.9966666666666672E-2</v>
      </c>
      <c r="AC35" s="48"/>
      <c r="AD35" s="48"/>
      <c r="AE35" s="48"/>
      <c r="AF35" s="48"/>
      <c r="AG35" s="48"/>
      <c r="AH35" s="48"/>
      <c r="AI35" s="48">
        <v>-2.5999999999999999E-3</v>
      </c>
      <c r="AJ35" s="48">
        <v>8.9400000000000007E-2</v>
      </c>
      <c r="AK35" s="48"/>
      <c r="AL35" s="48">
        <v>0.15993333333333334</v>
      </c>
      <c r="AM35" s="47">
        <f t="shared" si="17"/>
        <v>3.9983333333333336E-2</v>
      </c>
    </row>
    <row r="36" spans="1:39" x14ac:dyDescent="0.25">
      <c r="A36" t="s">
        <v>52</v>
      </c>
      <c r="B36" t="s">
        <v>53</v>
      </c>
      <c r="C36" s="1">
        <v>40812</v>
      </c>
      <c r="D36">
        <v>4835.3999999999996</v>
      </c>
      <c r="E36" s="1">
        <v>40819</v>
      </c>
      <c r="F36">
        <v>4849.5</v>
      </c>
      <c r="G36" s="2">
        <v>2.8999999999999998E-3</v>
      </c>
      <c r="H36" s="40">
        <f t="shared" si="18"/>
        <v>7</v>
      </c>
      <c r="I36" s="4">
        <f t="shared" si="19"/>
        <v>1.5E-3</v>
      </c>
      <c r="J36" s="4">
        <f t="shared" si="20"/>
        <v>1.1666666666666668E-3</v>
      </c>
      <c r="K36" s="4">
        <f t="shared" si="21"/>
        <v>2.3333333333333279E-4</v>
      </c>
      <c r="L36">
        <f t="shared" si="22"/>
        <v>221.24130790225072</v>
      </c>
      <c r="M36">
        <f t="shared" si="23"/>
        <v>221.24130790225072</v>
      </c>
      <c r="N36" t="str">
        <f t="shared" si="24"/>
        <v/>
      </c>
      <c r="O36" s="39">
        <f t="shared" si="25"/>
        <v>0</v>
      </c>
      <c r="Q36">
        <f t="shared" si="26"/>
        <v>196.87281151147312</v>
      </c>
      <c r="R36">
        <f t="shared" si="27"/>
        <v>196.87281151147312</v>
      </c>
      <c r="S36" t="str">
        <f t="shared" si="28"/>
        <v/>
      </c>
      <c r="T36" s="39">
        <f t="shared" si="29"/>
        <v>0</v>
      </c>
      <c r="U36">
        <f t="shared" si="30"/>
        <v>2011</v>
      </c>
      <c r="V36">
        <f t="shared" si="31"/>
        <v>2011</v>
      </c>
      <c r="Y36" s="46" t="s">
        <v>72</v>
      </c>
      <c r="Z36" s="48">
        <v>-9.4333333333333335E-3</v>
      </c>
      <c r="AA36" s="48">
        <v>-1.8666666666666671E-3</v>
      </c>
      <c r="AB36" s="48">
        <v>-1.4066666666666667E-2</v>
      </c>
      <c r="AC36" s="48">
        <v>9.6666666666666602E-4</v>
      </c>
      <c r="AD36" s="48">
        <v>9.7333333333333334E-3</v>
      </c>
      <c r="AE36" s="48">
        <v>-3.9399999999999998E-2</v>
      </c>
      <c r="AF36" s="48"/>
      <c r="AG36" s="48">
        <v>1.9400000000000001E-2</v>
      </c>
      <c r="AH36" s="48"/>
      <c r="AI36" s="48"/>
      <c r="AJ36" s="48"/>
      <c r="AK36" s="48"/>
      <c r="AL36" s="48">
        <v>-3.4666666666666665E-2</v>
      </c>
      <c r="AM36" s="47">
        <f t="shared" si="17"/>
        <v>-4.952380952380952E-3</v>
      </c>
    </row>
    <row r="37" spans="1:39" x14ac:dyDescent="0.25">
      <c r="A37" t="s">
        <v>52</v>
      </c>
      <c r="B37" t="s">
        <v>53</v>
      </c>
      <c r="C37" s="1">
        <v>40826</v>
      </c>
      <c r="D37">
        <v>4979.6000000000004</v>
      </c>
      <c r="E37" s="1">
        <v>40864</v>
      </c>
      <c r="F37">
        <v>4934.75</v>
      </c>
      <c r="G37" s="2">
        <v>-8.9999999999999993E-3</v>
      </c>
      <c r="H37" s="40">
        <f t="shared" si="18"/>
        <v>38</v>
      </c>
      <c r="I37" s="4">
        <f t="shared" si="19"/>
        <v>1.5E-3</v>
      </c>
      <c r="J37" s="4">
        <f t="shared" si="20"/>
        <v>6.3333333333333332E-3</v>
      </c>
      <c r="K37" s="4">
        <f t="shared" si="21"/>
        <v>-1.6833333333333332E-2</v>
      </c>
      <c r="L37">
        <f t="shared" si="22"/>
        <v>219.25013613113046</v>
      </c>
      <c r="M37">
        <f t="shared" si="23"/>
        <v>221.24130790225072</v>
      </c>
      <c r="N37">
        <f t="shared" si="24"/>
        <v>-1.9911717711202641</v>
      </c>
      <c r="O37" s="39">
        <f t="shared" si="25"/>
        <v>-9.000000000000034E-3</v>
      </c>
      <c r="Q37">
        <f t="shared" si="26"/>
        <v>193.55878585102997</v>
      </c>
      <c r="R37">
        <f t="shared" si="27"/>
        <v>196.87281151147312</v>
      </c>
      <c r="S37">
        <f t="shared" si="28"/>
        <v>-3.3140256604431499</v>
      </c>
      <c r="T37" s="39">
        <f t="shared" si="29"/>
        <v>-1.6833333333333429E-2</v>
      </c>
      <c r="U37">
        <f t="shared" si="30"/>
        <v>2011</v>
      </c>
      <c r="V37">
        <f t="shared" si="31"/>
        <v>2011</v>
      </c>
      <c r="Y37" s="46" t="s">
        <v>73</v>
      </c>
      <c r="Z37" s="48"/>
      <c r="AA37" s="48">
        <v>-1.26E-2</v>
      </c>
      <c r="AB37" s="48">
        <v>-1.4900000000000002E-2</v>
      </c>
      <c r="AC37" s="48">
        <v>8.2599999999999993E-2</v>
      </c>
      <c r="AD37" s="48"/>
      <c r="AE37" s="48"/>
      <c r="AF37" s="48"/>
      <c r="AG37" s="48">
        <v>-2.4666666666666665E-3</v>
      </c>
      <c r="AH37" s="48">
        <v>-7.7333333333333334E-3</v>
      </c>
      <c r="AI37" s="48">
        <v>8.2999999999999949E-3</v>
      </c>
      <c r="AJ37" s="48"/>
      <c r="AK37" s="48"/>
      <c r="AL37" s="48">
        <v>5.3199999999999983E-2</v>
      </c>
      <c r="AM37" s="47">
        <f t="shared" si="17"/>
        <v>8.8666666666666633E-3</v>
      </c>
    </row>
    <row r="38" spans="1:39" x14ac:dyDescent="0.25">
      <c r="A38" t="s">
        <v>52</v>
      </c>
      <c r="B38" t="s">
        <v>53</v>
      </c>
      <c r="C38" s="1">
        <v>41053</v>
      </c>
      <c r="D38">
        <v>4921.3999999999996</v>
      </c>
      <c r="E38" s="1">
        <v>41060</v>
      </c>
      <c r="F38">
        <v>4924.25</v>
      </c>
      <c r="G38" s="2">
        <v>5.9999999999999995E-4</v>
      </c>
      <c r="H38" s="40">
        <f t="shared" si="18"/>
        <v>7</v>
      </c>
      <c r="I38" s="4">
        <f t="shared" si="19"/>
        <v>1.5E-3</v>
      </c>
      <c r="J38" s="4">
        <f t="shared" si="20"/>
        <v>1.1666666666666668E-3</v>
      </c>
      <c r="K38" s="4">
        <f t="shared" si="21"/>
        <v>-2.0666666666666672E-3</v>
      </c>
      <c r="L38">
        <f t="shared" si="22"/>
        <v>219.38168621280911</v>
      </c>
      <c r="M38">
        <f t="shared" si="23"/>
        <v>221.24130790225072</v>
      </c>
      <c r="N38">
        <f t="shared" si="24"/>
        <v>-1.8596216894416102</v>
      </c>
      <c r="O38" s="39">
        <f t="shared" si="25"/>
        <v>-8.4054000000001444E-3</v>
      </c>
      <c r="Q38">
        <f t="shared" si="26"/>
        <v>193.15876436027116</v>
      </c>
      <c r="R38">
        <f t="shared" si="27"/>
        <v>196.87281151147312</v>
      </c>
      <c r="S38">
        <f t="shared" si="28"/>
        <v>-3.7140471512019531</v>
      </c>
      <c r="T38" s="39">
        <f t="shared" si="29"/>
        <v>-1.8865211111111248E-2</v>
      </c>
      <c r="U38">
        <f t="shared" si="30"/>
        <v>2012</v>
      </c>
      <c r="V38">
        <f t="shared" si="31"/>
        <v>2012</v>
      </c>
      <c r="Y38" s="46" t="s">
        <v>55</v>
      </c>
      <c r="Z38" s="48">
        <v>-1.9999999999999997E-2</v>
      </c>
      <c r="AA38" s="48">
        <v>0.1564666666666667</v>
      </c>
      <c r="AB38" s="48">
        <v>0.67386666666666661</v>
      </c>
      <c r="AC38" s="48">
        <v>3.9366666666666654E-2</v>
      </c>
      <c r="AD38" s="48">
        <v>0.21863333333333332</v>
      </c>
      <c r="AE38" s="48">
        <v>0.14323333333333335</v>
      </c>
      <c r="AF38" s="48">
        <v>0.22083333333333333</v>
      </c>
      <c r="AG38" s="48">
        <v>-7.2566666666666654E-2</v>
      </c>
      <c r="AH38" s="48">
        <v>0.32770000000000005</v>
      </c>
      <c r="AI38" s="48">
        <v>-1.8233333333333324E-2</v>
      </c>
      <c r="AJ38" s="48">
        <v>7.7233333333333348E-2</v>
      </c>
      <c r="AK38" s="48">
        <v>0.11230000000000002</v>
      </c>
      <c r="AL38" s="48">
        <v>1.8588333333333336</v>
      </c>
      <c r="AM38" s="47">
        <f>AVERAGE(Z38:AK38)</f>
        <v>0.15490277777777778</v>
      </c>
    </row>
    <row r="39" spans="1:39" x14ac:dyDescent="0.25">
      <c r="A39" t="s">
        <v>52</v>
      </c>
      <c r="B39" t="s">
        <v>53</v>
      </c>
      <c r="C39" s="1">
        <v>41066</v>
      </c>
      <c r="D39">
        <v>4997.1000000000004</v>
      </c>
      <c r="E39" s="1">
        <v>41113</v>
      </c>
      <c r="F39">
        <v>5117.95</v>
      </c>
      <c r="G39" s="2">
        <v>2.4199999999999999E-2</v>
      </c>
      <c r="H39" s="40">
        <f t="shared" si="18"/>
        <v>47</v>
      </c>
      <c r="I39" s="4">
        <f t="shared" si="19"/>
        <v>1.5E-3</v>
      </c>
      <c r="J39" s="4">
        <f t="shared" si="20"/>
        <v>7.8333333333333328E-3</v>
      </c>
      <c r="K39" s="4">
        <f t="shared" si="21"/>
        <v>1.4866666666666667E-2</v>
      </c>
      <c r="L39">
        <f t="shared" si="22"/>
        <v>224.69072301915909</v>
      </c>
      <c r="M39">
        <f t="shared" si="23"/>
        <v>224.69072301915909</v>
      </c>
      <c r="N39" t="str">
        <f t="shared" si="24"/>
        <v/>
      </c>
      <c r="O39" s="39">
        <f t="shared" si="25"/>
        <v>0</v>
      </c>
      <c r="Q39">
        <f t="shared" si="26"/>
        <v>196.03039132376051</v>
      </c>
      <c r="R39">
        <f t="shared" si="27"/>
        <v>196.87281151147312</v>
      </c>
      <c r="S39">
        <f t="shared" si="28"/>
        <v>-0.84242018771260518</v>
      </c>
      <c r="T39" s="39">
        <f t="shared" si="29"/>
        <v>-4.2790072496298537E-3</v>
      </c>
      <c r="U39">
        <f t="shared" si="30"/>
        <v>2012</v>
      </c>
      <c r="V39">
        <f t="shared" si="31"/>
        <v>2012</v>
      </c>
      <c r="AM39" s="47"/>
    </row>
    <row r="40" spans="1:39" x14ac:dyDescent="0.25">
      <c r="A40" t="s">
        <v>52</v>
      </c>
      <c r="B40" t="s">
        <v>53</v>
      </c>
      <c r="C40" s="1">
        <v>41120</v>
      </c>
      <c r="D40">
        <v>5199.8</v>
      </c>
      <c r="E40" s="1">
        <v>41157</v>
      </c>
      <c r="F40">
        <v>5225.7</v>
      </c>
      <c r="G40" s="2">
        <v>5.0000000000000001E-3</v>
      </c>
      <c r="H40" s="40">
        <f t="shared" si="18"/>
        <v>37</v>
      </c>
      <c r="I40" s="4">
        <f t="shared" si="19"/>
        <v>1.5E-3</v>
      </c>
      <c r="J40" s="4">
        <f t="shared" si="20"/>
        <v>6.1666666666666675E-3</v>
      </c>
      <c r="K40" s="4">
        <f t="shared" si="21"/>
        <v>-2.666666666666667E-3</v>
      </c>
      <c r="L40">
        <f t="shared" si="22"/>
        <v>225.81417663425486</v>
      </c>
      <c r="M40">
        <f t="shared" si="23"/>
        <v>225.81417663425486</v>
      </c>
      <c r="N40" t="str">
        <f t="shared" si="24"/>
        <v/>
      </c>
      <c r="O40" s="39">
        <f t="shared" si="25"/>
        <v>0</v>
      </c>
      <c r="Q40">
        <f t="shared" si="26"/>
        <v>195.5076436135638</v>
      </c>
      <c r="R40">
        <f t="shared" si="27"/>
        <v>196.87281151147312</v>
      </c>
      <c r="S40">
        <f t="shared" si="28"/>
        <v>-1.3651678979093163</v>
      </c>
      <c r="T40" s="39">
        <f t="shared" si="29"/>
        <v>-6.9342632302975904E-3</v>
      </c>
      <c r="U40">
        <f t="shared" si="30"/>
        <v>2012</v>
      </c>
      <c r="V40">
        <f t="shared" si="31"/>
        <v>2012</v>
      </c>
    </row>
    <row r="41" spans="1:39" x14ac:dyDescent="0.25">
      <c r="A41" t="s">
        <v>52</v>
      </c>
      <c r="B41" t="s">
        <v>53</v>
      </c>
      <c r="C41" s="1">
        <v>41159</v>
      </c>
      <c r="D41">
        <v>5342.1</v>
      </c>
      <c r="E41" s="1">
        <v>41326</v>
      </c>
      <c r="F41">
        <v>5852.25</v>
      </c>
      <c r="G41" s="2">
        <v>9.5500000000000002E-2</v>
      </c>
      <c r="H41" s="40">
        <f t="shared" si="18"/>
        <v>167</v>
      </c>
      <c r="I41" s="4">
        <f t="shared" si="19"/>
        <v>1.5E-3</v>
      </c>
      <c r="J41" s="4">
        <f t="shared" si="20"/>
        <v>2.7833333333333331E-2</v>
      </c>
      <c r="K41" s="4">
        <f t="shared" si="21"/>
        <v>6.6166666666666665E-2</v>
      </c>
      <c r="L41">
        <f t="shared" si="22"/>
        <v>247.37943050282618</v>
      </c>
      <c r="M41">
        <f t="shared" si="23"/>
        <v>247.37943050282618</v>
      </c>
      <c r="N41" t="str">
        <f t="shared" si="24"/>
        <v/>
      </c>
      <c r="O41" s="39">
        <f t="shared" si="25"/>
        <v>0</v>
      </c>
      <c r="Q41">
        <f t="shared" si="26"/>
        <v>208.44373269932794</v>
      </c>
      <c r="R41">
        <f t="shared" si="27"/>
        <v>208.44373269932794</v>
      </c>
      <c r="S41" t="str">
        <f t="shared" si="28"/>
        <v/>
      </c>
      <c r="T41" s="39">
        <f t="shared" si="29"/>
        <v>0</v>
      </c>
      <c r="U41">
        <f t="shared" si="30"/>
        <v>2013</v>
      </c>
      <c r="V41">
        <f t="shared" si="31"/>
        <v>2012</v>
      </c>
    </row>
    <row r="42" spans="1:39" x14ac:dyDescent="0.25">
      <c r="A42" t="s">
        <v>52</v>
      </c>
      <c r="B42" t="s">
        <v>53</v>
      </c>
      <c r="C42" s="1">
        <v>41509</v>
      </c>
      <c r="D42">
        <v>5471.75</v>
      </c>
      <c r="E42" s="1">
        <v>41513</v>
      </c>
      <c r="F42">
        <v>5287.45</v>
      </c>
      <c r="G42" s="2">
        <v>-3.3700000000000001E-2</v>
      </c>
      <c r="H42" s="40">
        <f t="shared" si="18"/>
        <v>4</v>
      </c>
      <c r="I42" s="4">
        <f t="shared" si="19"/>
        <v>1.5E-3</v>
      </c>
      <c r="J42" s="4">
        <f t="shared" si="20"/>
        <v>6.6666666666666664E-4</v>
      </c>
      <c r="K42" s="4">
        <f t="shared" si="21"/>
        <v>-3.5866666666666665E-2</v>
      </c>
      <c r="L42">
        <f t="shared" si="22"/>
        <v>239.04274369488095</v>
      </c>
      <c r="M42">
        <f t="shared" si="23"/>
        <v>247.37943050282618</v>
      </c>
      <c r="N42">
        <f t="shared" si="24"/>
        <v>-8.3366868079452274</v>
      </c>
      <c r="O42" s="39">
        <f t="shared" si="25"/>
        <v>-3.3699999999999938E-2</v>
      </c>
      <c r="Q42">
        <f t="shared" si="26"/>
        <v>200.96755081984537</v>
      </c>
      <c r="R42">
        <f t="shared" si="27"/>
        <v>208.44373269932794</v>
      </c>
      <c r="S42">
        <f t="shared" si="28"/>
        <v>-7.4761818794825672</v>
      </c>
      <c r="T42" s="39">
        <f t="shared" si="29"/>
        <v>-3.5866666666666693E-2</v>
      </c>
      <c r="U42">
        <f t="shared" si="30"/>
        <v>2013</v>
      </c>
      <c r="V42">
        <f t="shared" si="31"/>
        <v>2013</v>
      </c>
    </row>
    <row r="43" spans="1:39" x14ac:dyDescent="0.25">
      <c r="A43" t="s">
        <v>52</v>
      </c>
      <c r="B43" t="s">
        <v>53</v>
      </c>
      <c r="C43" s="1">
        <v>41515</v>
      </c>
      <c r="D43">
        <v>5409.05</v>
      </c>
      <c r="E43" s="1">
        <v>41520</v>
      </c>
      <c r="F43">
        <v>5341.45</v>
      </c>
      <c r="G43" s="2">
        <v>-1.2500000000000001E-2</v>
      </c>
      <c r="H43" s="40">
        <f t="shared" si="18"/>
        <v>5</v>
      </c>
      <c r="I43" s="4">
        <f t="shared" si="19"/>
        <v>1.5E-3</v>
      </c>
      <c r="J43" s="4">
        <f t="shared" si="20"/>
        <v>8.3333333333333328E-4</v>
      </c>
      <c r="K43" s="4">
        <f t="shared" si="21"/>
        <v>-1.4833333333333334E-2</v>
      </c>
      <c r="L43">
        <f t="shared" si="22"/>
        <v>236.05470939869494</v>
      </c>
      <c r="M43">
        <f t="shared" si="23"/>
        <v>247.37943050282618</v>
      </c>
      <c r="N43">
        <f t="shared" si="24"/>
        <v>-11.324721104131243</v>
      </c>
      <c r="O43" s="39">
        <f t="shared" si="25"/>
        <v>-4.5778749999999951E-2</v>
      </c>
      <c r="Q43">
        <f t="shared" si="26"/>
        <v>197.98653214935098</v>
      </c>
      <c r="R43">
        <f t="shared" si="27"/>
        <v>208.44373269932794</v>
      </c>
      <c r="S43">
        <f t="shared" si="28"/>
        <v>-10.45720054997696</v>
      </c>
      <c r="T43" s="39">
        <f t="shared" si="29"/>
        <v>-5.01679777777779E-2</v>
      </c>
      <c r="U43">
        <f t="shared" si="30"/>
        <v>2013</v>
      </c>
      <c r="V43">
        <f t="shared" si="31"/>
        <v>2013</v>
      </c>
    </row>
    <row r="44" spans="1:39" x14ac:dyDescent="0.25">
      <c r="A44" t="s">
        <v>52</v>
      </c>
      <c r="B44" t="s">
        <v>53</v>
      </c>
      <c r="C44" s="1">
        <v>41522</v>
      </c>
      <c r="D44">
        <v>5592.95</v>
      </c>
      <c r="E44" s="1">
        <v>41590</v>
      </c>
      <c r="F44">
        <v>6018.05</v>
      </c>
      <c r="G44" s="2">
        <v>7.5999999999999998E-2</v>
      </c>
      <c r="H44" s="40">
        <f t="shared" si="18"/>
        <v>68</v>
      </c>
      <c r="I44" s="4">
        <f t="shared" si="19"/>
        <v>1.5E-3</v>
      </c>
      <c r="J44" s="4">
        <f t="shared" si="20"/>
        <v>1.1333333333333332E-2</v>
      </c>
      <c r="K44" s="4">
        <f t="shared" si="21"/>
        <v>6.3166666666666663E-2</v>
      </c>
      <c r="L44">
        <f t="shared" si="22"/>
        <v>253.99486731299578</v>
      </c>
      <c r="M44">
        <f t="shared" si="23"/>
        <v>253.99486731299578</v>
      </c>
      <c r="N44" t="str">
        <f t="shared" si="24"/>
        <v/>
      </c>
      <c r="O44" s="39">
        <f t="shared" si="25"/>
        <v>0</v>
      </c>
      <c r="Q44">
        <f t="shared" si="26"/>
        <v>210.4926814301183</v>
      </c>
      <c r="R44">
        <f t="shared" si="27"/>
        <v>210.4926814301183</v>
      </c>
      <c r="S44" t="str">
        <f t="shared" si="28"/>
        <v/>
      </c>
      <c r="T44" s="39">
        <f t="shared" si="29"/>
        <v>0</v>
      </c>
      <c r="U44">
        <f t="shared" si="30"/>
        <v>2013</v>
      </c>
      <c r="V44">
        <f t="shared" si="31"/>
        <v>2013</v>
      </c>
    </row>
    <row r="45" spans="1:39" x14ac:dyDescent="0.25">
      <c r="A45" t="s">
        <v>52</v>
      </c>
      <c r="B45" t="s">
        <v>53</v>
      </c>
      <c r="C45" s="1">
        <v>41596</v>
      </c>
      <c r="D45">
        <v>6189</v>
      </c>
      <c r="E45" s="1">
        <v>41599</v>
      </c>
      <c r="F45">
        <v>5999.05</v>
      </c>
      <c r="G45" s="2">
        <v>-3.0700000000000002E-2</v>
      </c>
      <c r="H45" s="40">
        <f t="shared" si="18"/>
        <v>3</v>
      </c>
      <c r="I45" s="4">
        <f t="shared" si="19"/>
        <v>1.5E-3</v>
      </c>
      <c r="J45" s="4">
        <f t="shared" si="20"/>
        <v>5.0000000000000001E-4</v>
      </c>
      <c r="K45" s="4">
        <f t="shared" si="21"/>
        <v>-3.27E-2</v>
      </c>
      <c r="L45">
        <f t="shared" si="22"/>
        <v>246.19722488648682</v>
      </c>
      <c r="M45">
        <f t="shared" si="23"/>
        <v>253.99486731299578</v>
      </c>
      <c r="N45">
        <f t="shared" si="24"/>
        <v>-7.7976424265089577</v>
      </c>
      <c r="O45" s="39">
        <f t="shared" si="25"/>
        <v>-3.069999999999995E-2</v>
      </c>
      <c r="Q45">
        <f t="shared" si="26"/>
        <v>203.60957074735344</v>
      </c>
      <c r="R45">
        <f t="shared" si="27"/>
        <v>210.4926814301183</v>
      </c>
      <c r="S45">
        <f t="shared" si="28"/>
        <v>-6.8831106827648512</v>
      </c>
      <c r="T45" s="39">
        <f t="shared" si="29"/>
        <v>-3.2699999999999917E-2</v>
      </c>
      <c r="U45">
        <f t="shared" si="30"/>
        <v>2013</v>
      </c>
      <c r="V45">
        <f t="shared" si="31"/>
        <v>2013</v>
      </c>
    </row>
    <row r="46" spans="1:39" x14ac:dyDescent="0.25">
      <c r="A46" t="s">
        <v>52</v>
      </c>
      <c r="B46" t="s">
        <v>53</v>
      </c>
      <c r="C46" s="1">
        <v>41603</v>
      </c>
      <c r="D46">
        <v>6115.35</v>
      </c>
      <c r="E46" s="1">
        <v>41666</v>
      </c>
      <c r="F46">
        <v>6135.85</v>
      </c>
      <c r="G46" s="2">
        <v>3.3999999999999998E-3</v>
      </c>
      <c r="H46" s="40">
        <f t="shared" si="18"/>
        <v>63</v>
      </c>
      <c r="I46" s="4">
        <f t="shared" si="19"/>
        <v>1.5E-3</v>
      </c>
      <c r="J46" s="4">
        <f t="shared" si="20"/>
        <v>1.0500000000000001E-2</v>
      </c>
      <c r="K46" s="4">
        <f t="shared" si="21"/>
        <v>-8.6E-3</v>
      </c>
      <c r="L46">
        <f t="shared" si="22"/>
        <v>247.03429545110089</v>
      </c>
      <c r="M46">
        <f t="shared" si="23"/>
        <v>253.99486731299578</v>
      </c>
      <c r="N46">
        <f t="shared" si="24"/>
        <v>-6.9605718618948913</v>
      </c>
      <c r="O46" s="39">
        <f t="shared" si="25"/>
        <v>-2.7404379999999905E-2</v>
      </c>
      <c r="Q46">
        <f t="shared" si="26"/>
        <v>201.85852843892619</v>
      </c>
      <c r="R46">
        <f t="shared" si="27"/>
        <v>210.4926814301183</v>
      </c>
      <c r="S46">
        <f t="shared" si="28"/>
        <v>-8.63415299119211</v>
      </c>
      <c r="T46" s="39">
        <f t="shared" si="29"/>
        <v>-4.1018780000000012E-2</v>
      </c>
      <c r="U46">
        <f t="shared" si="30"/>
        <v>2014</v>
      </c>
      <c r="V46">
        <f t="shared" si="31"/>
        <v>2013</v>
      </c>
    </row>
    <row r="47" spans="1:39" x14ac:dyDescent="0.25">
      <c r="A47" t="s">
        <v>52</v>
      </c>
      <c r="B47" t="s">
        <v>53</v>
      </c>
      <c r="C47" s="1">
        <v>41677</v>
      </c>
      <c r="D47">
        <v>6063.2</v>
      </c>
      <c r="E47" s="1">
        <v>41683</v>
      </c>
      <c r="F47">
        <v>6001.1</v>
      </c>
      <c r="G47" s="2">
        <v>-1.0200000000000001E-2</v>
      </c>
      <c r="H47" s="40">
        <f t="shared" si="18"/>
        <v>6</v>
      </c>
      <c r="I47" s="4">
        <f t="shared" si="19"/>
        <v>1.5E-3</v>
      </c>
      <c r="J47" s="4">
        <f t="shared" si="20"/>
        <v>1E-3</v>
      </c>
      <c r="K47" s="4">
        <f t="shared" si="21"/>
        <v>-1.2700000000000001E-2</v>
      </c>
      <c r="L47">
        <f t="shared" si="22"/>
        <v>244.51454563749965</v>
      </c>
      <c r="M47">
        <f t="shared" si="23"/>
        <v>253.99486731299578</v>
      </c>
      <c r="N47">
        <f t="shared" si="24"/>
        <v>-9.4803216754961284</v>
      </c>
      <c r="O47" s="39">
        <f t="shared" si="25"/>
        <v>-3.7324855323999935E-2</v>
      </c>
      <c r="Q47">
        <f t="shared" si="26"/>
        <v>199.29492512775181</v>
      </c>
      <c r="R47">
        <f t="shared" si="27"/>
        <v>210.4926814301183</v>
      </c>
      <c r="S47">
        <f t="shared" si="28"/>
        <v>-11.197756302366486</v>
      </c>
      <c r="T47" s="39">
        <f t="shared" si="29"/>
        <v>-5.3197841494000073E-2</v>
      </c>
      <c r="U47">
        <f t="shared" si="30"/>
        <v>2014</v>
      </c>
      <c r="V47">
        <f t="shared" si="31"/>
        <v>2014</v>
      </c>
    </row>
    <row r="48" spans="1:39" x14ac:dyDescent="0.25">
      <c r="A48" t="s">
        <v>52</v>
      </c>
      <c r="B48" t="s">
        <v>53</v>
      </c>
      <c r="C48" s="1">
        <v>41688</v>
      </c>
      <c r="D48">
        <v>6127.1</v>
      </c>
      <c r="E48" s="1">
        <v>41831</v>
      </c>
      <c r="F48">
        <v>7459.6</v>
      </c>
      <c r="G48" s="2">
        <v>0.2175</v>
      </c>
      <c r="H48" s="40">
        <f t="shared" si="18"/>
        <v>143</v>
      </c>
      <c r="I48" s="4">
        <f t="shared" si="19"/>
        <v>1.5E-3</v>
      </c>
      <c r="J48" s="4">
        <f t="shared" si="20"/>
        <v>2.3833333333333335E-2</v>
      </c>
      <c r="K48" s="4">
        <f t="shared" si="21"/>
        <v>0.19216666666666665</v>
      </c>
      <c r="L48">
        <f t="shared" si="22"/>
        <v>297.69645931365585</v>
      </c>
      <c r="M48">
        <f t="shared" si="23"/>
        <v>297.69645931365585</v>
      </c>
      <c r="N48" t="str">
        <f t="shared" si="24"/>
        <v/>
      </c>
      <c r="O48" s="39">
        <f t="shared" si="25"/>
        <v>0</v>
      </c>
      <c r="Q48">
        <f t="shared" si="26"/>
        <v>237.59276657313478</v>
      </c>
      <c r="R48">
        <f t="shared" si="27"/>
        <v>237.59276657313478</v>
      </c>
      <c r="S48" t="str">
        <f t="shared" si="28"/>
        <v/>
      </c>
      <c r="T48" s="39">
        <f t="shared" si="29"/>
        <v>0</v>
      </c>
      <c r="U48">
        <f t="shared" si="30"/>
        <v>2014</v>
      </c>
      <c r="V48">
        <f t="shared" si="31"/>
        <v>2014</v>
      </c>
    </row>
    <row r="49" spans="1:22" x14ac:dyDescent="0.25">
      <c r="A49" t="s">
        <v>52</v>
      </c>
      <c r="B49" t="s">
        <v>53</v>
      </c>
      <c r="C49" s="1">
        <v>41836</v>
      </c>
      <c r="D49">
        <v>7624.4</v>
      </c>
      <c r="E49" s="1">
        <v>41851</v>
      </c>
      <c r="F49">
        <v>7721.299</v>
      </c>
      <c r="G49" s="2">
        <v>1.2699999999999999E-2</v>
      </c>
      <c r="H49" s="40">
        <f t="shared" si="18"/>
        <v>15</v>
      </c>
      <c r="I49" s="4">
        <f t="shared" si="19"/>
        <v>1.5E-3</v>
      </c>
      <c r="J49" s="4">
        <f t="shared" si="20"/>
        <v>2.5000000000000001E-3</v>
      </c>
      <c r="K49" s="4">
        <f t="shared" si="21"/>
        <v>8.6999999999999994E-3</v>
      </c>
      <c r="L49">
        <f t="shared" si="22"/>
        <v>301.47720434693929</v>
      </c>
      <c r="M49">
        <f t="shared" si="23"/>
        <v>301.47720434693929</v>
      </c>
      <c r="N49" t="str">
        <f t="shared" si="24"/>
        <v/>
      </c>
      <c r="O49" s="39">
        <f t="shared" si="25"/>
        <v>0</v>
      </c>
      <c r="Q49">
        <f t="shared" si="26"/>
        <v>239.65982364232104</v>
      </c>
      <c r="R49">
        <f t="shared" si="27"/>
        <v>239.65982364232104</v>
      </c>
      <c r="S49" t="str">
        <f t="shared" si="28"/>
        <v/>
      </c>
      <c r="T49" s="39">
        <f t="shared" si="29"/>
        <v>0</v>
      </c>
      <c r="U49">
        <f t="shared" si="30"/>
        <v>2014</v>
      </c>
      <c r="V49">
        <f t="shared" si="31"/>
        <v>2014</v>
      </c>
    </row>
    <row r="50" spans="1:22" x14ac:dyDescent="0.25">
      <c r="A50" t="s">
        <v>52</v>
      </c>
      <c r="B50" t="s">
        <v>53</v>
      </c>
      <c r="C50" s="1">
        <v>41863</v>
      </c>
      <c r="D50">
        <v>7727.05</v>
      </c>
      <c r="E50" s="1">
        <v>41919</v>
      </c>
      <c r="F50">
        <v>7852.4</v>
      </c>
      <c r="G50" s="2">
        <v>1.6199999999999999E-2</v>
      </c>
      <c r="H50" s="40">
        <f t="shared" si="18"/>
        <v>56</v>
      </c>
      <c r="I50" s="4">
        <f t="shared" si="19"/>
        <v>1.5E-3</v>
      </c>
      <c r="J50" s="4">
        <f t="shared" si="20"/>
        <v>9.3333333333333341E-3</v>
      </c>
      <c r="K50" s="4">
        <f t="shared" si="21"/>
        <v>5.3666666666666654E-3</v>
      </c>
      <c r="L50">
        <f t="shared" si="22"/>
        <v>306.36113505735972</v>
      </c>
      <c r="M50">
        <f t="shared" si="23"/>
        <v>306.36113505735972</v>
      </c>
      <c r="N50" t="str">
        <f t="shared" si="24"/>
        <v/>
      </c>
      <c r="O50" s="39">
        <f t="shared" si="25"/>
        <v>0</v>
      </c>
      <c r="Q50">
        <f t="shared" si="26"/>
        <v>240.94599802920152</v>
      </c>
      <c r="R50">
        <f t="shared" si="27"/>
        <v>240.94599802920152</v>
      </c>
      <c r="S50" t="str">
        <f t="shared" si="28"/>
        <v/>
      </c>
      <c r="T50" s="39">
        <f t="shared" si="29"/>
        <v>0</v>
      </c>
      <c r="U50">
        <f t="shared" si="30"/>
        <v>2014</v>
      </c>
      <c r="V50">
        <f t="shared" si="31"/>
        <v>2014</v>
      </c>
    </row>
    <row r="51" spans="1:22" x14ac:dyDescent="0.25">
      <c r="A51" t="s">
        <v>52</v>
      </c>
      <c r="B51" t="s">
        <v>53</v>
      </c>
      <c r="C51" s="1">
        <v>41921</v>
      </c>
      <c r="D51">
        <v>7960.55</v>
      </c>
      <c r="E51" s="1">
        <v>41928</v>
      </c>
      <c r="F51">
        <v>7748.201</v>
      </c>
      <c r="G51" s="2">
        <v>-2.6700000000000002E-2</v>
      </c>
      <c r="H51" s="40">
        <f t="shared" si="18"/>
        <v>7</v>
      </c>
      <c r="I51" s="4">
        <f t="shared" si="19"/>
        <v>1.5E-3</v>
      </c>
      <c r="J51" s="4">
        <f t="shared" si="20"/>
        <v>1.1666666666666668E-3</v>
      </c>
      <c r="K51" s="4">
        <f t="shared" si="21"/>
        <v>-2.9366666666666669E-2</v>
      </c>
      <c r="L51">
        <f t="shared" si="22"/>
        <v>298.18129275132821</v>
      </c>
      <c r="M51">
        <f t="shared" si="23"/>
        <v>306.36113505735972</v>
      </c>
      <c r="N51">
        <f t="shared" si="24"/>
        <v>-8.1798423060315031</v>
      </c>
      <c r="O51" s="39">
        <f t="shared" si="25"/>
        <v>-2.6699999999999995E-2</v>
      </c>
      <c r="Q51">
        <f t="shared" si="26"/>
        <v>233.87021722041064</v>
      </c>
      <c r="R51">
        <f t="shared" si="27"/>
        <v>240.94599802920152</v>
      </c>
      <c r="S51">
        <f t="shared" si="28"/>
        <v>-7.0757808087908813</v>
      </c>
      <c r="T51" s="39">
        <f t="shared" si="29"/>
        <v>-2.9366666666666652E-2</v>
      </c>
      <c r="U51">
        <f t="shared" si="30"/>
        <v>2014</v>
      </c>
      <c r="V51">
        <f t="shared" si="31"/>
        <v>2014</v>
      </c>
    </row>
    <row r="52" spans="1:22" x14ac:dyDescent="0.25">
      <c r="A52" t="s">
        <v>52</v>
      </c>
      <c r="B52" t="s">
        <v>53</v>
      </c>
      <c r="C52" s="1">
        <v>41933</v>
      </c>
      <c r="D52">
        <v>7927.75</v>
      </c>
      <c r="E52" s="1">
        <v>41985</v>
      </c>
      <c r="F52">
        <v>8224.1</v>
      </c>
      <c r="G52" s="2">
        <v>3.7400000000000003E-2</v>
      </c>
      <c r="H52" s="40">
        <f t="shared" si="18"/>
        <v>52</v>
      </c>
      <c r="I52" s="4">
        <f t="shared" si="19"/>
        <v>1.5E-3</v>
      </c>
      <c r="J52" s="4">
        <f t="shared" si="20"/>
        <v>8.666666666666668E-3</v>
      </c>
      <c r="K52" s="4">
        <f t="shared" si="21"/>
        <v>2.7233333333333335E-2</v>
      </c>
      <c r="L52">
        <f t="shared" si="22"/>
        <v>309.33327310022793</v>
      </c>
      <c r="M52">
        <f t="shared" si="23"/>
        <v>309.33327310022793</v>
      </c>
      <c r="N52" t="str">
        <f t="shared" si="24"/>
        <v/>
      </c>
      <c r="O52" s="39">
        <f t="shared" si="25"/>
        <v>0</v>
      </c>
      <c r="Q52">
        <f t="shared" si="26"/>
        <v>240.23928280271318</v>
      </c>
      <c r="R52">
        <f t="shared" si="27"/>
        <v>240.94599802920152</v>
      </c>
      <c r="S52">
        <f t="shared" si="28"/>
        <v>-0.70671522648834184</v>
      </c>
      <c r="T52" s="39">
        <f t="shared" si="29"/>
        <v>-2.9330855555554456E-3</v>
      </c>
      <c r="U52">
        <f t="shared" si="30"/>
        <v>2014</v>
      </c>
      <c r="V52">
        <f t="shared" si="31"/>
        <v>2014</v>
      </c>
    </row>
    <row r="53" spans="1:22" x14ac:dyDescent="0.25">
      <c r="A53" t="s">
        <v>52</v>
      </c>
      <c r="B53" t="s">
        <v>53</v>
      </c>
      <c r="C53" s="1">
        <v>41991</v>
      </c>
      <c r="D53">
        <v>8159.3</v>
      </c>
      <c r="E53" s="1">
        <v>41997</v>
      </c>
      <c r="F53">
        <v>8174.1</v>
      </c>
      <c r="G53" s="2">
        <v>1.8E-3</v>
      </c>
      <c r="H53" s="40">
        <f t="shared" si="18"/>
        <v>6</v>
      </c>
      <c r="I53" s="4">
        <f t="shared" si="19"/>
        <v>1.5E-3</v>
      </c>
      <c r="J53" s="4">
        <f t="shared" si="20"/>
        <v>1E-3</v>
      </c>
      <c r="K53" s="4">
        <f t="shared" si="21"/>
        <v>-7.000000000000001E-4</v>
      </c>
      <c r="L53">
        <f t="shared" si="22"/>
        <v>309.89007299180832</v>
      </c>
      <c r="M53">
        <f t="shared" si="23"/>
        <v>309.89007299180832</v>
      </c>
      <c r="N53" t="str">
        <f t="shared" si="24"/>
        <v/>
      </c>
      <c r="O53" s="39">
        <f t="shared" si="25"/>
        <v>0</v>
      </c>
      <c r="Q53">
        <f t="shared" si="26"/>
        <v>240.07111530475126</v>
      </c>
      <c r="R53">
        <f t="shared" si="27"/>
        <v>240.94599802920152</v>
      </c>
      <c r="S53">
        <f t="shared" si="28"/>
        <v>-0.87488272445025927</v>
      </c>
      <c r="T53" s="39">
        <f t="shared" si="29"/>
        <v>-3.6310323956666325E-3</v>
      </c>
      <c r="U53">
        <f t="shared" si="30"/>
        <v>2014</v>
      </c>
      <c r="V53">
        <f t="shared" si="31"/>
        <v>2014</v>
      </c>
    </row>
    <row r="54" spans="1:22" x14ac:dyDescent="0.25">
      <c r="A54" t="s">
        <v>52</v>
      </c>
      <c r="B54" t="s">
        <v>53</v>
      </c>
      <c r="C54" s="1">
        <v>42006</v>
      </c>
      <c r="D54">
        <v>8395.4500000000007</v>
      </c>
      <c r="E54" s="1">
        <v>42010</v>
      </c>
      <c r="F54">
        <v>8127.35</v>
      </c>
      <c r="G54" s="2">
        <v>-3.1899999999999998E-2</v>
      </c>
      <c r="H54" s="40">
        <f t="shared" si="18"/>
        <v>4</v>
      </c>
      <c r="I54" s="4">
        <f t="shared" si="19"/>
        <v>1.5E-3</v>
      </c>
      <c r="J54" s="4">
        <f t="shared" si="20"/>
        <v>6.6666666666666664E-4</v>
      </c>
      <c r="K54" s="4">
        <f t="shared" si="21"/>
        <v>-3.4066666666666662E-2</v>
      </c>
      <c r="L54">
        <f t="shared" si="22"/>
        <v>300.00457966336961</v>
      </c>
      <c r="M54">
        <f t="shared" si="23"/>
        <v>309.89007299180832</v>
      </c>
      <c r="N54">
        <f t="shared" si="24"/>
        <v>-9.885493328438713</v>
      </c>
      <c r="O54" s="39">
        <f t="shared" si="25"/>
        <v>-3.1900000000000088E-2</v>
      </c>
      <c r="Q54">
        <f t="shared" si="26"/>
        <v>231.8926926433694</v>
      </c>
      <c r="R54">
        <f t="shared" si="27"/>
        <v>240.94599802920152</v>
      </c>
      <c r="S54">
        <f t="shared" si="28"/>
        <v>-9.0533053858321182</v>
      </c>
      <c r="T54" s="39">
        <f t="shared" si="29"/>
        <v>-3.7574001892054253E-2</v>
      </c>
      <c r="U54">
        <f t="shared" si="30"/>
        <v>2015</v>
      </c>
      <c r="V54">
        <f t="shared" si="31"/>
        <v>2015</v>
      </c>
    </row>
    <row r="55" spans="1:22" x14ac:dyDescent="0.25">
      <c r="A55" t="s">
        <v>52</v>
      </c>
      <c r="B55" t="s">
        <v>53</v>
      </c>
      <c r="C55" s="1">
        <v>42012</v>
      </c>
      <c r="D55">
        <v>8234.6</v>
      </c>
      <c r="E55" s="1">
        <v>42044</v>
      </c>
      <c r="F55">
        <v>8526.35</v>
      </c>
      <c r="G55" s="2">
        <v>3.5400000000000001E-2</v>
      </c>
      <c r="H55" s="40">
        <f t="shared" si="18"/>
        <v>32</v>
      </c>
      <c r="I55" s="4">
        <f t="shared" si="19"/>
        <v>1.5E-3</v>
      </c>
      <c r="J55" s="4">
        <f t="shared" si="20"/>
        <v>5.3333333333333332E-3</v>
      </c>
      <c r="K55" s="4">
        <f t="shared" si="21"/>
        <v>2.8566666666666667E-2</v>
      </c>
      <c r="L55">
        <f t="shared" si="22"/>
        <v>310.62474178345292</v>
      </c>
      <c r="M55">
        <f t="shared" si="23"/>
        <v>310.62474178345292</v>
      </c>
      <c r="N55" t="str">
        <f t="shared" si="24"/>
        <v/>
      </c>
      <c r="O55" s="39">
        <f t="shared" si="25"/>
        <v>0</v>
      </c>
      <c r="Q55">
        <f t="shared" si="26"/>
        <v>238.51709389654832</v>
      </c>
      <c r="R55">
        <f t="shared" si="27"/>
        <v>240.94599802920152</v>
      </c>
      <c r="S55">
        <f t="shared" si="28"/>
        <v>-2.4289041326532015</v>
      </c>
      <c r="T55" s="39">
        <f t="shared" si="29"/>
        <v>-1.0080699212770614E-2</v>
      </c>
      <c r="U55">
        <f t="shared" si="30"/>
        <v>2015</v>
      </c>
      <c r="V55">
        <f t="shared" si="31"/>
        <v>2015</v>
      </c>
    </row>
    <row r="56" spans="1:22" x14ac:dyDescent="0.25">
      <c r="A56" t="s">
        <v>52</v>
      </c>
      <c r="B56" t="s">
        <v>53</v>
      </c>
      <c r="C56" s="1">
        <v>42047</v>
      </c>
      <c r="D56">
        <v>8711.5499999999993</v>
      </c>
      <c r="E56" s="1">
        <v>42058</v>
      </c>
      <c r="F56">
        <v>8754.9500000000007</v>
      </c>
      <c r="G56" s="2">
        <v>5.0000000000000001E-3</v>
      </c>
      <c r="H56" s="40">
        <f t="shared" si="18"/>
        <v>11</v>
      </c>
      <c r="I56" s="4">
        <f t="shared" si="19"/>
        <v>1.5E-3</v>
      </c>
      <c r="J56" s="4">
        <f t="shared" si="20"/>
        <v>1.8333333333333333E-3</v>
      </c>
      <c r="K56" s="4">
        <f t="shared" si="21"/>
        <v>1.666666666666667E-3</v>
      </c>
      <c r="L56">
        <f t="shared" si="22"/>
        <v>312.17786549237013</v>
      </c>
      <c r="M56">
        <f t="shared" si="23"/>
        <v>312.17786549237013</v>
      </c>
      <c r="N56" t="str">
        <f t="shared" si="24"/>
        <v/>
      </c>
      <c r="O56" s="39">
        <f t="shared" si="25"/>
        <v>0</v>
      </c>
      <c r="Q56">
        <f t="shared" si="26"/>
        <v>238.9146223863759</v>
      </c>
      <c r="R56">
        <f t="shared" si="27"/>
        <v>240.94599802920152</v>
      </c>
      <c r="S56">
        <f t="shared" si="28"/>
        <v>-2.0313756428256227</v>
      </c>
      <c r="T56" s="39">
        <f t="shared" si="29"/>
        <v>-8.4308337114585713E-3</v>
      </c>
      <c r="U56">
        <f t="shared" si="30"/>
        <v>2015</v>
      </c>
      <c r="V56">
        <f t="shared" si="31"/>
        <v>2015</v>
      </c>
    </row>
    <row r="57" spans="1:22" x14ac:dyDescent="0.25">
      <c r="A57" t="s">
        <v>52</v>
      </c>
      <c r="B57" t="s">
        <v>53</v>
      </c>
      <c r="C57" s="1">
        <v>42062</v>
      </c>
      <c r="D57">
        <v>8844.6</v>
      </c>
      <c r="E57" s="1">
        <v>42072</v>
      </c>
      <c r="F57">
        <v>8756.75</v>
      </c>
      <c r="G57" s="2">
        <v>-9.9000000000000008E-3</v>
      </c>
      <c r="H57" s="40">
        <f t="shared" si="18"/>
        <v>10</v>
      </c>
      <c r="I57" s="4">
        <f t="shared" si="19"/>
        <v>1.5E-3</v>
      </c>
      <c r="J57" s="4">
        <f t="shared" si="20"/>
        <v>1.6666666666666666E-3</v>
      </c>
      <c r="K57" s="4">
        <f t="shared" si="21"/>
        <v>-1.3066666666666667E-2</v>
      </c>
      <c r="L57">
        <f t="shared" si="22"/>
        <v>309.08730462399564</v>
      </c>
      <c r="M57">
        <f t="shared" si="23"/>
        <v>312.17786549237013</v>
      </c>
      <c r="N57">
        <f t="shared" si="24"/>
        <v>-3.0905608683744958</v>
      </c>
      <c r="O57" s="39">
        <f t="shared" si="25"/>
        <v>-9.9000000000001014E-3</v>
      </c>
      <c r="Q57">
        <f t="shared" si="26"/>
        <v>235.79280465386057</v>
      </c>
      <c r="R57">
        <f t="shared" si="27"/>
        <v>240.94599802920152</v>
      </c>
      <c r="S57">
        <f t="shared" si="28"/>
        <v>-5.1531933753409476</v>
      </c>
      <c r="T57" s="39">
        <f t="shared" si="29"/>
        <v>-2.1387337484295568E-2</v>
      </c>
      <c r="U57">
        <f t="shared" si="30"/>
        <v>2015</v>
      </c>
      <c r="V57">
        <f t="shared" si="31"/>
        <v>2015</v>
      </c>
    </row>
    <row r="58" spans="1:22" x14ac:dyDescent="0.25">
      <c r="A58" t="s">
        <v>52</v>
      </c>
      <c r="B58" t="s">
        <v>53</v>
      </c>
      <c r="C58" s="1">
        <v>42093</v>
      </c>
      <c r="D58">
        <v>8492.2999999999993</v>
      </c>
      <c r="E58" s="1">
        <v>42114</v>
      </c>
      <c r="F58">
        <v>8448.1</v>
      </c>
      <c r="G58" s="2">
        <v>-5.1999999999999998E-3</v>
      </c>
      <c r="H58" s="40">
        <f t="shared" si="18"/>
        <v>21</v>
      </c>
      <c r="I58" s="4">
        <f t="shared" si="19"/>
        <v>1.5E-3</v>
      </c>
      <c r="J58" s="4">
        <f t="shared" si="20"/>
        <v>3.4999999999999996E-3</v>
      </c>
      <c r="K58" s="4">
        <f t="shared" si="21"/>
        <v>-1.0199999999999999E-2</v>
      </c>
      <c r="L58">
        <f t="shared" si="22"/>
        <v>307.48005063995089</v>
      </c>
      <c r="M58">
        <f t="shared" si="23"/>
        <v>312.17786549237013</v>
      </c>
      <c r="N58">
        <f t="shared" si="24"/>
        <v>-4.697814852419242</v>
      </c>
      <c r="O58" s="39">
        <f t="shared" si="25"/>
        <v>-1.5048520000000001E-2</v>
      </c>
      <c r="Q58">
        <f t="shared" si="26"/>
        <v>233.3877180463912</v>
      </c>
      <c r="R58">
        <f t="shared" si="27"/>
        <v>240.94599802920152</v>
      </c>
      <c r="S58">
        <f t="shared" si="28"/>
        <v>-7.5582799828103191</v>
      </c>
      <c r="T58" s="39">
        <f t="shared" si="29"/>
        <v>-3.1369186641955725E-2</v>
      </c>
      <c r="U58">
        <f t="shared" si="30"/>
        <v>2015</v>
      </c>
      <c r="V58">
        <f t="shared" si="31"/>
        <v>2015</v>
      </c>
    </row>
    <row r="59" spans="1:22" x14ac:dyDescent="0.25">
      <c r="A59" t="s">
        <v>52</v>
      </c>
      <c r="B59" t="s">
        <v>53</v>
      </c>
      <c r="C59" s="1">
        <v>42128</v>
      </c>
      <c r="D59">
        <v>8331.9500000000007</v>
      </c>
      <c r="E59" s="1">
        <v>42130</v>
      </c>
      <c r="F59">
        <v>8097</v>
      </c>
      <c r="G59" s="2">
        <v>-2.8199999999999999E-2</v>
      </c>
      <c r="H59" s="40">
        <f t="shared" si="18"/>
        <v>2</v>
      </c>
      <c r="I59" s="4">
        <f t="shared" si="19"/>
        <v>1.5E-3</v>
      </c>
      <c r="J59" s="4">
        <f t="shared" si="20"/>
        <v>3.3333333333333332E-4</v>
      </c>
      <c r="K59" s="4">
        <f t="shared" si="21"/>
        <v>-3.0033333333333332E-2</v>
      </c>
      <c r="L59">
        <f t="shared" si="22"/>
        <v>298.80911321190428</v>
      </c>
      <c r="M59">
        <f t="shared" si="23"/>
        <v>312.17786549237013</v>
      </c>
      <c r="N59">
        <f t="shared" si="24"/>
        <v>-13.368752280465856</v>
      </c>
      <c r="O59" s="39">
        <f t="shared" si="25"/>
        <v>-4.2824151735999995E-2</v>
      </c>
      <c r="Q59">
        <f t="shared" si="26"/>
        <v>226.37830691439791</v>
      </c>
      <c r="R59">
        <f t="shared" si="27"/>
        <v>240.94599802920152</v>
      </c>
      <c r="S59">
        <f t="shared" si="28"/>
        <v>-14.567691114803608</v>
      </c>
      <c r="T59" s="39">
        <f t="shared" si="29"/>
        <v>-6.0460398736475685E-2</v>
      </c>
      <c r="U59">
        <f t="shared" si="30"/>
        <v>2015</v>
      </c>
      <c r="V59">
        <f t="shared" si="31"/>
        <v>2015</v>
      </c>
    </row>
    <row r="60" spans="1:22" x14ac:dyDescent="0.25">
      <c r="A60" t="s">
        <v>52</v>
      </c>
      <c r="B60" t="s">
        <v>53</v>
      </c>
      <c r="C60" s="1">
        <v>42135</v>
      </c>
      <c r="D60">
        <v>8325.25</v>
      </c>
      <c r="E60" s="1">
        <v>42136</v>
      </c>
      <c r="F60">
        <v>8126.95</v>
      </c>
      <c r="G60" s="2">
        <v>-2.3800000000000002E-2</v>
      </c>
      <c r="H60" s="40">
        <f t="shared" si="18"/>
        <v>1</v>
      </c>
      <c r="I60" s="4">
        <f t="shared" si="19"/>
        <v>1.5E-3</v>
      </c>
      <c r="J60" s="4">
        <f t="shared" si="20"/>
        <v>1.6666666666666666E-4</v>
      </c>
      <c r="K60" s="4">
        <f t="shared" si="21"/>
        <v>-2.5466666666666669E-2</v>
      </c>
      <c r="L60">
        <f t="shared" si="22"/>
        <v>291.69745631746093</v>
      </c>
      <c r="M60">
        <f t="shared" si="23"/>
        <v>312.17786549237013</v>
      </c>
      <c r="N60">
        <f t="shared" si="24"/>
        <v>-20.480409174909198</v>
      </c>
      <c r="O60" s="39">
        <f t="shared" si="25"/>
        <v>-6.5604936924683263E-2</v>
      </c>
      <c r="Q60">
        <f t="shared" si="26"/>
        <v>220.61320603164458</v>
      </c>
      <c r="R60">
        <f t="shared" si="27"/>
        <v>240.94599802920152</v>
      </c>
      <c r="S60">
        <f t="shared" si="28"/>
        <v>-20.332791997556939</v>
      </c>
      <c r="T60" s="39">
        <f t="shared" si="29"/>
        <v>-8.4387340581986756E-2</v>
      </c>
      <c r="U60">
        <f t="shared" si="30"/>
        <v>2015</v>
      </c>
      <c r="V60">
        <f t="shared" si="31"/>
        <v>2015</v>
      </c>
    </row>
    <row r="61" spans="1:22" x14ac:dyDescent="0.25">
      <c r="A61" t="s">
        <v>52</v>
      </c>
      <c r="B61" t="s">
        <v>53</v>
      </c>
      <c r="C61" s="1">
        <v>42142</v>
      </c>
      <c r="D61">
        <v>8373.65</v>
      </c>
      <c r="E61" s="1">
        <v>42149</v>
      </c>
      <c r="F61">
        <v>8370.25</v>
      </c>
      <c r="G61" s="2">
        <v>-4.0000000000000002E-4</v>
      </c>
      <c r="H61" s="40">
        <f t="shared" si="18"/>
        <v>7</v>
      </c>
      <c r="I61" s="4">
        <f t="shared" si="19"/>
        <v>1.5E-3</v>
      </c>
      <c r="J61" s="4">
        <f t="shared" si="20"/>
        <v>1.1666666666666668E-3</v>
      </c>
      <c r="K61" s="4">
        <f t="shared" si="21"/>
        <v>-3.0666666666666672E-3</v>
      </c>
      <c r="L61">
        <f t="shared" si="22"/>
        <v>291.58077733493394</v>
      </c>
      <c r="M61">
        <f t="shared" si="23"/>
        <v>312.17786549237013</v>
      </c>
      <c r="N61">
        <f t="shared" si="24"/>
        <v>-20.59708815743619</v>
      </c>
      <c r="O61" s="39">
        <f t="shared" si="25"/>
        <v>-6.5978694949913416E-2</v>
      </c>
      <c r="Q61">
        <f t="shared" si="26"/>
        <v>219.93665886648088</v>
      </c>
      <c r="R61">
        <f t="shared" si="27"/>
        <v>240.94599802920152</v>
      </c>
      <c r="S61">
        <f t="shared" si="28"/>
        <v>-21.009339162720636</v>
      </c>
      <c r="T61" s="39">
        <f t="shared" si="29"/>
        <v>-8.719521940420194E-2</v>
      </c>
      <c r="U61">
        <f t="shared" si="30"/>
        <v>2015</v>
      </c>
      <c r="V61">
        <f t="shared" si="31"/>
        <v>2015</v>
      </c>
    </row>
    <row r="62" spans="1:22" x14ac:dyDescent="0.25">
      <c r="A62" t="s">
        <v>52</v>
      </c>
      <c r="B62" t="s">
        <v>53</v>
      </c>
      <c r="C62" s="1">
        <v>42153</v>
      </c>
      <c r="D62">
        <v>8433.65</v>
      </c>
      <c r="E62" s="1">
        <v>42157</v>
      </c>
      <c r="F62">
        <v>8236.4500000000007</v>
      </c>
      <c r="G62" s="2">
        <v>-2.3400000000000001E-2</v>
      </c>
      <c r="H62" s="40">
        <f t="shared" si="18"/>
        <v>4</v>
      </c>
      <c r="I62" s="4">
        <f t="shared" si="19"/>
        <v>1.5E-3</v>
      </c>
      <c r="J62" s="4">
        <f t="shared" si="20"/>
        <v>6.6666666666666664E-4</v>
      </c>
      <c r="K62" s="4">
        <f t="shared" si="21"/>
        <v>-2.5566666666666668E-2</v>
      </c>
      <c r="L62">
        <f t="shared" si="22"/>
        <v>284.7577871452965</v>
      </c>
      <c r="M62">
        <f t="shared" si="23"/>
        <v>312.17786549237013</v>
      </c>
      <c r="N62">
        <f t="shared" si="24"/>
        <v>-27.420078347073627</v>
      </c>
      <c r="O62" s="39">
        <f t="shared" si="25"/>
        <v>-8.7834793488085386E-2</v>
      </c>
      <c r="Q62">
        <f t="shared" si="26"/>
        <v>214.31361162146121</v>
      </c>
      <c r="R62">
        <f t="shared" si="27"/>
        <v>240.94599802920152</v>
      </c>
      <c r="S62">
        <f t="shared" si="28"/>
        <v>-26.632386407740313</v>
      </c>
      <c r="T62" s="39">
        <f t="shared" si="29"/>
        <v>-0.11053259496143444</v>
      </c>
      <c r="U62">
        <f t="shared" si="30"/>
        <v>2015</v>
      </c>
      <c r="V62">
        <f t="shared" si="31"/>
        <v>2015</v>
      </c>
    </row>
    <row r="63" spans="1:22" x14ac:dyDescent="0.25">
      <c r="A63" t="s">
        <v>52</v>
      </c>
      <c r="B63" t="s">
        <v>53</v>
      </c>
      <c r="C63" s="1">
        <v>42172</v>
      </c>
      <c r="D63">
        <v>8091.55</v>
      </c>
      <c r="E63" s="1">
        <v>42237</v>
      </c>
      <c r="F63">
        <v>8299.9500000000007</v>
      </c>
      <c r="G63" s="2">
        <v>2.58E-2</v>
      </c>
      <c r="H63" s="40">
        <f t="shared" si="18"/>
        <v>65</v>
      </c>
      <c r="I63" s="4">
        <f t="shared" si="19"/>
        <v>1.5E-3</v>
      </c>
      <c r="J63" s="4">
        <f t="shared" si="20"/>
        <v>1.0833333333333332E-2</v>
      </c>
      <c r="K63" s="4">
        <f t="shared" si="21"/>
        <v>1.3466666666666668E-2</v>
      </c>
      <c r="L63">
        <f t="shared" si="22"/>
        <v>292.10453805364517</v>
      </c>
      <c r="M63">
        <f t="shared" si="23"/>
        <v>312.17786549237013</v>
      </c>
      <c r="N63">
        <f t="shared" si="24"/>
        <v>-20.073327438724959</v>
      </c>
      <c r="O63" s="39">
        <f t="shared" si="25"/>
        <v>-6.4300931160077929E-2</v>
      </c>
      <c r="Q63">
        <f t="shared" si="26"/>
        <v>217.1997015912969</v>
      </c>
      <c r="R63">
        <f t="shared" si="27"/>
        <v>240.94599802920152</v>
      </c>
      <c r="S63">
        <f t="shared" si="28"/>
        <v>-23.746296437904618</v>
      </c>
      <c r="T63" s="39">
        <f t="shared" si="29"/>
        <v>-9.8554433906915026E-2</v>
      </c>
      <c r="U63">
        <f t="shared" si="30"/>
        <v>2015</v>
      </c>
      <c r="V63">
        <f t="shared" si="31"/>
        <v>2015</v>
      </c>
    </row>
    <row r="64" spans="1:22" x14ac:dyDescent="0.25">
      <c r="A64" t="s">
        <v>52</v>
      </c>
      <c r="B64" t="s">
        <v>53</v>
      </c>
      <c r="C64" s="1">
        <v>42423</v>
      </c>
      <c r="D64">
        <v>7109.55</v>
      </c>
      <c r="E64" s="1">
        <v>42424</v>
      </c>
      <c r="F64">
        <v>7018.7</v>
      </c>
      <c r="G64" s="2">
        <v>-1.2800000000000001E-2</v>
      </c>
      <c r="H64" s="40">
        <f t="shared" si="18"/>
        <v>1</v>
      </c>
      <c r="I64" s="4">
        <f t="shared" si="19"/>
        <v>1.5E-3</v>
      </c>
      <c r="J64" s="4">
        <f t="shared" si="20"/>
        <v>1.6666666666666666E-4</v>
      </c>
      <c r="K64" s="4">
        <f t="shared" si="21"/>
        <v>-1.4466666666666668E-2</v>
      </c>
      <c r="L64">
        <f t="shared" si="22"/>
        <v>288.36559996655848</v>
      </c>
      <c r="M64">
        <f t="shared" si="23"/>
        <v>312.17786549237013</v>
      </c>
      <c r="N64">
        <f t="shared" si="24"/>
        <v>-23.812265525811654</v>
      </c>
      <c r="O64" s="39">
        <f t="shared" si="25"/>
        <v>-7.6277879241229044E-2</v>
      </c>
      <c r="Q64">
        <f t="shared" si="26"/>
        <v>214.05754590827615</v>
      </c>
      <c r="R64">
        <f t="shared" si="27"/>
        <v>240.94599802920152</v>
      </c>
      <c r="S64">
        <f t="shared" si="28"/>
        <v>-26.888452120925365</v>
      </c>
      <c r="T64" s="39">
        <f t="shared" si="29"/>
        <v>-0.11159534642972825</v>
      </c>
      <c r="U64">
        <f t="shared" si="30"/>
        <v>2016</v>
      </c>
      <c r="V64">
        <f t="shared" si="31"/>
        <v>2016</v>
      </c>
    </row>
    <row r="65" spans="1:22" x14ac:dyDescent="0.25">
      <c r="A65" t="s">
        <v>52</v>
      </c>
      <c r="B65" t="s">
        <v>53</v>
      </c>
      <c r="C65" s="1">
        <v>42430</v>
      </c>
      <c r="D65">
        <v>7222.3</v>
      </c>
      <c r="E65" s="1">
        <v>42642</v>
      </c>
      <c r="F65">
        <v>8591.25</v>
      </c>
      <c r="G65" s="2">
        <v>0.1895</v>
      </c>
      <c r="H65" s="40">
        <f t="shared" si="18"/>
        <v>212</v>
      </c>
      <c r="I65" s="4">
        <f t="shared" si="19"/>
        <v>1.5E-3</v>
      </c>
      <c r="J65" s="4">
        <f t="shared" si="20"/>
        <v>3.5333333333333335E-2</v>
      </c>
      <c r="K65" s="4">
        <f t="shared" si="21"/>
        <v>0.15266666666666667</v>
      </c>
      <c r="L65">
        <f t="shared" si="22"/>
        <v>343.01088116022129</v>
      </c>
      <c r="M65">
        <f t="shared" si="23"/>
        <v>343.01088116022129</v>
      </c>
      <c r="N65" t="str">
        <f t="shared" si="24"/>
        <v/>
      </c>
      <c r="O65" s="39">
        <f t="shared" si="25"/>
        <v>0</v>
      </c>
      <c r="Q65">
        <f t="shared" si="26"/>
        <v>246.73699791693966</v>
      </c>
      <c r="R65">
        <f t="shared" si="27"/>
        <v>246.73699791693966</v>
      </c>
      <c r="S65" t="str">
        <f t="shared" si="28"/>
        <v/>
      </c>
      <c r="T65" s="39">
        <f t="shared" si="29"/>
        <v>0</v>
      </c>
      <c r="U65">
        <f t="shared" si="30"/>
        <v>2016</v>
      </c>
      <c r="V65">
        <f t="shared" si="31"/>
        <v>2016</v>
      </c>
    </row>
    <row r="66" spans="1:22" x14ac:dyDescent="0.25">
      <c r="A66" t="s">
        <v>52</v>
      </c>
      <c r="B66" t="s">
        <v>53</v>
      </c>
      <c r="C66" s="1">
        <v>42646</v>
      </c>
      <c r="D66">
        <v>8738.1</v>
      </c>
      <c r="E66" s="1">
        <v>42656</v>
      </c>
      <c r="F66">
        <v>8573.35</v>
      </c>
      <c r="G66" s="2">
        <v>-1.89E-2</v>
      </c>
      <c r="H66" s="40">
        <f t="shared" si="18"/>
        <v>10</v>
      </c>
      <c r="I66" s="4">
        <f t="shared" si="19"/>
        <v>1.5E-3</v>
      </c>
      <c r="J66" s="4">
        <f t="shared" si="20"/>
        <v>1.6666666666666666E-3</v>
      </c>
      <c r="K66" s="4">
        <f t="shared" si="21"/>
        <v>-2.2066666666666665E-2</v>
      </c>
      <c r="L66">
        <f t="shared" si="22"/>
        <v>336.5279755062931</v>
      </c>
      <c r="M66">
        <f t="shared" si="23"/>
        <v>343.01088116022129</v>
      </c>
      <c r="N66">
        <f t="shared" si="24"/>
        <v>-6.4829056539281851</v>
      </c>
      <c r="O66" s="39">
        <f t="shared" si="25"/>
        <v>-1.8900000000000007E-2</v>
      </c>
      <c r="Q66">
        <f t="shared" si="26"/>
        <v>241.29233482957252</v>
      </c>
      <c r="R66">
        <f t="shared" si="27"/>
        <v>246.73699791693966</v>
      </c>
      <c r="S66">
        <f t="shared" si="28"/>
        <v>-5.4446630873671324</v>
      </c>
      <c r="T66" s="39">
        <f t="shared" si="29"/>
        <v>-2.2066666666666655E-2</v>
      </c>
      <c r="U66">
        <f t="shared" si="30"/>
        <v>2016</v>
      </c>
      <c r="V66">
        <f t="shared" si="31"/>
        <v>2016</v>
      </c>
    </row>
    <row r="67" spans="1:22" x14ac:dyDescent="0.25">
      <c r="A67" t="s">
        <v>52</v>
      </c>
      <c r="B67" t="s">
        <v>53</v>
      </c>
      <c r="C67" s="1">
        <v>42661</v>
      </c>
      <c r="D67">
        <v>8677.9</v>
      </c>
      <c r="E67" s="1">
        <v>42669</v>
      </c>
      <c r="F67">
        <v>8615.25</v>
      </c>
      <c r="G67" s="2">
        <v>-7.1999999999999998E-3</v>
      </c>
      <c r="H67" s="40">
        <f t="shared" si="18"/>
        <v>8</v>
      </c>
      <c r="I67" s="4">
        <f t="shared" si="19"/>
        <v>1.5E-3</v>
      </c>
      <c r="J67" s="4">
        <f t="shared" si="20"/>
        <v>1.3333333333333333E-3</v>
      </c>
      <c r="K67" s="4">
        <f t="shared" si="21"/>
        <v>-1.0033333333333333E-2</v>
      </c>
      <c r="L67">
        <f t="shared" si="22"/>
        <v>334.1049740826478</v>
      </c>
      <c r="M67">
        <f t="shared" si="23"/>
        <v>343.01088116022129</v>
      </c>
      <c r="N67">
        <f t="shared" si="24"/>
        <v>-8.9059070775734881</v>
      </c>
      <c r="O67" s="39">
        <f t="shared" si="25"/>
        <v>-2.5963919999999988E-2</v>
      </c>
      <c r="Q67">
        <f t="shared" si="26"/>
        <v>238.87136840344914</v>
      </c>
      <c r="R67">
        <f t="shared" si="27"/>
        <v>246.73699791693966</v>
      </c>
      <c r="S67">
        <f t="shared" si="28"/>
        <v>-7.8656295134905179</v>
      </c>
      <c r="T67" s="39">
        <f t="shared" si="29"/>
        <v>-3.1878597777777795E-2</v>
      </c>
      <c r="U67">
        <f t="shared" si="30"/>
        <v>2016</v>
      </c>
      <c r="V67">
        <f t="shared" si="31"/>
        <v>2016</v>
      </c>
    </row>
    <row r="68" spans="1:22" x14ac:dyDescent="0.25">
      <c r="A68" t="s">
        <v>52</v>
      </c>
      <c r="B68" t="s">
        <v>53</v>
      </c>
      <c r="C68" s="1">
        <v>42682</v>
      </c>
      <c r="D68">
        <v>8543.5499999999993</v>
      </c>
      <c r="E68" s="1">
        <v>42685</v>
      </c>
      <c r="F68">
        <v>8296.2999999999993</v>
      </c>
      <c r="G68" s="2">
        <v>-2.8899999999999999E-2</v>
      </c>
      <c r="H68" s="40">
        <f t="shared" si="18"/>
        <v>3</v>
      </c>
      <c r="I68" s="4">
        <f t="shared" si="19"/>
        <v>1.5E-3</v>
      </c>
      <c r="J68" s="4">
        <f t="shared" si="20"/>
        <v>5.0000000000000001E-4</v>
      </c>
      <c r="K68" s="4">
        <f t="shared" si="21"/>
        <v>-3.0899999999999997E-2</v>
      </c>
      <c r="L68">
        <f t="shared" si="22"/>
        <v>324.44934033165924</v>
      </c>
      <c r="M68">
        <f t="shared" si="23"/>
        <v>343.01088116022129</v>
      </c>
      <c r="N68">
        <f t="shared" si="24"/>
        <v>-18.561540828562045</v>
      </c>
      <c r="O68" s="39">
        <f t="shared" si="25"/>
        <v>-5.4113562712000088E-2</v>
      </c>
      <c r="Q68">
        <f t="shared" si="26"/>
        <v>231.49024311978255</v>
      </c>
      <c r="R68">
        <f t="shared" si="27"/>
        <v>246.73699791693966</v>
      </c>
      <c r="S68">
        <f t="shared" si="28"/>
        <v>-15.246754797157109</v>
      </c>
      <c r="T68" s="39">
        <f t="shared" si="29"/>
        <v>-6.1793549106444516E-2</v>
      </c>
      <c r="U68">
        <f t="shared" si="30"/>
        <v>2016</v>
      </c>
      <c r="V68">
        <f t="shared" si="31"/>
        <v>2016</v>
      </c>
    </row>
    <row r="69" spans="1:22" x14ac:dyDescent="0.25">
      <c r="A69" t="s">
        <v>52</v>
      </c>
      <c r="B69" t="s">
        <v>53</v>
      </c>
      <c r="C69" s="1">
        <v>42727</v>
      </c>
      <c r="D69">
        <v>7985.75</v>
      </c>
      <c r="E69" s="1">
        <v>42730</v>
      </c>
      <c r="F69">
        <v>7908.25</v>
      </c>
      <c r="G69" s="2">
        <v>-9.7000000000000003E-3</v>
      </c>
      <c r="H69" s="40">
        <f t="shared" si="18"/>
        <v>3</v>
      </c>
      <c r="I69" s="4">
        <f t="shared" si="19"/>
        <v>1.5E-3</v>
      </c>
      <c r="J69" s="4">
        <f t="shared" si="20"/>
        <v>5.0000000000000001E-4</v>
      </c>
      <c r="K69" s="4">
        <f t="shared" si="21"/>
        <v>-1.17E-2</v>
      </c>
      <c r="L69">
        <f t="shared" si="22"/>
        <v>321.30218173044216</v>
      </c>
      <c r="M69">
        <f t="shared" si="23"/>
        <v>343.01088116022129</v>
      </c>
      <c r="N69">
        <f t="shared" si="24"/>
        <v>-21.708699429779131</v>
      </c>
      <c r="O69" s="39">
        <f t="shared" si="25"/>
        <v>-6.3288661153693665E-2</v>
      </c>
      <c r="Q69">
        <f t="shared" si="26"/>
        <v>228.78180727528107</v>
      </c>
      <c r="R69">
        <f t="shared" si="27"/>
        <v>246.73699791693966</v>
      </c>
      <c r="S69">
        <f t="shared" si="28"/>
        <v>-17.955190641658589</v>
      </c>
      <c r="T69" s="39">
        <f t="shared" si="29"/>
        <v>-7.2770564581899219E-2</v>
      </c>
      <c r="U69">
        <f t="shared" si="30"/>
        <v>2016</v>
      </c>
      <c r="V69">
        <f t="shared" si="31"/>
        <v>2016</v>
      </c>
    </row>
    <row r="70" spans="1:22" x14ac:dyDescent="0.25">
      <c r="A70" t="s">
        <v>52</v>
      </c>
      <c r="B70" t="s">
        <v>53</v>
      </c>
      <c r="C70" s="1">
        <v>42731</v>
      </c>
      <c r="D70">
        <v>8032.85</v>
      </c>
      <c r="E70" s="1">
        <v>42958</v>
      </c>
      <c r="F70">
        <v>9710.7999999999993</v>
      </c>
      <c r="G70" s="2">
        <v>0.2089</v>
      </c>
      <c r="H70" s="40">
        <f t="shared" si="18"/>
        <v>227</v>
      </c>
      <c r="I70" s="4">
        <f t="shared" si="19"/>
        <v>1.5E-3</v>
      </c>
      <c r="J70" s="4">
        <f t="shared" si="20"/>
        <v>3.783333333333333E-2</v>
      </c>
      <c r="K70" s="4">
        <f t="shared" si="21"/>
        <v>0.16956666666666667</v>
      </c>
      <c r="L70">
        <f t="shared" si="22"/>
        <v>388.42220749393152</v>
      </c>
      <c r="M70">
        <f t="shared" si="23"/>
        <v>388.42220749393152</v>
      </c>
      <c r="N70" t="str">
        <f t="shared" si="24"/>
        <v/>
      </c>
      <c r="O70" s="39">
        <f t="shared" si="25"/>
        <v>0</v>
      </c>
      <c r="Q70">
        <f t="shared" si="26"/>
        <v>267.5755757289262</v>
      </c>
      <c r="R70">
        <f t="shared" si="27"/>
        <v>267.5755757289262</v>
      </c>
      <c r="S70" t="str">
        <f t="shared" si="28"/>
        <v/>
      </c>
      <c r="T70" s="39">
        <f t="shared" si="29"/>
        <v>0</v>
      </c>
      <c r="U70">
        <f t="shared" si="30"/>
        <v>2017</v>
      </c>
      <c r="V70">
        <f t="shared" si="31"/>
        <v>2016</v>
      </c>
    </row>
    <row r="71" spans="1:22" x14ac:dyDescent="0.25">
      <c r="A71" t="s">
        <v>52</v>
      </c>
      <c r="B71" t="s">
        <v>53</v>
      </c>
      <c r="C71" s="1">
        <v>42963</v>
      </c>
      <c r="D71">
        <v>9897.2999999999993</v>
      </c>
      <c r="E71" s="1">
        <v>42968</v>
      </c>
      <c r="F71">
        <v>9754.35</v>
      </c>
      <c r="G71" s="2">
        <v>-1.44E-2</v>
      </c>
      <c r="H71" s="40">
        <f t="shared" si="18"/>
        <v>5</v>
      </c>
      <c r="I71" s="4">
        <f t="shared" si="19"/>
        <v>1.5E-3</v>
      </c>
      <c r="J71" s="4">
        <f t="shared" si="20"/>
        <v>8.3333333333333328E-4</v>
      </c>
      <c r="K71" s="4">
        <f t="shared" si="21"/>
        <v>-1.6733333333333333E-2</v>
      </c>
      <c r="L71">
        <f t="shared" si="22"/>
        <v>382.82892770601893</v>
      </c>
      <c r="M71">
        <f t="shared" si="23"/>
        <v>388.42220749393152</v>
      </c>
      <c r="N71">
        <f t="shared" si="24"/>
        <v>-5.5932797879125928</v>
      </c>
      <c r="O71" s="39">
        <f t="shared" si="25"/>
        <v>-1.4399999999999946E-2</v>
      </c>
      <c r="Q71">
        <f t="shared" si="26"/>
        <v>263.09814442839547</v>
      </c>
      <c r="R71">
        <f t="shared" si="27"/>
        <v>267.5755757289262</v>
      </c>
      <c r="S71">
        <f t="shared" si="28"/>
        <v>-4.4774313005307249</v>
      </c>
      <c r="T71" s="39">
        <f t="shared" si="29"/>
        <v>-1.6733333333333433E-2</v>
      </c>
      <c r="U71">
        <f t="shared" si="30"/>
        <v>2017</v>
      </c>
      <c r="V71">
        <f t="shared" si="31"/>
        <v>2017</v>
      </c>
    </row>
    <row r="72" spans="1:22" x14ac:dyDescent="0.25">
      <c r="A72" t="s">
        <v>52</v>
      </c>
      <c r="B72" t="s">
        <v>53</v>
      </c>
      <c r="C72" s="1">
        <v>42975</v>
      </c>
      <c r="D72">
        <v>9912.7999999999993</v>
      </c>
      <c r="E72" s="1">
        <v>42976</v>
      </c>
      <c r="F72">
        <v>9796.0499999999993</v>
      </c>
      <c r="G72" s="2">
        <v>-1.18E-2</v>
      </c>
      <c r="H72" s="40">
        <f t="shared" si="18"/>
        <v>1</v>
      </c>
      <c r="I72" s="4">
        <f t="shared" si="19"/>
        <v>1.5E-3</v>
      </c>
      <c r="J72" s="4">
        <f t="shared" si="20"/>
        <v>1.6666666666666666E-4</v>
      </c>
      <c r="K72" s="4">
        <f t="shared" si="21"/>
        <v>-1.3466666666666667E-2</v>
      </c>
      <c r="L72">
        <f t="shared" si="22"/>
        <v>378.31154635908791</v>
      </c>
      <c r="M72">
        <f t="shared" si="23"/>
        <v>388.42220749393152</v>
      </c>
      <c r="N72">
        <f t="shared" si="24"/>
        <v>-10.11066113484361</v>
      </c>
      <c r="O72" s="39">
        <f t="shared" si="25"/>
        <v>-2.6030079999999931E-2</v>
      </c>
      <c r="Q72">
        <f t="shared" si="26"/>
        <v>259.55508941675976</v>
      </c>
      <c r="R72">
        <f t="shared" si="27"/>
        <v>267.5755757289262</v>
      </c>
      <c r="S72">
        <f t="shared" si="28"/>
        <v>-8.0204863121664403</v>
      </c>
      <c r="T72" s="39">
        <f t="shared" si="29"/>
        <v>-2.9974657777777837E-2</v>
      </c>
      <c r="U72">
        <f t="shared" si="30"/>
        <v>2017</v>
      </c>
      <c r="V72">
        <f t="shared" si="31"/>
        <v>2017</v>
      </c>
    </row>
    <row r="73" spans="1:22" x14ac:dyDescent="0.25">
      <c r="A73" t="s">
        <v>52</v>
      </c>
      <c r="B73" t="s">
        <v>53</v>
      </c>
      <c r="C73" s="1">
        <v>42978</v>
      </c>
      <c r="D73">
        <v>9917.9</v>
      </c>
      <c r="E73" s="1">
        <v>43003</v>
      </c>
      <c r="F73">
        <v>9872.6</v>
      </c>
      <c r="G73" s="2">
        <v>-4.5999999999999999E-3</v>
      </c>
      <c r="H73" s="40">
        <f t="shared" si="18"/>
        <v>25</v>
      </c>
      <c r="I73" s="4">
        <f t="shared" si="19"/>
        <v>1.5E-3</v>
      </c>
      <c r="J73" s="4">
        <f t="shared" si="20"/>
        <v>4.1666666666666666E-3</v>
      </c>
      <c r="K73" s="4">
        <f t="shared" si="21"/>
        <v>-1.0266666666666667E-2</v>
      </c>
      <c r="L73">
        <f t="shared" si="22"/>
        <v>376.57131324583611</v>
      </c>
      <c r="M73">
        <f t="shared" si="23"/>
        <v>388.42220749393152</v>
      </c>
      <c r="N73">
        <f t="shared" si="24"/>
        <v>-11.850894248095415</v>
      </c>
      <c r="O73" s="39">
        <f t="shared" si="25"/>
        <v>-3.0510341631999931E-2</v>
      </c>
      <c r="Q73">
        <f t="shared" si="26"/>
        <v>256.89032383208104</v>
      </c>
      <c r="R73">
        <f t="shared" si="27"/>
        <v>267.5755757289262</v>
      </c>
      <c r="S73">
        <f t="shared" si="28"/>
        <v>-10.685251896845159</v>
      </c>
      <c r="T73" s="39">
        <f t="shared" si="29"/>
        <v>-3.9933584624592594E-2</v>
      </c>
      <c r="U73">
        <f t="shared" si="30"/>
        <v>2017</v>
      </c>
      <c r="V73">
        <f t="shared" si="31"/>
        <v>2017</v>
      </c>
    </row>
    <row r="74" spans="1:22" x14ac:dyDescent="0.25">
      <c r="A74" t="s">
        <v>52</v>
      </c>
      <c r="B74" t="s">
        <v>53</v>
      </c>
      <c r="C74" s="1">
        <v>43012</v>
      </c>
      <c r="D74">
        <v>9914.9</v>
      </c>
      <c r="E74" s="1">
        <v>43054</v>
      </c>
      <c r="F74">
        <v>10118.049999999999</v>
      </c>
      <c r="G74" s="2">
        <v>2.0500000000000001E-2</v>
      </c>
      <c r="H74" s="40">
        <f t="shared" si="18"/>
        <v>42</v>
      </c>
      <c r="I74" s="4">
        <f t="shared" si="19"/>
        <v>1.5E-3</v>
      </c>
      <c r="J74" s="4">
        <f t="shared" si="20"/>
        <v>6.9999999999999993E-3</v>
      </c>
      <c r="K74" s="4">
        <f t="shared" si="21"/>
        <v>1.2000000000000002E-2</v>
      </c>
      <c r="L74">
        <f t="shared" si="22"/>
        <v>384.29102516737572</v>
      </c>
      <c r="M74">
        <f t="shared" si="23"/>
        <v>388.42220749393152</v>
      </c>
      <c r="N74">
        <f t="shared" si="24"/>
        <v>-4.1311823265558019</v>
      </c>
      <c r="O74" s="39">
        <f t="shared" si="25"/>
        <v>-1.0635803635456001E-2</v>
      </c>
      <c r="Q74">
        <f t="shared" si="26"/>
        <v>259.97300771806601</v>
      </c>
      <c r="R74">
        <f t="shared" si="27"/>
        <v>267.5755757289262</v>
      </c>
      <c r="S74">
        <f t="shared" si="28"/>
        <v>-7.6025680108601819</v>
      </c>
      <c r="T74" s="39">
        <f t="shared" si="29"/>
        <v>-2.841278764008769E-2</v>
      </c>
      <c r="U74">
        <f t="shared" si="30"/>
        <v>2017</v>
      </c>
      <c r="V74">
        <f t="shared" si="31"/>
        <v>2017</v>
      </c>
    </row>
    <row r="75" spans="1:22" x14ac:dyDescent="0.25">
      <c r="A75" t="s">
        <v>52</v>
      </c>
      <c r="B75" t="s">
        <v>53</v>
      </c>
      <c r="C75" s="1">
        <v>43056</v>
      </c>
      <c r="D75">
        <v>10283.6</v>
      </c>
      <c r="E75" s="1">
        <v>43069</v>
      </c>
      <c r="F75">
        <v>10226.549999999999</v>
      </c>
      <c r="G75" s="2">
        <v>-5.4999999999999997E-3</v>
      </c>
      <c r="H75" s="40">
        <f t="shared" si="18"/>
        <v>13</v>
      </c>
      <c r="I75" s="4">
        <f t="shared" si="19"/>
        <v>1.5E-3</v>
      </c>
      <c r="J75" s="4">
        <f t="shared" si="20"/>
        <v>2.166666666666667E-3</v>
      </c>
      <c r="K75" s="4">
        <f t="shared" si="21"/>
        <v>-9.1666666666666667E-3</v>
      </c>
      <c r="L75">
        <f t="shared" si="22"/>
        <v>382.17742452895516</v>
      </c>
      <c r="M75">
        <f t="shared" si="23"/>
        <v>388.42220749393152</v>
      </c>
      <c r="N75">
        <f t="shared" si="24"/>
        <v>-6.2447829649763662</v>
      </c>
      <c r="O75" s="39">
        <f t="shared" si="25"/>
        <v>-1.6077306715460989E-2</v>
      </c>
      <c r="Q75">
        <f t="shared" si="26"/>
        <v>257.58992181398372</v>
      </c>
      <c r="R75">
        <f t="shared" si="27"/>
        <v>267.5755757289262</v>
      </c>
      <c r="S75">
        <f t="shared" si="28"/>
        <v>-9.9856539149424748</v>
      </c>
      <c r="T75" s="39">
        <f t="shared" si="29"/>
        <v>-3.7319003753386967E-2</v>
      </c>
      <c r="U75">
        <f t="shared" si="30"/>
        <v>2017</v>
      </c>
      <c r="V75">
        <f t="shared" si="31"/>
        <v>2017</v>
      </c>
    </row>
    <row r="76" spans="1:22" x14ac:dyDescent="0.25">
      <c r="A76" t="s">
        <v>52</v>
      </c>
      <c r="B76" t="s">
        <v>53</v>
      </c>
      <c r="C76" s="1">
        <v>43077</v>
      </c>
      <c r="D76">
        <v>10265.65</v>
      </c>
      <c r="E76" s="1">
        <v>43082</v>
      </c>
      <c r="F76">
        <v>10192.950000000001</v>
      </c>
      <c r="G76" s="2">
        <v>-7.1000000000000004E-3</v>
      </c>
      <c r="H76" s="40">
        <f t="shared" si="18"/>
        <v>5</v>
      </c>
      <c r="I76" s="4">
        <f t="shared" si="19"/>
        <v>1.5E-3</v>
      </c>
      <c r="J76" s="4">
        <f t="shared" si="20"/>
        <v>8.3333333333333328E-4</v>
      </c>
      <c r="K76" s="4">
        <f t="shared" si="21"/>
        <v>-9.4333333333333335E-3</v>
      </c>
      <c r="L76">
        <f t="shared" si="22"/>
        <v>379.46396481479957</v>
      </c>
      <c r="M76">
        <f t="shared" si="23"/>
        <v>388.42220749393152</v>
      </c>
      <c r="N76">
        <f t="shared" si="24"/>
        <v>-8.9582426791319563</v>
      </c>
      <c r="O76" s="39">
        <f t="shared" si="25"/>
        <v>-2.3063157837781234E-2</v>
      </c>
      <c r="Q76">
        <f t="shared" si="26"/>
        <v>255.15999021820514</v>
      </c>
      <c r="R76">
        <f t="shared" si="27"/>
        <v>267.5755757289262</v>
      </c>
      <c r="S76">
        <f t="shared" si="28"/>
        <v>-12.415585510721058</v>
      </c>
      <c r="T76" s="39">
        <f t="shared" si="29"/>
        <v>-4.6400294484646692E-2</v>
      </c>
      <c r="U76">
        <f t="shared" si="30"/>
        <v>2017</v>
      </c>
      <c r="V76">
        <f t="shared" si="31"/>
        <v>2017</v>
      </c>
    </row>
    <row r="77" spans="1:22" x14ac:dyDescent="0.25">
      <c r="A77" t="s">
        <v>52</v>
      </c>
      <c r="B77" t="s">
        <v>53</v>
      </c>
      <c r="C77" s="1">
        <v>43084</v>
      </c>
      <c r="D77">
        <v>10333.25</v>
      </c>
      <c r="E77" s="1">
        <v>43136</v>
      </c>
      <c r="F77">
        <v>10666.55</v>
      </c>
      <c r="G77" s="2">
        <v>3.2300000000000002E-2</v>
      </c>
      <c r="H77" s="40">
        <f t="shared" si="18"/>
        <v>52</v>
      </c>
      <c r="I77" s="4">
        <f t="shared" si="19"/>
        <v>1.5E-3</v>
      </c>
      <c r="J77" s="4">
        <f t="shared" si="20"/>
        <v>8.666666666666668E-3</v>
      </c>
      <c r="K77" s="4">
        <f t="shared" si="21"/>
        <v>2.2133333333333335E-2</v>
      </c>
      <c r="L77">
        <f t="shared" si="22"/>
        <v>391.7206508783176</v>
      </c>
      <c r="M77">
        <f t="shared" si="23"/>
        <v>391.7206508783176</v>
      </c>
      <c r="N77" t="str">
        <f t="shared" si="24"/>
        <v/>
      </c>
      <c r="O77" s="39">
        <f t="shared" si="25"/>
        <v>0</v>
      </c>
      <c r="Q77">
        <f t="shared" si="26"/>
        <v>260.80753133503475</v>
      </c>
      <c r="R77">
        <f t="shared" si="27"/>
        <v>267.5755757289262</v>
      </c>
      <c r="S77">
        <f t="shared" si="28"/>
        <v>-6.7680443938914436</v>
      </c>
      <c r="T77" s="39">
        <f t="shared" si="29"/>
        <v>-2.5293954335906848E-2</v>
      </c>
      <c r="U77">
        <f t="shared" si="30"/>
        <v>2018</v>
      </c>
      <c r="V77">
        <f t="shared" si="31"/>
        <v>2017</v>
      </c>
    </row>
    <row r="78" spans="1:22" x14ac:dyDescent="0.25">
      <c r="A78" t="s">
        <v>52</v>
      </c>
      <c r="B78" t="s">
        <v>53</v>
      </c>
      <c r="C78" s="1">
        <v>43518</v>
      </c>
      <c r="D78">
        <v>10791.65</v>
      </c>
      <c r="E78" s="1">
        <v>43593</v>
      </c>
      <c r="F78">
        <v>11359.45</v>
      </c>
      <c r="G78" s="2">
        <v>5.2600000000000001E-2</v>
      </c>
      <c r="H78" s="40">
        <f t="shared" si="18"/>
        <v>75</v>
      </c>
      <c r="I78" s="4">
        <f t="shared" si="19"/>
        <v>1.5E-3</v>
      </c>
      <c r="J78" s="4">
        <f t="shared" si="20"/>
        <v>1.2500000000000001E-2</v>
      </c>
      <c r="K78" s="4">
        <f t="shared" si="21"/>
        <v>3.8600000000000002E-2</v>
      </c>
      <c r="L78">
        <f t="shared" si="22"/>
        <v>412.32515711451708</v>
      </c>
      <c r="M78">
        <f t="shared" si="23"/>
        <v>412.32515711451708</v>
      </c>
      <c r="N78" t="str">
        <f t="shared" si="24"/>
        <v/>
      </c>
      <c r="O78" s="39">
        <f t="shared" si="25"/>
        <v>0</v>
      </c>
      <c r="Q78">
        <f t="shared" si="26"/>
        <v>270.87470204456707</v>
      </c>
      <c r="R78">
        <f t="shared" si="27"/>
        <v>270.87470204456707</v>
      </c>
      <c r="S78" t="str">
        <f t="shared" si="28"/>
        <v/>
      </c>
      <c r="T78" s="39">
        <f t="shared" si="29"/>
        <v>0</v>
      </c>
      <c r="U78">
        <f t="shared" si="30"/>
        <v>2019</v>
      </c>
      <c r="V78">
        <f t="shared" si="31"/>
        <v>2019</v>
      </c>
    </row>
    <row r="79" spans="1:22" x14ac:dyDescent="0.25">
      <c r="A79" t="s">
        <v>52</v>
      </c>
      <c r="B79" t="s">
        <v>53</v>
      </c>
      <c r="C79" s="1">
        <v>43700</v>
      </c>
      <c r="D79">
        <v>10829.35</v>
      </c>
      <c r="E79" s="1">
        <v>43711</v>
      </c>
      <c r="F79">
        <v>10797.9</v>
      </c>
      <c r="G79" s="2">
        <v>-2.8999999999999998E-3</v>
      </c>
      <c r="H79" s="40">
        <f t="shared" si="18"/>
        <v>11</v>
      </c>
      <c r="I79" s="4">
        <f t="shared" si="19"/>
        <v>1.5E-3</v>
      </c>
      <c r="J79" s="4">
        <f t="shared" si="20"/>
        <v>1.8333333333333333E-3</v>
      </c>
      <c r="K79" s="4">
        <f t="shared" si="21"/>
        <v>-6.2333333333333329E-3</v>
      </c>
      <c r="L79">
        <f t="shared" si="22"/>
        <v>411.12941415888497</v>
      </c>
      <c r="M79">
        <f t="shared" si="23"/>
        <v>412.32515711451708</v>
      </c>
      <c r="N79">
        <f t="shared" si="24"/>
        <v>-1.1957429556321131</v>
      </c>
      <c r="O79" s="39">
        <f t="shared" si="25"/>
        <v>-2.9000000000000328E-3</v>
      </c>
      <c r="Q79">
        <f t="shared" si="26"/>
        <v>269.18624973515597</v>
      </c>
      <c r="R79">
        <f t="shared" si="27"/>
        <v>270.87470204456707</v>
      </c>
      <c r="S79">
        <f t="shared" si="28"/>
        <v>-1.6884523094111046</v>
      </c>
      <c r="T79" s="39">
        <f t="shared" si="29"/>
        <v>-6.2333333333332219E-3</v>
      </c>
      <c r="U79">
        <f t="shared" si="30"/>
        <v>2019</v>
      </c>
      <c r="V79">
        <f t="shared" si="31"/>
        <v>2019</v>
      </c>
    </row>
    <row r="80" spans="1:22" x14ac:dyDescent="0.25">
      <c r="A80" t="s">
        <v>52</v>
      </c>
      <c r="B80" t="s">
        <v>53</v>
      </c>
      <c r="C80" s="1">
        <v>43717</v>
      </c>
      <c r="D80">
        <v>11003.05</v>
      </c>
      <c r="E80" s="1">
        <v>43725</v>
      </c>
      <c r="F80">
        <v>10817.6</v>
      </c>
      <c r="G80" s="2">
        <v>-1.6899999999999998E-2</v>
      </c>
      <c r="H80" s="40">
        <f t="shared" si="18"/>
        <v>8</v>
      </c>
      <c r="I80" s="4">
        <f t="shared" si="19"/>
        <v>1.5E-3</v>
      </c>
      <c r="J80" s="4">
        <f t="shared" si="20"/>
        <v>1.3333333333333333E-3</v>
      </c>
      <c r="K80" s="4">
        <f t="shared" si="21"/>
        <v>-1.9733333333333332E-2</v>
      </c>
      <c r="L80">
        <f t="shared" si="22"/>
        <v>404.18132705959982</v>
      </c>
      <c r="M80">
        <f t="shared" si="23"/>
        <v>412.32515711451708</v>
      </c>
      <c r="N80">
        <f t="shared" si="24"/>
        <v>-8.1438300549172595</v>
      </c>
      <c r="O80" s="39">
        <f t="shared" si="25"/>
        <v>-1.975099000000001E-2</v>
      </c>
      <c r="Q80">
        <f t="shared" si="26"/>
        <v>263.87430774038222</v>
      </c>
      <c r="R80">
        <f t="shared" si="27"/>
        <v>270.87470204456707</v>
      </c>
      <c r="S80">
        <f t="shared" si="28"/>
        <v>-7.0003943041848515</v>
      </c>
      <c r="T80" s="39">
        <f t="shared" si="29"/>
        <v>-2.5843662222222123E-2</v>
      </c>
      <c r="U80">
        <f t="shared" si="30"/>
        <v>2019</v>
      </c>
      <c r="V80">
        <f t="shared" si="31"/>
        <v>2019</v>
      </c>
    </row>
    <row r="81" spans="1:22" x14ac:dyDescent="0.25">
      <c r="A81" t="s">
        <v>52</v>
      </c>
      <c r="B81" t="s">
        <v>53</v>
      </c>
      <c r="C81" s="1">
        <v>43728</v>
      </c>
      <c r="D81">
        <v>11274.2</v>
      </c>
      <c r="E81" s="1">
        <v>43858</v>
      </c>
      <c r="F81">
        <v>12055.8</v>
      </c>
      <c r="G81" s="2">
        <v>6.93E-2</v>
      </c>
      <c r="H81" s="40">
        <f t="shared" si="18"/>
        <v>130</v>
      </c>
      <c r="I81" s="4">
        <f t="shared" si="19"/>
        <v>1.5E-3</v>
      </c>
      <c r="J81" s="4">
        <f t="shared" si="20"/>
        <v>2.1666666666666664E-2</v>
      </c>
      <c r="K81" s="4">
        <f t="shared" si="21"/>
        <v>4.6133333333333332E-2</v>
      </c>
      <c r="L81">
        <f t="shared" si="22"/>
        <v>432.19109302483008</v>
      </c>
      <c r="M81">
        <f t="shared" si="23"/>
        <v>432.19109302483008</v>
      </c>
      <c r="N81" t="str">
        <f t="shared" si="24"/>
        <v/>
      </c>
      <c r="O81" s="39">
        <f t="shared" si="25"/>
        <v>0</v>
      </c>
      <c r="Q81">
        <f t="shared" si="26"/>
        <v>276.04770913747188</v>
      </c>
      <c r="R81">
        <f t="shared" si="27"/>
        <v>276.04770913747188</v>
      </c>
      <c r="S81" t="str">
        <f t="shared" si="28"/>
        <v/>
      </c>
      <c r="T81" s="39">
        <f t="shared" si="29"/>
        <v>0</v>
      </c>
      <c r="U81">
        <f t="shared" si="30"/>
        <v>2020</v>
      </c>
      <c r="V81">
        <f t="shared" si="31"/>
        <v>2019</v>
      </c>
    </row>
    <row r="82" spans="1:22" x14ac:dyDescent="0.25">
      <c r="A82" t="s">
        <v>52</v>
      </c>
      <c r="B82" t="s">
        <v>53</v>
      </c>
      <c r="C82" s="1">
        <v>43865</v>
      </c>
      <c r="D82">
        <v>11979.65</v>
      </c>
      <c r="E82" s="1">
        <v>43878</v>
      </c>
      <c r="F82">
        <v>12045.8</v>
      </c>
      <c r="G82" s="2">
        <v>5.4999999999999997E-3</v>
      </c>
      <c r="H82" s="40">
        <f t="shared" si="18"/>
        <v>13</v>
      </c>
      <c r="I82" s="4">
        <f t="shared" si="19"/>
        <v>1.5E-3</v>
      </c>
      <c r="J82" s="4">
        <f t="shared" si="20"/>
        <v>2.166666666666667E-3</v>
      </c>
      <c r="K82" s="4">
        <f t="shared" si="21"/>
        <v>1.8333333333333326E-3</v>
      </c>
      <c r="L82">
        <f t="shared" si="22"/>
        <v>434.56814403646666</v>
      </c>
      <c r="M82">
        <f t="shared" si="23"/>
        <v>434.56814403646666</v>
      </c>
      <c r="N82" t="str">
        <f t="shared" si="24"/>
        <v/>
      </c>
      <c r="O82" s="39">
        <f t="shared" si="25"/>
        <v>0</v>
      </c>
      <c r="Q82">
        <f t="shared" si="26"/>
        <v>276.55379660422392</v>
      </c>
      <c r="R82">
        <f t="shared" si="27"/>
        <v>276.55379660422392</v>
      </c>
      <c r="S82" t="str">
        <f t="shared" si="28"/>
        <v/>
      </c>
      <c r="T82" s="39">
        <f t="shared" si="29"/>
        <v>0</v>
      </c>
      <c r="U82">
        <f t="shared" si="30"/>
        <v>2020</v>
      </c>
      <c r="V82">
        <f t="shared" si="31"/>
        <v>2020</v>
      </c>
    </row>
    <row r="83" spans="1:22" x14ac:dyDescent="0.25">
      <c r="A83" t="s">
        <v>52</v>
      </c>
      <c r="B83" t="s">
        <v>53</v>
      </c>
      <c r="C83" s="1">
        <v>43880</v>
      </c>
      <c r="D83">
        <v>12125.9</v>
      </c>
      <c r="E83" s="1">
        <v>43885</v>
      </c>
      <c r="F83">
        <v>11829.4</v>
      </c>
      <c r="G83" s="2">
        <v>-2.4500000000000001E-2</v>
      </c>
      <c r="H83" s="40">
        <f t="shared" si="18"/>
        <v>5</v>
      </c>
      <c r="I83" s="4">
        <f t="shared" si="19"/>
        <v>1.5E-3</v>
      </c>
      <c r="J83" s="4">
        <f t="shared" si="20"/>
        <v>8.3333333333333328E-4</v>
      </c>
      <c r="K83" s="4">
        <f t="shared" si="21"/>
        <v>-2.6833333333333334E-2</v>
      </c>
      <c r="L83">
        <f t="shared" si="22"/>
        <v>423.92122450757324</v>
      </c>
      <c r="M83">
        <f t="shared" si="23"/>
        <v>434.56814403646666</v>
      </c>
      <c r="N83">
        <f t="shared" si="24"/>
        <v>-10.64691952889342</v>
      </c>
      <c r="O83" s="39">
        <f t="shared" si="25"/>
        <v>-2.449999999999997E-2</v>
      </c>
      <c r="Q83">
        <f t="shared" si="26"/>
        <v>269.1329363953439</v>
      </c>
      <c r="R83">
        <f t="shared" si="27"/>
        <v>276.55379660422392</v>
      </c>
      <c r="S83">
        <f t="shared" si="28"/>
        <v>-7.4208602088800149</v>
      </c>
      <c r="T83" s="39">
        <f t="shared" si="29"/>
        <v>-2.6833333333333355E-2</v>
      </c>
      <c r="U83">
        <f t="shared" si="30"/>
        <v>2020</v>
      </c>
      <c r="V83">
        <f t="shared" si="31"/>
        <v>2020</v>
      </c>
    </row>
    <row r="84" spans="1:22" x14ac:dyDescent="0.25">
      <c r="A84" t="s">
        <v>52</v>
      </c>
      <c r="B84" t="s">
        <v>53</v>
      </c>
      <c r="C84" s="1">
        <v>43914</v>
      </c>
      <c r="D84">
        <v>7801.05</v>
      </c>
      <c r="E84" s="1">
        <v>43924</v>
      </c>
      <c r="F84">
        <v>8083.8</v>
      </c>
      <c r="G84" s="2">
        <v>3.6200000000000003E-2</v>
      </c>
      <c r="H84" s="40">
        <f t="shared" si="18"/>
        <v>10</v>
      </c>
      <c r="I84" s="4">
        <f t="shared" si="19"/>
        <v>1.5E-3</v>
      </c>
      <c r="J84" s="4">
        <f t="shared" si="20"/>
        <v>1.6666666666666666E-3</v>
      </c>
      <c r="K84" s="4">
        <f t="shared" si="21"/>
        <v>3.3033333333333338E-2</v>
      </c>
      <c r="L84">
        <f t="shared" si="22"/>
        <v>439.26717283474738</v>
      </c>
      <c r="M84">
        <f t="shared" si="23"/>
        <v>439.26717283474738</v>
      </c>
      <c r="N84" t="str">
        <f t="shared" si="24"/>
        <v/>
      </c>
      <c r="O84" s="39">
        <f t="shared" si="25"/>
        <v>0</v>
      </c>
      <c r="Q84">
        <f t="shared" si="26"/>
        <v>278.02329439427007</v>
      </c>
      <c r="R84">
        <f t="shared" si="27"/>
        <v>278.02329439427007</v>
      </c>
      <c r="S84" t="str">
        <f t="shared" si="28"/>
        <v/>
      </c>
      <c r="T84" s="39">
        <f t="shared" si="29"/>
        <v>0</v>
      </c>
      <c r="U84">
        <f t="shared" si="30"/>
        <v>2020</v>
      </c>
      <c r="V84">
        <f t="shared" si="31"/>
        <v>2020</v>
      </c>
    </row>
    <row r="85" spans="1:22" x14ac:dyDescent="0.25">
      <c r="A85" t="s">
        <v>52</v>
      </c>
      <c r="B85" t="s">
        <v>53</v>
      </c>
      <c r="C85" s="1">
        <v>43928</v>
      </c>
      <c r="D85">
        <v>8792.2000000000007</v>
      </c>
      <c r="E85" s="1">
        <v>43942</v>
      </c>
      <c r="F85">
        <v>8981.4500000000007</v>
      </c>
      <c r="G85" s="2">
        <v>2.1499999999999998E-2</v>
      </c>
      <c r="H85" s="40">
        <f t="shared" si="18"/>
        <v>14</v>
      </c>
      <c r="I85" s="4">
        <f t="shared" si="19"/>
        <v>1.5E-3</v>
      </c>
      <c r="J85" s="4">
        <f t="shared" si="20"/>
        <v>2.3333333333333335E-3</v>
      </c>
      <c r="K85" s="4">
        <f t="shared" si="21"/>
        <v>1.7666666666666664E-2</v>
      </c>
      <c r="L85">
        <f t="shared" si="22"/>
        <v>448.71141705069448</v>
      </c>
      <c r="M85">
        <f t="shared" si="23"/>
        <v>448.71141705069448</v>
      </c>
      <c r="N85" t="str">
        <f t="shared" si="24"/>
        <v/>
      </c>
      <c r="O85" s="39">
        <f t="shared" si="25"/>
        <v>0</v>
      </c>
      <c r="Q85">
        <f t="shared" si="26"/>
        <v>282.9350392619022</v>
      </c>
      <c r="R85">
        <f t="shared" si="27"/>
        <v>282.9350392619022</v>
      </c>
      <c r="S85" t="str">
        <f t="shared" si="28"/>
        <v/>
      </c>
      <c r="T85" s="39">
        <f t="shared" si="29"/>
        <v>0</v>
      </c>
      <c r="U85">
        <f t="shared" si="30"/>
        <v>2020</v>
      </c>
      <c r="V85">
        <f t="shared" si="31"/>
        <v>2020</v>
      </c>
    </row>
    <row r="86" spans="1:22" x14ac:dyDescent="0.25">
      <c r="A86" t="s">
        <v>52</v>
      </c>
      <c r="B86" t="s">
        <v>53</v>
      </c>
      <c r="C86" s="1">
        <v>43944</v>
      </c>
      <c r="D86">
        <v>9313.9</v>
      </c>
      <c r="E86" s="1">
        <v>43969</v>
      </c>
      <c r="F86">
        <v>8823.25</v>
      </c>
      <c r="G86" s="2">
        <v>-5.2699999999999997E-2</v>
      </c>
      <c r="H86" s="40">
        <f t="shared" si="18"/>
        <v>25</v>
      </c>
      <c r="I86" s="4">
        <f t="shared" si="19"/>
        <v>1.5E-3</v>
      </c>
      <c r="J86" s="4">
        <f t="shared" si="20"/>
        <v>4.1666666666666666E-3</v>
      </c>
      <c r="K86" s="4">
        <f t="shared" si="21"/>
        <v>-5.8366666666666664E-2</v>
      </c>
      <c r="L86">
        <f t="shared" si="22"/>
        <v>425.06432537212288</v>
      </c>
      <c r="M86">
        <f t="shared" si="23"/>
        <v>448.71141705069448</v>
      </c>
      <c r="N86">
        <f t="shared" si="24"/>
        <v>-23.647091678571599</v>
      </c>
      <c r="O86" s="39">
        <f t="shared" si="25"/>
        <v>-5.2699999999999997E-2</v>
      </c>
      <c r="Q86">
        <f t="shared" si="26"/>
        <v>266.42106413698252</v>
      </c>
      <c r="R86">
        <f t="shared" si="27"/>
        <v>282.9350392619022</v>
      </c>
      <c r="S86">
        <f t="shared" si="28"/>
        <v>-16.513975124919682</v>
      </c>
      <c r="T86" s="39">
        <f t="shared" si="29"/>
        <v>-5.8366666666666629E-2</v>
      </c>
      <c r="U86">
        <f t="shared" si="30"/>
        <v>2020</v>
      </c>
      <c r="V86">
        <f t="shared" si="31"/>
        <v>2020</v>
      </c>
    </row>
    <row r="87" spans="1:22" x14ac:dyDescent="0.25">
      <c r="A87" t="s">
        <v>52</v>
      </c>
      <c r="B87" t="s">
        <v>53</v>
      </c>
      <c r="C87" s="1">
        <v>43978</v>
      </c>
      <c r="D87">
        <v>9314.9500000000007</v>
      </c>
      <c r="E87" s="1">
        <v>44096</v>
      </c>
      <c r="F87">
        <v>11153.65</v>
      </c>
      <c r="G87" s="2">
        <v>0.19739999999999999</v>
      </c>
      <c r="H87" s="40">
        <f t="shared" si="18"/>
        <v>118</v>
      </c>
      <c r="I87" s="4">
        <f t="shared" si="19"/>
        <v>1.5E-3</v>
      </c>
      <c r="J87" s="4">
        <f t="shared" si="20"/>
        <v>1.9666666666666666E-2</v>
      </c>
      <c r="K87" s="4">
        <f t="shared" si="21"/>
        <v>0.17623333333333333</v>
      </c>
      <c r="L87">
        <f t="shared" si="22"/>
        <v>508.97202320057994</v>
      </c>
      <c r="M87">
        <f t="shared" si="23"/>
        <v>508.97202320057994</v>
      </c>
      <c r="N87" t="str">
        <f t="shared" si="24"/>
        <v/>
      </c>
      <c r="O87" s="39">
        <f t="shared" si="25"/>
        <v>0</v>
      </c>
      <c r="Q87">
        <f t="shared" si="26"/>
        <v>313.37333634005671</v>
      </c>
      <c r="R87">
        <f t="shared" si="27"/>
        <v>313.37333634005671</v>
      </c>
      <c r="S87" t="str">
        <f t="shared" si="28"/>
        <v/>
      </c>
      <c r="T87" s="39">
        <f t="shared" si="29"/>
        <v>0</v>
      </c>
      <c r="U87">
        <f t="shared" si="30"/>
        <v>2020</v>
      </c>
      <c r="V87">
        <f t="shared" si="31"/>
        <v>2020</v>
      </c>
    </row>
    <row r="88" spans="1:22" x14ac:dyDescent="0.25">
      <c r="A88" t="s">
        <v>52</v>
      </c>
      <c r="B88" t="s">
        <v>53</v>
      </c>
      <c r="C88" s="1">
        <v>44102</v>
      </c>
      <c r="D88">
        <v>11227.55</v>
      </c>
      <c r="E88" s="1">
        <v>44224</v>
      </c>
      <c r="F88">
        <v>13817.55</v>
      </c>
      <c r="G88" s="2">
        <v>0.23069999999999999</v>
      </c>
      <c r="H88" s="40">
        <f t="shared" ref="H88:H118" si="32">E88-C88</f>
        <v>122</v>
      </c>
      <c r="I88" s="4">
        <f t="shared" ref="I88:I118" si="33">C$1</f>
        <v>1.5E-3</v>
      </c>
      <c r="J88" s="4">
        <f t="shared" ref="J88:J118" si="34">H88/30*D$1</f>
        <v>2.0333333333333332E-2</v>
      </c>
      <c r="K88" s="4">
        <f t="shared" ref="K88:K118" si="35">G88-SUM(I88,J88)</f>
        <v>0.20886666666666664</v>
      </c>
      <c r="L88">
        <f t="shared" ref="L88:L118" si="36">L87*(1+G88)</f>
        <v>626.3918689529537</v>
      </c>
      <c r="M88">
        <f t="shared" ref="M88:M118" si="37">MAX(L88,M87)</f>
        <v>626.3918689529537</v>
      </c>
      <c r="N88" t="str">
        <f t="shared" ref="N88:N118" si="38">IF(M88&gt;L88,L88-M88,"")</f>
        <v/>
      </c>
      <c r="O88" s="39">
        <f t="shared" ref="O88:O118" si="39">IFERROR(N88/M88,0)</f>
        <v>0</v>
      </c>
      <c r="Q88">
        <f t="shared" ref="Q88:Q118" si="40">Q87*(1+K88)</f>
        <v>378.8265805236166</v>
      </c>
      <c r="R88">
        <f t="shared" ref="R88:R118" si="41">MAX(Q88,R87)</f>
        <v>378.8265805236166</v>
      </c>
      <c r="S88" t="str">
        <f t="shared" ref="S88:S118" si="42">IF(R88&gt;Q88,Q88-R88,"")</f>
        <v/>
      </c>
      <c r="T88" s="39">
        <f t="shared" ref="T88:T118" si="43">IFERROR(S88/R88,0)</f>
        <v>0</v>
      </c>
      <c r="U88">
        <f t="shared" ref="U88:U118" si="44">YEAR(E88)</f>
        <v>2021</v>
      </c>
      <c r="V88">
        <f t="shared" ref="V88:V118" si="45">YEAR(C88)</f>
        <v>2020</v>
      </c>
    </row>
    <row r="89" spans="1:22" x14ac:dyDescent="0.25">
      <c r="A89" t="s">
        <v>52</v>
      </c>
      <c r="B89" t="s">
        <v>53</v>
      </c>
      <c r="C89" s="1">
        <v>44228</v>
      </c>
      <c r="D89">
        <v>14281.2</v>
      </c>
      <c r="E89" s="1">
        <v>44253</v>
      </c>
      <c r="F89">
        <v>14529.15</v>
      </c>
      <c r="G89" s="2">
        <v>1.7399999999999999E-2</v>
      </c>
      <c r="H89" s="40">
        <f t="shared" si="32"/>
        <v>25</v>
      </c>
      <c r="I89" s="4">
        <f t="shared" si="33"/>
        <v>1.5E-3</v>
      </c>
      <c r="J89" s="4">
        <f t="shared" si="34"/>
        <v>4.1666666666666666E-3</v>
      </c>
      <c r="K89" s="4">
        <f t="shared" si="35"/>
        <v>1.1733333333333332E-2</v>
      </c>
      <c r="L89">
        <f t="shared" si="36"/>
        <v>637.29108747273517</v>
      </c>
      <c r="M89">
        <f t="shared" si="37"/>
        <v>637.29108747273517</v>
      </c>
      <c r="N89" t="str">
        <f t="shared" si="38"/>
        <v/>
      </c>
      <c r="O89" s="39">
        <f t="shared" si="39"/>
        <v>0</v>
      </c>
      <c r="Q89">
        <f t="shared" si="40"/>
        <v>383.27147906842703</v>
      </c>
      <c r="R89">
        <f t="shared" si="41"/>
        <v>383.27147906842703</v>
      </c>
      <c r="S89" t="str">
        <f t="shared" si="42"/>
        <v/>
      </c>
      <c r="T89" s="39">
        <f t="shared" si="43"/>
        <v>0</v>
      </c>
      <c r="U89">
        <f t="shared" si="44"/>
        <v>2021</v>
      </c>
      <c r="V89">
        <f t="shared" si="45"/>
        <v>2021</v>
      </c>
    </row>
    <row r="90" spans="1:22" x14ac:dyDescent="0.25">
      <c r="A90" t="s">
        <v>52</v>
      </c>
      <c r="B90" t="s">
        <v>53</v>
      </c>
      <c r="C90" s="1">
        <v>44258</v>
      </c>
      <c r="D90">
        <v>15245.6</v>
      </c>
      <c r="E90" s="1">
        <v>44270</v>
      </c>
      <c r="F90">
        <v>14929.5</v>
      </c>
      <c r="G90" s="2">
        <v>-2.07E-2</v>
      </c>
      <c r="H90" s="40">
        <f t="shared" si="32"/>
        <v>12</v>
      </c>
      <c r="I90" s="4">
        <f t="shared" si="33"/>
        <v>1.5E-3</v>
      </c>
      <c r="J90" s="4">
        <f t="shared" si="34"/>
        <v>2E-3</v>
      </c>
      <c r="K90" s="4">
        <f t="shared" si="35"/>
        <v>-2.4199999999999999E-2</v>
      </c>
      <c r="L90">
        <f t="shared" si="36"/>
        <v>624.09916196204949</v>
      </c>
      <c r="M90">
        <f t="shared" si="37"/>
        <v>637.29108747273517</v>
      </c>
      <c r="N90">
        <f t="shared" si="38"/>
        <v>-13.191925510685678</v>
      </c>
      <c r="O90" s="39">
        <f t="shared" si="39"/>
        <v>-2.0700000000000093E-2</v>
      </c>
      <c r="Q90">
        <f t="shared" si="40"/>
        <v>373.99630927497111</v>
      </c>
      <c r="R90">
        <f t="shared" si="41"/>
        <v>383.27147906842703</v>
      </c>
      <c r="S90">
        <f t="shared" si="42"/>
        <v>-9.2751697934559161</v>
      </c>
      <c r="T90" s="39">
        <f t="shared" si="43"/>
        <v>-2.4199999999999954E-2</v>
      </c>
      <c r="U90">
        <f t="shared" si="44"/>
        <v>2021</v>
      </c>
      <c r="V90">
        <f t="shared" si="45"/>
        <v>2021</v>
      </c>
    </row>
    <row r="91" spans="1:22" x14ac:dyDescent="0.25">
      <c r="A91" t="s">
        <v>52</v>
      </c>
      <c r="B91" t="s">
        <v>53</v>
      </c>
      <c r="C91" s="1">
        <v>44285</v>
      </c>
      <c r="D91">
        <v>14845.1</v>
      </c>
      <c r="E91" s="1">
        <v>44298</v>
      </c>
      <c r="F91">
        <v>14310.8</v>
      </c>
      <c r="G91" s="2">
        <v>-3.5999999999999997E-2</v>
      </c>
      <c r="H91" s="40">
        <f t="shared" si="32"/>
        <v>13</v>
      </c>
      <c r="I91" s="4">
        <f t="shared" si="33"/>
        <v>1.5E-3</v>
      </c>
      <c r="J91" s="4">
        <f t="shared" si="34"/>
        <v>2.166666666666667E-3</v>
      </c>
      <c r="K91" s="4">
        <f t="shared" si="35"/>
        <v>-3.9666666666666663E-2</v>
      </c>
      <c r="L91">
        <f t="shared" si="36"/>
        <v>601.63159213141569</v>
      </c>
      <c r="M91">
        <f t="shared" si="37"/>
        <v>637.29108747273517</v>
      </c>
      <c r="N91">
        <f t="shared" si="38"/>
        <v>-35.659495341319484</v>
      </c>
      <c r="O91" s="39">
        <f t="shared" si="39"/>
        <v>-5.5954800000000131E-2</v>
      </c>
      <c r="Q91">
        <f t="shared" si="40"/>
        <v>359.1611223403973</v>
      </c>
      <c r="R91">
        <f t="shared" si="41"/>
        <v>383.27147906842703</v>
      </c>
      <c r="S91">
        <f t="shared" si="42"/>
        <v>-24.110356728029728</v>
      </c>
      <c r="T91" s="39">
        <f t="shared" si="43"/>
        <v>-6.2906733333333173E-2</v>
      </c>
      <c r="U91">
        <f t="shared" si="44"/>
        <v>2021</v>
      </c>
      <c r="V91">
        <f t="shared" si="45"/>
        <v>2021</v>
      </c>
    </row>
    <row r="92" spans="1:22" x14ac:dyDescent="0.25">
      <c r="A92" t="s">
        <v>52</v>
      </c>
      <c r="B92" t="s">
        <v>53</v>
      </c>
      <c r="C92" s="1">
        <v>44313</v>
      </c>
      <c r="D92">
        <v>14653.05</v>
      </c>
      <c r="E92" s="1">
        <v>44316</v>
      </c>
      <c r="F92">
        <v>14631.1</v>
      </c>
      <c r="G92" s="2">
        <v>-1.5E-3</v>
      </c>
      <c r="H92" s="40">
        <f t="shared" si="32"/>
        <v>3</v>
      </c>
      <c r="I92" s="4">
        <f t="shared" si="33"/>
        <v>1.5E-3</v>
      </c>
      <c r="J92" s="4">
        <f t="shared" si="34"/>
        <v>5.0000000000000001E-4</v>
      </c>
      <c r="K92" s="4">
        <f t="shared" si="35"/>
        <v>-3.5000000000000001E-3</v>
      </c>
      <c r="L92">
        <f t="shared" si="36"/>
        <v>600.72914474321863</v>
      </c>
      <c r="M92">
        <f t="shared" si="37"/>
        <v>637.29108747273517</v>
      </c>
      <c r="N92">
        <f t="shared" si="38"/>
        <v>-36.561942729516545</v>
      </c>
      <c r="O92" s="39">
        <f t="shared" si="39"/>
        <v>-5.7370867800000031E-2</v>
      </c>
      <c r="Q92">
        <f t="shared" si="40"/>
        <v>357.90405841220593</v>
      </c>
      <c r="R92">
        <f t="shared" si="41"/>
        <v>383.27147906842703</v>
      </c>
      <c r="S92">
        <f t="shared" si="42"/>
        <v>-25.3674206562211</v>
      </c>
      <c r="T92" s="39">
        <f t="shared" si="43"/>
        <v>-6.6186559766666458E-2</v>
      </c>
      <c r="U92">
        <f t="shared" si="44"/>
        <v>2021</v>
      </c>
      <c r="V92">
        <f t="shared" si="45"/>
        <v>2021</v>
      </c>
    </row>
    <row r="93" spans="1:22" x14ac:dyDescent="0.25">
      <c r="A93" t="s">
        <v>52</v>
      </c>
      <c r="B93" t="s">
        <v>53</v>
      </c>
      <c r="C93" s="1">
        <v>44323</v>
      </c>
      <c r="D93">
        <v>14823.15</v>
      </c>
      <c r="E93" s="1">
        <v>44328</v>
      </c>
      <c r="F93">
        <v>14696.5</v>
      </c>
      <c r="G93" s="2">
        <v>-8.5000000000000006E-3</v>
      </c>
      <c r="H93" s="40">
        <f t="shared" si="32"/>
        <v>5</v>
      </c>
      <c r="I93" s="4">
        <f t="shared" si="33"/>
        <v>1.5E-3</v>
      </c>
      <c r="J93" s="4">
        <f t="shared" si="34"/>
        <v>8.3333333333333328E-4</v>
      </c>
      <c r="K93" s="4">
        <f t="shared" si="35"/>
        <v>-1.0833333333333334E-2</v>
      </c>
      <c r="L93">
        <f t="shared" si="36"/>
        <v>595.62294701290125</v>
      </c>
      <c r="M93">
        <f t="shared" si="37"/>
        <v>637.29108747273517</v>
      </c>
      <c r="N93">
        <f t="shared" si="38"/>
        <v>-41.668140459833921</v>
      </c>
      <c r="O93" s="39">
        <f t="shared" si="39"/>
        <v>-6.5383215423700056E-2</v>
      </c>
      <c r="Q93">
        <f t="shared" si="40"/>
        <v>354.02676444607368</v>
      </c>
      <c r="R93">
        <f t="shared" si="41"/>
        <v>383.27147906842703</v>
      </c>
      <c r="S93">
        <f t="shared" si="42"/>
        <v>-29.244714622353342</v>
      </c>
      <c r="T93" s="39">
        <f t="shared" si="43"/>
        <v>-7.6302872035860947E-2</v>
      </c>
      <c r="U93">
        <f t="shared" si="44"/>
        <v>2021</v>
      </c>
      <c r="V93">
        <f t="shared" si="45"/>
        <v>2021</v>
      </c>
    </row>
    <row r="94" spans="1:22" x14ac:dyDescent="0.25">
      <c r="A94" t="s">
        <v>52</v>
      </c>
      <c r="B94" t="s">
        <v>53</v>
      </c>
      <c r="C94" s="1">
        <v>44333</v>
      </c>
      <c r="D94">
        <v>14923.15</v>
      </c>
      <c r="E94" s="1">
        <v>44498</v>
      </c>
      <c r="F94">
        <v>17671.650000000001</v>
      </c>
      <c r="G94" s="2">
        <v>0.1842</v>
      </c>
      <c r="H94" s="40">
        <f t="shared" si="32"/>
        <v>165</v>
      </c>
      <c r="I94" s="4">
        <f t="shared" si="33"/>
        <v>1.5E-3</v>
      </c>
      <c r="J94" s="4">
        <f t="shared" si="34"/>
        <v>2.75E-2</v>
      </c>
      <c r="K94" s="4">
        <f t="shared" si="35"/>
        <v>0.1552</v>
      </c>
      <c r="L94">
        <f t="shared" si="36"/>
        <v>705.33669385267763</v>
      </c>
      <c r="M94">
        <f t="shared" si="37"/>
        <v>705.33669385267763</v>
      </c>
      <c r="N94" t="str">
        <f t="shared" si="38"/>
        <v/>
      </c>
      <c r="O94" s="39">
        <f t="shared" si="39"/>
        <v>0</v>
      </c>
      <c r="Q94">
        <f t="shared" si="40"/>
        <v>408.97171828810434</v>
      </c>
      <c r="R94">
        <f t="shared" si="41"/>
        <v>408.97171828810434</v>
      </c>
      <c r="S94" t="str">
        <f t="shared" si="42"/>
        <v/>
      </c>
      <c r="T94" s="39">
        <f t="shared" si="43"/>
        <v>0</v>
      </c>
      <c r="U94">
        <f t="shared" si="44"/>
        <v>2021</v>
      </c>
      <c r="V94">
        <f t="shared" si="45"/>
        <v>2021</v>
      </c>
    </row>
    <row r="95" spans="1:22" x14ac:dyDescent="0.25">
      <c r="A95" t="s">
        <v>52</v>
      </c>
      <c r="B95" t="s">
        <v>53</v>
      </c>
      <c r="C95" s="1">
        <v>44508</v>
      </c>
      <c r="D95">
        <v>18068.55</v>
      </c>
      <c r="E95" s="1">
        <v>44517</v>
      </c>
      <c r="F95">
        <v>17898.650000000001</v>
      </c>
      <c r="G95" s="2">
        <v>-9.4000000000000004E-3</v>
      </c>
      <c r="H95" s="40">
        <f t="shared" si="32"/>
        <v>9</v>
      </c>
      <c r="I95" s="4">
        <f t="shared" si="33"/>
        <v>1.5E-3</v>
      </c>
      <c r="J95" s="4">
        <f t="shared" si="34"/>
        <v>1.5E-3</v>
      </c>
      <c r="K95" s="4">
        <f t="shared" si="35"/>
        <v>-1.2400000000000001E-2</v>
      </c>
      <c r="L95">
        <f t="shared" si="36"/>
        <v>698.70652893046247</v>
      </c>
      <c r="M95">
        <f t="shared" si="37"/>
        <v>705.33669385267763</v>
      </c>
      <c r="N95">
        <f t="shared" si="38"/>
        <v>-6.6301649222151582</v>
      </c>
      <c r="O95" s="39">
        <f t="shared" si="39"/>
        <v>-9.399999999999983E-3</v>
      </c>
      <c r="Q95">
        <f t="shared" si="40"/>
        <v>403.90046898133187</v>
      </c>
      <c r="R95">
        <f t="shared" si="41"/>
        <v>408.97171828810434</v>
      </c>
      <c r="S95">
        <f t="shared" si="42"/>
        <v>-5.0712493067724722</v>
      </c>
      <c r="T95" s="39">
        <f t="shared" si="43"/>
        <v>-1.2399999999999948E-2</v>
      </c>
      <c r="U95">
        <f t="shared" si="44"/>
        <v>2021</v>
      </c>
      <c r="V95">
        <f t="shared" si="45"/>
        <v>2021</v>
      </c>
    </row>
    <row r="96" spans="1:22" x14ac:dyDescent="0.25">
      <c r="A96" t="s">
        <v>52</v>
      </c>
      <c r="B96" t="s">
        <v>53</v>
      </c>
      <c r="C96" s="1">
        <v>44736</v>
      </c>
      <c r="D96">
        <v>15699.25</v>
      </c>
      <c r="E96" s="1">
        <v>44755</v>
      </c>
      <c r="F96">
        <v>15966.65</v>
      </c>
      <c r="G96" s="2">
        <v>1.7000000000000001E-2</v>
      </c>
      <c r="H96" s="40">
        <f t="shared" si="32"/>
        <v>19</v>
      </c>
      <c r="I96" s="4">
        <f t="shared" si="33"/>
        <v>1.5E-3</v>
      </c>
      <c r="J96" s="4">
        <f t="shared" si="34"/>
        <v>3.1666666666666666E-3</v>
      </c>
      <c r="K96" s="4">
        <f t="shared" si="35"/>
        <v>1.2333333333333335E-2</v>
      </c>
      <c r="L96">
        <f t="shared" si="36"/>
        <v>710.58453992228021</v>
      </c>
      <c r="M96">
        <f t="shared" si="37"/>
        <v>710.58453992228021</v>
      </c>
      <c r="N96" t="str">
        <f t="shared" si="38"/>
        <v/>
      </c>
      <c r="O96" s="39">
        <f t="shared" si="39"/>
        <v>0</v>
      </c>
      <c r="Q96">
        <f t="shared" si="40"/>
        <v>408.88190809876829</v>
      </c>
      <c r="R96">
        <f t="shared" si="41"/>
        <v>408.97171828810434</v>
      </c>
      <c r="S96">
        <f t="shared" si="42"/>
        <v>-8.9810189336049007E-2</v>
      </c>
      <c r="T96" s="39">
        <f t="shared" si="43"/>
        <v>-2.1959999999995427E-4</v>
      </c>
      <c r="U96">
        <f t="shared" si="44"/>
        <v>2022</v>
      </c>
      <c r="V96">
        <f t="shared" si="45"/>
        <v>2022</v>
      </c>
    </row>
    <row r="97" spans="1:22" x14ac:dyDescent="0.25">
      <c r="A97" t="s">
        <v>52</v>
      </c>
      <c r="B97" t="s">
        <v>53</v>
      </c>
      <c r="C97" s="1">
        <v>44760</v>
      </c>
      <c r="D97">
        <v>16278.5</v>
      </c>
      <c r="E97" s="1">
        <v>44802</v>
      </c>
      <c r="F97">
        <v>17312.900000000001</v>
      </c>
      <c r="G97" s="2">
        <v>6.3500000000000001E-2</v>
      </c>
      <c r="H97" s="40">
        <f t="shared" si="32"/>
        <v>42</v>
      </c>
      <c r="I97" s="4">
        <f t="shared" si="33"/>
        <v>1.5E-3</v>
      </c>
      <c r="J97" s="4">
        <f t="shared" si="34"/>
        <v>6.9999999999999993E-3</v>
      </c>
      <c r="K97" s="4">
        <f t="shared" si="35"/>
        <v>5.5E-2</v>
      </c>
      <c r="L97">
        <f t="shared" si="36"/>
        <v>755.70665820734496</v>
      </c>
      <c r="M97">
        <f t="shared" si="37"/>
        <v>755.70665820734496</v>
      </c>
      <c r="N97" t="str">
        <f t="shared" si="38"/>
        <v/>
      </c>
      <c r="O97" s="39">
        <f t="shared" si="39"/>
        <v>0</v>
      </c>
      <c r="Q97">
        <f t="shared" si="40"/>
        <v>431.37041304420052</v>
      </c>
      <c r="R97">
        <f t="shared" si="41"/>
        <v>431.37041304420052</v>
      </c>
      <c r="S97" t="str">
        <f t="shared" si="42"/>
        <v/>
      </c>
      <c r="T97" s="39">
        <f t="shared" si="43"/>
        <v>0</v>
      </c>
      <c r="U97">
        <f t="shared" si="44"/>
        <v>2022</v>
      </c>
      <c r="V97">
        <f t="shared" si="45"/>
        <v>2022</v>
      </c>
    </row>
    <row r="98" spans="1:22" x14ac:dyDescent="0.25">
      <c r="A98" t="s">
        <v>52</v>
      </c>
      <c r="B98" t="s">
        <v>53</v>
      </c>
      <c r="C98" s="1">
        <v>44803</v>
      </c>
      <c r="D98">
        <v>17759.3</v>
      </c>
      <c r="E98" s="1">
        <v>44819</v>
      </c>
      <c r="F98">
        <v>17877.400000000001</v>
      </c>
      <c r="G98" s="2">
        <v>6.7000000000000002E-3</v>
      </c>
      <c r="H98" s="40">
        <f t="shared" si="32"/>
        <v>16</v>
      </c>
      <c r="I98" s="4">
        <f t="shared" si="33"/>
        <v>1.5E-3</v>
      </c>
      <c r="J98" s="4">
        <f t="shared" si="34"/>
        <v>2.6666666666666666E-3</v>
      </c>
      <c r="K98" s="4">
        <f t="shared" si="35"/>
        <v>2.5333333333333336E-3</v>
      </c>
      <c r="L98">
        <f t="shared" si="36"/>
        <v>760.76989281733415</v>
      </c>
      <c r="M98">
        <f t="shared" si="37"/>
        <v>760.76989281733415</v>
      </c>
      <c r="N98" t="str">
        <f t="shared" si="38"/>
        <v/>
      </c>
      <c r="O98" s="39">
        <f t="shared" si="39"/>
        <v>0</v>
      </c>
      <c r="Q98">
        <f t="shared" si="40"/>
        <v>432.46321809057912</v>
      </c>
      <c r="R98">
        <f t="shared" si="41"/>
        <v>432.46321809057912</v>
      </c>
      <c r="S98" t="str">
        <f t="shared" si="42"/>
        <v/>
      </c>
      <c r="T98" s="39">
        <f t="shared" si="43"/>
        <v>0</v>
      </c>
      <c r="U98">
        <f t="shared" si="44"/>
        <v>2022</v>
      </c>
      <c r="V98">
        <f t="shared" si="45"/>
        <v>2022</v>
      </c>
    </row>
    <row r="99" spans="1:22" x14ac:dyDescent="0.25">
      <c r="A99" t="s">
        <v>52</v>
      </c>
      <c r="B99" t="s">
        <v>53</v>
      </c>
      <c r="C99" s="1">
        <v>44824</v>
      </c>
      <c r="D99">
        <v>17816.25</v>
      </c>
      <c r="E99" s="1">
        <v>44827</v>
      </c>
      <c r="F99">
        <v>17327.349999999999</v>
      </c>
      <c r="G99" s="2">
        <v>-2.7400000000000001E-2</v>
      </c>
      <c r="H99" s="40">
        <f t="shared" si="32"/>
        <v>3</v>
      </c>
      <c r="I99" s="4">
        <f t="shared" si="33"/>
        <v>1.5E-3</v>
      </c>
      <c r="J99" s="4">
        <f t="shared" si="34"/>
        <v>5.0000000000000001E-4</v>
      </c>
      <c r="K99" s="4">
        <f t="shared" si="35"/>
        <v>-2.9400000000000003E-2</v>
      </c>
      <c r="L99">
        <f t="shared" si="36"/>
        <v>739.92479775413926</v>
      </c>
      <c r="M99">
        <f t="shared" si="37"/>
        <v>760.76989281733415</v>
      </c>
      <c r="N99">
        <f t="shared" si="38"/>
        <v>-20.84509506319489</v>
      </c>
      <c r="O99" s="39">
        <f t="shared" si="39"/>
        <v>-2.7399999999999914E-2</v>
      </c>
      <c r="Q99">
        <f t="shared" si="40"/>
        <v>419.74879947871608</v>
      </c>
      <c r="R99">
        <f t="shared" si="41"/>
        <v>432.46321809057912</v>
      </c>
      <c r="S99">
        <f t="shared" si="42"/>
        <v>-12.714418611863039</v>
      </c>
      <c r="T99" s="39">
        <f t="shared" si="43"/>
        <v>-2.940000000000003E-2</v>
      </c>
      <c r="U99">
        <f t="shared" si="44"/>
        <v>2022</v>
      </c>
      <c r="V99">
        <f t="shared" si="45"/>
        <v>2022</v>
      </c>
    </row>
    <row r="100" spans="1:22" x14ac:dyDescent="0.25">
      <c r="A100" t="s">
        <v>52</v>
      </c>
      <c r="B100" t="s">
        <v>53</v>
      </c>
      <c r="C100" s="1">
        <v>44838</v>
      </c>
      <c r="D100">
        <v>17274.3</v>
      </c>
      <c r="E100" s="1">
        <v>44845</v>
      </c>
      <c r="F100">
        <v>16983.55</v>
      </c>
      <c r="G100" s="2">
        <v>-1.6799999999999999E-2</v>
      </c>
      <c r="H100" s="40">
        <f t="shared" si="32"/>
        <v>7</v>
      </c>
      <c r="I100" s="4">
        <f t="shared" si="33"/>
        <v>1.5E-3</v>
      </c>
      <c r="J100" s="4">
        <f t="shared" si="34"/>
        <v>1.1666666666666668E-3</v>
      </c>
      <c r="K100" s="4">
        <f t="shared" si="35"/>
        <v>-1.9466666666666667E-2</v>
      </c>
      <c r="L100">
        <f t="shared" si="36"/>
        <v>727.49406115186969</v>
      </c>
      <c r="M100">
        <f t="shared" si="37"/>
        <v>760.76989281733415</v>
      </c>
      <c r="N100">
        <f t="shared" si="38"/>
        <v>-33.275831665464466</v>
      </c>
      <c r="O100" s="39">
        <f t="shared" si="39"/>
        <v>-4.3739679999999961E-2</v>
      </c>
      <c r="Q100">
        <f t="shared" si="40"/>
        <v>411.57768951553044</v>
      </c>
      <c r="R100">
        <f t="shared" si="41"/>
        <v>432.46321809057912</v>
      </c>
      <c r="S100">
        <f t="shared" si="42"/>
        <v>-20.885528575048681</v>
      </c>
      <c r="T100" s="39">
        <f t="shared" si="43"/>
        <v>-4.8294346666666627E-2</v>
      </c>
      <c r="U100">
        <f t="shared" si="44"/>
        <v>2022</v>
      </c>
      <c r="V100">
        <f t="shared" si="45"/>
        <v>2022</v>
      </c>
    </row>
    <row r="101" spans="1:22" x14ac:dyDescent="0.25">
      <c r="A101" t="s">
        <v>52</v>
      </c>
      <c r="B101" t="s">
        <v>53</v>
      </c>
      <c r="C101" s="1">
        <v>44851</v>
      </c>
      <c r="D101">
        <v>17311.8</v>
      </c>
      <c r="E101" s="1">
        <v>44917</v>
      </c>
      <c r="F101">
        <v>18127.349999999999</v>
      </c>
      <c r="G101" s="2">
        <v>4.7100000000000003E-2</v>
      </c>
      <c r="H101" s="40">
        <f t="shared" si="32"/>
        <v>66</v>
      </c>
      <c r="I101" s="4">
        <f t="shared" si="33"/>
        <v>1.5E-3</v>
      </c>
      <c r="J101" s="4">
        <f t="shared" si="34"/>
        <v>1.1000000000000001E-2</v>
      </c>
      <c r="K101" s="4">
        <f t="shared" si="35"/>
        <v>3.4600000000000006E-2</v>
      </c>
      <c r="L101">
        <f t="shared" si="36"/>
        <v>761.7590314321227</v>
      </c>
      <c r="M101">
        <f t="shared" si="37"/>
        <v>761.7590314321227</v>
      </c>
      <c r="N101" t="str">
        <f t="shared" si="38"/>
        <v/>
      </c>
      <c r="O101" s="39">
        <f t="shared" si="39"/>
        <v>0</v>
      </c>
      <c r="Q101">
        <f t="shared" si="40"/>
        <v>425.81827757276778</v>
      </c>
      <c r="R101">
        <f t="shared" si="41"/>
        <v>432.46321809057912</v>
      </c>
      <c r="S101">
        <f t="shared" si="42"/>
        <v>-6.6449405178113352</v>
      </c>
      <c r="T101" s="39">
        <f t="shared" si="43"/>
        <v>-1.5365331061333306E-2</v>
      </c>
      <c r="U101">
        <f t="shared" si="44"/>
        <v>2022</v>
      </c>
      <c r="V101">
        <f t="shared" si="45"/>
        <v>2022</v>
      </c>
    </row>
    <row r="102" spans="1:22" x14ac:dyDescent="0.25">
      <c r="A102" t="s">
        <v>52</v>
      </c>
      <c r="B102" t="s">
        <v>53</v>
      </c>
      <c r="C102" s="1">
        <v>44979</v>
      </c>
      <c r="D102">
        <v>17554.3</v>
      </c>
      <c r="E102" s="1">
        <v>44981</v>
      </c>
      <c r="F102">
        <v>17465.8</v>
      </c>
      <c r="G102" s="2">
        <v>-5.0000000000000001E-3</v>
      </c>
      <c r="H102" s="40">
        <f t="shared" si="32"/>
        <v>2</v>
      </c>
      <c r="I102" s="4">
        <f t="shared" si="33"/>
        <v>1.5E-3</v>
      </c>
      <c r="J102" s="4">
        <f t="shared" si="34"/>
        <v>3.3333333333333332E-4</v>
      </c>
      <c r="K102" s="4">
        <f t="shared" si="35"/>
        <v>-6.8333333333333336E-3</v>
      </c>
      <c r="L102">
        <f t="shared" si="36"/>
        <v>757.95023627496209</v>
      </c>
      <c r="M102">
        <f t="shared" si="37"/>
        <v>761.7590314321227</v>
      </c>
      <c r="N102">
        <f t="shared" si="38"/>
        <v>-3.8087951571606027</v>
      </c>
      <c r="O102" s="39">
        <f t="shared" si="39"/>
        <v>-4.9999999999999862E-3</v>
      </c>
      <c r="Q102">
        <f t="shared" si="40"/>
        <v>422.90851934268721</v>
      </c>
      <c r="R102">
        <f t="shared" si="41"/>
        <v>432.46321809057912</v>
      </c>
      <c r="S102">
        <f t="shared" si="42"/>
        <v>-9.554698747891905</v>
      </c>
      <c r="T102" s="39">
        <f t="shared" si="43"/>
        <v>-2.2093667965747507E-2</v>
      </c>
      <c r="U102">
        <f t="shared" si="44"/>
        <v>2023</v>
      </c>
      <c r="V102">
        <f t="shared" si="45"/>
        <v>2023</v>
      </c>
    </row>
    <row r="103" spans="1:22" x14ac:dyDescent="0.25">
      <c r="A103" t="s">
        <v>52</v>
      </c>
      <c r="B103" t="s">
        <v>53</v>
      </c>
      <c r="C103" s="1">
        <v>44988</v>
      </c>
      <c r="D103">
        <v>17594.349999999999</v>
      </c>
      <c r="E103" s="1">
        <v>44995</v>
      </c>
      <c r="F103">
        <v>17412.900000000001</v>
      </c>
      <c r="G103" s="2">
        <v>-1.03E-2</v>
      </c>
      <c r="H103" s="40">
        <f t="shared" si="32"/>
        <v>7</v>
      </c>
      <c r="I103" s="4">
        <f t="shared" si="33"/>
        <v>1.5E-3</v>
      </c>
      <c r="J103" s="4">
        <f t="shared" si="34"/>
        <v>1.1666666666666668E-3</v>
      </c>
      <c r="K103" s="4">
        <f t="shared" si="35"/>
        <v>-1.2966666666666668E-2</v>
      </c>
      <c r="L103">
        <f t="shared" si="36"/>
        <v>750.14334884132995</v>
      </c>
      <c r="M103">
        <f t="shared" si="37"/>
        <v>761.7590314321227</v>
      </c>
      <c r="N103">
        <f t="shared" si="38"/>
        <v>-11.615682590792744</v>
      </c>
      <c r="O103" s="39">
        <f t="shared" si="39"/>
        <v>-1.5248500000000028E-2</v>
      </c>
      <c r="Q103">
        <f t="shared" si="40"/>
        <v>417.42480554187705</v>
      </c>
      <c r="R103">
        <f t="shared" si="41"/>
        <v>432.46321809057912</v>
      </c>
      <c r="S103">
        <f t="shared" si="42"/>
        <v>-15.03841254870207</v>
      </c>
      <c r="T103" s="39">
        <f t="shared" si="43"/>
        <v>-3.477385340445828E-2</v>
      </c>
      <c r="U103">
        <f t="shared" si="44"/>
        <v>2023</v>
      </c>
      <c r="V103">
        <f t="shared" si="45"/>
        <v>2023</v>
      </c>
    </row>
    <row r="104" spans="1:22" x14ac:dyDescent="0.25">
      <c r="A104" t="s">
        <v>52</v>
      </c>
      <c r="B104" t="s">
        <v>53</v>
      </c>
      <c r="C104" s="1">
        <v>45016</v>
      </c>
      <c r="D104">
        <v>17359.75</v>
      </c>
      <c r="E104" s="1">
        <v>45197</v>
      </c>
      <c r="F104">
        <v>19523.55</v>
      </c>
      <c r="G104" s="2">
        <v>0.1246</v>
      </c>
      <c r="H104" s="40">
        <f t="shared" si="32"/>
        <v>181</v>
      </c>
      <c r="I104" s="4">
        <f t="shared" si="33"/>
        <v>1.5E-3</v>
      </c>
      <c r="J104" s="4">
        <f t="shared" si="34"/>
        <v>3.0166666666666668E-2</v>
      </c>
      <c r="K104" s="4">
        <f t="shared" si="35"/>
        <v>9.293333333333334E-2</v>
      </c>
      <c r="L104">
        <f t="shared" si="36"/>
        <v>843.61121010695967</v>
      </c>
      <c r="M104">
        <f t="shared" si="37"/>
        <v>843.61121010695967</v>
      </c>
      <c r="N104" t="str">
        <f t="shared" si="38"/>
        <v/>
      </c>
      <c r="O104" s="39">
        <f t="shared" si="39"/>
        <v>0</v>
      </c>
      <c r="Q104">
        <f t="shared" si="40"/>
        <v>456.21748413690216</v>
      </c>
      <c r="R104">
        <f t="shared" si="41"/>
        <v>456.21748413690216</v>
      </c>
      <c r="S104" t="str">
        <f t="shared" si="42"/>
        <v/>
      </c>
      <c r="T104" s="39">
        <f t="shared" si="43"/>
        <v>0</v>
      </c>
      <c r="U104">
        <f t="shared" si="44"/>
        <v>2023</v>
      </c>
      <c r="V104">
        <f t="shared" si="45"/>
        <v>2023</v>
      </c>
    </row>
    <row r="105" spans="1:22" x14ac:dyDescent="0.25">
      <c r="A105" t="s">
        <v>52</v>
      </c>
      <c r="B105" t="s">
        <v>53</v>
      </c>
      <c r="C105" s="1">
        <v>45205</v>
      </c>
      <c r="D105">
        <v>19653.5</v>
      </c>
      <c r="E105" s="1">
        <v>45217</v>
      </c>
      <c r="F105">
        <v>19671.099999999999</v>
      </c>
      <c r="G105" s="2">
        <v>8.9999999999999998E-4</v>
      </c>
      <c r="H105" s="40">
        <f t="shared" si="32"/>
        <v>12</v>
      </c>
      <c r="I105" s="4">
        <f t="shared" si="33"/>
        <v>1.5E-3</v>
      </c>
      <c r="J105" s="4">
        <f t="shared" si="34"/>
        <v>2E-3</v>
      </c>
      <c r="K105" s="4">
        <f t="shared" si="35"/>
        <v>-2.5999999999999999E-3</v>
      </c>
      <c r="L105">
        <f t="shared" si="36"/>
        <v>844.37046019605589</v>
      </c>
      <c r="M105">
        <f t="shared" si="37"/>
        <v>844.37046019605589</v>
      </c>
      <c r="N105" t="str">
        <f t="shared" si="38"/>
        <v/>
      </c>
      <c r="O105" s="39">
        <f t="shared" si="39"/>
        <v>0</v>
      </c>
      <c r="Q105">
        <f t="shared" si="40"/>
        <v>455.03131867814619</v>
      </c>
      <c r="R105">
        <f t="shared" si="41"/>
        <v>456.21748413690216</v>
      </c>
      <c r="S105">
        <f t="shared" si="42"/>
        <v>-1.1861654587559656</v>
      </c>
      <c r="T105" s="39">
        <f t="shared" si="43"/>
        <v>-2.6000000000000437E-3</v>
      </c>
      <c r="U105">
        <f t="shared" si="44"/>
        <v>2023</v>
      </c>
      <c r="V105">
        <f t="shared" si="45"/>
        <v>2023</v>
      </c>
    </row>
    <row r="106" spans="1:22" x14ac:dyDescent="0.25">
      <c r="A106" t="s">
        <v>52</v>
      </c>
      <c r="B106" t="s">
        <v>53</v>
      </c>
      <c r="C106" s="1">
        <v>45233</v>
      </c>
      <c r="D106">
        <v>19230.599999999999</v>
      </c>
      <c r="E106" s="1">
        <v>45314</v>
      </c>
      <c r="F106">
        <v>21238.799999999999</v>
      </c>
      <c r="G106" s="2">
        <v>0.10440000000000001</v>
      </c>
      <c r="H106" s="40">
        <f t="shared" si="32"/>
        <v>81</v>
      </c>
      <c r="I106" s="4">
        <f t="shared" si="33"/>
        <v>1.5E-3</v>
      </c>
      <c r="J106" s="4">
        <f t="shared" si="34"/>
        <v>1.3500000000000002E-2</v>
      </c>
      <c r="K106" s="4">
        <f t="shared" si="35"/>
        <v>8.9400000000000007E-2</v>
      </c>
      <c r="L106">
        <f t="shared" si="36"/>
        <v>932.52273624052418</v>
      </c>
      <c r="M106">
        <f t="shared" si="37"/>
        <v>932.52273624052418</v>
      </c>
      <c r="N106" t="str">
        <f t="shared" si="38"/>
        <v/>
      </c>
      <c r="O106" s="39">
        <f t="shared" si="39"/>
        <v>0</v>
      </c>
      <c r="Q106">
        <f t="shared" si="40"/>
        <v>495.71111856797245</v>
      </c>
      <c r="R106">
        <f t="shared" si="41"/>
        <v>495.71111856797245</v>
      </c>
      <c r="S106" t="str">
        <f t="shared" si="42"/>
        <v/>
      </c>
      <c r="T106" s="39">
        <f t="shared" si="43"/>
        <v>0</v>
      </c>
      <c r="U106">
        <f t="shared" si="44"/>
        <v>2024</v>
      </c>
      <c r="V106">
        <f t="shared" si="45"/>
        <v>2023</v>
      </c>
    </row>
    <row r="107" spans="1:22" x14ac:dyDescent="0.25">
      <c r="A107" t="s">
        <v>52</v>
      </c>
      <c r="B107" t="s">
        <v>53</v>
      </c>
      <c r="C107" s="1">
        <v>45320</v>
      </c>
      <c r="D107">
        <v>21737.599999999999</v>
      </c>
      <c r="E107" s="1">
        <v>45334</v>
      </c>
      <c r="F107">
        <v>21616.05</v>
      </c>
      <c r="G107" s="2">
        <v>-5.5999999999999999E-3</v>
      </c>
      <c r="H107" s="40">
        <f t="shared" si="32"/>
        <v>14</v>
      </c>
      <c r="I107" s="4">
        <f t="shared" si="33"/>
        <v>1.5E-3</v>
      </c>
      <c r="J107" s="4">
        <f t="shared" si="34"/>
        <v>2.3333333333333335E-3</v>
      </c>
      <c r="K107" s="4">
        <f t="shared" si="35"/>
        <v>-9.4333333333333335E-3</v>
      </c>
      <c r="L107">
        <f t="shared" si="36"/>
        <v>927.30060891757716</v>
      </c>
      <c r="M107">
        <f t="shared" si="37"/>
        <v>932.52273624052418</v>
      </c>
      <c r="N107">
        <f t="shared" si="38"/>
        <v>-5.2221273229470171</v>
      </c>
      <c r="O107" s="39">
        <f t="shared" si="39"/>
        <v>-5.6000000000000875E-3</v>
      </c>
      <c r="Q107">
        <f t="shared" si="40"/>
        <v>491.03491034948127</v>
      </c>
      <c r="R107">
        <f t="shared" si="41"/>
        <v>495.71111856797245</v>
      </c>
      <c r="S107">
        <f t="shared" si="42"/>
        <v>-4.6762082184911833</v>
      </c>
      <c r="T107" s="39">
        <f t="shared" si="43"/>
        <v>-9.4333333333332867E-3</v>
      </c>
      <c r="U107">
        <f t="shared" si="44"/>
        <v>2024</v>
      </c>
      <c r="V107">
        <f t="shared" si="45"/>
        <v>2024</v>
      </c>
    </row>
    <row r="108" spans="1:22" x14ac:dyDescent="0.25">
      <c r="A108" t="s">
        <v>52</v>
      </c>
      <c r="B108" t="s">
        <v>53</v>
      </c>
      <c r="C108" s="1">
        <v>45337</v>
      </c>
      <c r="D108">
        <v>21910.75</v>
      </c>
      <c r="E108" s="1">
        <v>45350</v>
      </c>
      <c r="F108">
        <v>21951.15</v>
      </c>
      <c r="G108" s="2">
        <v>1.8E-3</v>
      </c>
      <c r="H108" s="40">
        <f t="shared" si="32"/>
        <v>13</v>
      </c>
      <c r="I108" s="4">
        <f t="shared" si="33"/>
        <v>1.5E-3</v>
      </c>
      <c r="J108" s="4">
        <f t="shared" si="34"/>
        <v>2.166666666666667E-3</v>
      </c>
      <c r="K108" s="4">
        <f t="shared" si="35"/>
        <v>-1.8666666666666671E-3</v>
      </c>
      <c r="L108">
        <f t="shared" si="36"/>
        <v>928.96975001362887</v>
      </c>
      <c r="M108">
        <f t="shared" si="37"/>
        <v>932.52273624052418</v>
      </c>
      <c r="N108">
        <f t="shared" si="38"/>
        <v>-3.5529862268953138</v>
      </c>
      <c r="O108" s="39">
        <f t="shared" si="39"/>
        <v>-3.8100800000000186E-3</v>
      </c>
      <c r="Q108">
        <f t="shared" si="40"/>
        <v>490.11831185016223</v>
      </c>
      <c r="R108">
        <f t="shared" si="41"/>
        <v>495.71111856797245</v>
      </c>
      <c r="S108">
        <f t="shared" si="42"/>
        <v>-5.5928067178102197</v>
      </c>
      <c r="T108" s="39">
        <f t="shared" si="43"/>
        <v>-1.1282391111111073E-2</v>
      </c>
      <c r="U108">
        <f t="shared" si="44"/>
        <v>2024</v>
      </c>
      <c r="V108">
        <f t="shared" si="45"/>
        <v>2024</v>
      </c>
    </row>
    <row r="109" spans="1:22" x14ac:dyDescent="0.25">
      <c r="A109" t="s">
        <v>52</v>
      </c>
      <c r="B109" t="s">
        <v>53</v>
      </c>
      <c r="C109" s="1">
        <v>45352</v>
      </c>
      <c r="D109">
        <v>22338.75</v>
      </c>
      <c r="E109" s="1">
        <v>45362</v>
      </c>
      <c r="F109">
        <v>22332.65</v>
      </c>
      <c r="G109" s="2">
        <v>-2.9999999999999997E-4</v>
      </c>
      <c r="H109" s="40">
        <f t="shared" si="32"/>
        <v>10</v>
      </c>
      <c r="I109" s="4">
        <f t="shared" si="33"/>
        <v>1.5E-3</v>
      </c>
      <c r="J109" s="4">
        <f t="shared" si="34"/>
        <v>1.6666666666666666E-3</v>
      </c>
      <c r="K109" s="4">
        <f t="shared" si="35"/>
        <v>-3.4666666666666665E-3</v>
      </c>
      <c r="L109">
        <f t="shared" si="36"/>
        <v>928.6910590886248</v>
      </c>
      <c r="M109">
        <f t="shared" si="37"/>
        <v>932.52273624052418</v>
      </c>
      <c r="N109">
        <f t="shared" si="38"/>
        <v>-3.8316771518993846</v>
      </c>
      <c r="O109" s="39">
        <f t="shared" si="39"/>
        <v>-4.1089369759999992E-3</v>
      </c>
      <c r="Q109">
        <f t="shared" si="40"/>
        <v>488.41923503574833</v>
      </c>
      <c r="R109">
        <f t="shared" si="41"/>
        <v>495.71111856797245</v>
      </c>
      <c r="S109">
        <f t="shared" si="42"/>
        <v>-7.2918835322241193</v>
      </c>
      <c r="T109" s="39">
        <f t="shared" si="43"/>
        <v>-1.4709945488592563E-2</v>
      </c>
      <c r="U109">
        <f t="shared" si="44"/>
        <v>2024</v>
      </c>
      <c r="V109">
        <f t="shared" si="45"/>
        <v>2024</v>
      </c>
    </row>
    <row r="110" spans="1:22" x14ac:dyDescent="0.25">
      <c r="A110" t="s">
        <v>52</v>
      </c>
      <c r="B110" t="s">
        <v>53</v>
      </c>
      <c r="C110" s="1">
        <v>45373</v>
      </c>
      <c r="D110">
        <v>22096.75</v>
      </c>
      <c r="E110" s="1">
        <v>45400</v>
      </c>
      <c r="F110">
        <v>21995.85</v>
      </c>
      <c r="G110" s="2">
        <v>-4.5999999999999999E-3</v>
      </c>
      <c r="H110" s="40">
        <f t="shared" si="32"/>
        <v>27</v>
      </c>
      <c r="I110" s="4">
        <f t="shared" si="33"/>
        <v>1.5E-3</v>
      </c>
      <c r="J110" s="4">
        <f t="shared" si="34"/>
        <v>4.5000000000000005E-3</v>
      </c>
      <c r="K110" s="4">
        <f t="shared" si="35"/>
        <v>-1.06E-2</v>
      </c>
      <c r="L110">
        <f t="shared" si="36"/>
        <v>924.41908021681706</v>
      </c>
      <c r="M110">
        <f t="shared" si="37"/>
        <v>932.52273624052418</v>
      </c>
      <c r="N110">
        <f t="shared" si="38"/>
        <v>-8.1036560237071171</v>
      </c>
      <c r="O110" s="39">
        <f t="shared" si="39"/>
        <v>-8.6900358659104619E-3</v>
      </c>
      <c r="Q110">
        <f t="shared" si="40"/>
        <v>483.24199114436936</v>
      </c>
      <c r="R110">
        <f t="shared" si="41"/>
        <v>495.71111856797245</v>
      </c>
      <c r="S110">
        <f t="shared" si="42"/>
        <v>-12.469127423603084</v>
      </c>
      <c r="T110" s="39">
        <f t="shared" si="43"/>
        <v>-2.5154020066413547E-2</v>
      </c>
      <c r="U110">
        <f t="shared" si="44"/>
        <v>2024</v>
      </c>
      <c r="V110">
        <f t="shared" si="45"/>
        <v>2024</v>
      </c>
    </row>
    <row r="111" spans="1:22" x14ac:dyDescent="0.25">
      <c r="A111" t="s">
        <v>52</v>
      </c>
      <c r="B111" t="s">
        <v>53</v>
      </c>
      <c r="C111" s="1">
        <v>45404</v>
      </c>
      <c r="D111">
        <v>22336.400000000001</v>
      </c>
      <c r="E111" s="1">
        <v>45418</v>
      </c>
      <c r="F111">
        <v>22442.7</v>
      </c>
      <c r="G111" s="2">
        <v>4.7999999999999996E-3</v>
      </c>
      <c r="H111" s="40">
        <f t="shared" si="32"/>
        <v>14</v>
      </c>
      <c r="I111" s="4">
        <f t="shared" si="33"/>
        <v>1.5E-3</v>
      </c>
      <c r="J111" s="4">
        <f t="shared" si="34"/>
        <v>2.3333333333333335E-3</v>
      </c>
      <c r="K111" s="4">
        <f t="shared" si="35"/>
        <v>9.6666666666666602E-4</v>
      </c>
      <c r="L111">
        <f t="shared" si="36"/>
        <v>928.85629180185776</v>
      </c>
      <c r="M111">
        <f t="shared" si="37"/>
        <v>932.52273624052418</v>
      </c>
      <c r="N111">
        <f t="shared" si="38"/>
        <v>-3.6664444386664172</v>
      </c>
      <c r="O111" s="39">
        <f t="shared" si="39"/>
        <v>-3.9317480380668558E-3</v>
      </c>
      <c r="Q111">
        <f t="shared" si="40"/>
        <v>483.7091250691422</v>
      </c>
      <c r="R111">
        <f t="shared" si="41"/>
        <v>495.71111856797245</v>
      </c>
      <c r="S111">
        <f t="shared" si="42"/>
        <v>-12.001993498830245</v>
      </c>
      <c r="T111" s="39">
        <f t="shared" si="43"/>
        <v>-2.4211668952477852E-2</v>
      </c>
      <c r="U111">
        <f t="shared" si="44"/>
        <v>2024</v>
      </c>
      <c r="V111">
        <f t="shared" si="45"/>
        <v>2024</v>
      </c>
    </row>
    <row r="112" spans="1:22" x14ac:dyDescent="0.25">
      <c r="A112" t="s">
        <v>52</v>
      </c>
      <c r="B112" t="s">
        <v>53</v>
      </c>
      <c r="C112" s="1">
        <v>45428</v>
      </c>
      <c r="D112">
        <v>22403.85</v>
      </c>
      <c r="E112" s="1">
        <v>45441</v>
      </c>
      <c r="F112">
        <v>22704.7</v>
      </c>
      <c r="G112" s="2">
        <v>1.34E-2</v>
      </c>
      <c r="H112" s="40">
        <f t="shared" si="32"/>
        <v>13</v>
      </c>
      <c r="I112" s="4">
        <f t="shared" si="33"/>
        <v>1.5E-3</v>
      </c>
      <c r="J112" s="4">
        <f t="shared" si="34"/>
        <v>2.166666666666667E-3</v>
      </c>
      <c r="K112" s="4">
        <f t="shared" si="35"/>
        <v>9.7333333333333334E-3</v>
      </c>
      <c r="L112">
        <f t="shared" si="36"/>
        <v>941.30296611200276</v>
      </c>
      <c r="M112">
        <f t="shared" si="37"/>
        <v>941.30296611200276</v>
      </c>
      <c r="N112" t="str">
        <f t="shared" si="38"/>
        <v/>
      </c>
      <c r="O112" s="39">
        <f t="shared" si="39"/>
        <v>0</v>
      </c>
      <c r="Q112">
        <f t="shared" si="40"/>
        <v>488.41722721981523</v>
      </c>
      <c r="R112">
        <f t="shared" si="41"/>
        <v>495.71111856797245</v>
      </c>
      <c r="S112">
        <f t="shared" si="42"/>
        <v>-7.2938913481572172</v>
      </c>
      <c r="T112" s="39">
        <f t="shared" si="43"/>
        <v>-1.4713995863615213E-2</v>
      </c>
      <c r="U112">
        <f t="shared" si="44"/>
        <v>2024</v>
      </c>
      <c r="V112">
        <f t="shared" si="45"/>
        <v>2024</v>
      </c>
    </row>
    <row r="113" spans="1:22" x14ac:dyDescent="0.25">
      <c r="A113" t="s">
        <v>52</v>
      </c>
      <c r="B113" t="s">
        <v>53</v>
      </c>
      <c r="C113" s="1">
        <v>45446</v>
      </c>
      <c r="D113">
        <v>23263.9</v>
      </c>
      <c r="E113" s="1">
        <v>45447</v>
      </c>
      <c r="F113">
        <v>21884.5</v>
      </c>
      <c r="G113" s="2">
        <v>-5.9299999999999999E-2</v>
      </c>
      <c r="H113" s="40">
        <f t="shared" si="32"/>
        <v>1</v>
      </c>
      <c r="I113" s="4">
        <f t="shared" si="33"/>
        <v>1.5E-3</v>
      </c>
      <c r="J113" s="4">
        <f t="shared" si="34"/>
        <v>1.6666666666666666E-4</v>
      </c>
      <c r="K113" s="4">
        <f t="shared" si="35"/>
        <v>-6.0966666666666662E-2</v>
      </c>
      <c r="L113">
        <f t="shared" si="36"/>
        <v>885.48370022156098</v>
      </c>
      <c r="M113">
        <f t="shared" si="37"/>
        <v>941.30296611200276</v>
      </c>
      <c r="N113">
        <f t="shared" si="38"/>
        <v>-55.819265890441784</v>
      </c>
      <c r="O113" s="39">
        <f t="shared" si="39"/>
        <v>-5.9300000000000019E-2</v>
      </c>
      <c r="Q113">
        <f t="shared" si="40"/>
        <v>458.6400569336472</v>
      </c>
      <c r="R113">
        <f t="shared" si="41"/>
        <v>495.71111856797245</v>
      </c>
      <c r="S113">
        <f t="shared" si="42"/>
        <v>-37.071061634325247</v>
      </c>
      <c r="T113" s="39">
        <f t="shared" si="43"/>
        <v>-7.4783599249130056E-2</v>
      </c>
      <c r="U113">
        <f t="shared" si="44"/>
        <v>2024</v>
      </c>
      <c r="V113">
        <f t="shared" si="45"/>
        <v>2024</v>
      </c>
    </row>
    <row r="114" spans="1:22" x14ac:dyDescent="0.25">
      <c r="A114" t="s">
        <v>52</v>
      </c>
      <c r="B114" t="s">
        <v>53</v>
      </c>
      <c r="C114" s="1">
        <v>45450</v>
      </c>
      <c r="D114">
        <v>23290.15</v>
      </c>
      <c r="E114" s="1">
        <v>45509</v>
      </c>
      <c r="F114">
        <v>24055.599999999999</v>
      </c>
      <c r="G114" s="2">
        <v>3.2899999999999999E-2</v>
      </c>
      <c r="H114" s="40">
        <f t="shared" si="32"/>
        <v>59</v>
      </c>
      <c r="I114" s="4">
        <f t="shared" si="33"/>
        <v>1.5E-3</v>
      </c>
      <c r="J114" s="4">
        <f t="shared" si="34"/>
        <v>9.8333333333333328E-3</v>
      </c>
      <c r="K114" s="4">
        <f t="shared" si="35"/>
        <v>2.1566666666666665E-2</v>
      </c>
      <c r="L114">
        <f t="shared" si="36"/>
        <v>914.61611395885029</v>
      </c>
      <c r="M114">
        <f t="shared" si="37"/>
        <v>941.30296611200276</v>
      </c>
      <c r="N114">
        <f t="shared" si="38"/>
        <v>-26.686852153152472</v>
      </c>
      <c r="O114" s="39">
        <f t="shared" si="39"/>
        <v>-2.8350970000000069E-2</v>
      </c>
      <c r="Q114">
        <f t="shared" si="40"/>
        <v>468.53139416151623</v>
      </c>
      <c r="R114">
        <f t="shared" si="41"/>
        <v>495.71111856797245</v>
      </c>
      <c r="S114">
        <f t="shared" si="42"/>
        <v>-27.179724406456216</v>
      </c>
      <c r="T114" s="39">
        <f t="shared" si="43"/>
        <v>-5.4829765539602886E-2</v>
      </c>
      <c r="U114">
        <f t="shared" si="44"/>
        <v>2024</v>
      </c>
      <c r="V114">
        <f t="shared" si="45"/>
        <v>2024</v>
      </c>
    </row>
    <row r="115" spans="1:22" x14ac:dyDescent="0.25">
      <c r="A115" t="s">
        <v>52</v>
      </c>
      <c r="B115" t="s">
        <v>53</v>
      </c>
      <c r="C115" s="1">
        <v>45520</v>
      </c>
      <c r="D115">
        <v>24541.15</v>
      </c>
      <c r="E115" s="1">
        <v>45568</v>
      </c>
      <c r="F115">
        <v>25250.1</v>
      </c>
      <c r="G115" s="2">
        <v>2.8899999999999999E-2</v>
      </c>
      <c r="H115" s="40">
        <f t="shared" si="32"/>
        <v>48</v>
      </c>
      <c r="I115" s="4">
        <f t="shared" si="33"/>
        <v>1.5E-3</v>
      </c>
      <c r="J115" s="4">
        <f t="shared" si="34"/>
        <v>8.0000000000000002E-3</v>
      </c>
      <c r="K115" s="4">
        <f t="shared" si="35"/>
        <v>1.9400000000000001E-2</v>
      </c>
      <c r="L115">
        <f t="shared" si="36"/>
        <v>941.04851965226101</v>
      </c>
      <c r="M115">
        <f t="shared" si="37"/>
        <v>941.30296611200276</v>
      </c>
      <c r="N115">
        <f t="shared" si="38"/>
        <v>-0.25444645974175728</v>
      </c>
      <c r="O115" s="39">
        <f t="shared" si="39"/>
        <v>-2.7031303300013344E-4</v>
      </c>
      <c r="Q115">
        <f t="shared" si="40"/>
        <v>477.62090320824967</v>
      </c>
      <c r="R115">
        <f t="shared" si="41"/>
        <v>495.71111856797245</v>
      </c>
      <c r="S115">
        <f t="shared" si="42"/>
        <v>-18.090215359722777</v>
      </c>
      <c r="T115" s="39">
        <f t="shared" si="43"/>
        <v>-3.6493462991071132E-2</v>
      </c>
      <c r="U115">
        <f t="shared" si="44"/>
        <v>2024</v>
      </c>
      <c r="V115">
        <f t="shared" si="45"/>
        <v>2024</v>
      </c>
    </row>
    <row r="116" spans="1:22" x14ac:dyDescent="0.25">
      <c r="A116" t="s">
        <v>52</v>
      </c>
      <c r="B116" t="s">
        <v>53</v>
      </c>
      <c r="C116" s="1">
        <v>45709</v>
      </c>
      <c r="D116">
        <v>22795.9</v>
      </c>
      <c r="E116" s="1">
        <v>45712</v>
      </c>
      <c r="F116">
        <v>22553.35</v>
      </c>
      <c r="G116" s="2">
        <v>-1.06E-2</v>
      </c>
      <c r="H116" s="40">
        <f t="shared" si="32"/>
        <v>3</v>
      </c>
      <c r="I116" s="4">
        <f t="shared" si="33"/>
        <v>1.5E-3</v>
      </c>
      <c r="J116" s="4">
        <f t="shared" si="34"/>
        <v>5.0000000000000001E-4</v>
      </c>
      <c r="K116" s="4">
        <f t="shared" si="35"/>
        <v>-1.26E-2</v>
      </c>
      <c r="L116">
        <f t="shared" si="36"/>
        <v>931.073405343947</v>
      </c>
      <c r="M116">
        <f t="shared" si="37"/>
        <v>941.30296611200276</v>
      </c>
      <c r="N116">
        <f t="shared" si="38"/>
        <v>-10.229560768055762</v>
      </c>
      <c r="O116" s="39">
        <f t="shared" si="39"/>
        <v>-1.0867447714850372E-2</v>
      </c>
      <c r="Q116">
        <f t="shared" si="40"/>
        <v>471.60287982782575</v>
      </c>
      <c r="R116">
        <f t="shared" si="41"/>
        <v>495.71111856797245</v>
      </c>
      <c r="S116">
        <f t="shared" si="42"/>
        <v>-24.108238740146703</v>
      </c>
      <c r="T116" s="39">
        <f t="shared" si="43"/>
        <v>-4.8633645357383598E-2</v>
      </c>
      <c r="U116">
        <f t="shared" si="44"/>
        <v>2025</v>
      </c>
      <c r="V116">
        <f t="shared" si="45"/>
        <v>2025</v>
      </c>
    </row>
    <row r="117" spans="1:22" x14ac:dyDescent="0.25">
      <c r="A117" t="s">
        <v>52</v>
      </c>
      <c r="B117" t="s">
        <v>53</v>
      </c>
      <c r="C117" s="1">
        <v>45721</v>
      </c>
      <c r="D117">
        <v>22337.3</v>
      </c>
      <c r="E117" s="1">
        <v>45754</v>
      </c>
      <c r="F117">
        <v>22161.599999999999</v>
      </c>
      <c r="G117" s="2">
        <v>-7.9000000000000008E-3</v>
      </c>
      <c r="H117" s="40">
        <f t="shared" si="32"/>
        <v>33</v>
      </c>
      <c r="I117" s="4">
        <f t="shared" si="33"/>
        <v>1.5E-3</v>
      </c>
      <c r="J117" s="4">
        <f t="shared" si="34"/>
        <v>5.5000000000000005E-3</v>
      </c>
      <c r="K117" s="4">
        <f t="shared" si="35"/>
        <v>-1.4900000000000002E-2</v>
      </c>
      <c r="L117">
        <f t="shared" si="36"/>
        <v>923.71792544172979</v>
      </c>
      <c r="M117">
        <f t="shared" si="37"/>
        <v>941.30296611200276</v>
      </c>
      <c r="N117">
        <f t="shared" si="38"/>
        <v>-17.585040670272974</v>
      </c>
      <c r="O117" s="39">
        <f t="shared" si="39"/>
        <v>-1.8681594877903086E-2</v>
      </c>
      <c r="Q117">
        <f t="shared" si="40"/>
        <v>464.57599691839113</v>
      </c>
      <c r="R117">
        <f t="shared" si="41"/>
        <v>495.71111856797245</v>
      </c>
      <c r="S117">
        <f t="shared" si="42"/>
        <v>-31.135121649581322</v>
      </c>
      <c r="T117" s="39">
        <f t="shared" si="43"/>
        <v>-6.2809004041558605E-2</v>
      </c>
      <c r="U117">
        <f t="shared" si="44"/>
        <v>2025</v>
      </c>
      <c r="V117">
        <f t="shared" si="45"/>
        <v>2025</v>
      </c>
    </row>
    <row r="118" spans="1:22" x14ac:dyDescent="0.25">
      <c r="A118" t="s">
        <v>52</v>
      </c>
      <c r="B118" t="s">
        <v>53</v>
      </c>
      <c r="C118" s="1">
        <v>45755</v>
      </c>
      <c r="D118">
        <v>22535.85</v>
      </c>
      <c r="E118" s="1">
        <v>45863</v>
      </c>
      <c r="F118">
        <v>24837</v>
      </c>
      <c r="G118" s="2">
        <v>0.1021</v>
      </c>
      <c r="H118" s="40">
        <f t="shared" si="32"/>
        <v>108</v>
      </c>
      <c r="I118" s="4">
        <f t="shared" si="33"/>
        <v>1.5E-3</v>
      </c>
      <c r="J118" s="4">
        <f t="shared" si="34"/>
        <v>1.8000000000000002E-2</v>
      </c>
      <c r="K118" s="4">
        <f t="shared" si="35"/>
        <v>8.2599999999999993E-2</v>
      </c>
      <c r="L118">
        <f t="shared" si="36"/>
        <v>1018.0295256293305</v>
      </c>
      <c r="M118">
        <f t="shared" si="37"/>
        <v>1018.0295256293305</v>
      </c>
      <c r="N118" t="str">
        <f t="shared" si="38"/>
        <v/>
      </c>
      <c r="O118" s="39">
        <f t="shared" si="39"/>
        <v>0</v>
      </c>
      <c r="Q118">
        <f t="shared" si="40"/>
        <v>502.94997426385021</v>
      </c>
      <c r="R118">
        <f t="shared" si="41"/>
        <v>502.94997426385021</v>
      </c>
      <c r="S118" t="str">
        <f t="shared" si="42"/>
        <v/>
      </c>
      <c r="T118" s="39">
        <f t="shared" si="43"/>
        <v>0</v>
      </c>
      <c r="U118">
        <f t="shared" si="44"/>
        <v>2025</v>
      </c>
      <c r="V118">
        <f t="shared" si="45"/>
        <v>2025</v>
      </c>
    </row>
    <row r="119" spans="1:22" x14ac:dyDescent="0.25">
      <c r="A119" t="s">
        <v>52</v>
      </c>
      <c r="B119" t="s">
        <v>53</v>
      </c>
      <c r="C119" s="1">
        <v>45887</v>
      </c>
      <c r="D119">
        <v>24876.95</v>
      </c>
      <c r="E119" s="1">
        <v>45891</v>
      </c>
      <c r="F119">
        <v>24870.1</v>
      </c>
      <c r="G119" s="2">
        <v>-2.9999999999999997E-4</v>
      </c>
      <c r="H119" s="40">
        <f t="shared" ref="H119:H121" si="46">E119-C119</f>
        <v>4</v>
      </c>
      <c r="I119" s="4">
        <f t="shared" ref="I119:I121" si="47">C$1</f>
        <v>1.5E-3</v>
      </c>
      <c r="J119" s="4">
        <f t="shared" ref="J119:J121" si="48">H119/30*D$1</f>
        <v>6.6666666666666664E-4</v>
      </c>
      <c r="K119" s="4">
        <f t="shared" ref="K119:K121" si="49">G119-SUM(I119,J119)</f>
        <v>-2.4666666666666665E-3</v>
      </c>
      <c r="L119">
        <f t="shared" ref="L119:L121" si="50">L118*(1+G119)</f>
        <v>1017.7241167716417</v>
      </c>
      <c r="M119">
        <f t="shared" ref="M119:M121" si="51">MAX(L119,M118)</f>
        <v>1018.0295256293305</v>
      </c>
      <c r="N119">
        <f t="shared" ref="N119:N121" si="52">IF(M119&gt;L119,L119-M119,"")</f>
        <v>-0.30540885768880344</v>
      </c>
      <c r="O119" s="39">
        <f t="shared" ref="O119:O121" si="53">IFERROR(N119/M119,0)</f>
        <v>-3.000000000000042E-4</v>
      </c>
      <c r="Q119">
        <f t="shared" ref="Q119:Q121" si="54">Q118*(1+K119)</f>
        <v>501.70936432733276</v>
      </c>
      <c r="R119">
        <f t="shared" ref="R119:R121" si="55">MAX(Q119,R118)</f>
        <v>502.94997426385021</v>
      </c>
      <c r="S119">
        <f t="shared" ref="S119:S121" si="56">IF(R119&gt;Q119,Q119-R119,"")</f>
        <v>-1.2406099365174441</v>
      </c>
      <c r="T119" s="39">
        <f t="shared" ref="T119:T121" si="57">IFERROR(S119/R119,0)</f>
        <v>-2.4666666666665611E-3</v>
      </c>
      <c r="U119">
        <f t="shared" ref="U119:U121" si="58">YEAR(E119)</f>
        <v>2025</v>
      </c>
      <c r="V119">
        <f t="shared" ref="V119:V121" si="59">YEAR(C119)</f>
        <v>2025</v>
      </c>
    </row>
    <row r="120" spans="1:22" x14ac:dyDescent="0.25">
      <c r="A120" t="s">
        <v>52</v>
      </c>
      <c r="B120" t="s">
        <v>53</v>
      </c>
      <c r="C120" s="1">
        <v>45903</v>
      </c>
      <c r="D120">
        <v>24715.05</v>
      </c>
      <c r="E120" s="1">
        <v>45926</v>
      </c>
      <c r="F120">
        <v>24654.7</v>
      </c>
      <c r="G120" s="2">
        <v>-2.3999999999999998E-3</v>
      </c>
      <c r="H120" s="40">
        <f t="shared" si="46"/>
        <v>23</v>
      </c>
      <c r="I120" s="4">
        <f t="shared" si="47"/>
        <v>1.5E-3</v>
      </c>
      <c r="J120" s="4">
        <f t="shared" si="48"/>
        <v>3.8333333333333336E-3</v>
      </c>
      <c r="K120" s="4">
        <f t="shared" si="49"/>
        <v>-7.7333333333333334E-3</v>
      </c>
      <c r="L120">
        <f t="shared" si="50"/>
        <v>1015.2815788913898</v>
      </c>
      <c r="M120">
        <f t="shared" si="51"/>
        <v>1018.0295256293305</v>
      </c>
      <c r="N120">
        <f t="shared" si="52"/>
        <v>-2.7479467379406515</v>
      </c>
      <c r="O120" s="39">
        <f t="shared" si="53"/>
        <v>-2.6992799999999138E-3</v>
      </c>
      <c r="Q120">
        <f t="shared" si="54"/>
        <v>497.82947857653471</v>
      </c>
      <c r="R120">
        <f t="shared" si="55"/>
        <v>502.94997426385021</v>
      </c>
      <c r="S120">
        <f t="shared" si="56"/>
        <v>-5.120495687315497</v>
      </c>
      <c r="T120" s="39">
        <f t="shared" si="57"/>
        <v>-1.0180924444444366E-2</v>
      </c>
      <c r="U120">
        <f t="shared" si="58"/>
        <v>2025</v>
      </c>
      <c r="V120">
        <f t="shared" si="59"/>
        <v>2025</v>
      </c>
    </row>
    <row r="121" spans="1:22" x14ac:dyDescent="0.25">
      <c r="A121" t="s">
        <v>52</v>
      </c>
      <c r="B121" t="s">
        <v>53</v>
      </c>
      <c r="C121" s="1">
        <v>45933</v>
      </c>
      <c r="D121">
        <v>24894.25</v>
      </c>
      <c r="E121" s="1">
        <v>46041</v>
      </c>
      <c r="F121">
        <v>25585.5</v>
      </c>
      <c r="G121" s="2">
        <v>2.7799999999999998E-2</v>
      </c>
      <c r="H121" s="40">
        <f t="shared" si="46"/>
        <v>108</v>
      </c>
      <c r="I121" s="4">
        <f t="shared" si="47"/>
        <v>1.5E-3</v>
      </c>
      <c r="J121" s="4">
        <f t="shared" si="48"/>
        <v>1.8000000000000002E-2</v>
      </c>
      <c r="K121" s="4">
        <f t="shared" si="49"/>
        <v>8.2999999999999949E-3</v>
      </c>
      <c r="L121">
        <f t="shared" si="50"/>
        <v>1043.5064067845706</v>
      </c>
      <c r="M121">
        <f t="shared" si="51"/>
        <v>1043.5064067845706</v>
      </c>
      <c r="N121" t="str">
        <f t="shared" si="52"/>
        <v/>
      </c>
      <c r="O121" s="39">
        <f t="shared" si="53"/>
        <v>0</v>
      </c>
      <c r="Q121">
        <f t="shared" si="54"/>
        <v>501.96146324871995</v>
      </c>
      <c r="R121">
        <f t="shared" si="55"/>
        <v>502.94997426385021</v>
      </c>
      <c r="S121">
        <f t="shared" si="56"/>
        <v>-0.98851101513025696</v>
      </c>
      <c r="T121" s="39">
        <f t="shared" si="57"/>
        <v>-1.9654261173332496E-3</v>
      </c>
      <c r="U121">
        <f t="shared" si="58"/>
        <v>2026</v>
      </c>
      <c r="V121">
        <f t="shared" si="59"/>
        <v>2025</v>
      </c>
    </row>
    <row r="122" spans="1:22" x14ac:dyDescent="0.25">
      <c r="C122" s="1"/>
      <c r="E122" s="1"/>
      <c r="G122" s="2"/>
      <c r="I122" s="2"/>
      <c r="O122" s="2"/>
      <c r="P122" s="2"/>
    </row>
    <row r="123" spans="1:22" x14ac:dyDescent="0.25">
      <c r="C123" s="1"/>
      <c r="E123" s="1"/>
      <c r="G123" s="2"/>
      <c r="I123" s="2"/>
      <c r="O123" s="2"/>
      <c r="P123" s="2"/>
    </row>
    <row r="124" spans="1:22" x14ac:dyDescent="0.25">
      <c r="C124" s="1"/>
      <c r="E124" s="1"/>
      <c r="G124" s="2"/>
      <c r="I124" s="2"/>
      <c r="O124" s="2"/>
      <c r="P124" s="2"/>
    </row>
    <row r="125" spans="1:22" x14ac:dyDescent="0.25">
      <c r="C125" s="1"/>
      <c r="E125" s="1"/>
      <c r="G125" s="2"/>
      <c r="I125" s="2"/>
      <c r="O125" s="2"/>
      <c r="P125" s="2"/>
    </row>
    <row r="126" spans="1:22" x14ac:dyDescent="0.25">
      <c r="C126" s="1"/>
      <c r="E126" s="1"/>
      <c r="G126" s="2"/>
      <c r="I126" s="2"/>
      <c r="O126" s="2"/>
      <c r="P126" s="2"/>
    </row>
    <row r="127" spans="1:22" x14ac:dyDescent="0.25">
      <c r="C127" s="1"/>
      <c r="E127" s="1"/>
      <c r="G127" s="2"/>
      <c r="I127" s="2"/>
      <c r="O127" s="2"/>
      <c r="P127" s="2"/>
    </row>
    <row r="128" spans="1:22" x14ac:dyDescent="0.25">
      <c r="C128" s="1"/>
      <c r="E128" s="1"/>
      <c r="G128" s="2"/>
      <c r="I128" s="2"/>
      <c r="O128" s="2"/>
      <c r="P128" s="2"/>
    </row>
    <row r="129" spans="3:16" x14ac:dyDescent="0.25">
      <c r="C129" s="1"/>
      <c r="E129" s="1"/>
      <c r="G129" s="2"/>
      <c r="I129" s="2"/>
      <c r="O129" s="2"/>
      <c r="P129" s="2"/>
    </row>
    <row r="130" spans="3:16" x14ac:dyDescent="0.25">
      <c r="C130" s="1"/>
      <c r="E130" s="1"/>
      <c r="G130" s="2"/>
      <c r="I130" s="2"/>
      <c r="O130" s="2"/>
      <c r="P130" s="2"/>
    </row>
    <row r="131" spans="3:16" x14ac:dyDescent="0.25">
      <c r="C131" s="1"/>
      <c r="E131" s="1"/>
      <c r="G131" s="2"/>
      <c r="I131" s="2"/>
      <c r="O131" s="2"/>
      <c r="P131" s="2"/>
    </row>
    <row r="132" spans="3:16" x14ac:dyDescent="0.25">
      <c r="C132" s="1"/>
      <c r="E132" s="1"/>
      <c r="G132" s="2"/>
      <c r="I132" s="2"/>
      <c r="O132" s="2"/>
      <c r="P132" s="2"/>
    </row>
    <row r="133" spans="3:16" x14ac:dyDescent="0.25">
      <c r="C133" s="1"/>
      <c r="E133" s="1"/>
      <c r="G133" s="2"/>
      <c r="I133" s="2"/>
      <c r="O133" s="2"/>
      <c r="P133" s="2"/>
    </row>
    <row r="134" spans="3:16" x14ac:dyDescent="0.25">
      <c r="C134" s="1"/>
      <c r="E134" s="1"/>
      <c r="G134" s="2"/>
      <c r="I134" s="2"/>
      <c r="O134" s="2"/>
      <c r="P134" s="2"/>
    </row>
    <row r="135" spans="3:16" x14ac:dyDescent="0.25">
      <c r="C135" s="1"/>
      <c r="E135" s="1"/>
      <c r="G135" s="2"/>
      <c r="I135" s="2"/>
      <c r="O135" s="2"/>
      <c r="P135" s="2"/>
    </row>
    <row r="136" spans="3:16" x14ac:dyDescent="0.25">
      <c r="C136" s="1"/>
      <c r="E136" s="1"/>
      <c r="G136" s="2"/>
      <c r="I136" s="2"/>
      <c r="O136" s="2"/>
      <c r="P136" s="2"/>
    </row>
    <row r="137" spans="3:16" x14ac:dyDescent="0.25">
      <c r="C137" s="1"/>
      <c r="E137" s="1"/>
      <c r="G137" s="2"/>
      <c r="I137" s="2"/>
      <c r="O137" s="2"/>
      <c r="P137" s="2"/>
    </row>
    <row r="138" spans="3:16" x14ac:dyDescent="0.25">
      <c r="C138" s="1"/>
      <c r="E138" s="1"/>
      <c r="G138" s="2"/>
      <c r="I138" s="2"/>
      <c r="O138" s="2"/>
      <c r="P138" s="2"/>
    </row>
    <row r="139" spans="3:16" x14ac:dyDescent="0.25">
      <c r="C139" s="1"/>
      <c r="E139" s="1"/>
      <c r="G139" s="2"/>
      <c r="I139" s="2"/>
      <c r="O139" s="2"/>
      <c r="P139" s="2"/>
    </row>
    <row r="140" spans="3:16" x14ac:dyDescent="0.25">
      <c r="C140" s="1"/>
      <c r="E140" s="1"/>
      <c r="G140" s="2"/>
      <c r="I140" s="2"/>
      <c r="O140" s="2"/>
      <c r="P140" s="2"/>
    </row>
    <row r="141" spans="3:16" x14ac:dyDescent="0.25">
      <c r="C141" s="1"/>
      <c r="E141" s="1"/>
      <c r="G141" s="2"/>
      <c r="I141" s="2"/>
      <c r="O141" s="2"/>
      <c r="P141" s="2"/>
    </row>
    <row r="142" spans="3:16" x14ac:dyDescent="0.25">
      <c r="C142" s="1"/>
      <c r="E142" s="1"/>
      <c r="G142" s="2"/>
      <c r="I142" s="2"/>
      <c r="O142" s="2"/>
      <c r="P142" s="2"/>
    </row>
    <row r="143" spans="3:16" x14ac:dyDescent="0.25">
      <c r="C143" s="1"/>
      <c r="E143" s="1"/>
      <c r="G143" s="2"/>
      <c r="I143" s="2"/>
      <c r="O143" s="2"/>
      <c r="P143" s="2"/>
    </row>
    <row r="144" spans="3:16" x14ac:dyDescent="0.25">
      <c r="C144" s="1"/>
      <c r="E144" s="1"/>
      <c r="G144" s="2"/>
      <c r="I144" s="2"/>
      <c r="O144" s="2"/>
      <c r="P144" s="2"/>
    </row>
    <row r="145" spans="3:16" x14ac:dyDescent="0.25">
      <c r="C145" s="1"/>
      <c r="E145" s="1"/>
      <c r="G145" s="2"/>
      <c r="I145" s="2"/>
      <c r="O145" s="2"/>
      <c r="P145" s="2"/>
    </row>
    <row r="146" spans="3:16" x14ac:dyDescent="0.25">
      <c r="C146" s="1"/>
      <c r="E146" s="1"/>
      <c r="G146" s="2"/>
      <c r="I146" s="2"/>
      <c r="O146" s="2"/>
      <c r="P146" s="2"/>
    </row>
    <row r="147" spans="3:16" x14ac:dyDescent="0.25">
      <c r="C147" s="1"/>
      <c r="E147" s="1"/>
      <c r="G147" s="2"/>
      <c r="I147" s="2"/>
      <c r="O147" s="2"/>
      <c r="P147" s="2"/>
    </row>
    <row r="148" spans="3:16" x14ac:dyDescent="0.25">
      <c r="C148" s="1"/>
      <c r="E148" s="1"/>
      <c r="G148" s="2"/>
      <c r="I148" s="2"/>
      <c r="O148" s="2"/>
      <c r="P148" s="2"/>
    </row>
    <row r="149" spans="3:16" x14ac:dyDescent="0.25">
      <c r="C149" s="1"/>
      <c r="E149" s="1"/>
      <c r="G149" s="2"/>
      <c r="I149" s="2"/>
      <c r="O149" s="2"/>
      <c r="P149" s="2"/>
    </row>
    <row r="150" spans="3:16" x14ac:dyDescent="0.25">
      <c r="C150" s="1"/>
      <c r="E150" s="1"/>
      <c r="G150" s="2"/>
      <c r="I150" s="2"/>
      <c r="O150" s="2"/>
      <c r="P150" s="2"/>
    </row>
    <row r="151" spans="3:16" x14ac:dyDescent="0.25">
      <c r="C151" s="1"/>
      <c r="E151" s="1"/>
      <c r="G151" s="2"/>
      <c r="I151" s="2"/>
      <c r="O151" s="2"/>
      <c r="P151" s="2"/>
    </row>
    <row r="152" spans="3:16" x14ac:dyDescent="0.25">
      <c r="C152" s="1"/>
      <c r="E152" s="1"/>
      <c r="G152" s="2"/>
      <c r="I152" s="2"/>
      <c r="O152" s="2"/>
      <c r="P152" s="2"/>
    </row>
    <row r="153" spans="3:16" x14ac:dyDescent="0.25">
      <c r="C153" s="1"/>
      <c r="E153" s="1"/>
      <c r="G153" s="2"/>
      <c r="I153" s="2"/>
      <c r="O153" s="2"/>
      <c r="P153" s="2"/>
    </row>
    <row r="154" spans="3:16" x14ac:dyDescent="0.25">
      <c r="C154" s="1"/>
      <c r="E154" s="1"/>
      <c r="G154" s="2"/>
      <c r="I154" s="2"/>
      <c r="O154" s="2"/>
      <c r="P154" s="2"/>
    </row>
    <row r="155" spans="3:16" x14ac:dyDescent="0.25">
      <c r="C155" s="1"/>
      <c r="E155" s="1"/>
      <c r="G155" s="2"/>
      <c r="I155" s="2"/>
      <c r="O155" s="2"/>
      <c r="P155" s="2"/>
    </row>
    <row r="156" spans="3:16" x14ac:dyDescent="0.25">
      <c r="C156" s="1"/>
      <c r="E156" s="1"/>
      <c r="G156" s="2"/>
      <c r="I156" s="2"/>
      <c r="O156" s="2"/>
      <c r="P156" s="2"/>
    </row>
    <row r="157" spans="3:16" x14ac:dyDescent="0.25">
      <c r="C157" s="1"/>
      <c r="E157" s="1"/>
      <c r="G157" s="2"/>
      <c r="I157" s="2"/>
      <c r="O157" s="2"/>
      <c r="P157" s="2"/>
    </row>
    <row r="158" spans="3:16" x14ac:dyDescent="0.25">
      <c r="C158" s="1"/>
      <c r="E158" s="1"/>
      <c r="G158" s="2"/>
      <c r="I158" s="2"/>
      <c r="O158" s="2"/>
      <c r="P158" s="2"/>
    </row>
    <row r="159" spans="3:16" x14ac:dyDescent="0.25">
      <c r="C159" s="1"/>
      <c r="E159" s="1"/>
      <c r="G159" s="2"/>
      <c r="I159" s="2"/>
      <c r="O159" s="2"/>
      <c r="P159" s="2"/>
    </row>
    <row r="160" spans="3:16" x14ac:dyDescent="0.25">
      <c r="C160" s="1"/>
      <c r="E160" s="1"/>
      <c r="G160" s="2"/>
      <c r="I160" s="2"/>
      <c r="O160" s="2"/>
      <c r="P160" s="2"/>
    </row>
    <row r="161" spans="3:16" x14ac:dyDescent="0.25">
      <c r="C161" s="1"/>
      <c r="E161" s="1"/>
      <c r="G161" s="2"/>
      <c r="I161" s="2"/>
      <c r="O161" s="2"/>
      <c r="P161" s="2"/>
    </row>
    <row r="162" spans="3:16" x14ac:dyDescent="0.25">
      <c r="C162" s="1"/>
      <c r="E162" s="1"/>
      <c r="G162" s="2"/>
      <c r="I162" s="2"/>
      <c r="O162" s="2"/>
      <c r="P162" s="2"/>
    </row>
    <row r="163" spans="3:16" x14ac:dyDescent="0.25">
      <c r="C163" s="1"/>
      <c r="E163" s="1"/>
      <c r="G163" s="2"/>
      <c r="I163" s="2"/>
      <c r="O163" s="2"/>
      <c r="P163" s="2"/>
    </row>
    <row r="164" spans="3:16" x14ac:dyDescent="0.25">
      <c r="C164" s="1"/>
      <c r="E164" s="1"/>
      <c r="G164" s="2"/>
      <c r="I164" s="2"/>
      <c r="O164" s="2"/>
      <c r="P164" s="2"/>
    </row>
    <row r="165" spans="3:16" x14ac:dyDescent="0.25">
      <c r="C165" s="1"/>
      <c r="E165" s="1"/>
      <c r="G165" s="2"/>
      <c r="I165" s="2"/>
      <c r="O165" s="2"/>
      <c r="P165" s="2"/>
    </row>
    <row r="166" spans="3:16" x14ac:dyDescent="0.25">
      <c r="C166" s="1"/>
      <c r="E166" s="1"/>
      <c r="G166" s="2"/>
      <c r="I166" s="2"/>
      <c r="O166" s="2"/>
      <c r="P166" s="2"/>
    </row>
    <row r="167" spans="3:16" x14ac:dyDescent="0.25">
      <c r="C167" s="1"/>
      <c r="E167" s="1"/>
      <c r="G167" s="2"/>
      <c r="I167" s="2"/>
      <c r="O167" s="2"/>
      <c r="P167" s="2"/>
    </row>
    <row r="168" spans="3:16" x14ac:dyDescent="0.25">
      <c r="C168" s="1"/>
      <c r="E168" s="1"/>
      <c r="G168" s="2"/>
      <c r="I168" s="2"/>
      <c r="O168" s="2"/>
      <c r="P168" s="2"/>
    </row>
    <row r="169" spans="3:16" x14ac:dyDescent="0.25">
      <c r="C169" s="1"/>
      <c r="E169" s="1"/>
      <c r="G169" s="2"/>
      <c r="I169" s="2"/>
      <c r="O169" s="2"/>
      <c r="P169" s="2"/>
    </row>
    <row r="170" spans="3:16" x14ac:dyDescent="0.25">
      <c r="C170" s="1"/>
      <c r="E170" s="1"/>
      <c r="G170" s="2"/>
      <c r="I170" s="2"/>
      <c r="O170" s="2"/>
      <c r="P170" s="2"/>
    </row>
    <row r="171" spans="3:16" x14ac:dyDescent="0.25">
      <c r="C171" s="1"/>
      <c r="E171" s="1"/>
      <c r="G171" s="2"/>
      <c r="I171" s="2"/>
      <c r="O171" s="2"/>
      <c r="P171" s="2"/>
    </row>
    <row r="172" spans="3:16" x14ac:dyDescent="0.25">
      <c r="C172" s="1"/>
      <c r="E172" s="1"/>
      <c r="G172" s="2"/>
      <c r="I172" s="2"/>
      <c r="O172" s="2"/>
      <c r="P172" s="2"/>
    </row>
    <row r="173" spans="3:16" x14ac:dyDescent="0.25">
      <c r="C173" s="1"/>
      <c r="E173" s="1"/>
      <c r="G173" s="2"/>
      <c r="I173" s="2"/>
      <c r="O173" s="2"/>
      <c r="P173" s="2"/>
    </row>
    <row r="174" spans="3:16" x14ac:dyDescent="0.25">
      <c r="C174" s="1"/>
      <c r="E174" s="1"/>
      <c r="G174" s="2"/>
      <c r="I174" s="2"/>
      <c r="O174" s="2"/>
      <c r="P174" s="2"/>
    </row>
    <row r="175" spans="3:16" x14ac:dyDescent="0.25">
      <c r="C175" s="1"/>
      <c r="E175" s="1"/>
      <c r="G175" s="2"/>
      <c r="I175" s="2"/>
      <c r="O175" s="2"/>
      <c r="P175" s="2"/>
    </row>
    <row r="176" spans="3:16" x14ac:dyDescent="0.25">
      <c r="C176" s="1"/>
      <c r="E176" s="1"/>
      <c r="G176" s="2"/>
      <c r="I176" s="2"/>
      <c r="O176" s="2"/>
      <c r="P176" s="2"/>
    </row>
    <row r="177" spans="3:16" x14ac:dyDescent="0.25">
      <c r="C177" s="1"/>
      <c r="E177" s="1"/>
      <c r="G177" s="2"/>
      <c r="I177" s="2"/>
      <c r="O177" s="2"/>
      <c r="P177" s="2"/>
    </row>
    <row r="178" spans="3:16" x14ac:dyDescent="0.25">
      <c r="C178" s="1"/>
      <c r="E178" s="1"/>
      <c r="G178" s="2"/>
      <c r="I178" s="2"/>
      <c r="O178" s="2"/>
      <c r="P178" s="2"/>
    </row>
    <row r="179" spans="3:16" x14ac:dyDescent="0.25">
      <c r="C179" s="1"/>
      <c r="E179" s="1"/>
      <c r="G179" s="2"/>
      <c r="I179" s="2"/>
      <c r="O179" s="2"/>
      <c r="P179" s="2"/>
    </row>
    <row r="180" spans="3:16" x14ac:dyDescent="0.25">
      <c r="C180" s="1"/>
      <c r="E180" s="1"/>
      <c r="G180" s="2"/>
      <c r="I180" s="2"/>
      <c r="O180" s="2"/>
      <c r="P180" s="2"/>
    </row>
    <row r="181" spans="3:16" x14ac:dyDescent="0.25">
      <c r="C181" s="1"/>
      <c r="E181" s="1"/>
      <c r="G181" s="2"/>
      <c r="I181" s="2"/>
      <c r="O181" s="2"/>
      <c r="P181" s="2"/>
    </row>
    <row r="182" spans="3:16" x14ac:dyDescent="0.25">
      <c r="C182" s="1"/>
      <c r="E182" s="1"/>
      <c r="G182" s="2"/>
      <c r="I182" s="2"/>
      <c r="O182" s="2"/>
      <c r="P182" s="2"/>
    </row>
    <row r="183" spans="3:16" x14ac:dyDescent="0.25">
      <c r="C183" s="1"/>
      <c r="E183" s="1"/>
      <c r="G183" s="2"/>
      <c r="I183" s="2"/>
      <c r="O183" s="2"/>
      <c r="P183" s="2"/>
    </row>
    <row r="184" spans="3:16" x14ac:dyDescent="0.25">
      <c r="C184" s="1"/>
      <c r="E184" s="1"/>
      <c r="G184" s="2"/>
      <c r="I184" s="2"/>
      <c r="O184" s="2"/>
      <c r="P184" s="2"/>
    </row>
    <row r="185" spans="3:16" x14ac:dyDescent="0.25">
      <c r="C185" s="1"/>
      <c r="E185" s="1"/>
      <c r="G185" s="2"/>
      <c r="I185" s="2"/>
      <c r="O185" s="2"/>
      <c r="P185" s="2"/>
    </row>
    <row r="186" spans="3:16" x14ac:dyDescent="0.25">
      <c r="C186" s="1"/>
      <c r="E186" s="1"/>
      <c r="G186" s="2"/>
      <c r="I186" s="2"/>
      <c r="O186" s="2"/>
      <c r="P186" s="2"/>
    </row>
    <row r="187" spans="3:16" x14ac:dyDescent="0.25">
      <c r="C187" s="1"/>
      <c r="E187" s="1"/>
      <c r="G187" s="2"/>
      <c r="I187" s="2"/>
      <c r="O187" s="2"/>
      <c r="P187" s="2"/>
    </row>
    <row r="188" spans="3:16" x14ac:dyDescent="0.25">
      <c r="C188" s="1"/>
      <c r="E188" s="1"/>
      <c r="G188" s="2"/>
      <c r="I188" s="2"/>
      <c r="O188" s="2"/>
      <c r="P188" s="2"/>
    </row>
    <row r="189" spans="3:16" x14ac:dyDescent="0.25">
      <c r="C189" s="1"/>
      <c r="E189" s="1"/>
      <c r="G189" s="2"/>
      <c r="I189" s="2"/>
      <c r="O189" s="2"/>
      <c r="P189" s="2"/>
    </row>
    <row r="190" spans="3:16" x14ac:dyDescent="0.25">
      <c r="C190" s="1"/>
      <c r="E190" s="1"/>
      <c r="G190" s="2"/>
      <c r="I190" s="2"/>
      <c r="O190" s="2"/>
      <c r="P190" s="2"/>
    </row>
    <row r="191" spans="3:16" x14ac:dyDescent="0.25">
      <c r="C191" s="1"/>
      <c r="E191" s="1"/>
      <c r="G191" s="2"/>
      <c r="I191" s="2"/>
      <c r="O191" s="2"/>
      <c r="P191" s="2"/>
    </row>
    <row r="192" spans="3:16" x14ac:dyDescent="0.25">
      <c r="C192" s="1"/>
      <c r="E192" s="1"/>
      <c r="G192" s="2"/>
      <c r="I192" s="2"/>
      <c r="O192" s="2"/>
      <c r="P192" s="2"/>
    </row>
    <row r="193" spans="3:16" x14ac:dyDescent="0.25">
      <c r="C193" s="1"/>
      <c r="E193" s="1"/>
      <c r="G193" s="2"/>
      <c r="I193" s="2"/>
      <c r="O193" s="2"/>
      <c r="P193" s="2"/>
    </row>
    <row r="194" spans="3:16" x14ac:dyDescent="0.25">
      <c r="C194" s="1"/>
      <c r="E194" s="1"/>
      <c r="G194" s="2"/>
      <c r="I194" s="2"/>
      <c r="O194" s="2"/>
      <c r="P194" s="2"/>
    </row>
    <row r="195" spans="3:16" x14ac:dyDescent="0.25">
      <c r="C195" s="1"/>
      <c r="E195" s="1"/>
      <c r="G195" s="2"/>
      <c r="I195" s="2"/>
      <c r="O195" s="2"/>
      <c r="P195" s="2"/>
    </row>
    <row r="196" spans="3:16" x14ac:dyDescent="0.25">
      <c r="C196" s="1"/>
      <c r="E196" s="1"/>
      <c r="G196" s="2"/>
      <c r="I196" s="2"/>
      <c r="O196" s="2"/>
      <c r="P196" s="2"/>
    </row>
    <row r="197" spans="3:16" x14ac:dyDescent="0.25">
      <c r="C197" s="1"/>
      <c r="E197" s="1"/>
      <c r="G197" s="2"/>
      <c r="I197" s="2"/>
      <c r="O197" s="2"/>
      <c r="P197" s="2"/>
    </row>
    <row r="198" spans="3:16" x14ac:dyDescent="0.25">
      <c r="C198" s="1"/>
      <c r="E198" s="1"/>
      <c r="G198" s="2"/>
      <c r="I198" s="2"/>
      <c r="O198" s="2"/>
      <c r="P198" s="2"/>
    </row>
    <row r="199" spans="3:16" x14ac:dyDescent="0.25">
      <c r="C199" s="1"/>
      <c r="E199" s="1"/>
      <c r="G199" s="2"/>
      <c r="I199" s="2"/>
      <c r="O199" s="2"/>
      <c r="P199" s="2"/>
    </row>
  </sheetData>
  <conditionalFormatting sqref="AM21:AM39">
    <cfRule type="cellIs" dxfId="1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2008-2011 Summary</vt:lpstr>
      <vt:lpstr>Summary</vt:lpstr>
      <vt:lpstr>5,1_5,1</vt:lpstr>
      <vt:lpstr>5,2_5,2</vt:lpstr>
      <vt:lpstr>5,2_5,4 </vt:lpstr>
      <vt:lpstr>5,1_5,2</vt:lpstr>
      <vt:lpstr>5,1_5,4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AFF47</dc:creator>
  <cp:lastModifiedBy>AFF115</cp:lastModifiedBy>
  <dcterms:created xsi:type="dcterms:W3CDTF">2025-11-24T08:15:51Z</dcterms:created>
  <dcterms:modified xsi:type="dcterms:W3CDTF">2026-02-18T13:23:45Z</dcterms:modified>
</cp:coreProperties>
</file>