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5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heet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5A6A8A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2E5090"/>
      <sz val="10"/>
    </font>
    <font>
      <name val="Arial"/>
      <charset val="1"/>
      <b val="1"/>
      <sz val="9"/>
    </font>
    <font>
      <name val="Arial"/>
      <charset val="1"/>
      <color rgb="FF4A5568"/>
      <sz val="9"/>
    </font>
    <font>
      <name val="Arial"/>
      <charset val="1"/>
      <sz val="9"/>
    </font>
    <font>
      <name val="Arial"/>
      <b val="1"/>
      <sz val="9"/>
    </font>
    <font>
      <name val="Arial"/>
      <color rgb="FF4A5568"/>
      <sz val="9"/>
    </font>
    <font>
      <name val="Arial"/>
      <sz val="9"/>
    </font>
    <font>
      <name val="Arial"/>
      <family val="2"/>
      <sz val="9"/>
    </font>
    <font>
      <name val="Arial"/>
      <family val="2"/>
      <b val="1"/>
      <color rgb="FF2E5090"/>
      <sz val="10"/>
    </font>
    <font>
      <name val="Arial"/>
      <family val="2"/>
      <b val="1"/>
      <sz val="9"/>
    </font>
    <font>
      <name val="Arial"/>
      <family val="2"/>
      <color rgb="FF4A5568"/>
      <sz val="9"/>
    </font>
  </fonts>
  <fills count="11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3FA"/>
        <bgColor rgb="FFF7F9FC"/>
      </patternFill>
    </fill>
    <fill>
      <patternFill patternType="solid">
        <fgColor rgb="FF2E5090"/>
        <bgColor rgb="FF4A5568"/>
      </patternFill>
    </fill>
    <fill>
      <patternFill patternType="solid">
        <fgColor rgb="FFD6E4F7"/>
        <bgColor rgb="FFEEF3FA"/>
      </patternFill>
    </fill>
    <fill>
      <patternFill patternType="solid">
        <fgColor rgb="FFFFFFFF"/>
        <bgColor rgb="FFF7F9FC"/>
      </patternFill>
    </fill>
    <fill>
      <patternFill patternType="solid">
        <fgColor rgb="FFFFFDE7"/>
        <bgColor rgb="FFFFFFFF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E5090"/>
      </bottom>
      <diagonal/>
    </border>
    <border>
      <left style="thin">
        <color rgb="FFCCCCCC"/>
      </left>
      <right/>
      <top style="thin">
        <color rgb="FFCCCCCC"/>
      </top>
      <bottom style="medium">
        <color rgb="FF2E509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medium">
        <color rgb="FF2E509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0" fillId="0" borderId="4" pivotButton="0" quotePrefix="0" xfId="0"/>
    <xf numFmtId="0" fontId="5" fillId="6" borderId="3" applyAlignment="1" pivotButton="0" quotePrefix="0" xfId="0">
      <alignment vertical="top" wrapText="1"/>
    </xf>
    <xf numFmtId="0" fontId="6" fillId="6" borderId="3" applyAlignment="1" pivotButton="0" quotePrefix="0" xfId="0">
      <alignment horizontal="center" vertical="top" wrapText="1"/>
    </xf>
    <xf numFmtId="0" fontId="7" fillId="6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5" fillId="8" borderId="3" applyAlignment="1" pivotButton="0" quotePrefix="0" xfId="0">
      <alignment vertical="top" wrapText="1"/>
    </xf>
    <xf numFmtId="0" fontId="6" fillId="8" borderId="3" applyAlignment="1" pivotButton="0" quotePrefix="0" xfId="0">
      <alignment horizontal="center" vertical="top" wrapText="1"/>
    </xf>
    <xf numFmtId="0" fontId="7" fillId="8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0" fontId="8" fillId="8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8" fillId="9" borderId="7" applyAlignment="1" pivotButton="0" quotePrefix="0" xfId="0">
      <alignment vertical="top" wrapText="1"/>
    </xf>
    <xf numFmtId="0" fontId="9" fillId="9" borderId="7" applyAlignment="1" pivotButton="0" quotePrefix="0" xfId="0">
      <alignment horizontal="center" vertical="top" wrapText="1"/>
    </xf>
    <xf numFmtId="0" fontId="10" fillId="9" borderId="7" applyAlignment="1" pivotButton="0" quotePrefix="0" xfId="0">
      <alignment vertical="top" wrapText="1"/>
    </xf>
    <xf numFmtId="0" fontId="0" fillId="10" borderId="7" applyAlignment="1" pivotButton="0" quotePrefix="0" xfId="0">
      <alignment vertical="top" wrapText="1"/>
    </xf>
    <xf numFmtId="0" fontId="0" fillId="0" borderId="0" pivotButton="0" quotePrefix="0" xfId="0"/>
    <xf numFmtId="0" fontId="0" fillId="7" borderId="3" applyAlignment="1" pivotButton="0" quotePrefix="0" xfId="0">
      <alignment vertical="top" wrapText="1"/>
    </xf>
    <xf numFmtId="15" fontId="0" fillId="0" borderId="0" pivotButton="0" quotePrefix="0" xfId="0"/>
    <xf numFmtId="4" fontId="0" fillId="0" borderId="0" pivotButton="0" quotePrefix="0" xfId="0"/>
    <xf numFmtId="0" fontId="11" fillId="6" borderId="3" applyAlignment="1" pivotButton="0" quotePrefix="0" xfId="0">
      <alignment vertical="top" wrapText="1"/>
    </xf>
    <xf numFmtId="0" fontId="11" fillId="8" borderId="3" applyAlignment="1" pivotButton="0" quotePrefix="0" xfId="0">
      <alignment vertical="top" wrapText="1"/>
    </xf>
    <xf numFmtId="0" fontId="12" fillId="5" borderId="2" applyAlignment="1" pivotButton="0" quotePrefix="0" xfId="0">
      <alignment horizontal="left" vertical="center"/>
    </xf>
    <xf numFmtId="0" fontId="13" fillId="8" borderId="3" applyAlignment="1" pivotButton="0" quotePrefix="0" xfId="0">
      <alignment vertical="top" wrapText="1"/>
    </xf>
    <xf numFmtId="0" fontId="14" fillId="8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8" borderId="3" applyAlignment="1" pivotButton="0" quotePrefix="0" xfId="0">
      <alignment vertical="top" wrapText="1"/>
    </xf>
    <xf numFmtId="0" fontId="6" fillId="8" borderId="3" applyAlignment="1" pivotButton="0" quotePrefix="0" xfId="0">
      <alignment horizontal="center" vertical="top" wrapText="1"/>
    </xf>
    <xf numFmtId="0" fontId="7" fillId="8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6" fillId="6" borderId="3" applyAlignment="1" pivotButton="0" quotePrefix="0" xfId="0">
      <alignment horizontal="center" vertical="top" wrapText="1"/>
    </xf>
    <xf numFmtId="0" fontId="7" fillId="6" borderId="3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6" borderId="3" applyAlignment="1" pivotButton="0" quotePrefix="0" xfId="0">
      <alignment vertical="top" wrapText="1"/>
    </xf>
    <xf numFmtId="0" fontId="4" fillId="5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3" borderId="0" applyAlignment="1" pivotButton="0" quotePrefix="0" xfId="0">
      <alignment horizontal="center" vertical="center"/>
    </xf>
    <xf numFmtId="2" fontId="0" fillId="0" borderId="0" pivotButton="0" quotePrefix="0" xfId="0"/>
    <xf numFmtId="0" fontId="5" fillId="6" borderId="7" applyAlignment="1" pivotButton="0" quotePrefix="0" xfId="0">
      <alignment vertical="top" wrapText="1"/>
    </xf>
    <xf numFmtId="0" fontId="8" fillId="6" borderId="7" applyAlignment="1" pivotButton="0" quotePrefix="0" xfId="0">
      <alignment vertical="top" wrapText="1"/>
    </xf>
    <xf numFmtId="0" fontId="6" fillId="6" borderId="7" applyAlignment="1" pivotButton="0" quotePrefix="0" xfId="0">
      <alignment horizontal="center" vertical="top" wrapText="1"/>
    </xf>
    <xf numFmtId="0" fontId="7" fillId="6" borderId="7" applyAlignment="1" pivotButton="0" quotePrefix="0" xfId="0">
      <alignment vertical="top" wrapText="1"/>
    </xf>
    <xf numFmtId="0" fontId="0" fillId="7" borderId="7" applyAlignment="1" pivotButton="0" quotePrefix="0" xfId="0">
      <alignment vertical="top" wrapText="1"/>
    </xf>
    <xf numFmtId="0" fontId="5" fillId="8" borderId="7" applyAlignment="1" pivotButton="0" quotePrefix="0" xfId="0">
      <alignment vertical="top" wrapText="1"/>
    </xf>
    <xf numFmtId="0" fontId="13" fillId="6" borderId="7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EF3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A"/>
      <rgbColor rgb="FF969696"/>
      <rgbColor rgb="FF003366"/>
      <rgbColor rgb="FF339966"/>
      <rgbColor rgb="FF003300"/>
      <rgbColor rgb="FF4A5568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topLeftCell="A13" zoomScaleNormal="100" workbookViewId="0">
      <selection activeCell="C18" sqref="C18"/>
    </sheetView>
  </sheetViews>
  <sheetFormatPr baseColWidth="8" defaultColWidth="8.7109375" defaultRowHeight="15"/>
  <cols>
    <col width="38" customWidth="1" style="39" min="1" max="1"/>
    <col width="20" customWidth="1" style="39" min="2" max="2"/>
    <col width="60" customWidth="1" style="39" min="3" max="3"/>
    <col width="28" customWidth="1" style="39" min="4" max="6"/>
  </cols>
  <sheetData>
    <row r="1" ht="27.75" customHeight="1" s="39">
      <c r="A1" s="38" t="inlineStr">
        <is>
          <t>AlgoTest Options Backtesting — Feature Verification Tracker</t>
        </is>
      </c>
    </row>
    <row r="2" ht="18" customHeight="1" s="39">
      <c r="A2" s="43" t="inlineStr">
        <is>
          <t>Research &amp; Verification Sheet  |  Verification columns are blank — for analyst use only</t>
        </is>
      </c>
    </row>
    <row r="3" ht="21.75" customHeight="1" s="39">
      <c r="A3" s="2" t="inlineStr">
        <is>
          <t>Feature Name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V1 Comments</t>
        </is>
      </c>
      <c r="E3" s="2" t="inlineStr">
        <is>
          <t>V2 Comments</t>
        </is>
      </c>
      <c r="F3" s="2" t="inlineStr">
        <is>
          <t>V3 Comments</t>
        </is>
      </c>
    </row>
    <row r="4" ht="18" customHeight="1" s="39">
      <c r="A4" s="41" t="inlineStr">
        <is>
          <t xml:space="preserve">  STRATEGY CONFIG</t>
        </is>
      </c>
      <c r="B4" s="42" t="n"/>
      <c r="C4" s="42" t="n"/>
      <c r="D4" s="42" t="n"/>
      <c r="E4" s="42" t="n"/>
      <c r="F4" s="42" t="n"/>
    </row>
    <row r="5" ht="48" customHeight="1" s="39">
      <c r="A5" s="29" t="inlineStr">
        <is>
          <t>Expiry Selection</t>
        </is>
      </c>
      <c r="B5" s="36" t="inlineStr">
        <is>
          <t>Strategy Config</t>
        </is>
      </c>
      <c r="C5" s="37" t="inlineStr">
        <is>
          <t>WEEKLY or MONTHLY expiry series per leg.                                                           NEXT WEEKLY or NEXT MONTHLY expiry series per leg.</t>
        </is>
      </c>
      <c r="D5" s="35" t="inlineStr">
        <is>
          <t>Done</t>
        </is>
      </c>
      <c r="E5" s="35" t="n"/>
      <c r="F5" s="35" t="n"/>
    </row>
    <row r="6" ht="48" customHeight="1" s="39">
      <c r="A6" s="32" t="inlineStr">
        <is>
          <t>Entry DTE (Days Before Expiry)</t>
        </is>
      </c>
      <c r="B6" s="33" t="inlineStr">
        <is>
          <t>Strategy Config</t>
        </is>
      </c>
      <c r="C6" s="34" t="inlineStr">
        <is>
          <t>Trading days before expiry on which the leg enters. DTE=0 enters on expiry day.</t>
        </is>
      </c>
      <c r="D6" s="35" t="inlineStr">
        <is>
          <t>Done</t>
        </is>
      </c>
      <c r="E6" s="35" t="n"/>
      <c r="F6" s="35" t="n"/>
    </row>
    <row r="7" ht="48" customHeight="1" s="39">
      <c r="A7" s="29" t="inlineStr">
        <is>
          <t>Exit DTE (Days Before Expiry)</t>
        </is>
      </c>
      <c r="B7" s="36" t="inlineStr">
        <is>
          <t>Strategy Config</t>
        </is>
      </c>
      <c r="C7" s="37" t="inlineStr">
        <is>
          <t>Trading days before expiry on which the leg exits. DTE=0 exits on expiry day.</t>
        </is>
      </c>
      <c r="D7" s="35" t="inlineStr">
        <is>
          <t>Done</t>
        </is>
      </c>
      <c r="E7" s="35" t="n"/>
      <c r="F7" s="35" t="n"/>
    </row>
    <row r="8" ht="18" customHeight="1" s="39">
      <c r="A8" s="41" t="inlineStr">
        <is>
          <t xml:space="preserve">  LEG BUILDER</t>
        </is>
      </c>
      <c r="B8" s="42" t="n"/>
      <c r="C8" s="42" t="n"/>
      <c r="D8" s="42" t="n"/>
      <c r="E8" s="42" t="n"/>
      <c r="F8" s="42" t="n"/>
    </row>
    <row r="9" ht="48" customHeight="1" s="39">
      <c r="A9" s="32" t="inlineStr">
        <is>
          <t>Option Type (CE / PE)</t>
        </is>
      </c>
      <c r="B9" s="33" t="inlineStr">
        <is>
          <t>Leg Builder</t>
        </is>
      </c>
      <c r="C9" s="34" t="inlineStr">
        <is>
          <t>Selects Call or Put for the leg.</t>
        </is>
      </c>
      <c r="D9" s="35" t="inlineStr">
        <is>
          <t>Done</t>
        </is>
      </c>
      <c r="E9" s="35" t="n"/>
      <c r="F9" s="35" t="n"/>
    </row>
    <row r="10" ht="48" customHeight="1" s="39">
      <c r="A10" s="29" t="inlineStr">
        <is>
          <t>Position Direction (Buy / Sell)</t>
        </is>
      </c>
      <c r="B10" s="36" t="inlineStr">
        <is>
          <t>Leg Builder</t>
        </is>
      </c>
      <c r="C10" s="37" t="inlineStr">
        <is>
          <t>Long (Buy) or Short (Sell) position.</t>
        </is>
      </c>
      <c r="D10" s="35" t="inlineStr">
        <is>
          <t>Done</t>
        </is>
      </c>
      <c r="E10" s="35" t="n"/>
      <c r="F10" s="35" t="n"/>
    </row>
    <row r="11" ht="48" customHeight="1" s="39">
      <c r="A11" s="32" t="inlineStr">
        <is>
          <t>Segment (Options / Futures)</t>
        </is>
      </c>
      <c r="B11" s="33" t="inlineStr">
        <is>
          <t>Leg Builder</t>
        </is>
      </c>
      <c r="C11" s="34" t="inlineStr">
        <is>
          <t>Options leg or Futures leg.</t>
        </is>
      </c>
      <c r="D11" s="35" t="n"/>
      <c r="E11" s="35" t="n"/>
      <c r="F11" s="35" t="n"/>
    </row>
    <row r="12" ht="48" customHeight="1" s="39">
      <c r="A12" s="29" t="inlineStr">
        <is>
          <t>Strike Type (ATM / OTM 1–20 / ITM 1–20)</t>
        </is>
      </c>
      <c r="B12" s="36" t="inlineStr">
        <is>
          <t>Leg Builder</t>
        </is>
      </c>
      <c r="C12" s="37" t="inlineStr">
        <is>
          <t>Moneyness of the strike — ATM, or N strikes OTM/ITM (1 to 20 strikes from ATM).</t>
        </is>
      </c>
      <c r="D12" s="35" t="inlineStr">
        <is>
          <t>Done</t>
        </is>
      </c>
      <c r="E12" s="35" t="n"/>
      <c r="F12" s="35" t="n"/>
    </row>
    <row r="13" ht="48" customHeight="1" s="39" thickBot="1">
      <c r="A13" s="41" t="inlineStr">
        <is>
          <t xml:space="preserve">  INDEX SUPPORT</t>
        </is>
      </c>
      <c r="B13" s="42" t="n"/>
      <c r="C13" s="42" t="n"/>
      <c r="D13" s="42" t="n"/>
      <c r="E13" s="42" t="n"/>
      <c r="F13" s="42" t="n"/>
    </row>
    <row r="14" ht="18" customHeight="1" s="39">
      <c r="A14" s="45" t="inlineStr">
        <is>
          <t>NIFTY</t>
        </is>
      </c>
      <c r="B14" s="30" t="n"/>
      <c r="C14" s="30" t="n"/>
      <c r="D14" s="30" t="n"/>
      <c r="E14" s="30" t="n"/>
      <c r="F14" s="31" t="n"/>
    </row>
    <row r="15" ht="48" customHeight="1" s="39">
      <c r="A15" s="46" t="inlineStr">
        <is>
          <t>Index Selector Groups</t>
        </is>
      </c>
      <c r="B15" s="47" t="inlineStr">
        <is>
          <t>Index Support</t>
        </is>
      </c>
      <c r="C15" s="48" t="inlineStr">
        <is>
          <t>UI groups indices by expiry availability: Weekly &amp; Monthly (NIFTY, SENSEX) and Monthly Only (MIDCPNIFTY, BANKNIFTY).</t>
        </is>
      </c>
      <c r="D15" s="49" t="n"/>
      <c r="E15" s="49" t="n"/>
      <c r="F15" s="49" t="n"/>
    </row>
    <row r="16" ht="48" customHeight="1" s="39">
      <c r="A16" s="46" t="inlineStr">
        <is>
          <t>BANKNIFTY</t>
        </is>
      </c>
      <c r="B16" s="47" t="inlineStr">
        <is>
          <t>Index Support</t>
        </is>
      </c>
      <c r="C16" s="48" t="inlineStr">
        <is>
          <t>Enabled monthly-only index with monthly / next monthly expiry choices, 100-point strike interval, backend monthly-only validation, and date-aware lot sizing.</t>
        </is>
      </c>
      <c r="D16" s="49" t="n"/>
      <c r="E16" s="49" t="n"/>
      <c r="F16" s="49" t="n"/>
    </row>
    <row r="17" ht="48" customHeight="1" s="39">
      <c r="A17" s="46" t="inlineStr">
        <is>
          <t>MIDCPNIFTY</t>
        </is>
      </c>
      <c r="B17" s="47" t="inlineStr">
        <is>
          <t>Index Support</t>
        </is>
      </c>
      <c r="C17" s="48" t="inlineStr">
        <is>
          <t>Enabled monthly-only index with monthly / next monthly expiry choices, 25-point strike interval, backend monthly-only validation, and date-aware lot sizing.</t>
        </is>
      </c>
      <c r="D17" s="49" t="n"/>
      <c r="E17" s="49" t="n"/>
      <c r="F17" s="49" t="n"/>
    </row>
    <row r="18" ht="48" customHeight="1" s="39">
      <c r="A18" s="46" t="inlineStr">
        <is>
          <t>SENSEX</t>
        </is>
      </c>
      <c r="B18" s="47" t="inlineStr">
        <is>
          <t>Index Support</t>
        </is>
      </c>
      <c r="C18" s="48" t="inlineStr">
        <is>
          <t>Visible in the index selector but blocked from backtesting until option quotes and expiry calendar data are imported.</t>
        </is>
      </c>
      <c r="D18" s="49" t="n"/>
      <c r="E18" s="49" t="n"/>
      <c r="F18" s="49" t="n"/>
    </row>
    <row r="19" ht="48" customHeight="1" s="39">
      <c r="A19" s="46" t="inlineStr">
        <is>
          <t>Index Expiry Guardrails</t>
        </is>
      </c>
      <c r="B19" s="47" t="inlineStr">
        <is>
          <t>Index Support</t>
        </is>
      </c>
      <c r="C19" s="48" t="inlineStr">
        <is>
          <t>Frontend and backend reject weekly / next weekly expiry selections for monthly-only indices and return clear validation messages.</t>
        </is>
      </c>
      <c r="D19" s="49" t="n"/>
      <c r="E19" s="49" t="n"/>
      <c r="F19" s="49" t="n"/>
    </row>
    <row r="20" ht="48" customHeight="1" s="39">
      <c r="A20" s="46" t="inlineStr">
        <is>
          <t>Centralized Index Metadata</t>
        </is>
      </c>
      <c r="B20" s="47" t="inlineStr">
        <is>
          <t>Index Support</t>
        </is>
      </c>
      <c r="C20" s="48" t="inlineStr">
        <is>
          <t>Shared service normalizes index symbols, validates configured index support, defines allowed expiries / strike intervals, and supplies historical lot sizes.</t>
        </is>
      </c>
      <c r="D20" s="49" t="n"/>
      <c r="E20" s="49" t="n"/>
      <c r="F20" s="49" t="n"/>
    </row>
    <row r="21" ht="48" customHeight="1" s="39">
      <c r="A21" s="46" t="inlineStr">
        <is>
          <t>Re-entry Modes (ASAP / Reverse / Lazy Leg)</t>
        </is>
      </c>
      <c r="B21" s="47" t="inlineStr">
        <is>
          <t>Risk Management</t>
        </is>
      </c>
      <c r="C21" s="48" t="inlineStr">
        <is>
          <t>Supports RE ASAP, RE ASAP reverse, RE Momentum, RE Momentum reverse, and Lazy Leg re-entry flows after SL or target triggers. RE_COST is not available.</t>
        </is>
      </c>
      <c r="D21" s="49" t="n"/>
      <c r="E21" s="49" t="n"/>
      <c r="F21" s="49" t="n"/>
    </row>
    <row r="22" ht="48" customHeight="1" s="39">
      <c r="A22" s="41" t="inlineStr">
        <is>
          <t xml:space="preserve">  STRIKE SELECTION</t>
        </is>
      </c>
      <c r="B22" s="42" t="n"/>
      <c r="C22" s="42" t="n"/>
      <c r="D22" s="42" t="n"/>
      <c r="E22" s="42" t="n"/>
      <c r="F22" s="42" t="n"/>
    </row>
    <row r="23" ht="48" customHeight="1" s="39">
      <c r="A23" s="50" t="inlineStr">
        <is>
          <t>ATM</t>
        </is>
      </c>
      <c r="B23" s="30" t="n"/>
      <c r="C23" s="30" t="n"/>
      <c r="D23" s="30" t="n"/>
      <c r="E23" s="30" t="n"/>
      <c r="F23" s="31" t="n"/>
    </row>
    <row r="24" ht="48" customHeight="1" s="39">
      <c r="A24" s="12" t="inlineStr">
        <is>
          <t>OTM (Strike Count)</t>
        </is>
      </c>
      <c r="B24" s="36" t="inlineStr">
        <is>
          <t>Strike Selection</t>
        </is>
      </c>
      <c r="C24" s="37" t="inlineStr">
        <is>
          <t>Select 1–20 strikes OTM from ATM.
• CE OTM N: ATM + (N × 50)
• PE OTM N: ATM − (N × 50)
Example: NIFTY spot=24350, ATM=24350, OTM2 CE → 24450</t>
        </is>
      </c>
      <c r="D24" s="35" t="inlineStr">
        <is>
          <t>Done</t>
        </is>
      </c>
      <c r="E24" s="35" t="n"/>
      <c r="F24" s="35" t="n"/>
    </row>
    <row r="25" ht="48" customHeight="1" s="39">
      <c r="A25" s="13" t="inlineStr">
        <is>
          <t>ITM (Strike Count)</t>
        </is>
      </c>
      <c r="B25" s="33" t="inlineStr">
        <is>
          <t>Strike Selection</t>
        </is>
      </c>
      <c r="C25" s="25" t="inlineStr">
        <is>
          <t>Select 1–20 strikes ITM from ATM.
• CE ITM N: ATM − (N × 50)
• PE ITM N: ATM + (N × 50)
Example: NIFTY spot=24350, ATM=24350, ITM2 CE → 24250</t>
        </is>
      </c>
      <c r="D25" s="35" t="inlineStr">
        <is>
          <t>Done</t>
        </is>
      </c>
      <c r="E25" s="35" t="n"/>
      <c r="F25" s="35" t="n"/>
    </row>
    <row r="26" ht="48" customHeight="1" s="39">
      <c r="A26" s="29" t="inlineStr">
        <is>
          <t>Straddle Width (STR)</t>
        </is>
      </c>
      <c r="B26" s="36" t="inlineStr">
        <is>
          <t>Strike Selection</t>
        </is>
      </c>
      <c r="C26" s="24" t="inlineStr">
        <is>
          <t>CE: ATM + (multiplier × ATM straddle premium). PE: ATM − same.</t>
        </is>
      </c>
      <c r="D26" s="35" t="inlineStr">
        <is>
          <t>Done</t>
        </is>
      </c>
      <c r="E26" s="35" t="n"/>
      <c r="F26" s="35" t="n"/>
    </row>
    <row r="27" ht="18" customHeight="1" s="39">
      <c r="A27" s="45" t="inlineStr">
        <is>
          <t>Closest Premium</t>
        </is>
      </c>
      <c r="B27" t="inlineStr">
        <is>
          <t>Strike Selection</t>
        </is>
      </c>
      <c r="C27" t="inlineStr">
        <is>
          <t>Picks the strike whose market premium is nearest to the target value.</t>
        </is>
      </c>
      <c r="D27" t="inlineStr">
        <is>
          <t>Done</t>
        </is>
      </c>
    </row>
    <row r="28" ht="48" customHeight="1" s="39">
      <c r="A28" s="32" t="inlineStr">
        <is>
          <t>Premium Range (Min–Max)</t>
        </is>
      </c>
      <c r="B28" s="33" t="inlineStr">
        <is>
          <t>Strike Selection</t>
        </is>
      </c>
      <c r="C28" s="34" t="inlineStr">
        <is>
          <t>Picks the ATM-closest strike with premium within [min, max]. Skips leg if none qualifies.</t>
        </is>
      </c>
      <c r="D28" s="35" t="inlineStr">
        <is>
          <t>Done</t>
        </is>
      </c>
      <c r="E28" s="35" t="n"/>
      <c r="F28" s="35" t="n"/>
    </row>
    <row r="29" ht="48" customHeight="1" s="39">
      <c r="A29" s="29" t="inlineStr">
        <is>
          <t>Premium GTE (≥)</t>
        </is>
      </c>
      <c r="B29" s="36" t="inlineStr">
        <is>
          <t>Strike Selection</t>
        </is>
      </c>
      <c r="C29" s="37" t="inlineStr">
        <is>
          <t>Picks the ATM-closest strike with premium ≥ specified value.</t>
        </is>
      </c>
      <c r="D29" s="35" t="inlineStr">
        <is>
          <t>Done</t>
        </is>
      </c>
      <c r="E29" s="35" t="n"/>
      <c r="F29" s="35" t="n"/>
    </row>
    <row r="30" ht="48" customHeight="1" s="39">
      <c r="A30" s="32" t="inlineStr">
        <is>
          <t>Premium LTE (≤)</t>
        </is>
      </c>
      <c r="B30" s="33" t="inlineStr">
        <is>
          <t>Strike Selection</t>
        </is>
      </c>
      <c r="C30" s="34" t="inlineStr">
        <is>
          <t>Picks the ATM-closest strike with premium ≤ specified value.</t>
        </is>
      </c>
      <c r="D30" s="35" t="inlineStr">
        <is>
          <t>Done</t>
        </is>
      </c>
      <c r="E30" s="35" t="n"/>
      <c r="F30" s="35" t="n"/>
    </row>
    <row r="31" ht="18" customHeight="1" s="39">
      <c r="A31" s="45" t="inlineStr">
        <is>
          <t>Synthetic Future</t>
        </is>
      </c>
      <c r="B31" t="inlineStr">
        <is>
          <t>Strike Selection</t>
        </is>
      </c>
      <c r="C31" t="inlineStr">
        <is>
          <t>Picks the strike where |CE premium - PE premium| is smallest.</t>
        </is>
      </c>
    </row>
    <row r="32" ht="48" customHeight="1" s="39">
      <c r="A32" s="41" t="inlineStr">
        <is>
          <t xml:space="preserve">  SPOT ADJUSTMENT</t>
        </is>
      </c>
      <c r="B32" s="42" t="n"/>
      <c r="C32" s="42" t="n"/>
      <c r="D32" s="42" t="n"/>
      <c r="E32" s="42" t="n"/>
      <c r="F32" s="42" t="n"/>
    </row>
    <row r="33" ht="48" customHeight="1" s="39">
      <c r="A33" s="27" t="inlineStr">
        <is>
          <t>Spot Adjustment — Direction</t>
        </is>
      </c>
      <c r="B33" s="30" t="n"/>
      <c r="C33" s="30" t="n"/>
      <c r="D33" s="30" t="n"/>
      <c r="E33" s="30" t="n"/>
      <c r="F33" s="31" t="n"/>
    </row>
    <row r="34" ht="48" customHeight="1" s="39">
      <c r="A34" s="51" t="inlineStr">
        <is>
          <t>Spot Adjustment — Threshold</t>
        </is>
      </c>
      <c r="B34" s="30" t="n"/>
      <c r="C34" s="30" t="n"/>
      <c r="D34" s="30" t="n"/>
      <c r="E34" s="30" t="n"/>
      <c r="F34" s="31" t="n"/>
    </row>
    <row r="35" ht="48" customHeight="1" s="39">
      <c r="A35" s="27" t="inlineStr">
        <is>
          <t>Spot Adjustment — Units (% / Points)</t>
        </is>
      </c>
      <c r="B35" s="28" t="inlineStr">
        <is>
          <t>Spot Adjustment</t>
        </is>
      </c>
      <c r="C35" s="25" t="inlineStr">
        <is>
          <t>Threshold expressed as a percentage of spot or fixed points.</t>
        </is>
      </c>
      <c r="D35" s="35" t="n"/>
      <c r="E35" s="35" t="n"/>
      <c r="F35" s="35" t="n"/>
    </row>
    <row r="36" ht="18" customHeight="1" s="39">
      <c r="A36" s="41" t="inlineStr">
        <is>
          <t xml:space="preserve">  BUFFER STRIKE</t>
        </is>
      </c>
    </row>
    <row r="37" ht="48" customHeight="1" s="39">
      <c r="A37" s="29" t="inlineStr">
        <is>
          <t>Buffer Strike</t>
        </is>
      </c>
      <c r="B37" s="30" t="n"/>
      <c r="C37" s="30" t="n"/>
      <c r="D37" s="30" t="n"/>
      <c r="E37" s="30" t="n"/>
      <c r="F37" s="31" t="n"/>
    </row>
    <row r="38" ht="48" customHeight="1" s="39">
      <c r="A38" s="50" t="inlineStr">
        <is>
          <t>Buffer Apply To (CE / PE / Both)</t>
        </is>
      </c>
      <c r="B38" s="30" t="n"/>
      <c r="C38" s="30" t="n"/>
      <c r="D38" s="30" t="n"/>
      <c r="E38" s="30" t="n"/>
      <c r="F38" s="31" t="n"/>
    </row>
    <row r="39" ht="48" customHeight="1" s="39">
      <c r="A39" s="29" t="inlineStr">
        <is>
          <t>Buffer Value (% / Points)</t>
        </is>
      </c>
      <c r="B39" s="36" t="inlineStr">
        <is>
          <t>Buffer Strike</t>
        </is>
      </c>
      <c r="C39" s="37" t="inlineStr">
        <is>
          <t>Size of the ATM shift — percentage of ATM or fixed points.</t>
        </is>
      </c>
      <c r="D39" s="35" t="n"/>
      <c r="E39" s="35" t="n"/>
      <c r="F39" s="35" t="n"/>
    </row>
    <row r="40" ht="48" customHeight="1" s="39">
      <c r="A40" s="32" t="inlineStr">
        <is>
          <t>Buffer Position (Above / Below)</t>
        </is>
      </c>
      <c r="B40" s="33" t="inlineStr">
        <is>
          <t>Buffer Strike</t>
        </is>
      </c>
      <c r="C40" s="34" t="inlineStr">
        <is>
          <t>Whether the buffer pushes the strike above or below ATM.</t>
        </is>
      </c>
      <c r="D40" s="35" t="n"/>
      <c r="E40" s="35" t="n"/>
      <c r="F40" s="35" t="n"/>
    </row>
    <row r="41" ht="48" customHeight="1" s="39">
      <c r="A41" s="41" t="inlineStr">
        <is>
          <t xml:space="preserve">  RISK MANAGEMENT</t>
        </is>
      </c>
      <c r="B41" s="42" t="n"/>
      <c r="C41" s="42" t="n"/>
      <c r="D41" s="42" t="n"/>
      <c r="E41" s="42" t="n"/>
      <c r="F41" s="42" t="n"/>
    </row>
    <row r="42" ht="48" customHeight="1" s="39">
      <c r="A42" s="29" t="inlineStr">
        <is>
          <t>Overall Stop Loss</t>
        </is>
      </c>
      <c r="B42" s="30" t="n"/>
      <c r="C42" s="30" t="n"/>
      <c r="D42" s="35" t="inlineStr">
        <is>
          <t>Done</t>
        </is>
      </c>
      <c r="E42" s="35" t="n"/>
      <c r="F42" s="35" t="n"/>
    </row>
    <row r="43" ht="18" customHeight="1" s="39">
      <c r="A43" s="50" t="inlineStr">
        <is>
          <t>Per-Leg Stop Loss</t>
        </is>
      </c>
      <c r="B43" s="30" t="n"/>
      <c r="C43" s="30" t="n"/>
      <c r="D43" s="30" t="n"/>
      <c r="E43" s="30" t="n"/>
      <c r="F43" s="31" t="n"/>
    </row>
    <row r="44" ht="48" customHeight="1" s="39">
      <c r="A44" s="29" t="inlineStr">
        <is>
          <t>Overall Target</t>
        </is>
      </c>
      <c r="B44" s="36" t="inlineStr">
        <is>
          <t>Risk Management</t>
        </is>
      </c>
      <c r="C44" s="37" t="inlineStr">
        <is>
          <t>Closes all legs when combined unrealised profit hits the target.</t>
        </is>
      </c>
      <c r="D44" s="35" t="inlineStr">
        <is>
          <t>Done</t>
        </is>
      </c>
      <c r="E44" s="35" t="n"/>
      <c r="F44" s="35" t="n"/>
    </row>
    <row r="45" ht="48" customHeight="1" s="39">
      <c r="A45" s="32" t="inlineStr">
        <is>
          <t>Trailing Stop Loss (per leg)</t>
        </is>
      </c>
      <c r="B45" s="33" t="inlineStr">
        <is>
          <t>Risk Management</t>
        </is>
      </c>
      <c r="C45" s="34" t="inlineStr">
        <is>
          <t>SL that tightens as the leg's P&amp;L improves. Configured as X% move activates, trails by Y%.</t>
        </is>
      </c>
      <c r="D45" s="35" t="inlineStr">
        <is>
          <t>Error</t>
        </is>
      </c>
      <c r="E45" s="35" t="n"/>
      <c r="F45" s="35" t="n"/>
    </row>
    <row r="46" ht="18" customHeight="1" s="39">
      <c r="A46" s="16" t="inlineStr">
        <is>
          <t>Square Off Mode
(Partial / Complete)</t>
        </is>
      </c>
      <c r="B46" t="inlineStr">
        <is>
          <t>Risk Management</t>
        </is>
      </c>
      <c r="C46" t="inlineStr">
        <is>
          <t>Controls how per-leg stop-loss exits are applied when triggered.
• Partial: only the triggered leg is squared off; other legs continue
• Complete: all legs are closed when any one leg hits its SL</t>
        </is>
      </c>
      <c r="D46" t="inlineStr">
        <is>
          <t>Front date Error</t>
        </is>
      </c>
    </row>
    <row r="47" ht="48" customHeight="1" s="39">
      <c r="A47" s="29" t="inlineStr">
        <is>
          <t>Re-entry After Stop Loss</t>
        </is>
      </c>
      <c r="B47" s="36" t="inlineStr">
        <is>
          <t>Risk Management</t>
        </is>
      </c>
      <c r="C47" s="24" t="inlineStr">
        <is>
          <t>Re-enters the strategy on the next trading day after a per-leg SL triggers.</t>
        </is>
      </c>
      <c r="D47" s="35" t="n"/>
      <c r="E47" s="35" t="n"/>
      <c r="F47" s="35" t="n"/>
    </row>
    <row r="48" ht="48" customHeight="1" s="39">
      <c r="A48" s="32" t="inlineStr">
        <is>
          <t>Futures Rollover Exit</t>
        </is>
      </c>
      <c r="B48" s="33" t="inlineStr">
        <is>
          <t>Risk Management</t>
        </is>
      </c>
      <c r="C48" s="25" t="inlineStr">
        <is>
          <t>Sets when a Futures leg exits relative to contract expiry.
• ON_EXPIRY: holds to expiry EOD
• N_DAYS_BEFORE_EXPIRY: exits N days before expiry
• LAST_WEEK_BEFORE_EXPIRY: exits in the last week before expiry</t>
        </is>
      </c>
      <c r="D48" s="35" t="n"/>
      <c r="E48" s="35" t="n"/>
      <c r="F48" s="35" t="n"/>
    </row>
    <row r="49" ht="48" customHeight="1" s="39">
      <c r="A49" s="41" t="inlineStr">
        <is>
          <t xml:space="preserve">  MARKET FILTER</t>
        </is>
      </c>
      <c r="B49" s="42" t="n"/>
      <c r="C49" s="42" t="n"/>
      <c r="D49" s="42" t="n"/>
      <c r="E49" s="42" t="n"/>
      <c r="F49" s="42" t="n"/>
    </row>
    <row r="50" ht="48" customHeight="1" s="39">
      <c r="A50" s="45" t="inlineStr">
        <is>
          <t>SuperTrend Filter (5×1 / 5×2)</t>
        </is>
      </c>
      <c r="B50" s="30" t="n"/>
      <c r="C50" s="30" t="n"/>
      <c r="D50" s="30" t="n"/>
      <c r="E50" s="30" t="n"/>
      <c r="F50" s="31" t="n"/>
    </row>
    <row r="51" ht="48" customHeight="1" s="39">
      <c r="A51" s="32" t="inlineStr">
        <is>
          <t>Upload Date Range File</t>
        </is>
      </c>
      <c r="B51" s="33" t="inlineStr">
        <is>
          <t>Market Filter</t>
        </is>
      </c>
      <c r="C51" s="25" t="inlineStr">
        <is>
          <t>Upload a CSV with From/To date pairs. Backtest runs only on dates within those ranges.</t>
        </is>
      </c>
      <c r="D51" s="35" t="n"/>
      <c r="E51" s="35" t="n"/>
      <c r="F51" s="35" t="n"/>
    </row>
    <row r="52" ht="48" customHeight="1" s="39">
      <c r="A52" s="26" t="inlineStr">
        <is>
          <t xml:space="preserve">  PERFORMANCE METRICS</t>
        </is>
      </c>
      <c r="B52" s="42" t="n"/>
      <c r="C52" s="42" t="n"/>
      <c r="D52" s="42" t="n"/>
      <c r="E52" s="42" t="n"/>
      <c r="F52" s="42" t="n"/>
    </row>
    <row r="53">
      <c r="A53" s="45" t="inlineStr">
        <is>
          <t>Total P&amp;L (₹ and %)</t>
        </is>
      </c>
      <c r="B53" s="30" t="n"/>
      <c r="C53" s="30" t="n"/>
      <c r="D53" s="30" t="n"/>
      <c r="E53" s="30" t="n"/>
      <c r="F53" s="31" t="n"/>
    </row>
    <row r="54">
      <c r="A54" s="32" t="inlineStr">
        <is>
          <t>Maximum Drawdown</t>
        </is>
      </c>
      <c r="B54" s="33" t="inlineStr">
        <is>
          <t>Performance Metrics</t>
        </is>
      </c>
      <c r="C54" s="34" t="inlineStr">
        <is>
          <t>Largest peak-to-trough drop in cumulative P&amp;L, shown in ₹ and %.</t>
        </is>
      </c>
      <c r="D54" s="35" t="n"/>
      <c r="E54" s="35" t="n"/>
      <c r="F54" s="35" t="n"/>
    </row>
    <row r="55">
      <c r="A55" s="29" t="inlineStr">
        <is>
          <t>Win Rate</t>
        </is>
      </c>
      <c r="B55" s="36" t="inlineStr">
        <is>
          <t>Performance Metrics</t>
        </is>
      </c>
      <c r="C55" s="37" t="inlineStr">
        <is>
          <t>% of trades that closed with net P&amp;L &gt; 0.</t>
        </is>
      </c>
      <c r="D55" s="35" t="n"/>
      <c r="E55" s="35" t="n"/>
      <c r="F55" s="35" t="n"/>
    </row>
    <row r="56">
      <c r="A56" s="32" t="inlineStr">
        <is>
          <t>Profit Factor</t>
        </is>
      </c>
      <c r="B56" s="33" t="inlineStr">
        <is>
          <t>Performance Metrics</t>
        </is>
      </c>
      <c r="C56" s="34" t="inlineStr">
        <is>
          <t>Total winning P&amp;L ÷ |total losing P&amp;L|.</t>
        </is>
      </c>
      <c r="D56" s="35" t="n"/>
      <c r="E56" s="35" t="n"/>
      <c r="F56" s="35" t="n"/>
    </row>
    <row r="57">
      <c r="A57" s="29" t="inlineStr">
        <is>
          <t>Monthly P&amp;L Breakdown (Pivot)</t>
        </is>
      </c>
      <c r="B57" s="36" t="inlineStr">
        <is>
          <t>Performance Metrics</t>
        </is>
      </c>
      <c r="C57" s="37" t="inlineStr">
        <is>
          <t>P&amp;L in a Year × Month grid. Trade attributed to exit month.</t>
        </is>
      </c>
      <c r="D57" s="35" t="n"/>
      <c r="E57" s="35" t="n"/>
      <c r="F57" s="35" t="n"/>
    </row>
    <row r="58">
      <c r="A58" s="32" t="inlineStr">
        <is>
          <t>Slippage Simulation</t>
        </is>
      </c>
      <c r="B58" s="33" t="inlineStr">
        <is>
          <t>Performance Metrics</t>
        </is>
      </c>
      <c r="C58" s="34" t="inlineStr">
        <is>
          <t>Fixed % applied to every entry and exit to simulate bid-ask spread.</t>
        </is>
      </c>
      <c r="D58" s="35" t="n"/>
      <c r="E58" s="35" t="n"/>
      <c r="F58" s="35" t="n"/>
    </row>
    <row r="59">
      <c r="A59" s="16" t="inlineStr">
        <is>
          <t>Transaction Charges
(Zerodha F&amp;O)</t>
        </is>
      </c>
      <c r="B59" s="17" t="inlineStr">
        <is>
          <t>Performance Metrics</t>
        </is>
      </c>
      <c r="C59" s="18" t="inlineStr">
        <is>
          <t>Applies Zerodha F&amp;O charges to every entry and exit when enabled.
• Brokerage: ₹20/order
• STT: 0.15% on sell-side premium
• NSE transaction: 0.03553%
• SEBI: ₹10/crore
• Stamp duty: 0.003% buy-side
• GST: 18% on brokerage + txn + SEBI</t>
        </is>
      </c>
      <c r="D59" s="19" t="n"/>
      <c r="E59" s="19" t="n"/>
      <c r="F59" s="19" t="n"/>
    </row>
  </sheetData>
  <mergeCells count="11">
    <mergeCell ref="A38:F38"/>
    <mergeCell ref="A2:F2"/>
    <mergeCell ref="A14:F14"/>
    <mergeCell ref="A1:F1"/>
    <mergeCell ref="A23:F23"/>
    <mergeCell ref="A8:F8"/>
    <mergeCell ref="A34:F34"/>
    <mergeCell ref="A50:F50"/>
    <mergeCell ref="A4:F4"/>
    <mergeCell ref="A53:F53"/>
    <mergeCell ref="A43:F4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R31"/>
  <sheetViews>
    <sheetView workbookViewId="0">
      <selection activeCell="G31" sqref="G31"/>
    </sheetView>
  </sheetViews>
  <sheetFormatPr baseColWidth="8" defaultRowHeight="15"/>
  <cols>
    <col width="10" bestFit="1" customWidth="1" style="39" min="18" max="19"/>
  </cols>
  <sheetData>
    <row r="2">
      <c r="C2" t="n">
        <v>259.35</v>
      </c>
      <c r="H2" t="n">
        <v>259.35</v>
      </c>
    </row>
    <row r="3">
      <c r="C3" t="n">
        <v>198.85</v>
      </c>
      <c r="H3" t="n">
        <v>198.85</v>
      </c>
    </row>
    <row r="4">
      <c r="C4">
        <f>SUM(C2:C3)</f>
        <v/>
      </c>
    </row>
    <row r="6">
      <c r="C6" t="n">
        <v>23750</v>
      </c>
      <c r="D6">
        <f>C6+(C4*1)</f>
        <v/>
      </c>
      <c r="E6">
        <f>MROUND(D6,50)</f>
        <v/>
      </c>
    </row>
    <row r="7">
      <c r="O7" t="inlineStr">
        <is>
          <t>P&amp;L</t>
        </is>
      </c>
    </row>
    <row r="8">
      <c r="F8" t="inlineStr">
        <is>
          <t>NIFTY</t>
        </is>
      </c>
      <c r="G8" s="22" t="n">
        <v>45666</v>
      </c>
      <c r="H8" s="22" t="n">
        <v>45666</v>
      </c>
      <c r="I8" t="inlineStr">
        <is>
          <t>CE</t>
        </is>
      </c>
      <c r="J8" s="23" t="n">
        <v>23750</v>
      </c>
      <c r="K8" t="n">
        <v>38</v>
      </c>
      <c r="L8" t="n">
        <v>38</v>
      </c>
      <c r="M8" t="n">
        <v>0.05</v>
      </c>
      <c r="N8" t="n">
        <v>0.15</v>
      </c>
      <c r="O8">
        <f>$N$14-N8</f>
        <v/>
      </c>
    </row>
    <row r="9">
      <c r="F9" t="inlineStr">
        <is>
          <t>NIFTY</t>
        </is>
      </c>
      <c r="G9" s="22" t="n">
        <v>45665</v>
      </c>
      <c r="H9" s="22" t="n">
        <v>45666</v>
      </c>
      <c r="I9" t="inlineStr">
        <is>
          <t>CE</t>
        </is>
      </c>
      <c r="J9" s="23" t="n">
        <v>23750</v>
      </c>
      <c r="K9" t="n">
        <v>100</v>
      </c>
      <c r="L9" t="n">
        <v>100.95</v>
      </c>
      <c r="M9" t="n">
        <v>13.5</v>
      </c>
      <c r="N9" t="n">
        <v>49.9</v>
      </c>
      <c r="O9">
        <f>$N$14-N9</f>
        <v/>
      </c>
    </row>
    <row r="10">
      <c r="F10" t="inlineStr">
        <is>
          <t>NIFTY</t>
        </is>
      </c>
      <c r="G10" s="22" t="n">
        <v>45664</v>
      </c>
      <c r="H10" s="22" t="n">
        <v>45666</v>
      </c>
      <c r="I10" t="inlineStr">
        <is>
          <t>CE</t>
        </is>
      </c>
      <c r="J10" s="23" t="n">
        <v>23750</v>
      </c>
      <c r="K10" t="n">
        <v>149.45</v>
      </c>
      <c r="L10" t="n">
        <v>180</v>
      </c>
      <c r="M10" t="n">
        <v>91.05</v>
      </c>
      <c r="N10" t="n">
        <v>99.59999999999999</v>
      </c>
      <c r="O10">
        <f>$N$14-N10</f>
        <v/>
      </c>
    </row>
    <row r="11">
      <c r="F11" t="inlineStr">
        <is>
          <t>NIFTY</t>
        </is>
      </c>
      <c r="G11" s="22" t="n">
        <v>45663</v>
      </c>
      <c r="H11" s="22" t="n">
        <v>45666</v>
      </c>
      <c r="I11" t="inlineStr">
        <is>
          <t>CE</t>
        </is>
      </c>
      <c r="J11" s="23" t="n">
        <v>23750</v>
      </c>
      <c r="K11" t="n">
        <v>329</v>
      </c>
      <c r="L11" t="n">
        <v>351.9</v>
      </c>
      <c r="M11" t="n">
        <v>120.1</v>
      </c>
      <c r="N11" t="n">
        <v>133.95</v>
      </c>
      <c r="O11">
        <f>$N$14-N11</f>
        <v/>
      </c>
    </row>
    <row r="12">
      <c r="F12" t="inlineStr">
        <is>
          <t>NIFTY</t>
        </is>
      </c>
      <c r="G12" s="22" t="n">
        <v>45660</v>
      </c>
      <c r="H12" s="22" t="n">
        <v>45666</v>
      </c>
      <c r="I12" t="inlineStr">
        <is>
          <t>CE</t>
        </is>
      </c>
      <c r="J12" s="23" t="n">
        <v>23750</v>
      </c>
      <c r="K12" t="n">
        <v>462.9</v>
      </c>
      <c r="L12" t="n">
        <v>480.95</v>
      </c>
      <c r="M12" t="n">
        <v>295.9</v>
      </c>
      <c r="N12" t="n">
        <v>309.05</v>
      </c>
      <c r="O12">
        <f>$N$14-N12</f>
        <v/>
      </c>
    </row>
    <row r="13">
      <c r="F13" t="inlineStr">
        <is>
          <t>NIFTY</t>
        </is>
      </c>
      <c r="G13" s="22" t="n">
        <v>45659</v>
      </c>
      <c r="H13" s="22" t="n">
        <v>45666</v>
      </c>
      <c r="I13" t="inlineStr">
        <is>
          <t>CE</t>
        </is>
      </c>
      <c r="J13" s="23" t="n">
        <v>23750</v>
      </c>
      <c r="K13" t="n">
        <v>280.7</v>
      </c>
      <c r="L13" t="n">
        <v>527.35</v>
      </c>
      <c r="M13" t="n">
        <v>246.5</v>
      </c>
      <c r="N13" t="n">
        <v>490</v>
      </c>
      <c r="O13">
        <f>$N$14-N13</f>
        <v/>
      </c>
    </row>
    <row r="14">
      <c r="F14" t="inlineStr">
        <is>
          <t>NIFTY</t>
        </is>
      </c>
      <c r="G14" s="22" t="n">
        <v>45658</v>
      </c>
      <c r="H14" s="22" t="n">
        <v>45666</v>
      </c>
      <c r="I14" t="inlineStr">
        <is>
          <t>CE</t>
        </is>
      </c>
      <c r="J14" s="23" t="n">
        <v>23750</v>
      </c>
      <c r="K14" t="n">
        <v>200.05</v>
      </c>
      <c r="L14" t="n">
        <v>302</v>
      </c>
      <c r="M14" t="n">
        <v>168.4</v>
      </c>
      <c r="N14" t="n">
        <v>259.35</v>
      </c>
    </row>
    <row r="16">
      <c r="F16" t="inlineStr">
        <is>
          <t>NIFTY</t>
        </is>
      </c>
      <c r="G16" s="22" t="n">
        <v>45666</v>
      </c>
      <c r="H16" s="22" t="n">
        <v>45666</v>
      </c>
      <c r="I16" t="inlineStr">
        <is>
          <t>PE</t>
        </is>
      </c>
      <c r="J16" s="23" t="n">
        <v>23750</v>
      </c>
      <c r="K16" t="n">
        <v>112</v>
      </c>
      <c r="L16" t="n">
        <v>249.5</v>
      </c>
      <c r="M16" t="n">
        <v>112</v>
      </c>
      <c r="N16" t="n">
        <v>230</v>
      </c>
      <c r="O16">
        <f>$N$22-N16</f>
        <v/>
      </c>
      <c r="Q16">
        <f>O16+O8</f>
        <v/>
      </c>
      <c r="R16">
        <f>Q16*65</f>
        <v/>
      </c>
    </row>
    <row r="17">
      <c r="F17" t="inlineStr">
        <is>
          <t>NIFTY</t>
        </is>
      </c>
      <c r="G17" s="22" t="n">
        <v>45665</v>
      </c>
      <c r="H17" s="22" t="n">
        <v>45666</v>
      </c>
      <c r="I17" t="inlineStr">
        <is>
          <t>PE</t>
        </is>
      </c>
      <c r="J17" s="23" t="n">
        <v>23750</v>
      </c>
      <c r="K17" t="n">
        <v>142.65</v>
      </c>
      <c r="L17" t="n">
        <v>262.6</v>
      </c>
      <c r="M17" t="n">
        <v>86.84999999999999</v>
      </c>
      <c r="N17" t="n">
        <v>109.7</v>
      </c>
      <c r="O17">
        <f>$N$22-N17</f>
        <v/>
      </c>
      <c r="Q17">
        <f>O17+O9</f>
        <v/>
      </c>
      <c r="R17">
        <f>Q17*65</f>
        <v/>
      </c>
    </row>
    <row r="18">
      <c r="F18" t="inlineStr">
        <is>
          <t>NIFTY</t>
        </is>
      </c>
      <c r="G18" s="22" t="n">
        <v>45664</v>
      </c>
      <c r="H18" s="22" t="n">
        <v>45666</v>
      </c>
      <c r="I18" t="inlineStr">
        <is>
          <t>PE</t>
        </is>
      </c>
      <c r="J18" s="23" t="n">
        <v>23750</v>
      </c>
      <c r="K18" t="n">
        <v>312</v>
      </c>
      <c r="L18" t="n">
        <v>312</v>
      </c>
      <c r="M18" t="n">
        <v>113</v>
      </c>
      <c r="N18" t="n">
        <v>142.15</v>
      </c>
      <c r="O18">
        <f>$N$22-N18</f>
        <v/>
      </c>
      <c r="Q18">
        <f>O18+O10</f>
        <v/>
      </c>
      <c r="R18">
        <f>Q18*65</f>
        <v/>
      </c>
    </row>
    <row r="19">
      <c r="F19" t="inlineStr">
        <is>
          <t>NIFTY</t>
        </is>
      </c>
      <c r="G19" s="22" t="n">
        <v>45663</v>
      </c>
      <c r="H19" s="22" t="n">
        <v>45666</v>
      </c>
      <c r="I19" t="inlineStr">
        <is>
          <t>PE</t>
        </is>
      </c>
      <c r="J19" s="23" t="n">
        <v>23750</v>
      </c>
      <c r="K19" t="n">
        <v>53.45</v>
      </c>
      <c r="L19" t="n">
        <v>311.65</v>
      </c>
      <c r="M19" t="n">
        <v>46.8</v>
      </c>
      <c r="N19" t="n">
        <v>263.65</v>
      </c>
      <c r="O19">
        <f>$N$22-N19</f>
        <v/>
      </c>
      <c r="Q19">
        <f>O19+O11</f>
        <v/>
      </c>
      <c r="R19">
        <f>Q19*65</f>
        <v/>
      </c>
    </row>
    <row r="20">
      <c r="F20" t="inlineStr">
        <is>
          <t>NIFTY</t>
        </is>
      </c>
      <c r="G20" s="22" t="n">
        <v>45660</v>
      </c>
      <c r="H20" s="22" t="n">
        <v>45666</v>
      </c>
      <c r="I20" t="inlineStr">
        <is>
          <t>PE</t>
        </is>
      </c>
      <c r="J20" s="23" t="n">
        <v>23750</v>
      </c>
      <c r="K20" t="n">
        <v>60</v>
      </c>
      <c r="L20" t="n">
        <v>78.09999999999999</v>
      </c>
      <c r="M20" t="n">
        <v>33.65</v>
      </c>
      <c r="N20" t="n">
        <v>61.9</v>
      </c>
      <c r="O20">
        <f>$N$22-N20</f>
        <v/>
      </c>
      <c r="Q20">
        <f>O20+O12</f>
        <v/>
      </c>
      <c r="R20">
        <f>Q20*65</f>
        <v/>
      </c>
    </row>
    <row r="21">
      <c r="F21" t="inlineStr">
        <is>
          <t>NIFTY</t>
        </is>
      </c>
      <c r="G21" s="22" t="n">
        <v>45659</v>
      </c>
      <c r="H21" s="22" t="n">
        <v>45666</v>
      </c>
      <c r="I21" t="inlineStr">
        <is>
          <t>PE</t>
        </is>
      </c>
      <c r="J21" s="23" t="n">
        <v>23750</v>
      </c>
      <c r="K21" t="n">
        <v>193.65</v>
      </c>
      <c r="L21" t="n">
        <v>217</v>
      </c>
      <c r="M21" t="n">
        <v>50.35</v>
      </c>
      <c r="N21" t="n">
        <v>55.15</v>
      </c>
      <c r="O21">
        <f>$N$22-N21</f>
        <v/>
      </c>
      <c r="Q21">
        <f>O21+O13</f>
        <v/>
      </c>
      <c r="R21">
        <f>Q21*65</f>
        <v/>
      </c>
    </row>
    <row r="22">
      <c r="F22" t="inlineStr">
        <is>
          <t>NIFTY</t>
        </is>
      </c>
      <c r="G22" s="22" t="n">
        <v>45658</v>
      </c>
      <c r="H22" s="22" t="n">
        <v>45666</v>
      </c>
      <c r="I22" t="inlineStr">
        <is>
          <t>PE</t>
        </is>
      </c>
      <c r="J22" s="23" t="n">
        <v>23750</v>
      </c>
      <c r="K22" t="n">
        <v>240.05</v>
      </c>
      <c r="L22" t="n">
        <v>292.8</v>
      </c>
      <c r="M22" t="n">
        <v>173</v>
      </c>
      <c r="N22" t="n">
        <v>198.85</v>
      </c>
    </row>
    <row r="28">
      <c r="F28" t="n">
        <v>181.4</v>
      </c>
      <c r="G28" s="44">
        <f>F28-(F28*1%)</f>
        <v/>
      </c>
    </row>
    <row r="29">
      <c r="F29" t="n">
        <v>189.35</v>
      </c>
      <c r="G29" s="44">
        <f>F29-(F29*1%)</f>
        <v/>
      </c>
    </row>
    <row r="30">
      <c r="G30" s="44" t="n"/>
    </row>
    <row r="31">
      <c r="F31" t="n">
        <v>603.3</v>
      </c>
      <c r="G31" s="44">
        <f>F31+(F31*1%)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2026-04-17T12:52:53Z</dcterms:created>
  <dcterms:modified xmlns:dcterms="http://purl.org/dc/terms/" xmlns:xsi="http://www.w3.org/2001/XMLSchema-instance" xsi:type="dcterms:W3CDTF">2026-04-27T11:30:11+00:00Z</dcterms:modified>
  <cp:lastModifiedBy>AFF40</cp:lastModifiedBy>
  <cp:revision>1</cp:revision>
</cp:coreProperties>
</file>