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Nandini Patel\Algo test\Multi Expiry\"/>
    </mc:Choice>
  </mc:AlternateContent>
  <xr:revisionPtr revIDLastSave="0" documentId="8_{D9A0EC89-3F7F-4700-9AB3-31E459296F1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2" i="2"/>
</calcChain>
</file>

<file path=xl/sharedStrings.xml><?xml version="1.0" encoding="utf-8"?>
<sst xmlns="http://schemas.openxmlformats.org/spreadsheetml/2006/main" count="544" uniqueCount="274">
  <si>
    <t>STRATEGY RULES</t>
  </si>
  <si>
    <t xml:space="preserve">  Strategy</t>
  </si>
  <si>
    <t>Index</t>
  </si>
  <si>
    <t>NIFTY</t>
  </si>
  <si>
    <t>Backtest Date Range</t>
  </si>
  <si>
    <t>2019-02-28 → 2026-06-30</t>
  </si>
  <si>
    <t>Expiry</t>
  </si>
  <si>
    <t>Yearly (December)</t>
  </si>
  <si>
    <t>Entry / Exit DTE</t>
  </si>
  <si>
    <t>T-0 to T-0</t>
  </si>
  <si>
    <t>Square-off Mode</t>
  </si>
  <si>
    <t>partial</t>
  </si>
  <si>
    <t>Roll Cadence</t>
  </si>
  <si>
    <t>Monthly</t>
  </si>
  <si>
    <t>Yearly Exit</t>
  </si>
  <si>
    <t>T-1 (1 month before the long-dated expiry)</t>
  </si>
  <si>
    <t>Roll Through</t>
  </si>
  <si>
    <t>December only</t>
  </si>
  <si>
    <t>Rollover</t>
  </si>
  <si>
    <t>Yes (roll monthly within the December contract)</t>
  </si>
  <si>
    <t>Spot Adjustment</t>
  </si>
  <si>
    <t>Yes (Rise 1000 pts)</t>
  </si>
  <si>
    <t>Strike Shift Fallback</t>
  </si>
  <si>
    <t>1 step(s)</t>
  </si>
  <si>
    <t>Cost / Charges</t>
  </si>
  <si>
    <t>Disabled</t>
  </si>
  <si>
    <t>Filter</t>
  </si>
  <si>
    <t>Base 2.1 Bull With MFI_Ex TROC_Ex 1st Month M5DP Added of Bull End</t>
  </si>
  <si>
    <t xml:space="preserve">  Leg 1 — PE Buy (Options)</t>
  </si>
  <si>
    <t>Position</t>
  </si>
  <si>
    <t>Buy</t>
  </si>
  <si>
    <t>Lots</t>
  </si>
  <si>
    <t>1</t>
  </si>
  <si>
    <t>Option Type</t>
  </si>
  <si>
    <t>PE</t>
  </si>
  <si>
    <t>Strike Selection</t>
  </si>
  <si>
    <t>ATM</t>
  </si>
  <si>
    <t>Strike Gap</t>
  </si>
  <si>
    <t>1000</t>
  </si>
  <si>
    <t>Rollover Strike Mode</t>
  </si>
  <si>
    <t>Fixed</t>
  </si>
  <si>
    <t>Slippage</t>
  </si>
  <si>
    <t>No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</si>
  <si>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</si>
  <si>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</si>
  <si>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</si>
  <si>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</si>
  <si>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</si>
  <si>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</si>
  <si>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</si>
  <si>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</si>
  <si>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</si>
  <si>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</si>
  <si>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</si>
  <si>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</si>
  <si>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</si>
  <si>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</si>
  <si>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</si>
  <si>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</si>
  <si>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Net MAE 1</t>
  </si>
  <si>
    <t>Net MAE 2</t>
  </si>
  <si>
    <t>Final MAE</t>
  </si>
  <si>
    <t>PE P&amp;L</t>
  </si>
  <si>
    <t>PE P&amp;L %</t>
  </si>
  <si>
    <t>Net P&amp;L</t>
  </si>
  <si>
    <t>% P&amp;L</t>
  </si>
  <si>
    <t>Cumulative</t>
  </si>
  <si>
    <t>Peak</t>
  </si>
  <si>
    <t>DD</t>
  </si>
  <si>
    <t>%DD</t>
  </si>
  <si>
    <t>Lowest NAV</t>
  </si>
  <si>
    <t>Actual Live DD</t>
  </si>
  <si>
    <t>Exit Reason</t>
  </si>
  <si>
    <t>BUY</t>
  </si>
  <si>
    <t>EXPIRY</t>
  </si>
  <si>
    <t>FILTER_END</t>
  </si>
  <si>
    <t>SPOT_ADJ_RISE</t>
  </si>
  <si>
    <t xml:space="preserve">  BACKTEST SUMMARY REPORT</t>
  </si>
  <si>
    <t>NIFTY_BUY_PE_ATM_YEARLY_T0_T0_MOM_YT1_Spot_Adjustment_RISE_1000PTS   ·   2019-02-28 → 2026-06-30   ·   Generated: 22 Jul 2026</t>
  </si>
  <si>
    <t xml:space="preserve">  PERFORMANCE OVERVIEW</t>
  </si>
  <si>
    <t>Overall Profit</t>
  </si>
  <si>
    <t>-3.34%</t>
  </si>
  <si>
    <t>No. of Trades</t>
  </si>
  <si>
    <t>Win %</t>
  </si>
  <si>
    <t>37.93%</t>
  </si>
  <si>
    <t>Loss %</t>
  </si>
  <si>
    <t>62.07%</t>
  </si>
  <si>
    <t>Avg Profit on Winners</t>
  </si>
  <si>
    <t>1.15%</t>
  </si>
  <si>
    <t>Avg Loss on Losers</t>
  </si>
  <si>
    <t>-0.80%</t>
  </si>
  <si>
    <t>Avg Profit per Trade</t>
  </si>
  <si>
    <t>-9.83</t>
  </si>
  <si>
    <t>Expectancy Ratio</t>
  </si>
  <si>
    <t>-0.0723</t>
  </si>
  <si>
    <t>Net P/L Avg %</t>
  </si>
  <si>
    <t>-0.0576%</t>
  </si>
  <si>
    <t>Max Profit (Single Trade)</t>
  </si>
  <si>
    <t>₹1,289.00</t>
  </si>
  <si>
    <t>Max Loss (Single Trade)</t>
  </si>
  <si>
    <t>₹-827.30</t>
  </si>
  <si>
    <t>CAGR (Options)</t>
  </si>
  <si>
    <t>-0.12%</t>
  </si>
  <si>
    <t>CAGR (Spot)</t>
  </si>
  <si>
    <t>+10.42%</t>
  </si>
  <si>
    <t>Sum</t>
  </si>
  <si>
    <t>%</t>
  </si>
  <si>
    <t>ROI vs Spot</t>
  </si>
  <si>
    <t>4,911.80</t>
  </si>
  <si>
    <t>+25.18%</t>
  </si>
  <si>
    <t>-0.13%</t>
  </si>
  <si>
    <t>-569.90</t>
  </si>
  <si>
    <t xml:space="preserve">  RISK METRICS</t>
  </si>
  <si>
    <t>Max Drawdown</t>
  </si>
  <si>
    <t>-6.96%</t>
  </si>
  <si>
    <t>Max DD Days</t>
  </si>
  <si>
    <t>154</t>
  </si>
  <si>
    <t>Drawdown Period:  2023-10-26  →  2024-03-28</t>
  </si>
  <si>
    <t>Return / MaxDD</t>
  </si>
  <si>
    <t>-0.0002</t>
  </si>
  <si>
    <t xml:space="preserve">  CONSISTENCY &amp; STREAKS</t>
  </si>
  <si>
    <t>Max Win Streak</t>
  </si>
  <si>
    <t>4 trades</t>
  </si>
  <si>
    <t>Max Losing Streak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</si>
  <si>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</si>
  <si>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</si>
  <si>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</si>
  <si>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</si>
  <si>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</si>
  <si>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</si>
  <si>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</si>
  <si>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</si>
  <si>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</si>
  <si>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</si>
  <si>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</si>
  <si>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</si>
  <si>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</si>
  <si>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</si>
  <si>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</si>
  <si>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</si>
  <si>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</si>
  <si>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</si>
  <si>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</si>
  <si>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</si>
  <si>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</si>
  <si>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</si>
  <si>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</si>
  <si>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</si>
  <si>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</si>
  <si>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</si>
  <si>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</si>
  <si>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-7.00%</t>
  </si>
  <si>
    <t>Avg Actual Live DD</t>
  </si>
  <si>
    <t>-2.89%</t>
  </si>
  <si>
    <t>Avg Final MAE</t>
  </si>
  <si>
    <t>-0.78%</t>
  </si>
  <si>
    <t>CAR/MDD (Booked)</t>
  </si>
  <si>
    <t>CAR/MDD Live</t>
  </si>
  <si>
    <t>+ve Outlier 1</t>
  </si>
  <si>
    <t>+5.07%</t>
  </si>
  <si>
    <t>-ve Outlier 1</t>
  </si>
  <si>
    <t>-4.39%</t>
  </si>
  <si>
    <t>Actual Live DD Without Outlier 1</t>
  </si>
  <si>
    <t>-6.08%</t>
  </si>
  <si>
    <t>Avg Actual Live DD Without Outlier 1</t>
  </si>
  <si>
    <t>-2.40%</t>
  </si>
  <si>
    <t>+ve Outlier 2</t>
  </si>
  <si>
    <t>+9.15%</t>
  </si>
  <si>
    <t>-ve Outlier 2</t>
  </si>
  <si>
    <t>-7.29%</t>
  </si>
  <si>
    <t>Actual Live DD Without Outlier 2</t>
  </si>
  <si>
    <t>-5.99%</t>
  </si>
  <si>
    <t>Avg Actual Live DD Without Outlier 2</t>
  </si>
  <si>
    <t>-2.32%</t>
  </si>
  <si>
    <t>+ve Outlier 3</t>
  </si>
  <si>
    <t>+11.59%</t>
  </si>
  <si>
    <t>-ve Outlier 3</t>
  </si>
  <si>
    <t>-9.22%</t>
  </si>
  <si>
    <t>Actual Live DD Without Outlier 3</t>
  </si>
  <si>
    <t>-4.32%</t>
  </si>
  <si>
    <t>Avg Actual Live DD Without Outlier 3</t>
  </si>
  <si>
    <t>-2.07%</t>
  </si>
  <si>
    <t>CE + PE + P&amp;L % Without Top 1 Outliers</t>
  </si>
  <si>
    <t>-4.02%</t>
  </si>
  <si>
    <t>CE + PE + P&amp;L % Without Top 2 Outliers</t>
  </si>
  <si>
    <t>-5.20%</t>
  </si>
  <si>
    <t>CE + PE + P&amp;L % Without Top 3 Outliers</t>
  </si>
  <si>
    <t>-5.71%</t>
  </si>
  <si>
    <t>Nifty PE</t>
  </si>
  <si>
    <t>Phase wise Distribution</t>
  </si>
  <si>
    <t>Net P&amp;L %</t>
  </si>
  <si>
    <t>Entry</t>
  </si>
  <si>
    <t>Exit</t>
  </si>
  <si>
    <t>CAGR</t>
  </si>
  <si>
    <t>Live DD</t>
  </si>
  <si>
    <t>29-03-2019</t>
  </si>
  <si>
    <t>10-05-2019</t>
  </si>
  <si>
    <t>30-09-2019</t>
  </si>
  <si>
    <t>28-02-2020</t>
  </si>
  <si>
    <t>29-07-2022</t>
  </si>
  <si>
    <t>06-01-2023</t>
  </si>
  <si>
    <t>28-04-2023</t>
  </si>
  <si>
    <t>28-03-2024</t>
  </si>
  <si>
    <t>30-04-2024</t>
  </si>
  <si>
    <t>07-01-2025</t>
  </si>
  <si>
    <t>28-03-2025</t>
  </si>
  <si>
    <t>20-03-2026</t>
  </si>
  <si>
    <t>30-04-2026</t>
  </si>
  <si>
    <t>30-06-2026</t>
  </si>
  <si>
    <t>NIFTY_BUY_PE_ATM_YEARLY_T0_T0_MOM_YT1_Spot_Adjustment_RISE_1000PTS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</si>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</sst>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yy"/>
    <numFmt numFmtId="166" formatCode="#,##0.0000"/>
    <numFmt numFmtId="167" formatCode="0.00&quot;%&quot;"/>
    <numFmt numFmtId="168" formatCode="0.0000"/>
  </numFmts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C0392B"/>
      <name val="Calibri"/>
    </font>
    <font>
      <b/>
      <sz val="10"/>
      <color rgb="FF1E7E34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C0392B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b/>
      <sz val="9"/>
      <color rgb="FF1F3864"/>
      <name val="Calibri"/>
    </font>
    <font>
      <sz val="7"/>
      <color rgb="FF000000"/>
      <name val="Calibri"/>
    </font>
    <font>
      <sz val="7"/>
      <color rgb="FFC0392B"/>
      <name val="Calibri"/>
    </font>
    <font>
      <sz val="7"/>
      <color rgb="FF1E7E34"/>
      <name val="Calibri"/>
    </font>
    <font>
      <sz val="9"/>
      <color rgb="FFC0392B"/>
      <name val="Calibri"/>
    </font>
    <font>
      <sz val="9"/>
      <color rgb="FF1E7E34"/>
      <name val="Calibri"/>
    </font>
    <font>
      <b/>
      <sz val="8"/>
      <color rgb="FFFFFFFF"/>
      <name val="Calibri"/>
    </font>
    <font>
      <b/>
      <sz val="14"/>
      <color rgb="FFFFFFFF"/>
      <name val="Calibri"/>
    </font>
    <font>
      <sz val="10"/>
      <color rgb="FF1A1A2E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</fills>
  <borders count="1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FF47\Downloads\NIFTY_BUY_PE_ATM_YEARLY_T0_T0_MOM_YT1_patchwise%20(3).xlsx" TargetMode="External"/><Relationship Id="rId1" Type="http://schemas.openxmlformats.org/officeDocument/2006/relationships/externalLinkPath" Target="file:///C:\Users\AFF47\Downloads\NIFTY_BUY_PE_ATM_YEARLY_T0_T0_MOM_YT1_patchwise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les"/>
      <sheetName val="Trade Sheet"/>
      <sheetName val="Summary"/>
      <sheetName val="Patch wise"/>
      <sheetName val="WOW &amp; MOM Summary"/>
    </sheetNames>
    <sheetDataSet>
      <sheetData sheetId="0"/>
      <sheetData sheetId="1">
        <row r="2">
          <cell r="D2">
            <v>43553</v>
          </cell>
        </row>
        <row r="3">
          <cell r="D3">
            <v>43580</v>
          </cell>
        </row>
        <row r="4">
          <cell r="D4">
            <v>43738</v>
          </cell>
        </row>
        <row r="5">
          <cell r="D5">
            <v>43769</v>
          </cell>
        </row>
        <row r="6">
          <cell r="D6">
            <v>43797</v>
          </cell>
        </row>
        <row r="7">
          <cell r="D7">
            <v>43825</v>
          </cell>
        </row>
        <row r="8">
          <cell r="D8">
            <v>43860</v>
          </cell>
        </row>
        <row r="9">
          <cell r="D9">
            <v>43888</v>
          </cell>
        </row>
        <row r="10">
          <cell r="D10">
            <v>44771</v>
          </cell>
        </row>
        <row r="11">
          <cell r="D11">
            <v>44798</v>
          </cell>
        </row>
        <row r="12">
          <cell r="D12">
            <v>44833</v>
          </cell>
        </row>
        <row r="13">
          <cell r="D13">
            <v>44861</v>
          </cell>
        </row>
        <row r="14">
          <cell r="D14">
            <v>44872</v>
          </cell>
        </row>
        <row r="15">
          <cell r="D15">
            <v>44889</v>
          </cell>
        </row>
        <row r="16">
          <cell r="D16">
            <v>44924</v>
          </cell>
        </row>
        <row r="17">
          <cell r="D17">
            <v>45044</v>
          </cell>
        </row>
        <row r="18">
          <cell r="D18">
            <v>45071</v>
          </cell>
        </row>
        <row r="19">
          <cell r="D19">
            <v>45105</v>
          </cell>
        </row>
        <row r="20">
          <cell r="D20">
            <v>45113</v>
          </cell>
        </row>
        <row r="21">
          <cell r="D21">
            <v>45134</v>
          </cell>
        </row>
        <row r="22">
          <cell r="D22">
            <v>45169</v>
          </cell>
        </row>
        <row r="23">
          <cell r="D23">
            <v>45197</v>
          </cell>
        </row>
        <row r="24">
          <cell r="D24">
            <v>45225</v>
          </cell>
        </row>
        <row r="25">
          <cell r="D25">
            <v>45260</v>
          </cell>
        </row>
        <row r="26">
          <cell r="D26">
            <v>45274</v>
          </cell>
        </row>
        <row r="27">
          <cell r="D27">
            <v>45288</v>
          </cell>
        </row>
        <row r="28">
          <cell r="D28">
            <v>45316</v>
          </cell>
        </row>
        <row r="29">
          <cell r="D29">
            <v>45342</v>
          </cell>
        </row>
        <row r="30">
          <cell r="D30">
            <v>45351</v>
          </cell>
        </row>
        <row r="31">
          <cell r="D31">
            <v>45412</v>
          </cell>
        </row>
        <row r="32">
          <cell r="D32">
            <v>45442</v>
          </cell>
        </row>
        <row r="33">
          <cell r="D33">
            <v>45446</v>
          </cell>
        </row>
        <row r="34">
          <cell r="D34">
            <v>45470</v>
          </cell>
        </row>
        <row r="35">
          <cell r="D35">
            <v>45476</v>
          </cell>
        </row>
        <row r="36">
          <cell r="D36">
            <v>45498</v>
          </cell>
        </row>
        <row r="37">
          <cell r="D37">
            <v>45533</v>
          </cell>
        </row>
        <row r="38">
          <cell r="D38">
            <v>45547</v>
          </cell>
        </row>
        <row r="39">
          <cell r="D39">
            <v>45561</v>
          </cell>
        </row>
        <row r="40">
          <cell r="D40">
            <v>45596</v>
          </cell>
        </row>
        <row r="41">
          <cell r="D41">
            <v>45624</v>
          </cell>
        </row>
        <row r="42">
          <cell r="D42">
            <v>45652</v>
          </cell>
        </row>
        <row r="43">
          <cell r="D43">
            <v>45744</v>
          </cell>
        </row>
        <row r="44">
          <cell r="D44">
            <v>45771</v>
          </cell>
        </row>
        <row r="45">
          <cell r="D45">
            <v>45789</v>
          </cell>
        </row>
        <row r="46">
          <cell r="D46">
            <v>45806</v>
          </cell>
        </row>
        <row r="47">
          <cell r="D47">
            <v>45834</v>
          </cell>
        </row>
        <row r="48">
          <cell r="D48">
            <v>45869</v>
          </cell>
        </row>
        <row r="49">
          <cell r="D49">
            <v>45897</v>
          </cell>
        </row>
        <row r="50">
          <cell r="D50">
            <v>45930</v>
          </cell>
        </row>
        <row r="51">
          <cell r="D51">
            <v>45957</v>
          </cell>
        </row>
        <row r="52">
          <cell r="D52">
            <v>45958</v>
          </cell>
        </row>
        <row r="53">
          <cell r="D53">
            <v>45986</v>
          </cell>
        </row>
        <row r="54">
          <cell r="D54">
            <v>46021</v>
          </cell>
        </row>
        <row r="55">
          <cell r="D55">
            <v>46049</v>
          </cell>
        </row>
        <row r="56">
          <cell r="D56">
            <v>46077</v>
          </cell>
        </row>
        <row r="57">
          <cell r="D57">
            <v>46142</v>
          </cell>
        </row>
        <row r="58">
          <cell r="D58">
            <v>46168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74" t="s">
        <v>0</v>
      </c>
      <c r="B1" s="73"/>
    </row>
    <row r="2" spans="1:2" ht="20.100000000000001" customHeight="1" x14ac:dyDescent="0.25">
      <c r="A2" s="72" t="s">
        <v>1</v>
      </c>
      <c r="B2" s="73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18" customHeight="1" x14ac:dyDescent="0.25">
      <c r="A13" s="1" t="s">
        <v>22</v>
      </c>
      <c r="B13" s="2" t="s">
        <v>23</v>
      </c>
    </row>
    <row r="14" spans="1:2" ht="18" customHeight="1" x14ac:dyDescent="0.25">
      <c r="A14" s="1" t="s">
        <v>24</v>
      </c>
      <c r="B14" s="2" t="s">
        <v>25</v>
      </c>
    </row>
    <row r="15" spans="1:2" ht="18" customHeight="1" x14ac:dyDescent="0.25">
      <c r="A15" s="1" t="s">
        <v>26</v>
      </c>
      <c r="B15" s="2" t="s">
        <v>27</v>
      </c>
    </row>
    <row r="16" spans="1:2" ht="6" customHeight="1" x14ac:dyDescent="0.25"/>
    <row r="17" spans="1:2" ht="20.100000000000001" customHeight="1" x14ac:dyDescent="0.25">
      <c r="A17" s="72" t="s">
        <v>28</v>
      </c>
      <c r="B17" s="73"/>
    </row>
    <row r="18" spans="1:2" ht="18" customHeight="1" x14ac:dyDescent="0.25">
      <c r="A18" s="1" t="s">
        <v>29</v>
      </c>
      <c r="B18" s="2" t="s">
        <v>30</v>
      </c>
    </row>
    <row r="19" spans="1:2" ht="18" customHeight="1" x14ac:dyDescent="0.25">
      <c r="A19" s="1" t="s">
        <v>31</v>
      </c>
      <c r="B19" s="2" t="s">
        <v>32</v>
      </c>
    </row>
    <row r="20" spans="1:2" ht="18" customHeight="1" x14ac:dyDescent="0.25">
      <c r="A20" s="1" t="s">
        <v>2</v>
      </c>
      <c r="B20" s="2" t="s">
        <v>3</v>
      </c>
    </row>
    <row r="21" spans="1:2" ht="18" customHeight="1" x14ac:dyDescent="0.25">
      <c r="A21" s="1" t="s">
        <v>6</v>
      </c>
      <c r="B21" s="2" t="s">
        <v>7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35</v>
      </c>
      <c r="B23" s="2" t="s">
        <v>36</v>
      </c>
    </row>
    <row r="24" spans="1:2" ht="18" customHeight="1" x14ac:dyDescent="0.25">
      <c r="A24" s="1" t="s">
        <v>37</v>
      </c>
      <c r="B24" s="2" t="s">
        <v>38</v>
      </c>
    </row>
    <row r="25" spans="1:2" ht="18" customHeight="1" x14ac:dyDescent="0.25">
      <c r="A25" s="1" t="s">
        <v>39</v>
      </c>
      <c r="B25" s="2" t="s">
        <v>40</v>
      </c>
    </row>
    <row r="26" spans="1:2" ht="18" customHeight="1" x14ac:dyDescent="0.25">
      <c r="A26" s="1" t="s">
        <v>41</v>
      </c>
      <c r="B26" s="2" t="s">
        <v>42</v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9"/>
  <sheetViews>
    <sheetView tabSelected="1" workbookViewId="0">
      <pane ySplit="1" topLeftCell="A17" activePane="bottomLeft" state="frozen"/>
      <selection pane="bottomLeft" activeCell="K25" sqref="K25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9" width="12" customWidth="1"/>
    <col min="10" max="15" width="10" customWidth="1"/>
    <col min="16" max="17" width="12" customWidth="1"/>
    <col min="18" max="19" width="9" customWidth="1"/>
    <col min="20" max="25" width="10" customWidth="1"/>
    <col min="26" max="26" width="8" customWidth="1"/>
    <col min="27" max="27" width="11" customWidth="1"/>
    <col min="28" max="28" width="10" customWidth="1"/>
    <col min="29" max="29" width="9" customWidth="1"/>
    <col min="30" max="30" width="8" customWidth="1"/>
    <col min="31" max="31" width="13" customWidth="1"/>
    <col min="32" max="32" width="15" customWidth="1"/>
    <col min="33" max="33" width="14" customWidth="1"/>
  </cols>
  <sheetData>
    <row r="1" spans="1:33" ht="21.95" customHeight="1" x14ac:dyDescent="0.25">
      <c r="A1" s="3" t="s">
        <v>43</v>
      </c>
      <c r="B1" s="3" t="s">
        <v>44</v>
      </c>
      <c r="C1" s="3" t="s">
        <v>2</v>
      </c>
      <c r="D1" s="3" t="s">
        <v>45</v>
      </c>
      <c r="E1" s="3" t="s">
        <v>46</v>
      </c>
      <c r="F1" s="3" t="s">
        <v>6</v>
      </c>
      <c r="G1" s="90"/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3" t="s">
        <v>69</v>
      </c>
      <c r="AE1" s="3" t="s">
        <v>70</v>
      </c>
      <c r="AF1" s="3" t="s">
        <v>71</v>
      </c>
      <c r="AG1" s="3" t="s">
        <v>72</v>
      </c>
    </row>
    <row r="2" spans="1:33" ht="18" customHeight="1" x14ac:dyDescent="0.25">
      <c r="A2" s="4">
        <v>1</v>
      </c>
      <c r="B2" s="4">
        <v>1</v>
      </c>
      <c r="C2" s="4">
        <v>1</v>
      </c>
      <c r="D2" s="5">
        <v>43553</v>
      </c>
      <c r="E2" s="5">
        <v>43580</v>
      </c>
      <c r="F2" s="5">
        <v>43825</v>
      </c>
      <c r="G2" s="91">
        <f>VLOOKUP(D2,'[1]Trade Sheet'!$D$2:$D$58,1,0)</f>
        <v>43553</v>
      </c>
      <c r="H2" s="6">
        <v>11623.9</v>
      </c>
      <c r="I2" s="6">
        <v>11641.8</v>
      </c>
      <c r="J2" s="6">
        <v>17.899999999999999</v>
      </c>
      <c r="K2" s="7">
        <v>1.5399306601054719E-3</v>
      </c>
      <c r="L2" s="8" t="s">
        <v>34</v>
      </c>
      <c r="M2" s="4">
        <v>12000</v>
      </c>
      <c r="N2" s="8" t="s">
        <v>73</v>
      </c>
      <c r="O2" s="4">
        <v>65</v>
      </c>
      <c r="P2" s="4">
        <v>623</v>
      </c>
      <c r="Q2" s="6">
        <v>607.9</v>
      </c>
      <c r="R2" s="9">
        <v>-0.8538</v>
      </c>
      <c r="S2" s="9">
        <v>0.63229999999999997</v>
      </c>
      <c r="T2" s="9">
        <v>0.63229999999999997</v>
      </c>
      <c r="U2" s="9">
        <v>-0.8538</v>
      </c>
      <c r="V2" s="9">
        <v>-0.8538</v>
      </c>
      <c r="W2" s="6">
        <v>-15.1</v>
      </c>
      <c r="X2" s="7">
        <v>-1.2990476518208169E-3</v>
      </c>
      <c r="Y2" s="10">
        <v>-15.1</v>
      </c>
      <c r="Z2" s="10">
        <v>-0.12990476518208169</v>
      </c>
      <c r="AA2" s="6">
        <v>99.87009523481791</v>
      </c>
      <c r="AB2" s="4">
        <v>100</v>
      </c>
      <c r="AC2" s="6">
        <v>-0.1299047651820899</v>
      </c>
      <c r="AD2" s="7">
        <v>-1.2990476518208989E-3</v>
      </c>
      <c r="AE2" s="6">
        <v>99.15</v>
      </c>
      <c r="AF2" s="6">
        <v>-0.85</v>
      </c>
      <c r="AG2" s="8" t="s">
        <v>74</v>
      </c>
    </row>
    <row r="3" spans="1:33" ht="18" customHeight="1" x14ac:dyDescent="0.25">
      <c r="A3" s="11">
        <v>2</v>
      </c>
      <c r="B3" s="11">
        <v>1</v>
      </c>
      <c r="C3" s="11">
        <v>2</v>
      </c>
      <c r="D3" s="12">
        <v>43580</v>
      </c>
      <c r="E3" s="12">
        <v>43595</v>
      </c>
      <c r="F3" s="12">
        <v>43825</v>
      </c>
      <c r="G3" s="91">
        <f>VLOOKUP(D3,'[1]Trade Sheet'!$D$2:$D$58,1,0)</f>
        <v>43580</v>
      </c>
      <c r="H3" s="13">
        <v>11641.8</v>
      </c>
      <c r="I3" s="13">
        <v>11278.9</v>
      </c>
      <c r="J3" s="13">
        <v>-362.9</v>
      </c>
      <c r="K3" s="14">
        <v>-3.117215550859833E-2</v>
      </c>
      <c r="L3" s="15" t="s">
        <v>34</v>
      </c>
      <c r="M3" s="11">
        <v>12000</v>
      </c>
      <c r="N3" s="15" t="s">
        <v>73</v>
      </c>
      <c r="O3" s="11">
        <v>65</v>
      </c>
      <c r="P3" s="13">
        <v>607.9</v>
      </c>
      <c r="Q3" s="13">
        <v>784.15</v>
      </c>
      <c r="R3" s="16">
        <v>-0.45440000000000003</v>
      </c>
      <c r="S3" s="16">
        <v>1.736</v>
      </c>
      <c r="T3" s="16">
        <v>1.736</v>
      </c>
      <c r="U3" s="16">
        <v>-0.45440000000000003</v>
      </c>
      <c r="V3" s="16">
        <v>-0.45440000000000003</v>
      </c>
      <c r="W3" s="13">
        <v>176.25</v>
      </c>
      <c r="X3" s="14">
        <v>1.513941143122198E-2</v>
      </c>
      <c r="Y3" s="17">
        <v>176.25</v>
      </c>
      <c r="Z3" s="17">
        <v>1.5139411431221981</v>
      </c>
      <c r="AA3" s="13">
        <v>101.3820696962531</v>
      </c>
      <c r="AB3" s="13">
        <v>101.3820696962531</v>
      </c>
      <c r="AC3" s="11">
        <v>0</v>
      </c>
      <c r="AD3" s="14">
        <v>0</v>
      </c>
      <c r="AE3" s="13">
        <v>99.42</v>
      </c>
      <c r="AF3" s="13">
        <v>-0.57999999999999996</v>
      </c>
      <c r="AG3" s="15" t="s">
        <v>75</v>
      </c>
    </row>
    <row r="4" spans="1:33" ht="18" customHeight="1" x14ac:dyDescent="0.25">
      <c r="A4" s="4">
        <v>3</v>
      </c>
      <c r="B4" s="4">
        <v>1</v>
      </c>
      <c r="C4" s="4">
        <v>3</v>
      </c>
      <c r="D4" s="5">
        <v>43738</v>
      </c>
      <c r="E4" s="5">
        <v>43769</v>
      </c>
      <c r="F4" s="5">
        <v>43825</v>
      </c>
      <c r="G4" s="91">
        <f>VLOOKUP(D4,'[1]Trade Sheet'!$D$2:$D$58,1,0)</f>
        <v>43738</v>
      </c>
      <c r="H4" s="6">
        <v>11474.45</v>
      </c>
      <c r="I4" s="6">
        <v>11877.45</v>
      </c>
      <c r="J4" s="4">
        <v>403</v>
      </c>
      <c r="K4" s="7">
        <v>3.5121509091939042E-2</v>
      </c>
      <c r="L4" s="8" t="s">
        <v>34</v>
      </c>
      <c r="M4" s="4">
        <v>11000</v>
      </c>
      <c r="N4" s="8" t="s">
        <v>73</v>
      </c>
      <c r="O4" s="4">
        <v>65</v>
      </c>
      <c r="P4" s="6">
        <v>127.1</v>
      </c>
      <c r="Q4" s="6">
        <v>64.2</v>
      </c>
      <c r="R4" s="9">
        <v>-0.61439999999999995</v>
      </c>
      <c r="S4" s="9">
        <v>0.99260000000000004</v>
      </c>
      <c r="T4" s="9">
        <v>0.99260000000000004</v>
      </c>
      <c r="U4" s="9">
        <v>-0.61439999999999995</v>
      </c>
      <c r="V4" s="9">
        <v>-0.61439999999999995</v>
      </c>
      <c r="W4" s="6">
        <v>-62.9</v>
      </c>
      <c r="X4" s="7">
        <v>-5.4817442230346552E-3</v>
      </c>
      <c r="Y4" s="10">
        <v>-62.9</v>
      </c>
      <c r="Z4" s="10">
        <v>-0.54817442230346547</v>
      </c>
      <c r="AA4" s="6">
        <v>99.451825577696539</v>
      </c>
      <c r="AB4" s="4">
        <v>100</v>
      </c>
      <c r="AC4" s="6">
        <v>-0.54817442230346103</v>
      </c>
      <c r="AD4" s="7">
        <v>-5.4817442230346101E-3</v>
      </c>
      <c r="AE4" s="6">
        <v>99.39</v>
      </c>
      <c r="AF4" s="6">
        <v>-0.61</v>
      </c>
      <c r="AG4" s="8" t="s">
        <v>74</v>
      </c>
    </row>
    <row r="5" spans="1:33" ht="18" customHeight="1" x14ac:dyDescent="0.25">
      <c r="A5" s="11">
        <v>4</v>
      </c>
      <c r="B5" s="11">
        <v>1</v>
      </c>
      <c r="C5" s="11">
        <v>4</v>
      </c>
      <c r="D5" s="12">
        <v>43769</v>
      </c>
      <c r="E5" s="12">
        <v>43797</v>
      </c>
      <c r="F5" s="12">
        <v>43825</v>
      </c>
      <c r="G5" s="91">
        <f>VLOOKUP(D5,'[1]Trade Sheet'!$D$2:$D$58,1,0)</f>
        <v>43769</v>
      </c>
      <c r="H5" s="13">
        <v>11877.45</v>
      </c>
      <c r="I5" s="13">
        <v>12151.15</v>
      </c>
      <c r="J5" s="13">
        <v>273.7</v>
      </c>
      <c r="K5" s="14">
        <v>2.3043666780327429E-2</v>
      </c>
      <c r="L5" s="15" t="s">
        <v>34</v>
      </c>
      <c r="M5" s="11">
        <v>11000</v>
      </c>
      <c r="N5" s="15" t="s">
        <v>73</v>
      </c>
      <c r="O5" s="11">
        <v>65</v>
      </c>
      <c r="P5" s="13">
        <v>64.2</v>
      </c>
      <c r="Q5" s="13">
        <v>7.85</v>
      </c>
      <c r="R5" s="16">
        <v>-0.47739999999999999</v>
      </c>
      <c r="S5" s="16">
        <v>2.3199999999999998E-2</v>
      </c>
      <c r="T5" s="16">
        <v>2.3199999999999998E-2</v>
      </c>
      <c r="U5" s="16">
        <v>-0.47739999999999999</v>
      </c>
      <c r="V5" s="16">
        <v>-0.47739999999999999</v>
      </c>
      <c r="W5" s="13">
        <v>-56.35</v>
      </c>
      <c r="X5" s="14">
        <v>-4.7442843371262346E-3</v>
      </c>
      <c r="Y5" s="10">
        <v>-56.35</v>
      </c>
      <c r="Z5" s="10">
        <v>-0.47442843371262339</v>
      </c>
      <c r="AA5" s="13">
        <v>98.979997839309661</v>
      </c>
      <c r="AB5" s="11">
        <v>100</v>
      </c>
      <c r="AC5" s="13">
        <v>-1.0200021606903391</v>
      </c>
      <c r="AD5" s="14">
        <v>-1.020002160690339E-2</v>
      </c>
      <c r="AE5" s="13">
        <v>98.98</v>
      </c>
      <c r="AF5" s="13">
        <v>-1.02</v>
      </c>
      <c r="AG5" s="15" t="s">
        <v>74</v>
      </c>
    </row>
    <row r="6" spans="1:33" ht="18" customHeight="1" x14ac:dyDescent="0.25">
      <c r="A6" s="4">
        <v>5</v>
      </c>
      <c r="B6" s="4">
        <v>1</v>
      </c>
      <c r="C6" s="4">
        <v>5</v>
      </c>
      <c r="D6" s="5">
        <v>43797</v>
      </c>
      <c r="E6" s="5">
        <v>43825</v>
      </c>
      <c r="F6" s="5">
        <v>44196</v>
      </c>
      <c r="G6" s="91">
        <f>VLOOKUP(D6,'[1]Trade Sheet'!$D$2:$D$58,1,0)</f>
        <v>43797</v>
      </c>
      <c r="H6" s="6">
        <v>12151.15</v>
      </c>
      <c r="I6" s="6">
        <v>12126.55</v>
      </c>
      <c r="J6" s="6">
        <v>-24.6</v>
      </c>
      <c r="K6" s="7">
        <v>-2.0244997387078591E-3</v>
      </c>
      <c r="L6" s="8" t="s">
        <v>34</v>
      </c>
      <c r="M6" s="4">
        <v>12000</v>
      </c>
      <c r="N6" s="8" t="s">
        <v>73</v>
      </c>
      <c r="O6" s="4">
        <v>65</v>
      </c>
      <c r="P6" s="6">
        <v>459.95</v>
      </c>
      <c r="Q6" s="6">
        <v>402.75</v>
      </c>
      <c r="R6" s="9">
        <v>-0.9143</v>
      </c>
      <c r="S6" s="9">
        <v>0.49419999999999997</v>
      </c>
      <c r="T6" s="9">
        <v>0.49419999999999997</v>
      </c>
      <c r="U6" s="9">
        <v>-0.9143</v>
      </c>
      <c r="V6" s="9">
        <v>-0.9143</v>
      </c>
      <c r="W6" s="6">
        <v>-57.2</v>
      </c>
      <c r="X6" s="7">
        <v>-4.7073733761825018E-3</v>
      </c>
      <c r="Y6" s="10">
        <v>-57.2</v>
      </c>
      <c r="Z6" s="10">
        <v>-0.47073733761825021</v>
      </c>
      <c r="AA6" s="6">
        <v>98.514062032706292</v>
      </c>
      <c r="AB6" s="4">
        <v>100</v>
      </c>
      <c r="AC6" s="6">
        <v>-1.4859379672937081</v>
      </c>
      <c r="AD6" s="7">
        <v>-1.485937967293708E-2</v>
      </c>
      <c r="AE6" s="6">
        <v>98.08</v>
      </c>
      <c r="AF6" s="6">
        <v>-1.92</v>
      </c>
      <c r="AG6" s="8" t="s">
        <v>74</v>
      </c>
    </row>
    <row r="7" spans="1:33" ht="18" customHeight="1" x14ac:dyDescent="0.25">
      <c r="A7" s="11">
        <v>6</v>
      </c>
      <c r="B7" s="11">
        <v>1</v>
      </c>
      <c r="C7" s="11">
        <v>6</v>
      </c>
      <c r="D7" s="12">
        <v>43825</v>
      </c>
      <c r="E7" s="12">
        <v>43860</v>
      </c>
      <c r="F7" s="12">
        <v>44196</v>
      </c>
      <c r="G7" s="91">
        <f>VLOOKUP(D7,'[1]Trade Sheet'!$D$2:$D$58,1,0)</f>
        <v>43825</v>
      </c>
      <c r="H7" s="13">
        <v>12126.55</v>
      </c>
      <c r="I7" s="13">
        <v>12035.8</v>
      </c>
      <c r="J7" s="13">
        <v>-90.75</v>
      </c>
      <c r="K7" s="14">
        <v>-7.4835794187134846E-3</v>
      </c>
      <c r="L7" s="15" t="s">
        <v>34</v>
      </c>
      <c r="M7" s="11">
        <v>12000</v>
      </c>
      <c r="N7" s="15" t="s">
        <v>73</v>
      </c>
      <c r="O7" s="11">
        <v>65</v>
      </c>
      <c r="P7" s="13">
        <v>402.75</v>
      </c>
      <c r="Q7" s="13">
        <v>459.75</v>
      </c>
      <c r="R7" s="16">
        <v>-0.55869999999999997</v>
      </c>
      <c r="S7" s="16">
        <v>0.79169999999999996</v>
      </c>
      <c r="T7" s="16">
        <v>0.79169999999999996</v>
      </c>
      <c r="U7" s="16">
        <v>-0.55869999999999997</v>
      </c>
      <c r="V7" s="16">
        <v>-0.55869999999999997</v>
      </c>
      <c r="W7" s="11">
        <v>57</v>
      </c>
      <c r="X7" s="14">
        <v>4.7004300481175614E-3</v>
      </c>
      <c r="Y7" s="18">
        <v>57</v>
      </c>
      <c r="Z7" s="17">
        <v>0.47004300481175598</v>
      </c>
      <c r="AA7" s="13">
        <v>98.977120490046929</v>
      </c>
      <c r="AB7" s="11">
        <v>100</v>
      </c>
      <c r="AC7" s="13">
        <v>-1.022879509953071</v>
      </c>
      <c r="AD7" s="14">
        <v>-1.0228795099530711E-2</v>
      </c>
      <c r="AE7" s="13">
        <v>97.96</v>
      </c>
      <c r="AF7" s="13">
        <v>-2.04</v>
      </c>
      <c r="AG7" s="15" t="s">
        <v>74</v>
      </c>
    </row>
    <row r="8" spans="1:33" ht="18" customHeight="1" x14ac:dyDescent="0.25">
      <c r="A8" s="4">
        <v>7</v>
      </c>
      <c r="B8" s="4">
        <v>1</v>
      </c>
      <c r="C8" s="4">
        <v>7</v>
      </c>
      <c r="D8" s="5">
        <v>43860</v>
      </c>
      <c r="E8" s="5">
        <v>43888</v>
      </c>
      <c r="F8" s="5">
        <v>44196</v>
      </c>
      <c r="G8" s="91">
        <f>VLOOKUP(D8,'[1]Trade Sheet'!$D$2:$D$58,1,0)</f>
        <v>43860</v>
      </c>
      <c r="H8" s="6">
        <v>12035.8</v>
      </c>
      <c r="I8" s="6">
        <v>11633.3</v>
      </c>
      <c r="J8" s="6">
        <v>-402.5</v>
      </c>
      <c r="K8" s="7">
        <v>-3.3441898336629063E-2</v>
      </c>
      <c r="L8" s="8" t="s">
        <v>34</v>
      </c>
      <c r="M8" s="4">
        <v>12000</v>
      </c>
      <c r="N8" s="8" t="s">
        <v>73</v>
      </c>
      <c r="O8" s="4">
        <v>65</v>
      </c>
      <c r="P8" s="6">
        <v>459.75</v>
      </c>
      <c r="Q8" s="6">
        <v>625.95000000000005</v>
      </c>
      <c r="R8" s="9">
        <v>-0.57120000000000004</v>
      </c>
      <c r="S8" s="9">
        <v>1.8466</v>
      </c>
      <c r="T8" s="9">
        <v>1.8466</v>
      </c>
      <c r="U8" s="9">
        <v>-0.57120000000000004</v>
      </c>
      <c r="V8" s="9">
        <v>-0.57120000000000004</v>
      </c>
      <c r="W8" s="6">
        <v>166.2</v>
      </c>
      <c r="X8" s="7">
        <v>1.380880373552236E-2</v>
      </c>
      <c r="Y8" s="17">
        <v>166.2</v>
      </c>
      <c r="Z8" s="17">
        <v>1.3808803735522359</v>
      </c>
      <c r="AA8" s="6">
        <v>100.34387612120111</v>
      </c>
      <c r="AB8" s="6">
        <v>100.34387612120111</v>
      </c>
      <c r="AC8" s="4">
        <v>0</v>
      </c>
      <c r="AD8" s="7">
        <v>0</v>
      </c>
      <c r="AE8" s="6">
        <v>98.41</v>
      </c>
      <c r="AF8" s="6">
        <v>-1.59</v>
      </c>
      <c r="AG8" s="8" t="s">
        <v>74</v>
      </c>
    </row>
    <row r="9" spans="1:33" ht="18" customHeight="1" x14ac:dyDescent="0.25">
      <c r="A9" s="11">
        <v>8</v>
      </c>
      <c r="B9" s="11">
        <v>1</v>
      </c>
      <c r="C9" s="11">
        <v>8</v>
      </c>
      <c r="D9" s="12">
        <v>43888</v>
      </c>
      <c r="E9" s="12">
        <v>43889</v>
      </c>
      <c r="F9" s="12">
        <v>44196</v>
      </c>
      <c r="G9" s="91">
        <f>VLOOKUP(D9,'[1]Trade Sheet'!$D$2:$D$58,1,0)</f>
        <v>43888</v>
      </c>
      <c r="H9" s="13">
        <v>11633.3</v>
      </c>
      <c r="I9" s="13">
        <v>11201.75</v>
      </c>
      <c r="J9" s="13">
        <v>-431.55</v>
      </c>
      <c r="K9" s="14">
        <v>-3.7096094831217293E-2</v>
      </c>
      <c r="L9" s="15" t="s">
        <v>34</v>
      </c>
      <c r="M9" s="11">
        <v>12000</v>
      </c>
      <c r="N9" s="15" t="s">
        <v>73</v>
      </c>
      <c r="O9" s="11">
        <v>65</v>
      </c>
      <c r="P9" s="13">
        <v>625.95000000000005</v>
      </c>
      <c r="Q9" s="13">
        <v>909.9</v>
      </c>
      <c r="R9" s="16">
        <v>1.3672</v>
      </c>
      <c r="S9" s="16">
        <v>2.6566000000000001</v>
      </c>
      <c r="T9" s="16">
        <v>2.6566000000000001</v>
      </c>
      <c r="U9" s="16">
        <v>1.3672</v>
      </c>
      <c r="V9" s="16">
        <v>1.3672</v>
      </c>
      <c r="W9" s="13">
        <v>283.95</v>
      </c>
      <c r="X9" s="14">
        <v>2.4408379393637231E-2</v>
      </c>
      <c r="Y9" s="17">
        <v>283.95</v>
      </c>
      <c r="Z9" s="17">
        <v>2.440837939363723</v>
      </c>
      <c r="AA9" s="13">
        <v>102.79310751939551</v>
      </c>
      <c r="AB9" s="13">
        <v>102.79310751939551</v>
      </c>
      <c r="AC9" s="11">
        <v>0</v>
      </c>
      <c r="AD9" s="14">
        <v>0</v>
      </c>
      <c r="AE9" s="13">
        <v>101.72</v>
      </c>
      <c r="AF9" s="13">
        <v>1.37</v>
      </c>
      <c r="AG9" s="15" t="s">
        <v>75</v>
      </c>
    </row>
    <row r="10" spans="1:33" ht="18" customHeight="1" x14ac:dyDescent="0.25">
      <c r="A10" s="4">
        <v>9</v>
      </c>
      <c r="B10" s="4">
        <v>1</v>
      </c>
      <c r="C10" s="4">
        <v>9</v>
      </c>
      <c r="D10" s="5">
        <v>44771</v>
      </c>
      <c r="E10" s="5">
        <v>44798</v>
      </c>
      <c r="F10" s="5">
        <v>44924</v>
      </c>
      <c r="G10" s="91">
        <f>VLOOKUP(D10,'[1]Trade Sheet'!$D$2:$D$58,1,0)</f>
        <v>44771</v>
      </c>
      <c r="H10" s="6">
        <v>17158.25</v>
      </c>
      <c r="I10" s="6">
        <v>17522.45</v>
      </c>
      <c r="J10" s="6">
        <v>364.2</v>
      </c>
      <c r="K10" s="7">
        <v>2.122594087392362E-2</v>
      </c>
      <c r="L10" s="8" t="s">
        <v>34</v>
      </c>
      <c r="M10" s="4">
        <v>17000</v>
      </c>
      <c r="N10" s="8" t="s">
        <v>73</v>
      </c>
      <c r="O10" s="4">
        <v>65</v>
      </c>
      <c r="P10" s="6">
        <v>564.4</v>
      </c>
      <c r="Q10" s="4">
        <v>474</v>
      </c>
      <c r="R10" s="9">
        <v>-1.3661000000000001</v>
      </c>
      <c r="S10" s="9">
        <v>0.40329999999999999</v>
      </c>
      <c r="T10" s="9">
        <v>0.40329999999999999</v>
      </c>
      <c r="U10" s="9">
        <v>-1.3661000000000001</v>
      </c>
      <c r="V10" s="9">
        <v>-1.3661000000000001</v>
      </c>
      <c r="W10" s="6">
        <v>-90.4</v>
      </c>
      <c r="X10" s="7">
        <v>-5.2686025672781314E-3</v>
      </c>
      <c r="Y10" s="10">
        <v>-90.4</v>
      </c>
      <c r="Z10" s="10">
        <v>-0.52686025672781311</v>
      </c>
      <c r="AA10" s="6">
        <v>99.473139743272185</v>
      </c>
      <c r="AB10" s="4">
        <v>100</v>
      </c>
      <c r="AC10" s="6">
        <v>-0.52686025672781511</v>
      </c>
      <c r="AD10" s="7">
        <v>-5.2686025672781514E-3</v>
      </c>
      <c r="AE10" s="6">
        <v>98.63</v>
      </c>
      <c r="AF10" s="6">
        <v>-1.37</v>
      </c>
      <c r="AG10" s="8" t="s">
        <v>74</v>
      </c>
    </row>
    <row r="11" spans="1:33" ht="18" customHeight="1" x14ac:dyDescent="0.25">
      <c r="A11" s="11">
        <v>10</v>
      </c>
      <c r="B11" s="11">
        <v>1</v>
      </c>
      <c r="C11" s="11">
        <v>10</v>
      </c>
      <c r="D11" s="12">
        <v>44798</v>
      </c>
      <c r="E11" s="12">
        <v>44833</v>
      </c>
      <c r="F11" s="12">
        <v>44924</v>
      </c>
      <c r="G11" s="91">
        <f>VLOOKUP(D11,'[1]Trade Sheet'!$D$2:$D$58,1,0)</f>
        <v>44798</v>
      </c>
      <c r="H11" s="13">
        <v>17522.45</v>
      </c>
      <c r="I11" s="13">
        <v>16818.099999999999</v>
      </c>
      <c r="J11" s="13">
        <v>-704.35</v>
      </c>
      <c r="K11" s="14">
        <v>-4.0197004414337038E-2</v>
      </c>
      <c r="L11" s="15" t="s">
        <v>34</v>
      </c>
      <c r="M11" s="11">
        <v>17000</v>
      </c>
      <c r="N11" s="15" t="s">
        <v>73</v>
      </c>
      <c r="O11" s="11">
        <v>65</v>
      </c>
      <c r="P11" s="11">
        <v>474</v>
      </c>
      <c r="Q11" s="13">
        <v>676.3</v>
      </c>
      <c r="R11" s="16">
        <v>-1.1325000000000001</v>
      </c>
      <c r="S11" s="16">
        <v>1.3468</v>
      </c>
      <c r="T11" s="16">
        <v>1.3468</v>
      </c>
      <c r="U11" s="16">
        <v>-1.1325000000000001</v>
      </c>
      <c r="V11" s="16">
        <v>-1.1325000000000001</v>
      </c>
      <c r="W11" s="13">
        <v>202.3</v>
      </c>
      <c r="X11" s="14">
        <v>1.1545189171605569E-2</v>
      </c>
      <c r="Y11" s="17">
        <v>202.3</v>
      </c>
      <c r="Z11" s="17">
        <v>1.154518917160557</v>
      </c>
      <c r="AA11" s="13">
        <v>100.6215759591018</v>
      </c>
      <c r="AB11" s="13">
        <v>100.6215759591018</v>
      </c>
      <c r="AC11" s="11">
        <v>0</v>
      </c>
      <c r="AD11" s="14">
        <v>0</v>
      </c>
      <c r="AE11" s="13">
        <v>98.35</v>
      </c>
      <c r="AF11" s="13">
        <v>-1.65</v>
      </c>
      <c r="AG11" s="15" t="s">
        <v>74</v>
      </c>
    </row>
    <row r="12" spans="1:33" ht="18" customHeight="1" x14ac:dyDescent="0.25">
      <c r="A12" s="4">
        <v>11</v>
      </c>
      <c r="B12" s="4">
        <v>1</v>
      </c>
      <c r="C12" s="4">
        <v>11</v>
      </c>
      <c r="D12" s="5">
        <v>44833</v>
      </c>
      <c r="E12" s="5">
        <v>44861</v>
      </c>
      <c r="F12" s="5">
        <v>44924</v>
      </c>
      <c r="G12" s="91">
        <f>VLOOKUP(D12,'[1]Trade Sheet'!$D$2:$D$58,1,0)</f>
        <v>44833</v>
      </c>
      <c r="H12" s="6">
        <v>16818.099999999999</v>
      </c>
      <c r="I12" s="6">
        <v>17736.95</v>
      </c>
      <c r="J12" s="6">
        <v>918.85</v>
      </c>
      <c r="K12" s="7">
        <v>5.4634590114222177E-2</v>
      </c>
      <c r="L12" s="8" t="s">
        <v>34</v>
      </c>
      <c r="M12" s="4">
        <v>17000</v>
      </c>
      <c r="N12" s="8" t="s">
        <v>73</v>
      </c>
      <c r="O12" s="4">
        <v>65</v>
      </c>
      <c r="P12" s="6">
        <v>676.3</v>
      </c>
      <c r="Q12" s="6">
        <v>188.75</v>
      </c>
      <c r="R12" s="9">
        <v>-2.9390999999999998</v>
      </c>
      <c r="S12" s="9">
        <v>0.21729999999999999</v>
      </c>
      <c r="T12" s="9">
        <v>0.21729999999999999</v>
      </c>
      <c r="U12" s="9">
        <v>-2.9390999999999998</v>
      </c>
      <c r="V12" s="9">
        <v>-2.9390999999999998</v>
      </c>
      <c r="W12" s="6">
        <v>-487.55</v>
      </c>
      <c r="X12" s="7">
        <v>-2.8989600489948329E-2</v>
      </c>
      <c r="Y12" s="10">
        <v>-487.55</v>
      </c>
      <c r="Z12" s="10">
        <v>-2.8989600489948328</v>
      </c>
      <c r="AA12" s="6">
        <v>97.704596671378468</v>
      </c>
      <c r="AB12" s="6">
        <v>100.6215759591018</v>
      </c>
      <c r="AC12" s="6">
        <v>-2.91697928772335</v>
      </c>
      <c r="AD12" s="7">
        <v>-2.8989600489948319E-2</v>
      </c>
      <c r="AE12" s="6">
        <v>97.66</v>
      </c>
      <c r="AF12" s="6">
        <v>-2.94</v>
      </c>
      <c r="AG12" s="8" t="s">
        <v>74</v>
      </c>
    </row>
    <row r="13" spans="1:33" ht="18" customHeight="1" x14ac:dyDescent="0.25">
      <c r="A13" s="11">
        <v>12</v>
      </c>
      <c r="B13" s="11">
        <v>1</v>
      </c>
      <c r="C13" s="11">
        <v>12</v>
      </c>
      <c r="D13" s="12">
        <v>44861</v>
      </c>
      <c r="E13" s="12">
        <v>44872</v>
      </c>
      <c r="F13" s="12">
        <v>44924</v>
      </c>
      <c r="G13" s="91">
        <f>VLOOKUP(D13,'[1]Trade Sheet'!$D$2:$D$58,1,0)</f>
        <v>44861</v>
      </c>
      <c r="H13" s="13">
        <v>17736.95</v>
      </c>
      <c r="I13" s="13">
        <v>18202.8</v>
      </c>
      <c r="J13" s="13">
        <v>465.85</v>
      </c>
      <c r="K13" s="14">
        <v>2.6264380290861731E-2</v>
      </c>
      <c r="L13" s="15" t="s">
        <v>34</v>
      </c>
      <c r="M13" s="11">
        <v>17000</v>
      </c>
      <c r="N13" s="15" t="s">
        <v>73</v>
      </c>
      <c r="O13" s="11">
        <v>65</v>
      </c>
      <c r="P13" s="13">
        <v>188.75</v>
      </c>
      <c r="Q13" s="13">
        <v>70.95</v>
      </c>
      <c r="R13" s="16">
        <v>-0.67510000000000003</v>
      </c>
      <c r="S13" s="16">
        <v>0.02</v>
      </c>
      <c r="T13" s="16">
        <v>0.02</v>
      </c>
      <c r="U13" s="16">
        <v>-0.67510000000000003</v>
      </c>
      <c r="V13" s="16">
        <v>-0.67510000000000003</v>
      </c>
      <c r="W13" s="13">
        <v>-117.8</v>
      </c>
      <c r="X13" s="14">
        <v>-6.641502625874234E-3</v>
      </c>
      <c r="Y13" s="10">
        <v>-117.8</v>
      </c>
      <c r="Z13" s="10">
        <v>-0.66415026258742338</v>
      </c>
      <c r="AA13" s="13">
        <v>97.055691336025518</v>
      </c>
      <c r="AB13" s="13">
        <v>100.6215759591018</v>
      </c>
      <c r="AC13" s="13">
        <v>-3.5658846230762999</v>
      </c>
      <c r="AD13" s="14">
        <v>-3.543856860804559E-2</v>
      </c>
      <c r="AE13" s="13">
        <v>97.04</v>
      </c>
      <c r="AF13" s="13">
        <v>-3.56</v>
      </c>
      <c r="AG13" s="15" t="s">
        <v>76</v>
      </c>
    </row>
    <row r="14" spans="1:33" ht="18" customHeight="1" x14ac:dyDescent="0.25">
      <c r="A14" s="4">
        <v>13</v>
      </c>
      <c r="B14" s="4">
        <v>1</v>
      </c>
      <c r="C14" s="4">
        <v>13</v>
      </c>
      <c r="D14" s="5">
        <v>44872</v>
      </c>
      <c r="E14" s="5">
        <v>44889</v>
      </c>
      <c r="F14" s="5">
        <v>44924</v>
      </c>
      <c r="G14" s="91">
        <f>VLOOKUP(D14,'[1]Trade Sheet'!$D$2:$D$58,1,0)</f>
        <v>44872</v>
      </c>
      <c r="H14" s="6">
        <v>18202.8</v>
      </c>
      <c r="I14" s="6">
        <v>18484.099999999999</v>
      </c>
      <c r="J14" s="6">
        <v>281.3</v>
      </c>
      <c r="K14" s="7">
        <v>1.54536664688949E-2</v>
      </c>
      <c r="L14" s="8" t="s">
        <v>34</v>
      </c>
      <c r="M14" s="4">
        <v>18000</v>
      </c>
      <c r="N14" s="8" t="s">
        <v>73</v>
      </c>
      <c r="O14" s="4">
        <v>65</v>
      </c>
      <c r="P14" s="6">
        <v>259.60000000000002</v>
      </c>
      <c r="Q14" s="6">
        <v>88.25</v>
      </c>
      <c r="R14" s="9">
        <v>-0.9647</v>
      </c>
      <c r="S14" s="9">
        <v>0.39989999999999998</v>
      </c>
      <c r="T14" s="9">
        <v>0.39989999999999998</v>
      </c>
      <c r="U14" s="9">
        <v>-0.9647</v>
      </c>
      <c r="V14" s="9">
        <v>-0.9647</v>
      </c>
      <c r="W14" s="6">
        <v>-171.35</v>
      </c>
      <c r="X14" s="7">
        <v>-9.4133869514580176E-3</v>
      </c>
      <c r="Y14" s="10">
        <v>-171.35</v>
      </c>
      <c r="Z14" s="10">
        <v>-0.94133869514580171</v>
      </c>
      <c r="AA14" s="6">
        <v>96.14206855763824</v>
      </c>
      <c r="AB14" s="6">
        <v>100.6215759591018</v>
      </c>
      <c r="AC14" s="6">
        <v>-4.4795074014635787</v>
      </c>
      <c r="AD14" s="7">
        <v>-4.4518358600190273E-2</v>
      </c>
      <c r="AE14" s="6">
        <v>96.12</v>
      </c>
      <c r="AF14" s="6">
        <v>-4.47</v>
      </c>
      <c r="AG14" s="8" t="s">
        <v>74</v>
      </c>
    </row>
    <row r="15" spans="1:33" ht="18" customHeight="1" x14ac:dyDescent="0.25">
      <c r="A15" s="11">
        <v>14</v>
      </c>
      <c r="B15" s="11">
        <v>1</v>
      </c>
      <c r="C15" s="11">
        <v>14</v>
      </c>
      <c r="D15" s="12">
        <v>44889</v>
      </c>
      <c r="E15" s="12">
        <v>44924</v>
      </c>
      <c r="F15" s="12">
        <v>45288</v>
      </c>
      <c r="G15" s="91">
        <f>VLOOKUP(D15,'[1]Trade Sheet'!$D$2:$D$58,1,0)</f>
        <v>44889</v>
      </c>
      <c r="H15" s="13">
        <v>18484.099999999999</v>
      </c>
      <c r="I15" s="11">
        <v>18191</v>
      </c>
      <c r="J15" s="13">
        <v>-293.10000000000002</v>
      </c>
      <c r="K15" s="14">
        <v>-1.5856871581521419E-2</v>
      </c>
      <c r="L15" s="15" t="s">
        <v>34</v>
      </c>
      <c r="M15" s="11">
        <v>18000</v>
      </c>
      <c r="N15" s="15" t="s">
        <v>73</v>
      </c>
      <c r="O15" s="11">
        <v>65</v>
      </c>
      <c r="P15" s="13">
        <v>836.15</v>
      </c>
      <c r="Q15" s="13">
        <v>726.65</v>
      </c>
      <c r="R15" s="16">
        <v>-1.7103999999999999</v>
      </c>
      <c r="S15" s="16">
        <v>0.1147</v>
      </c>
      <c r="T15" s="16">
        <v>0.1147</v>
      </c>
      <c r="U15" s="16">
        <v>-1.7103999999999999</v>
      </c>
      <c r="V15" s="16">
        <v>-1.7103999999999999</v>
      </c>
      <c r="W15" s="13">
        <v>-109.5</v>
      </c>
      <c r="X15" s="14">
        <v>-5.9240103656656266E-3</v>
      </c>
      <c r="Y15" s="10">
        <v>-109.5</v>
      </c>
      <c r="Z15" s="10">
        <v>-0.59240103656656262</v>
      </c>
      <c r="AA15" s="13">
        <v>95.572521946926258</v>
      </c>
      <c r="AB15" s="13">
        <v>100.6215759591018</v>
      </c>
      <c r="AC15" s="13">
        <v>-5.04905401217556</v>
      </c>
      <c r="AD15" s="14">
        <v>-5.017864174804592E-2</v>
      </c>
      <c r="AE15" s="13">
        <v>94.5</v>
      </c>
      <c r="AF15" s="13">
        <v>-6.08</v>
      </c>
      <c r="AG15" s="15" t="s">
        <v>74</v>
      </c>
    </row>
    <row r="16" spans="1:33" ht="18" customHeight="1" x14ac:dyDescent="0.25">
      <c r="A16" s="4">
        <v>15</v>
      </c>
      <c r="B16" s="4">
        <v>1</v>
      </c>
      <c r="C16" s="4">
        <v>15</v>
      </c>
      <c r="D16" s="5">
        <v>44924</v>
      </c>
      <c r="E16" s="5">
        <v>44932</v>
      </c>
      <c r="F16" s="5">
        <v>45288</v>
      </c>
      <c r="G16" s="91">
        <f>VLOOKUP(D16,'[1]Trade Sheet'!$D$2:$D$58,1,0)</f>
        <v>44924</v>
      </c>
      <c r="H16" s="4">
        <v>18191</v>
      </c>
      <c r="I16" s="6">
        <v>17859.45</v>
      </c>
      <c r="J16" s="6">
        <v>-331.55</v>
      </c>
      <c r="K16" s="7">
        <v>-1.8226045846847339E-2</v>
      </c>
      <c r="L16" s="8" t="s">
        <v>34</v>
      </c>
      <c r="M16" s="4">
        <v>18000</v>
      </c>
      <c r="N16" s="8" t="s">
        <v>73</v>
      </c>
      <c r="O16" s="4">
        <v>65</v>
      </c>
      <c r="P16" s="6">
        <v>726.65</v>
      </c>
      <c r="Q16" s="6">
        <v>820.75</v>
      </c>
      <c r="R16" s="9">
        <v>-0.25640000000000002</v>
      </c>
      <c r="S16" s="9">
        <v>0.66159999999999997</v>
      </c>
      <c r="T16" s="9">
        <v>0.66159999999999997</v>
      </c>
      <c r="U16" s="9">
        <v>-0.25640000000000002</v>
      </c>
      <c r="V16" s="9">
        <v>-0.25640000000000002</v>
      </c>
      <c r="W16" s="6">
        <v>94.1</v>
      </c>
      <c r="X16" s="7">
        <v>5.1728876917156831E-3</v>
      </c>
      <c r="Y16" s="17">
        <v>94.1</v>
      </c>
      <c r="Z16" s="17">
        <v>0.5172887691715683</v>
      </c>
      <c r="AA16" s="6">
        <v>96.066907869371732</v>
      </c>
      <c r="AB16" s="6">
        <v>100.6215759591018</v>
      </c>
      <c r="AC16" s="6">
        <v>-4.554668089730086</v>
      </c>
      <c r="AD16" s="7">
        <v>-4.5265322534615793E-2</v>
      </c>
      <c r="AE16" s="6">
        <v>95.33</v>
      </c>
      <c r="AF16" s="6">
        <v>-5.26</v>
      </c>
      <c r="AG16" s="8" t="s">
        <v>75</v>
      </c>
    </row>
    <row r="17" spans="1:33" ht="18" customHeight="1" x14ac:dyDescent="0.25">
      <c r="A17" s="11">
        <v>16</v>
      </c>
      <c r="B17" s="11">
        <v>1</v>
      </c>
      <c r="C17" s="11">
        <v>16</v>
      </c>
      <c r="D17" s="12">
        <v>45044</v>
      </c>
      <c r="E17" s="12">
        <v>45071</v>
      </c>
      <c r="F17" s="12">
        <v>45288</v>
      </c>
      <c r="G17" s="91">
        <f>VLOOKUP(D17,'[1]Trade Sheet'!$D$2:$D$58,1,0)</f>
        <v>45044</v>
      </c>
      <c r="H17" s="11">
        <v>18065</v>
      </c>
      <c r="I17" s="13">
        <v>18321.150000000001</v>
      </c>
      <c r="J17" s="13">
        <v>256.14999999999998</v>
      </c>
      <c r="K17" s="14">
        <v>1.417935233877664E-2</v>
      </c>
      <c r="L17" s="15" t="s">
        <v>34</v>
      </c>
      <c r="M17" s="11">
        <v>18000</v>
      </c>
      <c r="N17" s="15" t="s">
        <v>73</v>
      </c>
      <c r="O17" s="11">
        <v>65</v>
      </c>
      <c r="P17" s="13">
        <v>449.05</v>
      </c>
      <c r="Q17" s="13">
        <v>367.8</v>
      </c>
      <c r="R17" s="16">
        <v>-0.4929</v>
      </c>
      <c r="S17" s="16">
        <v>4.5699999999999998E-2</v>
      </c>
      <c r="T17" s="16">
        <v>4.5699999999999998E-2</v>
      </c>
      <c r="U17" s="16">
        <v>-0.4929</v>
      </c>
      <c r="V17" s="16">
        <v>-0.4929</v>
      </c>
      <c r="W17" s="13">
        <v>-81.25</v>
      </c>
      <c r="X17" s="14">
        <v>-4.4976473844450596E-3</v>
      </c>
      <c r="Y17" s="10">
        <v>-81.25</v>
      </c>
      <c r="Z17" s="10">
        <v>-0.44976473844450587</v>
      </c>
      <c r="AA17" s="13">
        <v>99.5502352615555</v>
      </c>
      <c r="AB17" s="11">
        <v>100</v>
      </c>
      <c r="AC17" s="13">
        <v>-0.44976473844450032</v>
      </c>
      <c r="AD17" s="14">
        <v>-4.4976473844450023E-3</v>
      </c>
      <c r="AE17" s="13">
        <v>99.51</v>
      </c>
      <c r="AF17" s="13">
        <v>-0.49</v>
      </c>
      <c r="AG17" s="15" t="s">
        <v>74</v>
      </c>
    </row>
    <row r="18" spans="1:33" ht="18" customHeight="1" x14ac:dyDescent="0.25">
      <c r="A18" s="4">
        <v>17</v>
      </c>
      <c r="B18" s="4">
        <v>1</v>
      </c>
      <c r="C18" s="4">
        <v>17</v>
      </c>
      <c r="D18" s="5">
        <v>45071</v>
      </c>
      <c r="E18" s="5">
        <v>45105</v>
      </c>
      <c r="F18" s="5">
        <v>45288</v>
      </c>
      <c r="G18" s="91">
        <f>VLOOKUP(D18,'[1]Trade Sheet'!$D$2:$D$58,1,0)</f>
        <v>45071</v>
      </c>
      <c r="H18" s="6">
        <v>18321.150000000001</v>
      </c>
      <c r="I18" s="6">
        <v>18972.099999999999</v>
      </c>
      <c r="J18" s="6">
        <v>650.95000000000005</v>
      </c>
      <c r="K18" s="7">
        <v>3.5529974919696637E-2</v>
      </c>
      <c r="L18" s="8" t="s">
        <v>34</v>
      </c>
      <c r="M18" s="4">
        <v>18000</v>
      </c>
      <c r="N18" s="8" t="s">
        <v>73</v>
      </c>
      <c r="O18" s="4">
        <v>65</v>
      </c>
      <c r="P18" s="6">
        <v>367.8</v>
      </c>
      <c r="Q18" s="6">
        <v>214.45</v>
      </c>
      <c r="R18" s="9">
        <v>-0.86650000000000005</v>
      </c>
      <c r="S18" s="9">
        <v>1.7500000000000002E-2</v>
      </c>
      <c r="T18" s="9">
        <v>1.7500000000000002E-2</v>
      </c>
      <c r="U18" s="9">
        <v>-0.86650000000000005</v>
      </c>
      <c r="V18" s="9">
        <v>-0.86650000000000005</v>
      </c>
      <c r="W18" s="6">
        <v>-153.35</v>
      </c>
      <c r="X18" s="7">
        <v>-8.3701077716191383E-3</v>
      </c>
      <c r="Y18" s="10">
        <v>-153.35</v>
      </c>
      <c r="Z18" s="10">
        <v>-0.83701077716191385</v>
      </c>
      <c r="AA18" s="6">
        <v>98.716989063726231</v>
      </c>
      <c r="AB18" s="4">
        <v>100</v>
      </c>
      <c r="AC18" s="6">
        <v>-1.2830109362737689</v>
      </c>
      <c r="AD18" s="7">
        <v>-1.283010936273769E-2</v>
      </c>
      <c r="AE18" s="6">
        <v>98.69</v>
      </c>
      <c r="AF18" s="6">
        <v>-1.31</v>
      </c>
      <c r="AG18" s="8" t="s">
        <v>74</v>
      </c>
    </row>
    <row r="19" spans="1:33" ht="18" customHeight="1" x14ac:dyDescent="0.25">
      <c r="A19" s="11">
        <v>18</v>
      </c>
      <c r="B19" s="11">
        <v>1</v>
      </c>
      <c r="C19" s="11">
        <v>18</v>
      </c>
      <c r="D19" s="12">
        <v>45105</v>
      </c>
      <c r="E19" s="12">
        <v>45107</v>
      </c>
      <c r="F19" s="12">
        <v>45288</v>
      </c>
      <c r="G19" s="91">
        <f>VLOOKUP(D19,'[1]Trade Sheet'!$D$2:$D$58,1,0)</f>
        <v>45105</v>
      </c>
      <c r="H19" s="13">
        <v>18972.099999999999</v>
      </c>
      <c r="I19" s="13">
        <v>19189.05</v>
      </c>
      <c r="J19" s="13">
        <v>216.95</v>
      </c>
      <c r="K19" s="14">
        <v>1.1435212759789379E-2</v>
      </c>
      <c r="L19" s="15" t="s">
        <v>34</v>
      </c>
      <c r="M19" s="11">
        <v>18000</v>
      </c>
      <c r="N19" s="15" t="s">
        <v>73</v>
      </c>
      <c r="O19" s="11">
        <v>65</v>
      </c>
      <c r="P19" s="13">
        <v>214.45</v>
      </c>
      <c r="Q19" s="13">
        <v>188.65</v>
      </c>
      <c r="R19" s="16">
        <v>-0.14729999999999999</v>
      </c>
      <c r="S19" s="16">
        <v>-8.2000000000000007E-3</v>
      </c>
      <c r="T19" s="16">
        <v>-8.2000000000000007E-3</v>
      </c>
      <c r="U19" s="16">
        <v>-0.14729999999999999</v>
      </c>
      <c r="V19" s="16">
        <v>-0.14729999999999999</v>
      </c>
      <c r="W19" s="13">
        <v>-25.8</v>
      </c>
      <c r="X19" s="14">
        <v>-1.3598916303413961E-3</v>
      </c>
      <c r="Y19" s="10">
        <v>-25.8</v>
      </c>
      <c r="Z19" s="10">
        <v>-0.1359891630341396</v>
      </c>
      <c r="AA19" s="13">
        <v>98.582744656525961</v>
      </c>
      <c r="AB19" s="11">
        <v>100</v>
      </c>
      <c r="AC19" s="13">
        <v>-1.4172553434740389</v>
      </c>
      <c r="AD19" s="14">
        <v>-1.417255343474039E-2</v>
      </c>
      <c r="AE19" s="13">
        <v>98.57</v>
      </c>
      <c r="AF19" s="13">
        <v>-1.43</v>
      </c>
      <c r="AG19" s="15" t="s">
        <v>76</v>
      </c>
    </row>
    <row r="20" spans="1:33" ht="18" customHeight="1" x14ac:dyDescent="0.25">
      <c r="A20" s="4">
        <v>19</v>
      </c>
      <c r="B20" s="4">
        <v>1</v>
      </c>
      <c r="C20" s="4">
        <v>19</v>
      </c>
      <c r="D20" s="5">
        <v>45107</v>
      </c>
      <c r="E20" s="5">
        <v>45134</v>
      </c>
      <c r="F20" s="5">
        <v>45288</v>
      </c>
      <c r="G20" s="91" t="e">
        <f>VLOOKUP(D20,'[1]Trade Sheet'!$D$2:$D$58,1,0)</f>
        <v>#N/A</v>
      </c>
      <c r="H20" s="6">
        <v>19189.05</v>
      </c>
      <c r="I20" s="6">
        <v>19659.900000000001</v>
      </c>
      <c r="J20" s="6">
        <v>470.85</v>
      </c>
      <c r="K20" s="7">
        <v>2.4537431503904569E-2</v>
      </c>
      <c r="L20" s="8" t="s">
        <v>34</v>
      </c>
      <c r="M20" s="4">
        <v>19000</v>
      </c>
      <c r="N20" s="8" t="s">
        <v>73</v>
      </c>
      <c r="O20" s="4">
        <v>65</v>
      </c>
      <c r="P20" s="6">
        <v>393.5</v>
      </c>
      <c r="Q20" s="6">
        <v>246.5</v>
      </c>
      <c r="R20" s="9">
        <v>-0.91690000000000005</v>
      </c>
      <c r="S20" s="9">
        <v>-2.87E-2</v>
      </c>
      <c r="T20" s="9">
        <v>-2.87E-2</v>
      </c>
      <c r="U20" s="9">
        <v>-0.91690000000000005</v>
      </c>
      <c r="V20" s="9">
        <v>-0.91690000000000005</v>
      </c>
      <c r="W20" s="4">
        <v>-147</v>
      </c>
      <c r="X20" s="7">
        <v>-7.6606189467430643E-3</v>
      </c>
      <c r="Y20" s="19">
        <v>-147</v>
      </c>
      <c r="Z20" s="10">
        <v>-0.76606189467430641</v>
      </c>
      <c r="AA20" s="6">
        <v>97.827539814988242</v>
      </c>
      <c r="AB20" s="4">
        <v>100</v>
      </c>
      <c r="AC20" s="6">
        <v>-2.172460185011758</v>
      </c>
      <c r="AD20" s="7">
        <v>-2.172460185011758E-2</v>
      </c>
      <c r="AE20" s="6">
        <v>97.68</v>
      </c>
      <c r="AF20" s="6">
        <v>-2.3199999999999998</v>
      </c>
      <c r="AG20" s="8" t="s">
        <v>74</v>
      </c>
    </row>
    <row r="21" spans="1:33" ht="18" customHeight="1" x14ac:dyDescent="0.25">
      <c r="A21" s="11">
        <v>20</v>
      </c>
      <c r="B21" s="11">
        <v>1</v>
      </c>
      <c r="C21" s="11">
        <v>20</v>
      </c>
      <c r="D21" s="12">
        <v>45134</v>
      </c>
      <c r="E21" s="12">
        <v>45169</v>
      </c>
      <c r="F21" s="12">
        <v>45288</v>
      </c>
      <c r="G21" s="91">
        <f>VLOOKUP(D21,'[1]Trade Sheet'!$D$2:$D$58,1,0)</f>
        <v>45134</v>
      </c>
      <c r="H21" s="13">
        <v>19659.900000000001</v>
      </c>
      <c r="I21" s="13">
        <v>19253.8</v>
      </c>
      <c r="J21" s="13">
        <v>-406.1</v>
      </c>
      <c r="K21" s="14">
        <v>-2.0656259696132741E-2</v>
      </c>
      <c r="L21" s="15" t="s">
        <v>34</v>
      </c>
      <c r="M21" s="11">
        <v>19000</v>
      </c>
      <c r="N21" s="15" t="s">
        <v>73</v>
      </c>
      <c r="O21" s="11">
        <v>65</v>
      </c>
      <c r="P21" s="13">
        <v>246.5</v>
      </c>
      <c r="Q21" s="13">
        <v>261.55</v>
      </c>
      <c r="R21" s="16">
        <v>-0.1905</v>
      </c>
      <c r="S21" s="16">
        <v>0.37280000000000002</v>
      </c>
      <c r="T21" s="16">
        <v>0.37280000000000002</v>
      </c>
      <c r="U21" s="16">
        <v>-0.1905</v>
      </c>
      <c r="V21" s="16">
        <v>-0.1905</v>
      </c>
      <c r="W21" s="13">
        <v>15.05</v>
      </c>
      <c r="X21" s="14">
        <v>7.6551762725141016E-4</v>
      </c>
      <c r="Y21" s="17">
        <v>15.05</v>
      </c>
      <c r="Z21" s="17">
        <v>7.6551762725141012E-2</v>
      </c>
      <c r="AA21" s="13">
        <v>97.902428521147257</v>
      </c>
      <c r="AB21" s="11">
        <v>100</v>
      </c>
      <c r="AC21" s="13">
        <v>-2.0975714788527431</v>
      </c>
      <c r="AD21" s="14">
        <v>-2.097571478852743E-2</v>
      </c>
      <c r="AE21" s="13">
        <v>97.64</v>
      </c>
      <c r="AF21" s="13">
        <v>-2.36</v>
      </c>
      <c r="AG21" s="15" t="s">
        <v>74</v>
      </c>
    </row>
    <row r="22" spans="1:33" ht="18" customHeight="1" x14ac:dyDescent="0.25">
      <c r="A22" s="4">
        <v>21</v>
      </c>
      <c r="B22" s="4">
        <v>1</v>
      </c>
      <c r="C22" s="4">
        <v>21</v>
      </c>
      <c r="D22" s="5">
        <v>45169</v>
      </c>
      <c r="E22" s="5">
        <v>45184</v>
      </c>
      <c r="F22" s="5">
        <v>45288</v>
      </c>
      <c r="G22" s="91">
        <f>VLOOKUP(D22,'[1]Trade Sheet'!$D$2:$D$58,1,0)</f>
        <v>45169</v>
      </c>
      <c r="H22" s="6">
        <v>19253.8</v>
      </c>
      <c r="I22" s="6">
        <v>20192.349999999999</v>
      </c>
      <c r="J22" s="6">
        <v>938.55</v>
      </c>
      <c r="K22" s="7">
        <v>4.8746221525101538E-2</v>
      </c>
      <c r="L22" s="8" t="s">
        <v>34</v>
      </c>
      <c r="M22" s="4">
        <v>19000</v>
      </c>
      <c r="N22" s="8" t="s">
        <v>73</v>
      </c>
      <c r="O22" s="4">
        <v>65</v>
      </c>
      <c r="P22" s="6">
        <v>261.55</v>
      </c>
      <c r="Q22" s="6">
        <v>109.05</v>
      </c>
      <c r="R22" s="9">
        <v>-0.8024</v>
      </c>
      <c r="S22" s="9">
        <v>3.8699999999999998E-2</v>
      </c>
      <c r="T22" s="9">
        <v>3.8699999999999998E-2</v>
      </c>
      <c r="U22" s="9">
        <v>-0.8024</v>
      </c>
      <c r="V22" s="9">
        <v>-0.8024</v>
      </c>
      <c r="W22" s="6">
        <v>-152.5</v>
      </c>
      <c r="X22" s="7">
        <v>-7.9205143919641834E-3</v>
      </c>
      <c r="Y22" s="10">
        <v>-152.5</v>
      </c>
      <c r="Z22" s="10">
        <v>-0.79205143919641829</v>
      </c>
      <c r="AA22" s="6">
        <v>97.126990927037269</v>
      </c>
      <c r="AB22" s="4">
        <v>100</v>
      </c>
      <c r="AC22" s="6">
        <v>-2.8730090729627311</v>
      </c>
      <c r="AD22" s="7">
        <v>-2.873009072962731E-2</v>
      </c>
      <c r="AE22" s="6">
        <v>97.12</v>
      </c>
      <c r="AF22" s="6">
        <v>-2.88</v>
      </c>
      <c r="AG22" s="8" t="s">
        <v>76</v>
      </c>
    </row>
    <row r="23" spans="1:33" ht="18" customHeight="1" x14ac:dyDescent="0.25">
      <c r="A23" s="11">
        <v>22</v>
      </c>
      <c r="B23" s="11">
        <v>1</v>
      </c>
      <c r="C23" s="11">
        <v>22</v>
      </c>
      <c r="D23" s="12">
        <v>45184</v>
      </c>
      <c r="E23" s="12">
        <v>45197</v>
      </c>
      <c r="F23" s="12">
        <v>45288</v>
      </c>
      <c r="G23" s="91" t="e">
        <f>VLOOKUP(D23,'[1]Trade Sheet'!$D$2:$D$58,1,0)</f>
        <v>#N/A</v>
      </c>
      <c r="H23" s="13">
        <v>20192.349999999999</v>
      </c>
      <c r="I23" s="13">
        <v>19523.55</v>
      </c>
      <c r="J23" s="13">
        <v>-668.8</v>
      </c>
      <c r="K23" s="14">
        <v>-3.3121454412190762E-2</v>
      </c>
      <c r="L23" s="15" t="s">
        <v>34</v>
      </c>
      <c r="M23" s="11">
        <v>20000</v>
      </c>
      <c r="N23" s="15" t="s">
        <v>73</v>
      </c>
      <c r="O23" s="11">
        <v>65</v>
      </c>
      <c r="P23" s="13">
        <v>261.55</v>
      </c>
      <c r="Q23" s="13">
        <v>516.54999999999995</v>
      </c>
      <c r="R23" s="16">
        <v>4.1799999999999997E-2</v>
      </c>
      <c r="S23" s="16">
        <v>1.3152999999999999</v>
      </c>
      <c r="T23" s="16">
        <v>1.3152999999999999</v>
      </c>
      <c r="U23" s="16">
        <v>4.1799999999999997E-2</v>
      </c>
      <c r="V23" s="16">
        <v>4.1799999999999997E-2</v>
      </c>
      <c r="W23" s="11">
        <v>255</v>
      </c>
      <c r="X23" s="14">
        <v>1.2628544968762921E-2</v>
      </c>
      <c r="Y23" s="18">
        <v>255</v>
      </c>
      <c r="Z23" s="17">
        <v>1.262854496876292</v>
      </c>
      <c r="AA23" s="13">
        <v>98.353563499639989</v>
      </c>
      <c r="AB23" s="11">
        <v>100</v>
      </c>
      <c r="AC23" s="13">
        <v>-1.646436500360011</v>
      </c>
      <c r="AD23" s="14">
        <v>-1.6464365003600111E-2</v>
      </c>
      <c r="AE23" s="13">
        <v>97.17</v>
      </c>
      <c r="AF23" s="13">
        <v>-2.83</v>
      </c>
      <c r="AG23" s="15" t="s">
        <v>74</v>
      </c>
    </row>
    <row r="24" spans="1:33" ht="18" customHeight="1" x14ac:dyDescent="0.25">
      <c r="A24" s="4">
        <v>23</v>
      </c>
      <c r="B24" s="4">
        <v>1</v>
      </c>
      <c r="C24" s="4">
        <v>23</v>
      </c>
      <c r="D24" s="5">
        <v>45197</v>
      </c>
      <c r="E24" s="5">
        <v>45225</v>
      </c>
      <c r="F24" s="5">
        <v>45288</v>
      </c>
      <c r="G24" s="91">
        <f>VLOOKUP(D24,'[1]Trade Sheet'!$D$2:$D$58,1,0)</f>
        <v>45197</v>
      </c>
      <c r="H24" s="6">
        <v>19523.55</v>
      </c>
      <c r="I24" s="6">
        <v>18857.25</v>
      </c>
      <c r="J24" s="6">
        <v>-666.3</v>
      </c>
      <c r="K24" s="7">
        <v>-3.4128014628487142E-2</v>
      </c>
      <c r="L24" s="8" t="s">
        <v>34</v>
      </c>
      <c r="M24" s="4">
        <v>20000</v>
      </c>
      <c r="N24" s="8" t="s">
        <v>73</v>
      </c>
      <c r="O24" s="4">
        <v>65</v>
      </c>
      <c r="P24" s="6">
        <v>516.54999999999995</v>
      </c>
      <c r="Q24" s="6">
        <v>971.95</v>
      </c>
      <c r="R24" s="9">
        <v>-0.95579999999999998</v>
      </c>
      <c r="S24" s="9">
        <v>2.4762</v>
      </c>
      <c r="T24" s="9">
        <v>2.4762</v>
      </c>
      <c r="U24" s="9">
        <v>-0.95579999999999998</v>
      </c>
      <c r="V24" s="9">
        <v>-0.95579999999999998</v>
      </c>
      <c r="W24" s="6">
        <v>455.4</v>
      </c>
      <c r="X24" s="7">
        <v>2.3325675914472519E-2</v>
      </c>
      <c r="Y24" s="17">
        <v>455.4</v>
      </c>
      <c r="Z24" s="17">
        <v>2.3325675914472521</v>
      </c>
      <c r="AA24" s="6">
        <v>100.64772684686611</v>
      </c>
      <c r="AB24" s="6">
        <v>100.64772684686611</v>
      </c>
      <c r="AC24" s="4">
        <v>0</v>
      </c>
      <c r="AD24" s="7">
        <v>0</v>
      </c>
      <c r="AE24" s="6">
        <v>97.41</v>
      </c>
      <c r="AF24" s="6">
        <v>-2.59</v>
      </c>
      <c r="AG24" s="8" t="s">
        <v>74</v>
      </c>
    </row>
    <row r="25" spans="1:33" ht="18" customHeight="1" x14ac:dyDescent="0.25">
      <c r="A25" s="11">
        <v>24</v>
      </c>
      <c r="B25" s="11">
        <v>1</v>
      </c>
      <c r="C25" s="11">
        <v>24</v>
      </c>
      <c r="D25" s="12">
        <v>45225</v>
      </c>
      <c r="E25" s="12">
        <v>45260</v>
      </c>
      <c r="F25" s="12">
        <v>45288</v>
      </c>
      <c r="G25" s="91">
        <f>VLOOKUP(D25,'[1]Trade Sheet'!$D$2:$D$58,1,0)</f>
        <v>45225</v>
      </c>
      <c r="H25" s="13">
        <v>18857.25</v>
      </c>
      <c r="I25" s="13">
        <v>20133.150000000001</v>
      </c>
      <c r="J25" s="13">
        <v>1275.9000000000001</v>
      </c>
      <c r="K25" s="14">
        <v>6.7660979198981827E-2</v>
      </c>
      <c r="L25" s="15" t="s">
        <v>34</v>
      </c>
      <c r="M25" s="11">
        <v>20000</v>
      </c>
      <c r="N25" s="15" t="s">
        <v>73</v>
      </c>
      <c r="O25" s="11">
        <v>65</v>
      </c>
      <c r="P25" s="13">
        <v>971.95</v>
      </c>
      <c r="Q25" s="13">
        <v>144.65</v>
      </c>
      <c r="R25" s="16">
        <v>-4.5035999999999996</v>
      </c>
      <c r="S25" s="16">
        <v>-0.19059999999999999</v>
      </c>
      <c r="T25" s="16">
        <v>-0.19059999999999999</v>
      </c>
      <c r="U25" s="16">
        <v>-4.5035999999999996</v>
      </c>
      <c r="V25" s="16">
        <v>-4.5035999999999996</v>
      </c>
      <c r="W25" s="13">
        <v>-827.3</v>
      </c>
      <c r="X25" s="14">
        <v>-4.3871720425830908E-2</v>
      </c>
      <c r="Y25" s="10">
        <v>-827.3</v>
      </c>
      <c r="Z25" s="10">
        <v>-4.3871720425830896</v>
      </c>
      <c r="AA25" s="13">
        <v>96.232137913144982</v>
      </c>
      <c r="AB25" s="13">
        <v>100.64772684686611</v>
      </c>
      <c r="AC25" s="13">
        <v>-4.4155889337210974</v>
      </c>
      <c r="AD25" s="14">
        <v>-4.3871720425830832E-2</v>
      </c>
      <c r="AE25" s="13">
        <v>96.11</v>
      </c>
      <c r="AF25" s="13">
        <v>-4.51</v>
      </c>
      <c r="AG25" s="15" t="s">
        <v>74</v>
      </c>
    </row>
    <row r="26" spans="1:33" ht="18" customHeight="1" x14ac:dyDescent="0.25">
      <c r="A26" s="4">
        <v>25</v>
      </c>
      <c r="B26" s="4">
        <v>1</v>
      </c>
      <c r="C26" s="4">
        <v>25</v>
      </c>
      <c r="D26" s="5">
        <v>45260</v>
      </c>
      <c r="E26" s="5">
        <v>45275</v>
      </c>
      <c r="F26" s="5">
        <v>45652</v>
      </c>
      <c r="G26" s="91">
        <f>VLOOKUP(D26,'[1]Trade Sheet'!$D$2:$D$58,1,0)</f>
        <v>45260</v>
      </c>
      <c r="H26" s="6">
        <v>20133.150000000001</v>
      </c>
      <c r="I26" s="6">
        <v>21456.65</v>
      </c>
      <c r="J26" s="6">
        <v>1323.5</v>
      </c>
      <c r="K26" s="7">
        <v>6.573735356861693E-2</v>
      </c>
      <c r="L26" s="8" t="s">
        <v>34</v>
      </c>
      <c r="M26" s="4">
        <v>20000</v>
      </c>
      <c r="N26" s="8" t="s">
        <v>73</v>
      </c>
      <c r="O26" s="4">
        <v>65</v>
      </c>
      <c r="P26" s="6">
        <v>632.29999999999995</v>
      </c>
      <c r="Q26" s="6">
        <v>313.05</v>
      </c>
      <c r="R26" s="9">
        <v>-1.6406000000000001</v>
      </c>
      <c r="S26" s="9">
        <v>-1.5E-3</v>
      </c>
      <c r="T26" s="9">
        <v>-1.5E-3</v>
      </c>
      <c r="U26" s="9">
        <v>-1.6406000000000001</v>
      </c>
      <c r="V26" s="9">
        <v>-1.6406000000000001</v>
      </c>
      <c r="W26" s="6">
        <v>-319.25</v>
      </c>
      <c r="X26" s="7">
        <v>-1.5856932472067209E-2</v>
      </c>
      <c r="Y26" s="10">
        <v>-319.25</v>
      </c>
      <c r="Z26" s="10">
        <v>-1.5856932472067209</v>
      </c>
      <c r="AA26" s="6">
        <v>94.706191400613577</v>
      </c>
      <c r="AB26" s="6">
        <v>100.64772684686611</v>
      </c>
      <c r="AC26" s="6">
        <v>-5.9415354462525016</v>
      </c>
      <c r="AD26" s="7">
        <v>-5.9032981989672287E-2</v>
      </c>
      <c r="AE26" s="6">
        <v>94.65</v>
      </c>
      <c r="AF26" s="6">
        <v>-5.96</v>
      </c>
      <c r="AG26" s="8" t="s">
        <v>76</v>
      </c>
    </row>
    <row r="27" spans="1:33" ht="18" customHeight="1" x14ac:dyDescent="0.25">
      <c r="A27" s="11">
        <v>26</v>
      </c>
      <c r="B27" s="11">
        <v>1</v>
      </c>
      <c r="C27" s="11">
        <v>26</v>
      </c>
      <c r="D27" s="12">
        <v>45275</v>
      </c>
      <c r="E27" s="12">
        <v>45288</v>
      </c>
      <c r="F27" s="12">
        <v>45652</v>
      </c>
      <c r="G27" s="91" t="e">
        <f>VLOOKUP(D27,'[1]Trade Sheet'!$D$2:$D$58,1,0)</f>
        <v>#N/A</v>
      </c>
      <c r="H27" s="13">
        <v>21456.65</v>
      </c>
      <c r="I27" s="13">
        <v>21778.7</v>
      </c>
      <c r="J27" s="13">
        <v>322.05</v>
      </c>
      <c r="K27" s="14">
        <v>1.500933277095912E-2</v>
      </c>
      <c r="L27" s="15" t="s">
        <v>34</v>
      </c>
      <c r="M27" s="11">
        <v>21000</v>
      </c>
      <c r="N27" s="15" t="s">
        <v>73</v>
      </c>
      <c r="O27" s="11">
        <v>65</v>
      </c>
      <c r="P27" s="13">
        <v>497.3</v>
      </c>
      <c r="Q27" s="13">
        <v>493.85</v>
      </c>
      <c r="R27" s="16">
        <v>-3.4000000000000002E-2</v>
      </c>
      <c r="S27" s="16">
        <v>0.56210000000000004</v>
      </c>
      <c r="T27" s="16">
        <v>0.56210000000000004</v>
      </c>
      <c r="U27" s="16">
        <v>-3.4000000000000002E-2</v>
      </c>
      <c r="V27" s="16">
        <v>-3.4000000000000002E-2</v>
      </c>
      <c r="W27" s="13">
        <v>-3.45</v>
      </c>
      <c r="X27" s="14">
        <v>-1.6078931240431289E-4</v>
      </c>
      <c r="Y27" s="10">
        <v>-3.45</v>
      </c>
      <c r="Z27" s="10">
        <v>-1.6078931240431291E-2</v>
      </c>
      <c r="AA27" s="13">
        <v>94.69096365721785</v>
      </c>
      <c r="AB27" s="13">
        <v>100.64772684686611</v>
      </c>
      <c r="AC27" s="13">
        <v>-5.9567631896482283</v>
      </c>
      <c r="AD27" s="14">
        <v>-5.9184279429493218E-2</v>
      </c>
      <c r="AE27" s="13">
        <v>94.67</v>
      </c>
      <c r="AF27" s="13">
        <v>-5.94</v>
      </c>
      <c r="AG27" s="15" t="s">
        <v>74</v>
      </c>
    </row>
    <row r="28" spans="1:33" ht="18" customHeight="1" x14ac:dyDescent="0.25">
      <c r="A28" s="4">
        <v>27</v>
      </c>
      <c r="B28" s="4">
        <v>1</v>
      </c>
      <c r="C28" s="4">
        <v>27</v>
      </c>
      <c r="D28" s="5">
        <v>45288</v>
      </c>
      <c r="E28" s="5">
        <v>45316</v>
      </c>
      <c r="F28" s="5">
        <v>45652</v>
      </c>
      <c r="G28" s="91">
        <f>VLOOKUP(D28,'[1]Trade Sheet'!$D$2:$D$58,1,0)</f>
        <v>45288</v>
      </c>
      <c r="H28" s="6">
        <v>21778.7</v>
      </c>
      <c r="I28" s="6">
        <v>21352.6</v>
      </c>
      <c r="J28" s="6">
        <v>-426.1</v>
      </c>
      <c r="K28" s="7">
        <v>-1.9564987809189711E-2</v>
      </c>
      <c r="L28" s="8" t="s">
        <v>34</v>
      </c>
      <c r="M28" s="4">
        <v>21000</v>
      </c>
      <c r="N28" s="8" t="s">
        <v>73</v>
      </c>
      <c r="O28" s="4">
        <v>65</v>
      </c>
      <c r="P28" s="6">
        <v>493.85</v>
      </c>
      <c r="Q28" s="6">
        <v>545.35</v>
      </c>
      <c r="R28" s="9">
        <v>-8.8400000000000006E-2</v>
      </c>
      <c r="S28" s="9">
        <v>0.69430000000000003</v>
      </c>
      <c r="T28" s="9">
        <v>0.69430000000000003</v>
      </c>
      <c r="U28" s="9">
        <v>-8.8400000000000006E-2</v>
      </c>
      <c r="V28" s="9">
        <v>-8.8400000000000006E-2</v>
      </c>
      <c r="W28" s="6">
        <v>51.5</v>
      </c>
      <c r="X28" s="7">
        <v>2.3646957807398972E-3</v>
      </c>
      <c r="Y28" s="17">
        <v>51.5</v>
      </c>
      <c r="Z28" s="17">
        <v>0.23646957807398969</v>
      </c>
      <c r="AA28" s="6">
        <v>94.914878979452268</v>
      </c>
      <c r="AB28" s="6">
        <v>100.64772684686611</v>
      </c>
      <c r="AC28" s="6">
        <v>-5.7328478674138097</v>
      </c>
      <c r="AD28" s="7">
        <v>-5.6959536464606372E-2</v>
      </c>
      <c r="AE28" s="6">
        <v>94.61</v>
      </c>
      <c r="AF28" s="4">
        <v>-6</v>
      </c>
      <c r="AG28" s="8" t="s">
        <v>74</v>
      </c>
    </row>
    <row r="29" spans="1:33" ht="18" customHeight="1" x14ac:dyDescent="0.25">
      <c r="A29" s="11">
        <v>28</v>
      </c>
      <c r="B29" s="11">
        <v>1</v>
      </c>
      <c r="C29" s="11">
        <v>28</v>
      </c>
      <c r="D29" s="12">
        <v>45316</v>
      </c>
      <c r="E29" s="12">
        <v>45351</v>
      </c>
      <c r="F29" s="12">
        <v>45652</v>
      </c>
      <c r="G29" s="91">
        <f>VLOOKUP(D29,'[1]Trade Sheet'!$D$2:$D$58,1,0)</f>
        <v>45316</v>
      </c>
      <c r="H29" s="13">
        <v>21352.6</v>
      </c>
      <c r="I29" s="13">
        <v>21982.799999999999</v>
      </c>
      <c r="J29" s="13">
        <v>630.20000000000005</v>
      </c>
      <c r="K29" s="14">
        <v>2.9513970195667039E-2</v>
      </c>
      <c r="L29" s="15" t="s">
        <v>34</v>
      </c>
      <c r="M29" s="11">
        <v>21000</v>
      </c>
      <c r="N29" s="15" t="s">
        <v>73</v>
      </c>
      <c r="O29" s="11">
        <v>65</v>
      </c>
      <c r="P29" s="13">
        <v>545.35</v>
      </c>
      <c r="Q29" s="13">
        <v>428.8</v>
      </c>
      <c r="R29" s="16">
        <v>-0.75119999999999998</v>
      </c>
      <c r="S29" s="16">
        <v>7.3300000000000004E-2</v>
      </c>
      <c r="T29" s="16">
        <v>7.3300000000000004E-2</v>
      </c>
      <c r="U29" s="16">
        <v>-0.75119999999999998</v>
      </c>
      <c r="V29" s="16">
        <v>-0.75119999999999998</v>
      </c>
      <c r="W29" s="13">
        <v>-116.55</v>
      </c>
      <c r="X29" s="14">
        <v>-5.4583516761424842E-3</v>
      </c>
      <c r="Y29" s="10">
        <v>-116.55</v>
      </c>
      <c r="Z29" s="10">
        <v>-0.54583516761424844</v>
      </c>
      <c r="AA29" s="13">
        <v>94.396800190683919</v>
      </c>
      <c r="AB29" s="13">
        <v>100.64772684686611</v>
      </c>
      <c r="AC29" s="13">
        <v>-6.250926656182159</v>
      </c>
      <c r="AD29" s="14">
        <v>-6.2106982959414921E-2</v>
      </c>
      <c r="AE29" s="13">
        <v>94.2</v>
      </c>
      <c r="AF29" s="13">
        <v>-6.41</v>
      </c>
      <c r="AG29" s="15" t="s">
        <v>74</v>
      </c>
    </row>
    <row r="30" spans="1:33" ht="18" customHeight="1" x14ac:dyDescent="0.25">
      <c r="A30" s="4">
        <v>29</v>
      </c>
      <c r="B30" s="4">
        <v>1</v>
      </c>
      <c r="C30" s="4">
        <v>29</v>
      </c>
      <c r="D30" s="5">
        <v>45351</v>
      </c>
      <c r="E30" s="5">
        <v>45357</v>
      </c>
      <c r="F30" s="5">
        <v>45652</v>
      </c>
      <c r="G30" s="91">
        <f>VLOOKUP(D30,'[1]Trade Sheet'!$D$2:$D$58,1,0)</f>
        <v>45351</v>
      </c>
      <c r="H30" s="6">
        <v>21982.799999999999</v>
      </c>
      <c r="I30" s="6">
        <v>22474.05</v>
      </c>
      <c r="J30" s="6">
        <v>491.25</v>
      </c>
      <c r="K30" s="7">
        <v>2.234701675855669E-2</v>
      </c>
      <c r="L30" s="8" t="s">
        <v>34</v>
      </c>
      <c r="M30" s="4">
        <v>21000</v>
      </c>
      <c r="N30" s="8" t="s">
        <v>73</v>
      </c>
      <c r="O30" s="4">
        <v>65</v>
      </c>
      <c r="P30" s="6">
        <v>428.8</v>
      </c>
      <c r="Q30" s="6">
        <v>336.45</v>
      </c>
      <c r="R30" s="9">
        <v>-0.43120000000000003</v>
      </c>
      <c r="S30" s="9">
        <v>-6.7299999999999999E-2</v>
      </c>
      <c r="T30" s="9">
        <v>-6.7299999999999999E-2</v>
      </c>
      <c r="U30" s="9">
        <v>-0.43120000000000003</v>
      </c>
      <c r="V30" s="9">
        <v>-0.43120000000000003</v>
      </c>
      <c r="W30" s="6">
        <v>-92.35</v>
      </c>
      <c r="X30" s="7">
        <v>-4.201011700056408E-3</v>
      </c>
      <c r="Y30" s="10">
        <v>-92.35</v>
      </c>
      <c r="Z30" s="10">
        <v>-0.42010117000564079</v>
      </c>
      <c r="AA30" s="6">
        <v>94.000238128634976</v>
      </c>
      <c r="AB30" s="6">
        <v>100.64772684686611</v>
      </c>
      <c r="AC30" s="6">
        <v>-6.6474887182311022</v>
      </c>
      <c r="AD30" s="7">
        <v>-6.6047082497403556E-2</v>
      </c>
      <c r="AE30" s="6">
        <v>93.99</v>
      </c>
      <c r="AF30" s="6">
        <v>-6.61</v>
      </c>
      <c r="AG30" s="8" t="s">
        <v>76</v>
      </c>
    </row>
    <row r="31" spans="1:33" ht="18" customHeight="1" x14ac:dyDescent="0.25">
      <c r="A31" s="11">
        <v>30</v>
      </c>
      <c r="B31" s="11">
        <v>1</v>
      </c>
      <c r="C31" s="11">
        <v>30</v>
      </c>
      <c r="D31" s="12">
        <v>45357</v>
      </c>
      <c r="E31" s="12">
        <v>45379</v>
      </c>
      <c r="F31" s="12">
        <v>45652</v>
      </c>
      <c r="G31" s="91" t="e">
        <f>VLOOKUP(D31,'[1]Trade Sheet'!$D$2:$D$58,1,0)</f>
        <v>#N/A</v>
      </c>
      <c r="H31" s="13">
        <v>22474.05</v>
      </c>
      <c r="I31" s="13">
        <v>22326.9</v>
      </c>
      <c r="J31" s="13">
        <v>-147.15</v>
      </c>
      <c r="K31" s="14">
        <v>-6.5475515094075166E-3</v>
      </c>
      <c r="L31" s="15" t="s">
        <v>34</v>
      </c>
      <c r="M31" s="11">
        <v>22000</v>
      </c>
      <c r="N31" s="15" t="s">
        <v>73</v>
      </c>
      <c r="O31" s="11">
        <v>65</v>
      </c>
      <c r="P31" s="13">
        <v>563.15</v>
      </c>
      <c r="Q31" s="13">
        <v>478.05</v>
      </c>
      <c r="R31" s="16">
        <v>-0.4234</v>
      </c>
      <c r="S31" s="16">
        <v>0.439</v>
      </c>
      <c r="T31" s="16">
        <v>0.439</v>
      </c>
      <c r="U31" s="16">
        <v>-0.4234</v>
      </c>
      <c r="V31" s="16">
        <v>-0.4234</v>
      </c>
      <c r="W31" s="13">
        <v>-85.1</v>
      </c>
      <c r="X31" s="14">
        <v>-3.7865894220222881E-3</v>
      </c>
      <c r="Y31" s="10">
        <v>-85.1</v>
      </c>
      <c r="Z31" s="10">
        <v>-0.37865894220222879</v>
      </c>
      <c r="AA31" s="13">
        <v>93.644297821269518</v>
      </c>
      <c r="AB31" s="13">
        <v>100.64772684686611</v>
      </c>
      <c r="AC31" s="13">
        <v>-7.0034290255965601</v>
      </c>
      <c r="AD31" s="14">
        <v>-6.9583578735485666E-2</v>
      </c>
      <c r="AE31" s="13">
        <v>93.6</v>
      </c>
      <c r="AF31" s="11">
        <v>-7</v>
      </c>
      <c r="AG31" s="15" t="s">
        <v>75</v>
      </c>
    </row>
    <row r="32" spans="1:33" ht="18" customHeight="1" x14ac:dyDescent="0.25">
      <c r="A32" s="4">
        <v>31</v>
      </c>
      <c r="B32" s="4">
        <v>1</v>
      </c>
      <c r="C32" s="4">
        <v>31</v>
      </c>
      <c r="D32" s="5">
        <v>45412</v>
      </c>
      <c r="E32" s="5">
        <v>45442</v>
      </c>
      <c r="F32" s="5">
        <v>45652</v>
      </c>
      <c r="G32" s="91">
        <f>VLOOKUP(D32,'[1]Trade Sheet'!$D$2:$D$58,1,0)</f>
        <v>45412</v>
      </c>
      <c r="H32" s="6">
        <v>22604.85</v>
      </c>
      <c r="I32" s="6">
        <v>22488.65</v>
      </c>
      <c r="J32" s="6">
        <v>-116.2</v>
      </c>
      <c r="K32" s="7">
        <v>-5.1404897621528129E-3</v>
      </c>
      <c r="L32" s="8" t="s">
        <v>34</v>
      </c>
      <c r="M32" s="4">
        <v>23000</v>
      </c>
      <c r="N32" s="8" t="s">
        <v>73</v>
      </c>
      <c r="O32" s="4">
        <v>65</v>
      </c>
      <c r="P32" s="4">
        <v>690</v>
      </c>
      <c r="Q32" s="6">
        <v>809.05</v>
      </c>
      <c r="R32" s="9">
        <v>-0.39369999999999999</v>
      </c>
      <c r="S32" s="9">
        <v>1.927</v>
      </c>
      <c r="T32" s="9">
        <v>1.927</v>
      </c>
      <c r="U32" s="9">
        <v>-0.39369999999999999</v>
      </c>
      <c r="V32" s="9">
        <v>-0.39369999999999999</v>
      </c>
      <c r="W32" s="6">
        <v>119.05</v>
      </c>
      <c r="X32" s="7">
        <v>5.2665689000369392E-3</v>
      </c>
      <c r="Y32" s="17">
        <v>119.05</v>
      </c>
      <c r="Z32" s="17">
        <v>0.52665689000369387</v>
      </c>
      <c r="AA32" s="6">
        <v>100.52665689000369</v>
      </c>
      <c r="AB32" s="6">
        <v>100.52665689000369</v>
      </c>
      <c r="AC32" s="4">
        <v>0</v>
      </c>
      <c r="AD32" s="7">
        <v>0</v>
      </c>
      <c r="AE32" s="6">
        <v>99.61</v>
      </c>
      <c r="AF32" s="6">
        <v>-0.39</v>
      </c>
      <c r="AG32" s="8" t="s">
        <v>74</v>
      </c>
    </row>
    <row r="33" spans="1:33" ht="18" customHeight="1" x14ac:dyDescent="0.25">
      <c r="A33" s="11">
        <v>32</v>
      </c>
      <c r="B33" s="11">
        <v>1</v>
      </c>
      <c r="C33" s="11">
        <v>32</v>
      </c>
      <c r="D33" s="12">
        <v>45442</v>
      </c>
      <c r="E33" s="12">
        <v>45468</v>
      </c>
      <c r="F33" s="12">
        <v>45652</v>
      </c>
      <c r="G33" s="91">
        <f>VLOOKUP(D33,'[1]Trade Sheet'!$D$2:$D$58,1,0)</f>
        <v>45442</v>
      </c>
      <c r="H33" s="13">
        <v>22488.65</v>
      </c>
      <c r="I33" s="13">
        <v>23721.3</v>
      </c>
      <c r="J33" s="13">
        <v>1232.6500000000001</v>
      </c>
      <c r="K33" s="14">
        <v>5.4812094100801963E-2</v>
      </c>
      <c r="L33" s="15" t="s">
        <v>34</v>
      </c>
      <c r="M33" s="11">
        <v>23000</v>
      </c>
      <c r="N33" s="15" t="s">
        <v>73</v>
      </c>
      <c r="O33" s="11">
        <v>65</v>
      </c>
      <c r="P33" s="13">
        <v>809.05</v>
      </c>
      <c r="Q33" s="13">
        <v>375.25</v>
      </c>
      <c r="R33" s="16">
        <v>-1.9522999999999999</v>
      </c>
      <c r="S33" s="16">
        <v>2.8094000000000001</v>
      </c>
      <c r="T33" s="16">
        <v>2.8094000000000001</v>
      </c>
      <c r="U33" s="16">
        <v>-1.9522999999999999</v>
      </c>
      <c r="V33" s="16">
        <v>-1.9522999999999999</v>
      </c>
      <c r="W33" s="13">
        <v>-433.8</v>
      </c>
      <c r="X33" s="14">
        <v>-1.92897305974347E-2</v>
      </c>
      <c r="Y33" s="10">
        <v>-433.8</v>
      </c>
      <c r="Z33" s="10">
        <v>-1.92897305974347</v>
      </c>
      <c r="AA33" s="13">
        <v>98.587524760734752</v>
      </c>
      <c r="AB33" s="13">
        <v>100.52665689000369</v>
      </c>
      <c r="AC33" s="13">
        <v>-1.939132129268927</v>
      </c>
      <c r="AD33" s="14">
        <v>-1.9289730597434732E-2</v>
      </c>
      <c r="AE33" s="13">
        <v>98.56</v>
      </c>
      <c r="AF33" s="13">
        <v>-1.96</v>
      </c>
      <c r="AG33" s="15" t="s">
        <v>76</v>
      </c>
    </row>
    <row r="34" spans="1:33" ht="18" customHeight="1" x14ac:dyDescent="0.25">
      <c r="A34" s="4">
        <v>33</v>
      </c>
      <c r="B34" s="4">
        <v>1</v>
      </c>
      <c r="C34" s="4">
        <v>33</v>
      </c>
      <c r="D34" s="5">
        <v>45468</v>
      </c>
      <c r="E34" s="5">
        <v>45470</v>
      </c>
      <c r="F34" s="5">
        <v>45652</v>
      </c>
      <c r="G34" s="91" t="e">
        <f>VLOOKUP(D34,'[1]Trade Sheet'!$D$2:$D$58,1,0)</f>
        <v>#N/A</v>
      </c>
      <c r="H34" s="6">
        <v>23721.3</v>
      </c>
      <c r="I34" s="6">
        <v>24044.5</v>
      </c>
      <c r="J34" s="6">
        <v>323.2</v>
      </c>
      <c r="K34" s="7">
        <v>1.3624885651292299E-2</v>
      </c>
      <c r="L34" s="8" t="s">
        <v>34</v>
      </c>
      <c r="M34" s="4">
        <v>24000</v>
      </c>
      <c r="N34" s="8" t="s">
        <v>73</v>
      </c>
      <c r="O34" s="4">
        <v>65</v>
      </c>
      <c r="P34" s="6">
        <v>660.5</v>
      </c>
      <c r="Q34" s="6">
        <v>584.1</v>
      </c>
      <c r="R34" s="9">
        <v>-0.3604</v>
      </c>
      <c r="S34" s="9">
        <v>5.8599999999999999E-2</v>
      </c>
      <c r="T34" s="9">
        <v>5.8599999999999999E-2</v>
      </c>
      <c r="U34" s="9">
        <v>-0.3604</v>
      </c>
      <c r="V34" s="9">
        <v>-0.3604</v>
      </c>
      <c r="W34" s="6">
        <v>-76.400000000000006</v>
      </c>
      <c r="X34" s="7">
        <v>-3.2207341081643931E-3</v>
      </c>
      <c r="Y34" s="10">
        <v>-76.400000000000006</v>
      </c>
      <c r="Z34" s="10">
        <v>-0.32207341081643931</v>
      </c>
      <c r="AA34" s="6">
        <v>98.270000557098356</v>
      </c>
      <c r="AB34" s="6">
        <v>100.52665689000369</v>
      </c>
      <c r="AC34" s="6">
        <v>-2.256656332905322</v>
      </c>
      <c r="AD34" s="7">
        <v>-2.2448337612326619E-2</v>
      </c>
      <c r="AE34" s="6">
        <v>98.23</v>
      </c>
      <c r="AF34" s="6">
        <v>-2.2799999999999998</v>
      </c>
      <c r="AG34" s="8" t="s">
        <v>74</v>
      </c>
    </row>
    <row r="35" spans="1:33" ht="18" customHeight="1" x14ac:dyDescent="0.25">
      <c r="A35" s="11">
        <v>34</v>
      </c>
      <c r="B35" s="11">
        <v>1</v>
      </c>
      <c r="C35" s="11">
        <v>34</v>
      </c>
      <c r="D35" s="12">
        <v>45470</v>
      </c>
      <c r="E35" s="12">
        <v>45491</v>
      </c>
      <c r="F35" s="12">
        <v>45652</v>
      </c>
      <c r="G35" s="91">
        <f>VLOOKUP(D35,'[1]Trade Sheet'!$D$2:$D$58,1,0)</f>
        <v>45470</v>
      </c>
      <c r="H35" s="13">
        <v>24044.5</v>
      </c>
      <c r="I35" s="13">
        <v>24800.85</v>
      </c>
      <c r="J35" s="13">
        <v>756.35</v>
      </c>
      <c r="K35" s="14">
        <v>3.145625818794319E-2</v>
      </c>
      <c r="L35" s="15" t="s">
        <v>34</v>
      </c>
      <c r="M35" s="11">
        <v>24000</v>
      </c>
      <c r="N35" s="15" t="s">
        <v>73</v>
      </c>
      <c r="O35" s="11">
        <v>65</v>
      </c>
      <c r="P35" s="13">
        <v>584.1</v>
      </c>
      <c r="Q35" s="13">
        <v>404.5</v>
      </c>
      <c r="R35" s="16">
        <v>-0.76519999999999999</v>
      </c>
      <c r="S35" s="16">
        <v>3.7000000000000002E-3</v>
      </c>
      <c r="T35" s="16">
        <v>3.7000000000000002E-3</v>
      </c>
      <c r="U35" s="16">
        <v>-0.76519999999999999</v>
      </c>
      <c r="V35" s="16">
        <v>-0.76519999999999999</v>
      </c>
      <c r="W35" s="13">
        <v>-179.6</v>
      </c>
      <c r="X35" s="14">
        <v>-7.4694836657031747E-3</v>
      </c>
      <c r="Y35" s="10">
        <v>-179.6</v>
      </c>
      <c r="Z35" s="10">
        <v>-0.74694836657031749</v>
      </c>
      <c r="AA35" s="13">
        <v>97.535974393108461</v>
      </c>
      <c r="AB35" s="13">
        <v>100.52665689000369</v>
      </c>
      <c r="AC35" s="13">
        <v>-2.9906824968952179</v>
      </c>
      <c r="AD35" s="14">
        <v>-2.97501437869124E-2</v>
      </c>
      <c r="AE35" s="13">
        <v>97.52</v>
      </c>
      <c r="AF35" s="13">
        <v>-2.99</v>
      </c>
      <c r="AG35" s="15" t="s">
        <v>76</v>
      </c>
    </row>
    <row r="36" spans="1:33" ht="18" customHeight="1" x14ac:dyDescent="0.25">
      <c r="A36" s="4">
        <v>35</v>
      </c>
      <c r="B36" s="4">
        <v>1</v>
      </c>
      <c r="C36" s="4">
        <v>35</v>
      </c>
      <c r="D36" s="5">
        <v>45491</v>
      </c>
      <c r="E36" s="5">
        <v>45498</v>
      </c>
      <c r="F36" s="5">
        <v>45652</v>
      </c>
      <c r="G36" s="91" t="e">
        <f>VLOOKUP(D36,'[1]Trade Sheet'!$D$2:$D$58,1,0)</f>
        <v>#N/A</v>
      </c>
      <c r="H36" s="6">
        <v>24800.85</v>
      </c>
      <c r="I36" s="6">
        <v>24406.1</v>
      </c>
      <c r="J36" s="6">
        <v>-394.75</v>
      </c>
      <c r="K36" s="7">
        <v>-1.5916793174427488E-2</v>
      </c>
      <c r="L36" s="8" t="s">
        <v>34</v>
      </c>
      <c r="M36" s="4">
        <v>25000</v>
      </c>
      <c r="N36" s="8" t="s">
        <v>73</v>
      </c>
      <c r="O36" s="4">
        <v>65</v>
      </c>
      <c r="P36" s="6">
        <v>689.05</v>
      </c>
      <c r="Q36" s="6">
        <v>795.6</v>
      </c>
      <c r="R36" s="9">
        <v>-0.15160000000000001</v>
      </c>
      <c r="S36" s="9">
        <v>1.0522</v>
      </c>
      <c r="T36" s="9">
        <v>1.0522</v>
      </c>
      <c r="U36" s="9">
        <v>-0.15160000000000001</v>
      </c>
      <c r="V36" s="9">
        <v>-0.15160000000000001</v>
      </c>
      <c r="W36" s="6">
        <v>106.55</v>
      </c>
      <c r="X36" s="7">
        <v>4.2962237181386927E-3</v>
      </c>
      <c r="Y36" s="17">
        <v>106.55</v>
      </c>
      <c r="Z36" s="17">
        <v>0.42962237181386931</v>
      </c>
      <c r="AA36" s="6">
        <v>97.955010759667914</v>
      </c>
      <c r="AB36" s="6">
        <v>100.52665689000369</v>
      </c>
      <c r="AC36" s="6">
        <v>-2.5716461303357652</v>
      </c>
      <c r="AD36" s="7">
        <v>-2.5581733342128959E-2</v>
      </c>
      <c r="AE36" s="6">
        <v>97.39</v>
      </c>
      <c r="AF36" s="6">
        <v>-3.12</v>
      </c>
      <c r="AG36" s="8" t="s">
        <v>74</v>
      </c>
    </row>
    <row r="37" spans="1:33" ht="18" customHeight="1" x14ac:dyDescent="0.25">
      <c r="A37" s="11">
        <v>36</v>
      </c>
      <c r="B37" s="11">
        <v>1</v>
      </c>
      <c r="C37" s="11">
        <v>36</v>
      </c>
      <c r="D37" s="12">
        <v>45498</v>
      </c>
      <c r="E37" s="12">
        <v>45533</v>
      </c>
      <c r="F37" s="12">
        <v>45652</v>
      </c>
      <c r="G37" s="91">
        <f>VLOOKUP(D37,'[1]Trade Sheet'!$D$2:$D$58,1,0)</f>
        <v>45498</v>
      </c>
      <c r="H37" s="13">
        <v>24406.1</v>
      </c>
      <c r="I37" s="13">
        <v>25151.95</v>
      </c>
      <c r="J37" s="13">
        <v>745.85</v>
      </c>
      <c r="K37" s="14">
        <v>3.055998295508091E-2</v>
      </c>
      <c r="L37" s="15" t="s">
        <v>34</v>
      </c>
      <c r="M37" s="11">
        <v>25000</v>
      </c>
      <c r="N37" s="15" t="s">
        <v>73</v>
      </c>
      <c r="O37" s="11">
        <v>65</v>
      </c>
      <c r="P37" s="13">
        <v>795.6</v>
      </c>
      <c r="Q37" s="13">
        <v>507.85</v>
      </c>
      <c r="R37" s="16">
        <v>-1.1999</v>
      </c>
      <c r="S37" s="16">
        <v>1.28</v>
      </c>
      <c r="T37" s="16">
        <v>1.28</v>
      </c>
      <c r="U37" s="16">
        <v>-1.1999</v>
      </c>
      <c r="V37" s="16">
        <v>-1.1999</v>
      </c>
      <c r="W37" s="13">
        <v>-287.75</v>
      </c>
      <c r="X37" s="14">
        <v>-1.179008526556885E-2</v>
      </c>
      <c r="Y37" s="10">
        <v>-287.75</v>
      </c>
      <c r="Z37" s="10">
        <v>-1.179008526556885</v>
      </c>
      <c r="AA37" s="13">
        <v>96.800112830621714</v>
      </c>
      <c r="AB37" s="13">
        <v>100.52665689000369</v>
      </c>
      <c r="AC37" s="13">
        <v>-3.7265440593819652</v>
      </c>
      <c r="AD37" s="14">
        <v>-3.7070207790353082E-2</v>
      </c>
      <c r="AE37" s="13">
        <v>96.78</v>
      </c>
      <c r="AF37" s="13">
        <v>-3.73</v>
      </c>
      <c r="AG37" s="15" t="s">
        <v>74</v>
      </c>
    </row>
    <row r="38" spans="1:33" ht="18" customHeight="1" x14ac:dyDescent="0.25">
      <c r="A38" s="4">
        <v>37</v>
      </c>
      <c r="B38" s="4">
        <v>1</v>
      </c>
      <c r="C38" s="4">
        <v>37</v>
      </c>
      <c r="D38" s="5">
        <v>45533</v>
      </c>
      <c r="E38" s="5">
        <v>45558</v>
      </c>
      <c r="F38" s="5">
        <v>45652</v>
      </c>
      <c r="G38" s="91">
        <f>VLOOKUP(D38,'[1]Trade Sheet'!$D$2:$D$58,1,0)</f>
        <v>45533</v>
      </c>
      <c r="H38" s="6">
        <v>25151.95</v>
      </c>
      <c r="I38" s="6">
        <v>25939.05</v>
      </c>
      <c r="J38" s="6">
        <v>787.1</v>
      </c>
      <c r="K38" s="7">
        <v>3.1293796306051808E-2</v>
      </c>
      <c r="L38" s="8" t="s">
        <v>34</v>
      </c>
      <c r="M38" s="4">
        <v>25000</v>
      </c>
      <c r="N38" s="8" t="s">
        <v>73</v>
      </c>
      <c r="O38" s="4">
        <v>65</v>
      </c>
      <c r="P38" s="6">
        <v>507.85</v>
      </c>
      <c r="Q38" s="6">
        <v>305.3</v>
      </c>
      <c r="R38" s="9">
        <v>-0.81820000000000004</v>
      </c>
      <c r="S38" s="9">
        <v>0.51690000000000003</v>
      </c>
      <c r="T38" s="9">
        <v>0.51690000000000003</v>
      </c>
      <c r="U38" s="9">
        <v>-0.81820000000000004</v>
      </c>
      <c r="V38" s="9">
        <v>-0.81820000000000004</v>
      </c>
      <c r="W38" s="6">
        <v>-202.55</v>
      </c>
      <c r="X38" s="7">
        <v>-8.0530535405803523E-3</v>
      </c>
      <c r="Y38" s="10">
        <v>-202.55</v>
      </c>
      <c r="Z38" s="10">
        <v>-0.80530535405803527</v>
      </c>
      <c r="AA38" s="6">
        <v>96.02057633926249</v>
      </c>
      <c r="AB38" s="6">
        <v>100.52665689000369</v>
      </c>
      <c r="AC38" s="6">
        <v>-4.5060805507411894</v>
      </c>
      <c r="AD38" s="7">
        <v>-4.4824732962837351E-2</v>
      </c>
      <c r="AE38" s="6">
        <v>96.01</v>
      </c>
      <c r="AF38" s="6">
        <v>-4.49</v>
      </c>
      <c r="AG38" s="8" t="s">
        <v>76</v>
      </c>
    </row>
    <row r="39" spans="1:33" ht="18" customHeight="1" x14ac:dyDescent="0.25">
      <c r="A39" s="11">
        <v>38</v>
      </c>
      <c r="B39" s="11">
        <v>1</v>
      </c>
      <c r="C39" s="11">
        <v>38</v>
      </c>
      <c r="D39" s="12">
        <v>45558</v>
      </c>
      <c r="E39" s="12">
        <v>45561</v>
      </c>
      <c r="F39" s="12">
        <v>45652</v>
      </c>
      <c r="G39" s="91" t="e">
        <f>VLOOKUP(D39,'[1]Trade Sheet'!$D$2:$D$58,1,0)</f>
        <v>#N/A</v>
      </c>
      <c r="H39" s="13">
        <v>25939.05</v>
      </c>
      <c r="I39" s="13">
        <v>26216.05</v>
      </c>
      <c r="J39" s="11">
        <v>277</v>
      </c>
      <c r="K39" s="14">
        <v>1.0678879912718471E-2</v>
      </c>
      <c r="L39" s="15" t="s">
        <v>34</v>
      </c>
      <c r="M39" s="11">
        <v>26000</v>
      </c>
      <c r="N39" s="15" t="s">
        <v>73</v>
      </c>
      <c r="O39" s="11">
        <v>65</v>
      </c>
      <c r="P39" s="13">
        <v>566.6</v>
      </c>
      <c r="Q39" s="13">
        <v>442.4</v>
      </c>
      <c r="R39" s="16">
        <v>-0.505</v>
      </c>
      <c r="S39" s="16">
        <v>0.1288</v>
      </c>
      <c r="T39" s="16">
        <v>0.1288</v>
      </c>
      <c r="U39" s="16">
        <v>-0.505</v>
      </c>
      <c r="V39" s="16">
        <v>-0.505</v>
      </c>
      <c r="W39" s="13">
        <v>-124.2</v>
      </c>
      <c r="X39" s="14">
        <v>-4.7881475998542743E-3</v>
      </c>
      <c r="Y39" s="10">
        <v>-124.2</v>
      </c>
      <c r="Z39" s="10">
        <v>-0.47881475998542739</v>
      </c>
      <c r="AA39" s="13">
        <v>95.560815647127029</v>
      </c>
      <c r="AB39" s="13">
        <v>100.52665689000369</v>
      </c>
      <c r="AC39" s="13">
        <v>-4.9658412428766496</v>
      </c>
      <c r="AD39" s="14">
        <v>-4.9398253125141477E-2</v>
      </c>
      <c r="AE39" s="13">
        <v>95.54</v>
      </c>
      <c r="AF39" s="13">
        <v>-4.96</v>
      </c>
      <c r="AG39" s="15" t="s">
        <v>74</v>
      </c>
    </row>
    <row r="40" spans="1:33" ht="18" customHeight="1" x14ac:dyDescent="0.25">
      <c r="A40" s="4">
        <v>39</v>
      </c>
      <c r="B40" s="4">
        <v>1</v>
      </c>
      <c r="C40" s="4">
        <v>39</v>
      </c>
      <c r="D40" s="5">
        <v>45561</v>
      </c>
      <c r="E40" s="5">
        <v>45596</v>
      </c>
      <c r="F40" s="5">
        <v>45652</v>
      </c>
      <c r="G40" s="91">
        <f>VLOOKUP(D40,'[1]Trade Sheet'!$D$2:$D$58,1,0)</f>
        <v>45561</v>
      </c>
      <c r="H40" s="6">
        <v>26216.05</v>
      </c>
      <c r="I40" s="6">
        <v>24205.35</v>
      </c>
      <c r="J40" s="6">
        <v>-2010.7</v>
      </c>
      <c r="K40" s="7">
        <v>-7.6697290400346355E-2</v>
      </c>
      <c r="L40" s="8" t="s">
        <v>34</v>
      </c>
      <c r="M40" s="4">
        <v>26000</v>
      </c>
      <c r="N40" s="8" t="s">
        <v>73</v>
      </c>
      <c r="O40" s="4">
        <v>65</v>
      </c>
      <c r="P40" s="6">
        <v>442.4</v>
      </c>
      <c r="Q40" s="6">
        <v>1511.55</v>
      </c>
      <c r="R40" s="9">
        <v>-0.16170000000000001</v>
      </c>
      <c r="S40" s="9">
        <v>4.7</v>
      </c>
      <c r="T40" s="9">
        <v>4.7</v>
      </c>
      <c r="U40" s="9">
        <v>-0.16170000000000001</v>
      </c>
      <c r="V40" s="9">
        <v>-0.16170000000000001</v>
      </c>
      <c r="W40" s="6">
        <v>1069.1500000000001</v>
      </c>
      <c r="X40" s="7">
        <v>4.0782268877271752E-2</v>
      </c>
      <c r="Y40" s="17">
        <v>1069.1500000000001</v>
      </c>
      <c r="Z40" s="17">
        <v>4.0782268877271752</v>
      </c>
      <c r="AA40" s="6">
        <v>99.458002524979548</v>
      </c>
      <c r="AB40" s="6">
        <v>100.52665689000369</v>
      </c>
      <c r="AC40" s="6">
        <v>-1.06865436502413</v>
      </c>
      <c r="AD40" s="7">
        <v>-1.0630557088886911E-2</v>
      </c>
      <c r="AE40" s="6">
        <v>95.41</v>
      </c>
      <c r="AF40" s="6">
        <v>-5.09</v>
      </c>
      <c r="AG40" s="8" t="s">
        <v>74</v>
      </c>
    </row>
    <row r="41" spans="1:33" ht="18" customHeight="1" x14ac:dyDescent="0.25">
      <c r="A41" s="11">
        <v>40</v>
      </c>
      <c r="B41" s="11">
        <v>1</v>
      </c>
      <c r="C41" s="11">
        <v>40</v>
      </c>
      <c r="D41" s="12">
        <v>45596</v>
      </c>
      <c r="E41" s="12">
        <v>45624</v>
      </c>
      <c r="F41" s="12">
        <v>45652</v>
      </c>
      <c r="G41" s="91">
        <f>VLOOKUP(D41,'[1]Trade Sheet'!$D$2:$D$58,1,0)</f>
        <v>45596</v>
      </c>
      <c r="H41" s="13">
        <v>24205.35</v>
      </c>
      <c r="I41" s="13">
        <v>23914.15</v>
      </c>
      <c r="J41" s="13">
        <v>-291.2</v>
      </c>
      <c r="K41" s="14">
        <v>-1.203039823840597E-2</v>
      </c>
      <c r="L41" s="15" t="s">
        <v>34</v>
      </c>
      <c r="M41" s="11">
        <v>26000</v>
      </c>
      <c r="N41" s="15" t="s">
        <v>73</v>
      </c>
      <c r="O41" s="11">
        <v>65</v>
      </c>
      <c r="P41" s="13">
        <v>1511.55</v>
      </c>
      <c r="Q41" s="13">
        <v>1863.95</v>
      </c>
      <c r="R41" s="16">
        <v>-1.1024</v>
      </c>
      <c r="S41" s="16">
        <v>4.2282000000000002</v>
      </c>
      <c r="T41" s="16">
        <v>4.2282000000000002</v>
      </c>
      <c r="U41" s="16">
        <v>-1.1024</v>
      </c>
      <c r="V41" s="16">
        <v>-1.1024</v>
      </c>
      <c r="W41" s="13">
        <v>352.4</v>
      </c>
      <c r="X41" s="14">
        <v>1.4558764901147891E-2</v>
      </c>
      <c r="Y41" s="17">
        <v>352.4</v>
      </c>
      <c r="Z41" s="17">
        <v>1.4558764901147889</v>
      </c>
      <c r="AA41" s="13">
        <v>100.9059882012785</v>
      </c>
      <c r="AB41" s="13">
        <v>100.9059882012785</v>
      </c>
      <c r="AC41" s="11">
        <v>0</v>
      </c>
      <c r="AD41" s="14">
        <v>0</v>
      </c>
      <c r="AE41" s="13">
        <v>98.36</v>
      </c>
      <c r="AF41" s="13">
        <v>-2.16</v>
      </c>
      <c r="AG41" s="15" t="s">
        <v>74</v>
      </c>
    </row>
    <row r="42" spans="1:33" ht="18" customHeight="1" x14ac:dyDescent="0.25">
      <c r="A42" s="4">
        <v>41</v>
      </c>
      <c r="B42" s="4">
        <v>1</v>
      </c>
      <c r="C42" s="4">
        <v>41</v>
      </c>
      <c r="D42" s="5">
        <v>45624</v>
      </c>
      <c r="E42" s="5">
        <v>45652</v>
      </c>
      <c r="F42" s="5">
        <v>46021</v>
      </c>
      <c r="G42" s="91">
        <f>VLOOKUP(D42,'[1]Trade Sheet'!$D$2:$D$58,1,0)</f>
        <v>45624</v>
      </c>
      <c r="H42" s="6">
        <v>23914.15</v>
      </c>
      <c r="I42" s="6">
        <v>23750.2</v>
      </c>
      <c r="J42" s="6">
        <v>-163.95</v>
      </c>
      <c r="K42" s="7">
        <v>-6.8557736737454586E-3</v>
      </c>
      <c r="L42" s="8" t="s">
        <v>34</v>
      </c>
      <c r="M42" s="4">
        <v>26000</v>
      </c>
      <c r="N42" s="8" t="s">
        <v>73</v>
      </c>
      <c r="O42" s="4">
        <v>65</v>
      </c>
      <c r="P42" s="6">
        <v>1395.85</v>
      </c>
      <c r="Q42" s="6">
        <v>1476.8</v>
      </c>
      <c r="R42" s="9">
        <v>-1.4358</v>
      </c>
      <c r="S42" s="9">
        <v>0.85370000000000001</v>
      </c>
      <c r="T42" s="9">
        <v>0.85370000000000001</v>
      </c>
      <c r="U42" s="9">
        <v>-1.4358</v>
      </c>
      <c r="V42" s="9">
        <v>-1.4358</v>
      </c>
      <c r="W42" s="6">
        <v>80.95</v>
      </c>
      <c r="X42" s="7">
        <v>3.3850251838346752E-3</v>
      </c>
      <c r="Y42" s="17">
        <v>80.95</v>
      </c>
      <c r="Z42" s="17">
        <v>0.33850251838346751</v>
      </c>
      <c r="AA42" s="6">
        <v>101.2475575125396</v>
      </c>
      <c r="AB42" s="6">
        <v>101.2475575125396</v>
      </c>
      <c r="AC42" s="4">
        <v>0</v>
      </c>
      <c r="AD42" s="7">
        <v>0</v>
      </c>
      <c r="AE42" s="6">
        <v>99.46</v>
      </c>
      <c r="AF42" s="6">
        <v>-1.43</v>
      </c>
      <c r="AG42" s="8" t="s">
        <v>74</v>
      </c>
    </row>
    <row r="43" spans="1:33" ht="18" customHeight="1" x14ac:dyDescent="0.25">
      <c r="A43" s="11">
        <v>42</v>
      </c>
      <c r="B43" s="11">
        <v>1</v>
      </c>
      <c r="C43" s="11">
        <v>42</v>
      </c>
      <c r="D43" s="12">
        <v>45652</v>
      </c>
      <c r="E43" s="12">
        <v>45664</v>
      </c>
      <c r="F43" s="12">
        <v>46021</v>
      </c>
      <c r="G43" s="91">
        <f>VLOOKUP(D43,'[1]Trade Sheet'!$D$2:$D$58,1,0)</f>
        <v>45652</v>
      </c>
      <c r="H43" s="13">
        <v>23750.2</v>
      </c>
      <c r="I43" s="13">
        <v>23707.9</v>
      </c>
      <c r="J43" s="13">
        <v>-42.3</v>
      </c>
      <c r="K43" s="14">
        <v>-1.7810376333672979E-3</v>
      </c>
      <c r="L43" s="15" t="s">
        <v>34</v>
      </c>
      <c r="M43" s="11">
        <v>26000</v>
      </c>
      <c r="N43" s="15" t="s">
        <v>73</v>
      </c>
      <c r="O43" s="11">
        <v>65</v>
      </c>
      <c r="P43" s="13">
        <v>1476.8</v>
      </c>
      <c r="Q43" s="11">
        <v>1568</v>
      </c>
      <c r="R43" s="16">
        <v>-0.59789999999999999</v>
      </c>
      <c r="S43" s="16">
        <v>0.86609999999999998</v>
      </c>
      <c r="T43" s="16">
        <v>0.86609999999999998</v>
      </c>
      <c r="U43" s="16">
        <v>-0.59789999999999999</v>
      </c>
      <c r="V43" s="16">
        <v>-0.59789999999999999</v>
      </c>
      <c r="W43" s="13">
        <v>91.2</v>
      </c>
      <c r="X43" s="14">
        <v>3.8399676634302028E-3</v>
      </c>
      <c r="Y43" s="17">
        <v>91.2</v>
      </c>
      <c r="Z43" s="17">
        <v>0.38399676634302032</v>
      </c>
      <c r="AA43" s="13">
        <v>101.636344859389</v>
      </c>
      <c r="AB43" s="13">
        <v>101.636344859389</v>
      </c>
      <c r="AC43" s="11">
        <v>0</v>
      </c>
      <c r="AD43" s="14">
        <v>0</v>
      </c>
      <c r="AE43" s="13">
        <v>100.64</v>
      </c>
      <c r="AF43" s="13">
        <v>-0.6</v>
      </c>
      <c r="AG43" s="15" t="s">
        <v>75</v>
      </c>
    </row>
    <row r="44" spans="1:33" ht="18" customHeight="1" x14ac:dyDescent="0.25">
      <c r="A44" s="4">
        <v>43</v>
      </c>
      <c r="B44" s="4">
        <v>1</v>
      </c>
      <c r="C44" s="4">
        <v>43</v>
      </c>
      <c r="D44" s="5">
        <v>45744</v>
      </c>
      <c r="E44" s="5">
        <v>45771</v>
      </c>
      <c r="F44" s="5">
        <v>46021</v>
      </c>
      <c r="G44" s="91">
        <f>VLOOKUP(D44,'[1]Trade Sheet'!$D$2:$D$58,1,0)</f>
        <v>45744</v>
      </c>
      <c r="H44" s="6">
        <v>23519.35</v>
      </c>
      <c r="I44" s="6">
        <v>24246.7</v>
      </c>
      <c r="J44" s="6">
        <v>727.35</v>
      </c>
      <c r="K44" s="7">
        <v>3.092559955951164E-2</v>
      </c>
      <c r="L44" s="8" t="s">
        <v>34</v>
      </c>
      <c r="M44" s="4">
        <v>24000</v>
      </c>
      <c r="N44" s="8" t="s">
        <v>73</v>
      </c>
      <c r="O44" s="4">
        <v>65</v>
      </c>
      <c r="P44" s="6">
        <v>781.2</v>
      </c>
      <c r="Q44" s="6">
        <v>659.05</v>
      </c>
      <c r="R44" s="9">
        <v>-0.70809999999999995</v>
      </c>
      <c r="S44" s="9">
        <v>4.2214</v>
      </c>
      <c r="T44" s="9">
        <v>4.2214</v>
      </c>
      <c r="U44" s="9">
        <v>-0.70809999999999995</v>
      </c>
      <c r="V44" s="9">
        <v>-0.70809999999999995</v>
      </c>
      <c r="W44" s="6">
        <v>-122.15</v>
      </c>
      <c r="X44" s="7">
        <v>-5.1935959114516352E-3</v>
      </c>
      <c r="Y44" s="10">
        <v>-122.15</v>
      </c>
      <c r="Z44" s="10">
        <v>-0.5193595911451635</v>
      </c>
      <c r="AA44" s="6">
        <v>99.480640408854839</v>
      </c>
      <c r="AB44" s="4">
        <v>100</v>
      </c>
      <c r="AC44" s="6">
        <v>-0.51935959114516095</v>
      </c>
      <c r="AD44" s="7">
        <v>-5.1935959114516091E-3</v>
      </c>
      <c r="AE44" s="6">
        <v>99.29</v>
      </c>
      <c r="AF44" s="6">
        <v>-0.71</v>
      </c>
      <c r="AG44" s="8" t="s">
        <v>74</v>
      </c>
    </row>
    <row r="45" spans="1:33" ht="18" customHeight="1" x14ac:dyDescent="0.25">
      <c r="A45" s="11">
        <v>44</v>
      </c>
      <c r="B45" s="11">
        <v>1</v>
      </c>
      <c r="C45" s="11">
        <v>44</v>
      </c>
      <c r="D45" s="12">
        <v>45771</v>
      </c>
      <c r="E45" s="12">
        <v>45789</v>
      </c>
      <c r="F45" s="12">
        <v>46021</v>
      </c>
      <c r="G45" s="91">
        <f>VLOOKUP(D45,'[1]Trade Sheet'!$D$2:$D$58,1,0)</f>
        <v>45771</v>
      </c>
      <c r="H45" s="13">
        <v>24246.7</v>
      </c>
      <c r="I45" s="13">
        <v>24924.7</v>
      </c>
      <c r="J45" s="11">
        <v>678</v>
      </c>
      <c r="K45" s="14">
        <v>2.7962568102051E-2</v>
      </c>
      <c r="L45" s="15" t="s">
        <v>34</v>
      </c>
      <c r="M45" s="11">
        <v>24000</v>
      </c>
      <c r="N45" s="15" t="s">
        <v>73</v>
      </c>
      <c r="O45" s="11">
        <v>65</v>
      </c>
      <c r="P45" s="13">
        <v>659.05</v>
      </c>
      <c r="Q45" s="13">
        <v>505.85</v>
      </c>
      <c r="R45" s="16">
        <v>-0.67659999999999998</v>
      </c>
      <c r="S45" s="16">
        <v>0.751</v>
      </c>
      <c r="T45" s="16">
        <v>0.751</v>
      </c>
      <c r="U45" s="16">
        <v>-0.67659999999999998</v>
      </c>
      <c r="V45" s="16">
        <v>-0.67659999999999998</v>
      </c>
      <c r="W45" s="13">
        <v>-153.19999999999999</v>
      </c>
      <c r="X45" s="14">
        <v>-6.3183855947407273E-3</v>
      </c>
      <c r="Y45" s="10">
        <v>-153.19999999999999</v>
      </c>
      <c r="Z45" s="10">
        <v>-0.63183855947407275</v>
      </c>
      <c r="AA45" s="13">
        <v>98.852083363539947</v>
      </c>
      <c r="AB45" s="11">
        <v>100</v>
      </c>
      <c r="AC45" s="13">
        <v>-1.147916636460053</v>
      </c>
      <c r="AD45" s="14">
        <v>-1.1479166364600529E-2</v>
      </c>
      <c r="AE45" s="13">
        <v>98.81</v>
      </c>
      <c r="AF45" s="13">
        <v>-1.19</v>
      </c>
      <c r="AG45" s="15" t="s">
        <v>76</v>
      </c>
    </row>
    <row r="46" spans="1:33" ht="18" customHeight="1" x14ac:dyDescent="0.25">
      <c r="A46" s="4">
        <v>45</v>
      </c>
      <c r="B46" s="4">
        <v>1</v>
      </c>
      <c r="C46" s="4">
        <v>45</v>
      </c>
      <c r="D46" s="5">
        <v>45789</v>
      </c>
      <c r="E46" s="5">
        <v>45806</v>
      </c>
      <c r="F46" s="5">
        <v>46021</v>
      </c>
      <c r="G46" s="91">
        <f>VLOOKUP(D46,'[1]Trade Sheet'!$D$2:$D$58,1,0)</f>
        <v>45789</v>
      </c>
      <c r="H46" s="6">
        <v>24924.7</v>
      </c>
      <c r="I46" s="6">
        <v>24833.599999999999</v>
      </c>
      <c r="J46" s="6">
        <v>-91.1</v>
      </c>
      <c r="K46" s="7">
        <v>-3.6550088867669419E-3</v>
      </c>
      <c r="L46" s="8" t="s">
        <v>34</v>
      </c>
      <c r="M46" s="4">
        <v>25000</v>
      </c>
      <c r="N46" s="8" t="s">
        <v>73</v>
      </c>
      <c r="O46" s="4">
        <v>65</v>
      </c>
      <c r="P46" s="4">
        <v>745</v>
      </c>
      <c r="Q46" s="6">
        <v>730.6</v>
      </c>
      <c r="R46" s="9">
        <v>-0.3785</v>
      </c>
      <c r="S46" s="9">
        <v>0.42130000000000001</v>
      </c>
      <c r="T46" s="9">
        <v>0.42130000000000001</v>
      </c>
      <c r="U46" s="9">
        <v>-0.3785</v>
      </c>
      <c r="V46" s="9">
        <v>-0.3785</v>
      </c>
      <c r="W46" s="6">
        <v>-14.4</v>
      </c>
      <c r="X46" s="7">
        <v>-5.7774015334186566E-4</v>
      </c>
      <c r="Y46" s="10">
        <v>-14.4</v>
      </c>
      <c r="Z46" s="10">
        <v>-5.7774015334186572E-2</v>
      </c>
      <c r="AA46" s="6">
        <v>98.794972545739327</v>
      </c>
      <c r="AB46" s="4">
        <v>100</v>
      </c>
      <c r="AC46" s="6">
        <v>-1.2050274542606729</v>
      </c>
      <c r="AD46" s="7">
        <v>-1.205027454260673E-2</v>
      </c>
      <c r="AE46" s="6">
        <v>98.48</v>
      </c>
      <c r="AF46" s="6">
        <v>-1.52</v>
      </c>
      <c r="AG46" s="8" t="s">
        <v>74</v>
      </c>
    </row>
    <row r="47" spans="1:33" ht="18" customHeight="1" x14ac:dyDescent="0.25">
      <c r="A47" s="11">
        <v>46</v>
      </c>
      <c r="B47" s="11">
        <v>1</v>
      </c>
      <c r="C47" s="11">
        <v>46</v>
      </c>
      <c r="D47" s="12">
        <v>45806</v>
      </c>
      <c r="E47" s="12">
        <v>45834</v>
      </c>
      <c r="F47" s="12">
        <v>46021</v>
      </c>
      <c r="G47" s="91">
        <f>VLOOKUP(D47,'[1]Trade Sheet'!$D$2:$D$58,1,0)</f>
        <v>45806</v>
      </c>
      <c r="H47" s="13">
        <v>24833.599999999999</v>
      </c>
      <c r="I47" s="11">
        <v>25549</v>
      </c>
      <c r="J47" s="13">
        <v>715.4</v>
      </c>
      <c r="K47" s="14">
        <v>2.880774434636944E-2</v>
      </c>
      <c r="L47" s="15" t="s">
        <v>34</v>
      </c>
      <c r="M47" s="11">
        <v>25000</v>
      </c>
      <c r="N47" s="15" t="s">
        <v>73</v>
      </c>
      <c r="O47" s="11">
        <v>65</v>
      </c>
      <c r="P47" s="13">
        <v>730.6</v>
      </c>
      <c r="Q47" s="13">
        <v>492.85</v>
      </c>
      <c r="R47" s="16">
        <v>-0.98480000000000001</v>
      </c>
      <c r="S47" s="16">
        <v>0.54700000000000004</v>
      </c>
      <c r="T47" s="16">
        <v>0.54700000000000004</v>
      </c>
      <c r="U47" s="16">
        <v>-0.98480000000000001</v>
      </c>
      <c r="V47" s="16">
        <v>-0.98480000000000001</v>
      </c>
      <c r="W47" s="13">
        <v>-237.75</v>
      </c>
      <c r="X47" s="14">
        <v>-9.5737226982797498E-3</v>
      </c>
      <c r="Y47" s="10">
        <v>-237.75</v>
      </c>
      <c r="Z47" s="10">
        <v>-0.95737226982797496</v>
      </c>
      <c r="AA47" s="13">
        <v>97.849136874602266</v>
      </c>
      <c r="AB47" s="11">
        <v>100</v>
      </c>
      <c r="AC47" s="13">
        <v>-2.1508631253977342</v>
      </c>
      <c r="AD47" s="14">
        <v>-2.1508631253977339E-2</v>
      </c>
      <c r="AE47" s="13">
        <v>97.82</v>
      </c>
      <c r="AF47" s="13">
        <v>-2.1800000000000002</v>
      </c>
      <c r="AG47" s="15" t="s">
        <v>74</v>
      </c>
    </row>
    <row r="48" spans="1:33" ht="18" customHeight="1" x14ac:dyDescent="0.25">
      <c r="A48" s="4">
        <v>47</v>
      </c>
      <c r="B48" s="4">
        <v>1</v>
      </c>
      <c r="C48" s="4">
        <v>47</v>
      </c>
      <c r="D48" s="5">
        <v>45834</v>
      </c>
      <c r="E48" s="5">
        <v>45869</v>
      </c>
      <c r="F48" s="5">
        <v>46021</v>
      </c>
      <c r="G48" s="91">
        <f>VLOOKUP(D48,'[1]Trade Sheet'!$D$2:$D$58,1,0)</f>
        <v>45834</v>
      </c>
      <c r="H48" s="4">
        <v>25549</v>
      </c>
      <c r="I48" s="6">
        <v>24768.35</v>
      </c>
      <c r="J48" s="6">
        <v>-780.65</v>
      </c>
      <c r="K48" s="7">
        <v>-3.055501193784492E-2</v>
      </c>
      <c r="L48" s="8" t="s">
        <v>34</v>
      </c>
      <c r="M48" s="4">
        <v>25000</v>
      </c>
      <c r="N48" s="8" t="s">
        <v>73</v>
      </c>
      <c r="O48" s="4">
        <v>65</v>
      </c>
      <c r="P48" s="6">
        <v>492.85</v>
      </c>
      <c r="Q48" s="6">
        <v>549.95000000000005</v>
      </c>
      <c r="R48" s="9">
        <v>-0.39529999999999998</v>
      </c>
      <c r="S48" s="9">
        <v>0.5131</v>
      </c>
      <c r="T48" s="9">
        <v>0.5131</v>
      </c>
      <c r="U48" s="9">
        <v>-0.39529999999999998</v>
      </c>
      <c r="V48" s="9">
        <v>-0.39529999999999998</v>
      </c>
      <c r="W48" s="6">
        <v>57.1</v>
      </c>
      <c r="X48" s="7">
        <v>2.2349211319425419E-3</v>
      </c>
      <c r="Y48" s="17">
        <v>57.1</v>
      </c>
      <c r="Z48" s="17">
        <v>0.22349211319425419</v>
      </c>
      <c r="AA48" s="6">
        <v>98.067821978345648</v>
      </c>
      <c r="AB48" s="4">
        <v>100</v>
      </c>
      <c r="AC48" s="6">
        <v>-1.932178021654352</v>
      </c>
      <c r="AD48" s="7">
        <v>-1.9321780216543519E-2</v>
      </c>
      <c r="AE48" s="6">
        <v>97.46</v>
      </c>
      <c r="AF48" s="6">
        <v>-2.54</v>
      </c>
      <c r="AG48" s="8" t="s">
        <v>74</v>
      </c>
    </row>
    <row r="49" spans="1:33" ht="18" customHeight="1" x14ac:dyDescent="0.25">
      <c r="A49" s="11">
        <v>48</v>
      </c>
      <c r="B49" s="11">
        <v>1</v>
      </c>
      <c r="C49" s="11">
        <v>48</v>
      </c>
      <c r="D49" s="12">
        <v>45869</v>
      </c>
      <c r="E49" s="12">
        <v>45897</v>
      </c>
      <c r="F49" s="12">
        <v>46021</v>
      </c>
      <c r="G49" s="91">
        <f>VLOOKUP(D49,'[1]Trade Sheet'!$D$2:$D$58,1,0)</f>
        <v>45869</v>
      </c>
      <c r="H49" s="13">
        <v>24768.35</v>
      </c>
      <c r="I49" s="13">
        <v>24500.9</v>
      </c>
      <c r="J49" s="13">
        <v>-267.45</v>
      </c>
      <c r="K49" s="14">
        <v>-1.079805477555025E-2</v>
      </c>
      <c r="L49" s="15" t="s">
        <v>34</v>
      </c>
      <c r="M49" s="11">
        <v>25000</v>
      </c>
      <c r="N49" s="15" t="s">
        <v>73</v>
      </c>
      <c r="O49" s="11">
        <v>65</v>
      </c>
      <c r="P49" s="13">
        <v>549.95000000000005</v>
      </c>
      <c r="Q49" s="13">
        <v>647.04999999999995</v>
      </c>
      <c r="R49" s="16">
        <v>-0.57450000000000001</v>
      </c>
      <c r="S49" s="16">
        <v>0.8085</v>
      </c>
      <c r="T49" s="16">
        <v>0.8085</v>
      </c>
      <c r="U49" s="16">
        <v>-0.57450000000000001</v>
      </c>
      <c r="V49" s="16">
        <v>-0.57450000000000001</v>
      </c>
      <c r="W49" s="13">
        <v>97.1</v>
      </c>
      <c r="X49" s="14">
        <v>3.9203257382910044E-3</v>
      </c>
      <c r="Y49" s="17">
        <v>97.1</v>
      </c>
      <c r="Z49" s="17">
        <v>0.39203257382910051</v>
      </c>
      <c r="AA49" s="13">
        <v>98.452279784945489</v>
      </c>
      <c r="AB49" s="11">
        <v>100</v>
      </c>
      <c r="AC49" s="13">
        <v>-1.5477202150545111</v>
      </c>
      <c r="AD49" s="14">
        <v>-1.547720215054511E-2</v>
      </c>
      <c r="AE49" s="13">
        <v>97.5</v>
      </c>
      <c r="AF49" s="13">
        <v>-2.5</v>
      </c>
      <c r="AG49" s="15" t="s">
        <v>74</v>
      </c>
    </row>
    <row r="50" spans="1:33" ht="18" customHeight="1" x14ac:dyDescent="0.25">
      <c r="A50" s="4">
        <v>49</v>
      </c>
      <c r="B50" s="4">
        <v>1</v>
      </c>
      <c r="C50" s="4">
        <v>49</v>
      </c>
      <c r="D50" s="5">
        <v>45897</v>
      </c>
      <c r="E50" s="5">
        <v>45930</v>
      </c>
      <c r="F50" s="5">
        <v>46021</v>
      </c>
      <c r="G50" s="91">
        <f>VLOOKUP(D50,'[1]Trade Sheet'!$D$2:$D$58,1,0)</f>
        <v>45897</v>
      </c>
      <c r="H50" s="6">
        <v>24500.9</v>
      </c>
      <c r="I50" s="6">
        <v>24611.1</v>
      </c>
      <c r="J50" s="6">
        <v>110.2</v>
      </c>
      <c r="K50" s="7">
        <v>4.4977939585892756E-3</v>
      </c>
      <c r="L50" s="8" t="s">
        <v>34</v>
      </c>
      <c r="M50" s="4">
        <v>25000</v>
      </c>
      <c r="N50" s="8" t="s">
        <v>73</v>
      </c>
      <c r="O50" s="4">
        <v>65</v>
      </c>
      <c r="P50" s="6">
        <v>647.04999999999995</v>
      </c>
      <c r="Q50" s="6">
        <v>509.6</v>
      </c>
      <c r="R50" s="9">
        <v>-1.8246</v>
      </c>
      <c r="S50" s="9">
        <v>0.21609999999999999</v>
      </c>
      <c r="T50" s="9">
        <v>0.21609999999999999</v>
      </c>
      <c r="U50" s="9">
        <v>-1.8246</v>
      </c>
      <c r="V50" s="9">
        <v>-1.8246</v>
      </c>
      <c r="W50" s="6">
        <v>-137.44999999999999</v>
      </c>
      <c r="X50" s="7">
        <v>-5.6099980000734661E-3</v>
      </c>
      <c r="Y50" s="10">
        <v>-137.44999999999999</v>
      </c>
      <c r="Z50" s="10">
        <v>-0.56099980000734662</v>
      </c>
      <c r="AA50" s="6">
        <v>97.899962692249275</v>
      </c>
      <c r="AB50" s="4">
        <v>100</v>
      </c>
      <c r="AC50" s="6">
        <v>-2.1000373077507248</v>
      </c>
      <c r="AD50" s="7">
        <v>-2.100037307750725E-2</v>
      </c>
      <c r="AE50" s="6">
        <v>96.66</v>
      </c>
      <c r="AF50" s="6">
        <v>-3.34</v>
      </c>
      <c r="AG50" s="8" t="s">
        <v>74</v>
      </c>
    </row>
    <row r="51" spans="1:33" ht="18" customHeight="1" x14ac:dyDescent="0.25">
      <c r="A51" s="11">
        <v>50</v>
      </c>
      <c r="B51" s="11">
        <v>1</v>
      </c>
      <c r="C51" s="11">
        <v>50</v>
      </c>
      <c r="D51" s="12">
        <v>45930</v>
      </c>
      <c r="E51" s="12">
        <v>45957</v>
      </c>
      <c r="F51" s="12">
        <v>46021</v>
      </c>
      <c r="G51" s="91">
        <f>VLOOKUP(D51,'[1]Trade Sheet'!$D$2:$D$58,1,0)</f>
        <v>45930</v>
      </c>
      <c r="H51" s="13">
        <v>24611.1</v>
      </c>
      <c r="I51" s="13">
        <v>25966.05</v>
      </c>
      <c r="J51" s="13">
        <v>1354.95</v>
      </c>
      <c r="K51" s="14">
        <v>5.5054426661140708E-2</v>
      </c>
      <c r="L51" s="15" t="s">
        <v>34</v>
      </c>
      <c r="M51" s="11">
        <v>25000</v>
      </c>
      <c r="N51" s="15" t="s">
        <v>73</v>
      </c>
      <c r="O51" s="11">
        <v>65</v>
      </c>
      <c r="P51" s="13">
        <v>509.6</v>
      </c>
      <c r="Q51" s="13">
        <v>111.8</v>
      </c>
      <c r="R51" s="16">
        <v>-1.6398999999999999</v>
      </c>
      <c r="S51" s="16">
        <v>8.1100000000000005E-2</v>
      </c>
      <c r="T51" s="16">
        <v>8.1100000000000005E-2</v>
      </c>
      <c r="U51" s="16">
        <v>-1.6398999999999999</v>
      </c>
      <c r="V51" s="16">
        <v>-1.6398999999999999</v>
      </c>
      <c r="W51" s="13">
        <v>-397.8</v>
      </c>
      <c r="X51" s="14">
        <v>-1.616343844850494E-2</v>
      </c>
      <c r="Y51" s="10">
        <v>-397.8</v>
      </c>
      <c r="Z51" s="10">
        <v>-1.6163438448504941</v>
      </c>
      <c r="AA51" s="13">
        <v>96.317562671162165</v>
      </c>
      <c r="AB51" s="11">
        <v>100</v>
      </c>
      <c r="AC51" s="13">
        <v>-3.6824373288378349</v>
      </c>
      <c r="AD51" s="14">
        <v>-3.6824373288378363E-2</v>
      </c>
      <c r="AE51" s="13">
        <v>96.29</v>
      </c>
      <c r="AF51" s="13">
        <v>-3.71</v>
      </c>
      <c r="AG51" s="15" t="s">
        <v>76</v>
      </c>
    </row>
    <row r="52" spans="1:33" ht="18" customHeight="1" x14ac:dyDescent="0.25">
      <c r="A52" s="4">
        <v>51</v>
      </c>
      <c r="B52" s="4">
        <v>1</v>
      </c>
      <c r="C52" s="4">
        <v>51</v>
      </c>
      <c r="D52" s="5">
        <v>45957</v>
      </c>
      <c r="E52" s="5">
        <v>45958</v>
      </c>
      <c r="F52" s="5">
        <v>46021</v>
      </c>
      <c r="G52" s="91">
        <f>VLOOKUP(D52,'[1]Trade Sheet'!$D$2:$D$58,1,0)</f>
        <v>45957</v>
      </c>
      <c r="H52" s="6">
        <v>25966.05</v>
      </c>
      <c r="I52" s="6">
        <v>25936.2</v>
      </c>
      <c r="J52" s="6">
        <v>-29.85</v>
      </c>
      <c r="K52" s="7">
        <v>-1.1495780066663971E-3</v>
      </c>
      <c r="L52" s="8" t="s">
        <v>34</v>
      </c>
      <c r="M52" s="4">
        <v>26000</v>
      </c>
      <c r="N52" s="8" t="s">
        <v>73</v>
      </c>
      <c r="O52" s="4">
        <v>65</v>
      </c>
      <c r="P52" s="6">
        <v>331.7</v>
      </c>
      <c r="Q52" s="6">
        <v>355.1</v>
      </c>
      <c r="R52" s="9">
        <v>-4.0800000000000003E-2</v>
      </c>
      <c r="S52" s="9">
        <v>0.25900000000000001</v>
      </c>
      <c r="T52" s="9">
        <v>0.25900000000000001</v>
      </c>
      <c r="U52" s="9">
        <v>-4.0800000000000003E-2</v>
      </c>
      <c r="V52" s="9">
        <v>-4.0800000000000003E-2</v>
      </c>
      <c r="W52" s="6">
        <v>23.4</v>
      </c>
      <c r="X52" s="7">
        <v>9.0117672884400973E-4</v>
      </c>
      <c r="Y52" s="17">
        <v>23.4</v>
      </c>
      <c r="Z52" s="17">
        <v>9.0117672884400979E-2</v>
      </c>
      <c r="AA52" s="6">
        <v>96.404361817220391</v>
      </c>
      <c r="AB52" s="4">
        <v>100</v>
      </c>
      <c r="AC52" s="6">
        <v>-3.5956381827796089</v>
      </c>
      <c r="AD52" s="7">
        <v>-3.5956381827796091E-2</v>
      </c>
      <c r="AE52" s="6">
        <v>96.28</v>
      </c>
      <c r="AF52" s="6">
        <v>-3.72</v>
      </c>
      <c r="AG52" s="8" t="s">
        <v>74</v>
      </c>
    </row>
    <row r="53" spans="1:33" ht="18" customHeight="1" x14ac:dyDescent="0.25">
      <c r="A53" s="11">
        <v>52</v>
      </c>
      <c r="B53" s="11">
        <v>1</v>
      </c>
      <c r="C53" s="11">
        <v>52</v>
      </c>
      <c r="D53" s="12">
        <v>45958</v>
      </c>
      <c r="E53" s="12">
        <v>45986</v>
      </c>
      <c r="F53" s="12">
        <v>46021</v>
      </c>
      <c r="G53" s="91">
        <f>VLOOKUP(D53,'[1]Trade Sheet'!$D$2:$D$58,1,0)</f>
        <v>45958</v>
      </c>
      <c r="H53" s="13">
        <v>25936.2</v>
      </c>
      <c r="I53" s="13">
        <v>25884.799999999999</v>
      </c>
      <c r="J53" s="13">
        <v>-51.4</v>
      </c>
      <c r="K53" s="14">
        <v>-1.981786075061112E-3</v>
      </c>
      <c r="L53" s="15" t="s">
        <v>34</v>
      </c>
      <c r="M53" s="11">
        <v>26000</v>
      </c>
      <c r="N53" s="15" t="s">
        <v>73</v>
      </c>
      <c r="O53" s="11">
        <v>65</v>
      </c>
      <c r="P53" s="13">
        <v>355.1</v>
      </c>
      <c r="Q53" s="13">
        <v>307.39999999999998</v>
      </c>
      <c r="R53" s="16">
        <v>-0.62270000000000003</v>
      </c>
      <c r="S53" s="16">
        <v>1.0752999999999999</v>
      </c>
      <c r="T53" s="16">
        <v>1.0752999999999999</v>
      </c>
      <c r="U53" s="16">
        <v>-0.62270000000000003</v>
      </c>
      <c r="V53" s="16">
        <v>-0.62270000000000003</v>
      </c>
      <c r="W53" s="13">
        <v>-47.7</v>
      </c>
      <c r="X53" s="14">
        <v>-1.839128322576168E-3</v>
      </c>
      <c r="Y53" s="10">
        <v>-47.7</v>
      </c>
      <c r="Z53" s="10">
        <v>-0.18391283225761679</v>
      </c>
      <c r="AA53" s="13">
        <v>96.227061824982457</v>
      </c>
      <c r="AB53" s="11">
        <v>100</v>
      </c>
      <c r="AC53" s="13">
        <v>-3.772938175017543</v>
      </c>
      <c r="AD53" s="14">
        <v>-3.7729381750175428E-2</v>
      </c>
      <c r="AE53" s="13">
        <v>95.8</v>
      </c>
      <c r="AF53" s="13">
        <v>-4.2</v>
      </c>
      <c r="AG53" s="15" t="s">
        <v>74</v>
      </c>
    </row>
    <row r="54" spans="1:33" ht="18" customHeight="1" x14ac:dyDescent="0.25">
      <c r="A54" s="4">
        <v>53</v>
      </c>
      <c r="B54" s="4">
        <v>1</v>
      </c>
      <c r="C54" s="4">
        <v>53</v>
      </c>
      <c r="D54" s="5">
        <v>45986</v>
      </c>
      <c r="E54" s="5">
        <v>46021</v>
      </c>
      <c r="F54" s="5">
        <v>46385</v>
      </c>
      <c r="G54" s="91">
        <f>VLOOKUP(D54,'[1]Trade Sheet'!$D$2:$D$58,1,0)</f>
        <v>45986</v>
      </c>
      <c r="H54" s="6">
        <v>25884.799999999999</v>
      </c>
      <c r="I54" s="6">
        <v>25938.85</v>
      </c>
      <c r="J54" s="6">
        <v>54.05</v>
      </c>
      <c r="K54" s="7">
        <v>2.0880980343676598E-3</v>
      </c>
      <c r="L54" s="8" t="s">
        <v>34</v>
      </c>
      <c r="M54" s="4">
        <v>26000</v>
      </c>
      <c r="N54" s="8" t="s">
        <v>73</v>
      </c>
      <c r="O54" s="4">
        <v>65</v>
      </c>
      <c r="P54" s="6">
        <v>622.04999999999995</v>
      </c>
      <c r="Q54" s="6">
        <v>551.20000000000005</v>
      </c>
      <c r="R54" s="9">
        <v>-0.39410000000000001</v>
      </c>
      <c r="S54" s="9">
        <v>0.1076</v>
      </c>
      <c r="T54" s="9">
        <v>0.1076</v>
      </c>
      <c r="U54" s="9">
        <v>-0.39410000000000001</v>
      </c>
      <c r="V54" s="9">
        <v>-0.39410000000000001</v>
      </c>
      <c r="W54" s="6">
        <v>-70.849999999999994</v>
      </c>
      <c r="X54" s="7">
        <v>-2.7371275806651E-3</v>
      </c>
      <c r="Y54" s="10">
        <v>-70.849999999999994</v>
      </c>
      <c r="Z54" s="10">
        <v>-0.27371275806651002</v>
      </c>
      <c r="AA54" s="6">
        <v>95.963676080054924</v>
      </c>
      <c r="AB54" s="4">
        <v>100</v>
      </c>
      <c r="AC54" s="6">
        <v>-4.036323919945076</v>
      </c>
      <c r="AD54" s="7">
        <v>-4.0363239199450757E-2</v>
      </c>
      <c r="AE54" s="6">
        <v>95.85</v>
      </c>
      <c r="AF54" s="6">
        <v>-4.1500000000000004</v>
      </c>
      <c r="AG54" s="8" t="s">
        <v>74</v>
      </c>
    </row>
    <row r="55" spans="1:33" ht="18" customHeight="1" x14ac:dyDescent="0.25">
      <c r="A55" s="11">
        <v>54</v>
      </c>
      <c r="B55" s="11">
        <v>1</v>
      </c>
      <c r="C55" s="11">
        <v>54</v>
      </c>
      <c r="D55" s="12">
        <v>46021</v>
      </c>
      <c r="E55" s="12">
        <v>46049</v>
      </c>
      <c r="F55" s="12">
        <v>46385</v>
      </c>
      <c r="G55" s="91">
        <f>VLOOKUP(D55,'[1]Trade Sheet'!$D$2:$D$58,1,0)</f>
        <v>46021</v>
      </c>
      <c r="H55" s="13">
        <v>25938.85</v>
      </c>
      <c r="I55" s="13">
        <v>25175.4</v>
      </c>
      <c r="J55" s="13">
        <v>-763.45</v>
      </c>
      <c r="K55" s="14">
        <v>-2.943268494940986E-2</v>
      </c>
      <c r="L55" s="15" t="s">
        <v>34</v>
      </c>
      <c r="M55" s="11">
        <v>26000</v>
      </c>
      <c r="N55" s="15" t="s">
        <v>73</v>
      </c>
      <c r="O55" s="11">
        <v>65</v>
      </c>
      <c r="P55" s="13">
        <v>551.20000000000005</v>
      </c>
      <c r="Q55" s="11">
        <v>789</v>
      </c>
      <c r="R55" s="16">
        <v>-0.2999</v>
      </c>
      <c r="S55" s="16">
        <v>1.3640000000000001</v>
      </c>
      <c r="T55" s="16">
        <v>1.3640000000000001</v>
      </c>
      <c r="U55" s="16">
        <v>-0.2999</v>
      </c>
      <c r="V55" s="16">
        <v>-0.2999</v>
      </c>
      <c r="W55" s="13">
        <v>237.8</v>
      </c>
      <c r="X55" s="14">
        <v>9.1677156080550992E-3</v>
      </c>
      <c r="Y55" s="17">
        <v>237.8</v>
      </c>
      <c r="Z55" s="17">
        <v>0.91677156080550992</v>
      </c>
      <c r="AA55" s="13">
        <v>96.843443771060393</v>
      </c>
      <c r="AB55" s="11">
        <v>100</v>
      </c>
      <c r="AC55" s="13">
        <v>-3.156556228939607</v>
      </c>
      <c r="AD55" s="14">
        <v>-3.1565562289396068E-2</v>
      </c>
      <c r="AE55" s="13">
        <v>95.68</v>
      </c>
      <c r="AF55" s="13">
        <v>-4.32</v>
      </c>
      <c r="AG55" s="15" t="s">
        <v>74</v>
      </c>
    </row>
    <row r="56" spans="1:33" ht="18" customHeight="1" x14ac:dyDescent="0.25">
      <c r="A56" s="4">
        <v>55</v>
      </c>
      <c r="B56" s="4">
        <v>1</v>
      </c>
      <c r="C56" s="4">
        <v>55</v>
      </c>
      <c r="D56" s="5">
        <v>46049</v>
      </c>
      <c r="E56" s="5">
        <v>46077</v>
      </c>
      <c r="F56" s="5">
        <v>46385</v>
      </c>
      <c r="G56" s="91">
        <f>VLOOKUP(D56,'[1]Trade Sheet'!$D$2:$D$58,1,0)</f>
        <v>46049</v>
      </c>
      <c r="H56" s="6">
        <v>25175.4</v>
      </c>
      <c r="I56" s="6">
        <v>25424.65</v>
      </c>
      <c r="J56" s="6">
        <v>249.25</v>
      </c>
      <c r="K56" s="7">
        <v>9.9005378266085135E-3</v>
      </c>
      <c r="L56" s="8" t="s">
        <v>34</v>
      </c>
      <c r="M56" s="4">
        <v>26000</v>
      </c>
      <c r="N56" s="8" t="s">
        <v>73</v>
      </c>
      <c r="O56" s="4">
        <v>65</v>
      </c>
      <c r="P56" s="4">
        <v>789</v>
      </c>
      <c r="Q56" s="6">
        <v>800.25</v>
      </c>
      <c r="R56" s="9">
        <v>-0.93169999999999997</v>
      </c>
      <c r="S56" s="9">
        <v>1.4619</v>
      </c>
      <c r="T56" s="9">
        <v>1.4619</v>
      </c>
      <c r="U56" s="9">
        <v>-0.93169999999999997</v>
      </c>
      <c r="V56" s="9">
        <v>-0.93169999999999997</v>
      </c>
      <c r="W56" s="6">
        <v>11.25</v>
      </c>
      <c r="X56" s="7">
        <v>4.468647965871446E-4</v>
      </c>
      <c r="Y56" s="17">
        <v>11.25</v>
      </c>
      <c r="Z56" s="17">
        <v>4.4686479658714452E-2</v>
      </c>
      <c r="AA56" s="6">
        <v>96.886719696861945</v>
      </c>
      <c r="AB56" s="4">
        <v>100</v>
      </c>
      <c r="AC56" s="6">
        <v>-3.1132803031380551</v>
      </c>
      <c r="AD56" s="7">
        <v>-3.1132803031380551E-2</v>
      </c>
      <c r="AE56" s="6">
        <v>95.94</v>
      </c>
      <c r="AF56" s="6">
        <v>-4.0599999999999996</v>
      </c>
      <c r="AG56" s="8" t="s">
        <v>74</v>
      </c>
    </row>
    <row r="57" spans="1:33" ht="18" customHeight="1" x14ac:dyDescent="0.25">
      <c r="A57" s="11">
        <v>56</v>
      </c>
      <c r="B57" s="11">
        <v>1</v>
      </c>
      <c r="C57" s="11">
        <v>56</v>
      </c>
      <c r="D57" s="12">
        <v>46077</v>
      </c>
      <c r="E57" s="12">
        <v>46101</v>
      </c>
      <c r="F57" s="12">
        <v>46385</v>
      </c>
      <c r="G57" s="91">
        <f>VLOOKUP(D57,'[1]Trade Sheet'!$D$2:$D$58,1,0)</f>
        <v>46077</v>
      </c>
      <c r="H57" s="13">
        <v>25424.65</v>
      </c>
      <c r="I57" s="13">
        <v>23114.5</v>
      </c>
      <c r="J57" s="13">
        <v>-2310.15</v>
      </c>
      <c r="K57" s="14">
        <v>-9.0862607744846044E-2</v>
      </c>
      <c r="L57" s="15" t="s">
        <v>34</v>
      </c>
      <c r="M57" s="11">
        <v>26000</v>
      </c>
      <c r="N57" s="15" t="s">
        <v>73</v>
      </c>
      <c r="O57" s="11">
        <v>65</v>
      </c>
      <c r="P57" s="13">
        <v>800.25</v>
      </c>
      <c r="Q57" s="13">
        <v>2089.25</v>
      </c>
      <c r="R57" s="16">
        <v>-0.28989999999999999</v>
      </c>
      <c r="S57" s="16">
        <v>5.7690000000000001</v>
      </c>
      <c r="T57" s="16">
        <v>5.7690000000000001</v>
      </c>
      <c r="U57" s="16">
        <v>-0.28989999999999999</v>
      </c>
      <c r="V57" s="16">
        <v>-0.28989999999999999</v>
      </c>
      <c r="W57" s="11">
        <v>1289</v>
      </c>
      <c r="X57" s="14">
        <v>5.0698829679071293E-2</v>
      </c>
      <c r="Y57" s="18">
        <v>1289</v>
      </c>
      <c r="Z57" s="17">
        <v>5.0698829679071293</v>
      </c>
      <c r="AA57" s="13">
        <v>101.7987629969371</v>
      </c>
      <c r="AB57" s="13">
        <v>101.7987629969371</v>
      </c>
      <c r="AC57" s="11">
        <v>0</v>
      </c>
      <c r="AD57" s="14">
        <v>0</v>
      </c>
      <c r="AE57" s="13">
        <v>96.61</v>
      </c>
      <c r="AF57" s="13">
        <v>-3.39</v>
      </c>
      <c r="AG57" s="15" t="s">
        <v>75</v>
      </c>
    </row>
    <row r="58" spans="1:33" ht="18" customHeight="1" x14ac:dyDescent="0.25">
      <c r="A58" s="4">
        <v>57</v>
      </c>
      <c r="B58" s="4">
        <v>1</v>
      </c>
      <c r="C58" s="4">
        <v>57</v>
      </c>
      <c r="D58" s="5">
        <v>46142</v>
      </c>
      <c r="E58" s="5">
        <v>46168</v>
      </c>
      <c r="F58" s="5">
        <v>46385</v>
      </c>
      <c r="G58" s="91">
        <f>VLOOKUP(D58,'[1]Trade Sheet'!$D$2:$D$58,1,0)</f>
        <v>46142</v>
      </c>
      <c r="H58" s="6">
        <v>23997.55</v>
      </c>
      <c r="I58" s="6">
        <v>23913.7</v>
      </c>
      <c r="J58" s="6">
        <v>-83.85</v>
      </c>
      <c r="K58" s="7">
        <v>-3.4941066900579429E-3</v>
      </c>
      <c r="L58" s="8" t="s">
        <v>34</v>
      </c>
      <c r="M58" s="4">
        <v>24000</v>
      </c>
      <c r="N58" s="8" t="s">
        <v>73</v>
      </c>
      <c r="O58" s="4">
        <v>65</v>
      </c>
      <c r="P58" s="6">
        <v>766.2</v>
      </c>
      <c r="Q58" s="4">
        <v>725</v>
      </c>
      <c r="R58" s="9">
        <v>-0.73009999999999997</v>
      </c>
      <c r="S58" s="9">
        <v>1.048</v>
      </c>
      <c r="T58" s="9">
        <v>1.048</v>
      </c>
      <c r="U58" s="9">
        <v>-0.73009999999999997</v>
      </c>
      <c r="V58" s="9">
        <v>-0.73009999999999997</v>
      </c>
      <c r="W58" s="6">
        <v>-41.2</v>
      </c>
      <c r="X58" s="7">
        <v>-1.7168419276134439E-3</v>
      </c>
      <c r="Y58" s="10">
        <v>-41.2</v>
      </c>
      <c r="Z58" s="10">
        <v>-0.17168419276134439</v>
      </c>
      <c r="AA58" s="6">
        <v>99.828315807238653</v>
      </c>
      <c r="AB58" s="4">
        <v>100</v>
      </c>
      <c r="AC58" s="6">
        <v>-0.1716841927613473</v>
      </c>
      <c r="AD58" s="7">
        <v>-1.716841927613473E-3</v>
      </c>
      <c r="AE58" s="6">
        <v>99.27</v>
      </c>
      <c r="AF58" s="6">
        <v>-0.73</v>
      </c>
      <c r="AG58" s="8" t="s">
        <v>74</v>
      </c>
    </row>
    <row r="59" spans="1:33" ht="18" customHeight="1" x14ac:dyDescent="0.25">
      <c r="A59" s="11">
        <v>58</v>
      </c>
      <c r="B59" s="11">
        <v>1</v>
      </c>
      <c r="C59" s="11">
        <v>58</v>
      </c>
      <c r="D59" s="12">
        <v>46168</v>
      </c>
      <c r="E59" s="12">
        <v>46203</v>
      </c>
      <c r="F59" s="12">
        <v>46385</v>
      </c>
      <c r="G59" s="91">
        <f>VLOOKUP(D59,'[1]Trade Sheet'!$D$2:$D$58,1,0)</f>
        <v>46168</v>
      </c>
      <c r="H59" s="13">
        <v>23913.7</v>
      </c>
      <c r="I59" s="13">
        <v>23865.75</v>
      </c>
      <c r="J59" s="13">
        <v>-47.95</v>
      </c>
      <c r="K59" s="14">
        <v>-2.0051267683378151E-3</v>
      </c>
      <c r="L59" s="15" t="s">
        <v>34</v>
      </c>
      <c r="M59" s="11">
        <v>24000</v>
      </c>
      <c r="N59" s="15" t="s">
        <v>73</v>
      </c>
      <c r="O59" s="11">
        <v>65</v>
      </c>
      <c r="P59" s="11">
        <v>725</v>
      </c>
      <c r="Q59" s="13">
        <v>562.25</v>
      </c>
      <c r="R59" s="16">
        <v>-1.0510999999999999</v>
      </c>
      <c r="S59" s="16">
        <v>1.3632</v>
      </c>
      <c r="T59" s="16">
        <v>1.3632</v>
      </c>
      <c r="U59" s="16">
        <v>-1.0510999999999999</v>
      </c>
      <c r="V59" s="16">
        <v>-1.0510999999999999</v>
      </c>
      <c r="W59" s="13">
        <v>-162.75</v>
      </c>
      <c r="X59" s="14">
        <v>-6.805722242898422E-3</v>
      </c>
      <c r="Y59" s="10">
        <v>-162.75</v>
      </c>
      <c r="Z59" s="10">
        <v>-0.68057222428984221</v>
      </c>
      <c r="AA59" s="13">
        <v>99.148912017878246</v>
      </c>
      <c r="AB59" s="11">
        <v>100</v>
      </c>
      <c r="AC59" s="13">
        <v>-0.85108798212175429</v>
      </c>
      <c r="AD59" s="14">
        <v>-8.5108798212175426E-3</v>
      </c>
      <c r="AE59" s="13">
        <v>98.78</v>
      </c>
      <c r="AF59" s="13">
        <v>-1.22</v>
      </c>
      <c r="AG59" s="15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80" t="s">
        <v>77</v>
      </c>
      <c r="B1" s="73"/>
      <c r="C1" s="73"/>
      <c r="D1" s="73"/>
      <c r="E1" s="73"/>
    </row>
    <row r="2" spans="1:5" ht="15.95" customHeight="1" x14ac:dyDescent="0.25">
      <c r="A2" s="76" t="s">
        <v>78</v>
      </c>
      <c r="B2" s="73"/>
      <c r="C2" s="73"/>
      <c r="D2" s="73"/>
      <c r="E2" s="73"/>
    </row>
    <row r="4" spans="1:5" ht="20.100000000000001" customHeight="1" x14ac:dyDescent="0.25">
      <c r="A4" s="72" t="s">
        <v>79</v>
      </c>
      <c r="B4" s="73"/>
      <c r="C4" s="73"/>
      <c r="D4" s="73"/>
      <c r="E4" s="73"/>
    </row>
    <row r="5" spans="1:5" ht="18" customHeight="1" x14ac:dyDescent="0.25">
      <c r="A5" s="1" t="s">
        <v>80</v>
      </c>
      <c r="B5" s="20" t="s">
        <v>81</v>
      </c>
      <c r="D5" s="1" t="s">
        <v>82</v>
      </c>
      <c r="E5" s="21">
        <v>58</v>
      </c>
    </row>
    <row r="6" spans="1:5" ht="18" customHeight="1" x14ac:dyDescent="0.25">
      <c r="A6" s="22" t="s">
        <v>83</v>
      </c>
      <c r="B6" s="23" t="s">
        <v>84</v>
      </c>
      <c r="D6" s="22" t="s">
        <v>85</v>
      </c>
      <c r="E6" s="24" t="s">
        <v>86</v>
      </c>
    </row>
    <row r="7" spans="1:5" ht="18" customHeight="1" x14ac:dyDescent="0.25">
      <c r="A7" s="1" t="s">
        <v>87</v>
      </c>
      <c r="B7" s="25" t="s">
        <v>88</v>
      </c>
      <c r="D7" s="1" t="s">
        <v>89</v>
      </c>
      <c r="E7" s="20" t="s">
        <v>90</v>
      </c>
    </row>
    <row r="8" spans="1:5" ht="18" customHeight="1" x14ac:dyDescent="0.25">
      <c r="A8" s="22" t="s">
        <v>91</v>
      </c>
      <c r="B8" s="24" t="s">
        <v>92</v>
      </c>
      <c r="D8" s="22" t="s">
        <v>93</v>
      </c>
      <c r="E8" s="24" t="s">
        <v>94</v>
      </c>
    </row>
    <row r="9" spans="1:5" ht="18" customHeight="1" x14ac:dyDescent="0.25">
      <c r="A9" s="1" t="s">
        <v>95</v>
      </c>
      <c r="B9" s="20" t="s">
        <v>96</v>
      </c>
    </row>
    <row r="10" spans="1:5" ht="18" customHeight="1" x14ac:dyDescent="0.25">
      <c r="A10" s="1" t="s">
        <v>97</v>
      </c>
      <c r="B10" s="25" t="s">
        <v>98</v>
      </c>
      <c r="D10" s="1" t="s">
        <v>99</v>
      </c>
      <c r="E10" s="20" t="s">
        <v>100</v>
      </c>
    </row>
    <row r="11" spans="1:5" ht="18" customHeight="1" x14ac:dyDescent="0.25">
      <c r="A11" s="22" t="s">
        <v>101</v>
      </c>
      <c r="B11" s="24" t="s">
        <v>102</v>
      </c>
      <c r="D11" s="22" t="s">
        <v>103</v>
      </c>
      <c r="E11" s="23" t="s">
        <v>104</v>
      </c>
    </row>
    <row r="13" spans="1:5" ht="20.100000000000001" customHeight="1" x14ac:dyDescent="0.25">
      <c r="A13" s="3" t="s">
        <v>51</v>
      </c>
      <c r="B13" s="3" t="s">
        <v>105</v>
      </c>
      <c r="C13" s="3" t="s">
        <v>106</v>
      </c>
      <c r="D13" s="78" t="s">
        <v>107</v>
      </c>
      <c r="E13" s="73"/>
    </row>
    <row r="14" spans="1:5" ht="18" customHeight="1" x14ac:dyDescent="0.25">
      <c r="A14" s="1" t="s">
        <v>49</v>
      </c>
      <c r="B14" s="25" t="s">
        <v>108</v>
      </c>
      <c r="C14" s="25" t="s">
        <v>109</v>
      </c>
      <c r="D14" s="79" t="s">
        <v>110</v>
      </c>
      <c r="E14" s="73"/>
    </row>
    <row r="15" spans="1:5" ht="18" customHeight="1" x14ac:dyDescent="0.25">
      <c r="A15" s="1" t="s">
        <v>62</v>
      </c>
      <c r="B15" s="20" t="s">
        <v>111</v>
      </c>
      <c r="C15" s="20" t="s">
        <v>81</v>
      </c>
    </row>
    <row r="16" spans="1:5" ht="18" customHeight="1" x14ac:dyDescent="0.25">
      <c r="A16" s="1" t="s">
        <v>64</v>
      </c>
      <c r="B16" s="20" t="s">
        <v>111</v>
      </c>
      <c r="C16" s="20" t="s">
        <v>81</v>
      </c>
    </row>
    <row r="18" spans="1:16" ht="20.100000000000001" customHeight="1" x14ac:dyDescent="0.25">
      <c r="A18" s="72" t="s">
        <v>112</v>
      </c>
      <c r="B18" s="73"/>
      <c r="C18" s="73"/>
      <c r="D18" s="73"/>
      <c r="E18" s="73"/>
    </row>
    <row r="19" spans="1:16" ht="18" customHeight="1" x14ac:dyDescent="0.25">
      <c r="A19" s="1" t="s">
        <v>113</v>
      </c>
      <c r="B19" s="20" t="s">
        <v>114</v>
      </c>
      <c r="D19" s="1" t="s">
        <v>115</v>
      </c>
      <c r="E19" s="20" t="s">
        <v>116</v>
      </c>
    </row>
    <row r="20" spans="1:16" ht="18" customHeight="1" x14ac:dyDescent="0.25">
      <c r="A20" s="75" t="s">
        <v>117</v>
      </c>
      <c r="B20" s="73"/>
      <c r="C20" s="73"/>
      <c r="D20" s="73"/>
      <c r="E20" s="73"/>
    </row>
    <row r="21" spans="1:16" ht="18" customHeight="1" x14ac:dyDescent="0.25">
      <c r="A21" s="22" t="s">
        <v>118</v>
      </c>
      <c r="B21" s="24" t="s">
        <v>119</v>
      </c>
    </row>
    <row r="23" spans="1:16" ht="20.100000000000001" customHeight="1" x14ac:dyDescent="0.25">
      <c r="A23" s="72" t="s">
        <v>120</v>
      </c>
      <c r="B23" s="73"/>
      <c r="C23" s="73"/>
      <c r="D23" s="73"/>
      <c r="E23" s="73"/>
    </row>
    <row r="24" spans="1:16" ht="18" customHeight="1" x14ac:dyDescent="0.25">
      <c r="A24" s="1" t="s">
        <v>121</v>
      </c>
      <c r="B24" s="25" t="s">
        <v>122</v>
      </c>
      <c r="D24" s="1" t="s">
        <v>123</v>
      </c>
      <c r="E24" s="20" t="s">
        <v>122</v>
      </c>
    </row>
    <row r="26" spans="1:16" ht="20.100000000000001" customHeight="1" x14ac:dyDescent="0.25">
      <c r="A26" s="72" t="s">
        <v>124</v>
      </c>
      <c r="B26" s="73"/>
      <c r="C26" s="73"/>
      <c r="D26" s="73"/>
      <c r="E26" s="73"/>
    </row>
    <row r="27" spans="1:16" ht="20.100000000000001" customHeight="1" x14ac:dyDescent="0.25">
      <c r="A27" s="3" t="s">
        <v>125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130</v>
      </c>
      <c r="G27" s="3" t="s">
        <v>131</v>
      </c>
      <c r="H27" s="3" t="s">
        <v>132</v>
      </c>
      <c r="I27" s="3" t="s">
        <v>133</v>
      </c>
      <c r="J27" s="3" t="s">
        <v>134</v>
      </c>
      <c r="K27" s="3" t="s">
        <v>135</v>
      </c>
      <c r="L27" s="3" t="s">
        <v>136</v>
      </c>
      <c r="M27" s="3" t="s">
        <v>137</v>
      </c>
      <c r="N27" s="3" t="s">
        <v>138</v>
      </c>
      <c r="O27" s="3" t="s">
        <v>139</v>
      </c>
      <c r="P27" s="3" t="s">
        <v>140</v>
      </c>
    </row>
    <row r="28" spans="1:16" ht="18" customHeight="1" x14ac:dyDescent="0.25">
      <c r="A28" s="27" t="s">
        <v>141</v>
      </c>
      <c r="B28" s="28">
        <v>0</v>
      </c>
      <c r="C28" s="28">
        <v>0</v>
      </c>
      <c r="D28" s="28">
        <v>0</v>
      </c>
      <c r="E28" s="26">
        <v>-15.1</v>
      </c>
      <c r="F28" s="29">
        <v>176.25</v>
      </c>
      <c r="G28" s="28">
        <v>0</v>
      </c>
      <c r="H28" s="28">
        <v>0</v>
      </c>
      <c r="I28" s="28">
        <v>0</v>
      </c>
      <c r="J28" s="28">
        <v>0</v>
      </c>
      <c r="K28" s="26">
        <v>-62.9</v>
      </c>
      <c r="L28" s="26">
        <v>-56.35</v>
      </c>
      <c r="M28" s="26">
        <v>-57.2</v>
      </c>
      <c r="N28" s="26">
        <v>-15.3</v>
      </c>
      <c r="O28" s="30">
        <v>-1.485937967293708E-2</v>
      </c>
      <c r="P28" s="28">
        <v>-0.09</v>
      </c>
    </row>
    <row r="29" spans="1:16" ht="18" customHeight="1" x14ac:dyDescent="0.25">
      <c r="A29" s="27" t="s">
        <v>142</v>
      </c>
      <c r="B29" s="29">
        <v>57</v>
      </c>
      <c r="C29" s="29">
        <v>450.15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29">
        <v>507.15</v>
      </c>
      <c r="O29" s="32">
        <v>-1.0228795099530711E-2</v>
      </c>
      <c r="P29" s="31">
        <v>4.25</v>
      </c>
    </row>
    <row r="30" spans="1:16" ht="18" customHeight="1" x14ac:dyDescent="0.25">
      <c r="A30" s="27" t="s">
        <v>143</v>
      </c>
      <c r="B30" s="28">
        <v>0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6">
        <v>-90.4</v>
      </c>
      <c r="J30" s="29">
        <v>202.3</v>
      </c>
      <c r="K30" s="26">
        <v>-487.55</v>
      </c>
      <c r="L30" s="26">
        <v>-289.14999999999998</v>
      </c>
      <c r="M30" s="26">
        <v>-109.5</v>
      </c>
      <c r="N30" s="26">
        <v>-774.3</v>
      </c>
      <c r="O30" s="30">
        <v>-5.017864174804592E-2</v>
      </c>
      <c r="P30" s="28">
        <v>-0.87</v>
      </c>
    </row>
    <row r="31" spans="1:16" ht="18" customHeight="1" x14ac:dyDescent="0.25">
      <c r="A31" s="27" t="s">
        <v>144</v>
      </c>
      <c r="B31" s="29">
        <v>94.1</v>
      </c>
      <c r="C31" s="31">
        <v>0</v>
      </c>
      <c r="D31" s="31">
        <v>0</v>
      </c>
      <c r="E31" s="31">
        <v>0</v>
      </c>
      <c r="F31" s="26">
        <v>-81.25</v>
      </c>
      <c r="G31" s="26">
        <v>-179.15</v>
      </c>
      <c r="H31" s="26">
        <v>-147</v>
      </c>
      <c r="I31" s="29">
        <v>15.05</v>
      </c>
      <c r="J31" s="29">
        <v>102.5</v>
      </c>
      <c r="K31" s="29">
        <v>455.4</v>
      </c>
      <c r="L31" s="26">
        <v>-827.3</v>
      </c>
      <c r="M31" s="26">
        <v>-322.7</v>
      </c>
      <c r="N31" s="26">
        <v>-890.35</v>
      </c>
      <c r="O31" s="32">
        <v>-5.9184279429493218E-2</v>
      </c>
      <c r="P31" s="31">
        <v>-0.5</v>
      </c>
    </row>
    <row r="32" spans="1:16" ht="18" customHeight="1" x14ac:dyDescent="0.25">
      <c r="A32" s="27" t="s">
        <v>145</v>
      </c>
      <c r="B32" s="29">
        <v>51.5</v>
      </c>
      <c r="C32" s="26">
        <v>-116.55</v>
      </c>
      <c r="D32" s="26">
        <v>-177.45</v>
      </c>
      <c r="E32" s="28">
        <v>0</v>
      </c>
      <c r="F32" s="29">
        <v>119.05</v>
      </c>
      <c r="G32" s="26">
        <v>-510.2</v>
      </c>
      <c r="H32" s="26">
        <v>-73.05</v>
      </c>
      <c r="I32" s="26">
        <v>-287.75</v>
      </c>
      <c r="J32" s="26">
        <v>-326.75</v>
      </c>
      <c r="K32" s="29">
        <v>1069.1500000000001</v>
      </c>
      <c r="L32" s="29">
        <v>352.4</v>
      </c>
      <c r="M32" s="29">
        <v>80.95</v>
      </c>
      <c r="N32" s="29">
        <v>181.3</v>
      </c>
      <c r="O32" s="30">
        <v>-6.9583578735485666E-2</v>
      </c>
      <c r="P32" s="28">
        <v>0.06</v>
      </c>
    </row>
    <row r="33" spans="1:16" ht="18" customHeight="1" x14ac:dyDescent="0.25">
      <c r="A33" s="27" t="s">
        <v>146</v>
      </c>
      <c r="B33" s="29">
        <v>91.2</v>
      </c>
      <c r="C33" s="31">
        <v>0</v>
      </c>
      <c r="D33" s="31">
        <v>0</v>
      </c>
      <c r="E33" s="26">
        <v>-122.15</v>
      </c>
      <c r="F33" s="26">
        <v>-167.6</v>
      </c>
      <c r="G33" s="26">
        <v>-237.75</v>
      </c>
      <c r="H33" s="29">
        <v>57.1</v>
      </c>
      <c r="I33" s="29">
        <v>97.1</v>
      </c>
      <c r="J33" s="26">
        <v>-137.44999999999999</v>
      </c>
      <c r="K33" s="26">
        <v>-374.4</v>
      </c>
      <c r="L33" s="26">
        <v>-47.7</v>
      </c>
      <c r="M33" s="26">
        <v>-70.849999999999994</v>
      </c>
      <c r="N33" s="26">
        <v>-912.5</v>
      </c>
      <c r="O33" s="32">
        <v>-4.0363239199450757E-2</v>
      </c>
      <c r="P33" s="31">
        <v>-0.36</v>
      </c>
    </row>
    <row r="34" spans="1:16" ht="18" customHeight="1" x14ac:dyDescent="0.25">
      <c r="A34" s="27" t="s">
        <v>147</v>
      </c>
      <c r="B34" s="29">
        <v>237.8</v>
      </c>
      <c r="C34" s="29">
        <v>11.25</v>
      </c>
      <c r="D34" s="29">
        <v>1289</v>
      </c>
      <c r="E34" s="28">
        <v>0</v>
      </c>
      <c r="F34" s="26">
        <v>-41.2</v>
      </c>
      <c r="G34" s="26">
        <v>-162.75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9">
        <v>1334.1</v>
      </c>
      <c r="O34" s="30">
        <v>-3.1565562289396068E-2</v>
      </c>
      <c r="P34" s="28">
        <v>0.59</v>
      </c>
    </row>
    <row r="36" spans="1:16" ht="20.100000000000001" customHeight="1" x14ac:dyDescent="0.25">
      <c r="A36" s="72" t="s">
        <v>148</v>
      </c>
      <c r="B36" s="73"/>
      <c r="C36" s="73"/>
      <c r="D36" s="73"/>
      <c r="E36" s="73"/>
    </row>
    <row r="37" spans="1:16" ht="20.100000000000001" customHeight="1" x14ac:dyDescent="0.25">
      <c r="A37" s="3" t="s">
        <v>125</v>
      </c>
      <c r="B37" s="3" t="s">
        <v>126</v>
      </c>
      <c r="C37" s="3" t="s">
        <v>127</v>
      </c>
      <c r="D37" s="3" t="s">
        <v>128</v>
      </c>
      <c r="E37" s="3" t="s">
        <v>129</v>
      </c>
      <c r="F37" s="3" t="s">
        <v>130</v>
      </c>
      <c r="G37" s="3" t="s">
        <v>131</v>
      </c>
      <c r="H37" s="3" t="s">
        <v>132</v>
      </c>
      <c r="I37" s="3" t="s">
        <v>133</v>
      </c>
      <c r="J37" s="3" t="s">
        <v>134</v>
      </c>
      <c r="K37" s="3" t="s">
        <v>135</v>
      </c>
      <c r="L37" s="3" t="s">
        <v>136</v>
      </c>
      <c r="M37" s="3" t="s">
        <v>137</v>
      </c>
      <c r="N37" s="3" t="s">
        <v>138</v>
      </c>
      <c r="O37" s="3" t="s">
        <v>139</v>
      </c>
      <c r="P37" s="3" t="s">
        <v>140</v>
      </c>
    </row>
    <row r="38" spans="1:16" ht="18" customHeight="1" x14ac:dyDescent="0.25">
      <c r="A38" s="27" t="s">
        <v>141</v>
      </c>
      <c r="B38" s="30">
        <v>0</v>
      </c>
      <c r="C38" s="30">
        <v>0</v>
      </c>
      <c r="D38" s="30">
        <v>0</v>
      </c>
      <c r="E38" s="33">
        <v>-1.2999999999999999E-3</v>
      </c>
      <c r="F38" s="34">
        <v>1.5100000000000001E-2</v>
      </c>
      <c r="G38" s="30">
        <v>0</v>
      </c>
      <c r="H38" s="30">
        <v>0</v>
      </c>
      <c r="I38" s="30">
        <v>0</v>
      </c>
      <c r="J38" s="30">
        <v>0</v>
      </c>
      <c r="K38" s="33">
        <v>-5.5000000000000014E-3</v>
      </c>
      <c r="L38" s="33">
        <v>-4.6999999999999993E-3</v>
      </c>
      <c r="M38" s="33">
        <v>-4.6999999999999993E-3</v>
      </c>
      <c r="N38" s="33">
        <v>-1.1000000000000001E-3</v>
      </c>
      <c r="O38" s="30">
        <v>-1.485937967293708E-2</v>
      </c>
      <c r="P38" s="28">
        <v>-7.0000000000000007E-2</v>
      </c>
    </row>
    <row r="39" spans="1:16" ht="18" customHeight="1" x14ac:dyDescent="0.25">
      <c r="A39" s="27" t="s">
        <v>142</v>
      </c>
      <c r="B39" s="34">
        <v>4.6999999999999993E-3</v>
      </c>
      <c r="C39" s="34">
        <v>3.8199999999999998E-2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4">
        <v>4.2900000000000001E-2</v>
      </c>
      <c r="O39" s="32">
        <v>-1.0228795099530711E-2</v>
      </c>
      <c r="P39" s="31">
        <v>4.2</v>
      </c>
    </row>
    <row r="40" spans="1:16" ht="18" customHeight="1" x14ac:dyDescent="0.25">
      <c r="A40" s="27" t="s">
        <v>143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3">
        <v>-5.3E-3</v>
      </c>
      <c r="J40" s="34">
        <v>1.15E-2</v>
      </c>
      <c r="K40" s="33">
        <v>-2.9000000000000001E-2</v>
      </c>
      <c r="L40" s="33">
        <v>-1.61E-2</v>
      </c>
      <c r="M40" s="33">
        <v>-5.8999999999999999E-3</v>
      </c>
      <c r="N40" s="33">
        <v>-4.4699999999999997E-2</v>
      </c>
      <c r="O40" s="30">
        <v>-5.017864174804592E-2</v>
      </c>
      <c r="P40" s="28">
        <v>-0.89</v>
      </c>
    </row>
    <row r="41" spans="1:16" ht="18" customHeight="1" x14ac:dyDescent="0.25">
      <c r="A41" s="27" t="s">
        <v>144</v>
      </c>
      <c r="B41" s="34">
        <v>5.1999999999999998E-3</v>
      </c>
      <c r="C41" s="32">
        <v>0</v>
      </c>
      <c r="D41" s="32">
        <v>0</v>
      </c>
      <c r="E41" s="32">
        <v>0</v>
      </c>
      <c r="F41" s="33">
        <v>-4.5000000000000014E-3</v>
      </c>
      <c r="G41" s="33">
        <v>-9.7000000000000003E-3</v>
      </c>
      <c r="H41" s="33">
        <v>-7.7000000000000002E-3</v>
      </c>
      <c r="I41" s="34">
        <v>8.0000000000000004E-4</v>
      </c>
      <c r="J41" s="34">
        <v>4.6999999999999993E-3</v>
      </c>
      <c r="K41" s="34">
        <v>2.3300000000000001E-2</v>
      </c>
      <c r="L41" s="33">
        <v>-4.3899999999999988E-2</v>
      </c>
      <c r="M41" s="33">
        <v>-1.6E-2</v>
      </c>
      <c r="N41" s="33">
        <v>-4.7800000000000002E-2</v>
      </c>
      <c r="O41" s="32">
        <v>-5.9184279429493218E-2</v>
      </c>
      <c r="P41" s="31">
        <v>-0.81</v>
      </c>
    </row>
    <row r="42" spans="1:16" ht="18" customHeight="1" x14ac:dyDescent="0.25">
      <c r="A42" s="27" t="s">
        <v>145</v>
      </c>
      <c r="B42" s="34">
        <v>2.3999999999999998E-3</v>
      </c>
      <c r="C42" s="33">
        <v>-5.5000000000000014E-3</v>
      </c>
      <c r="D42" s="33">
        <v>-8.0000000000000002E-3</v>
      </c>
      <c r="E42" s="30">
        <v>0</v>
      </c>
      <c r="F42" s="34">
        <v>5.3E-3</v>
      </c>
      <c r="G42" s="33">
        <v>-2.2499999999999999E-2</v>
      </c>
      <c r="H42" s="33">
        <v>-3.2000000000000002E-3</v>
      </c>
      <c r="I42" s="33">
        <v>-1.18E-2</v>
      </c>
      <c r="J42" s="33">
        <v>-1.2800000000000001E-2</v>
      </c>
      <c r="K42" s="34">
        <v>4.0800000000000003E-2</v>
      </c>
      <c r="L42" s="34">
        <v>1.46E-2</v>
      </c>
      <c r="M42" s="34">
        <v>3.3999999999999998E-3</v>
      </c>
      <c r="N42" s="34">
        <v>2.5999999999999999E-3</v>
      </c>
      <c r="O42" s="30">
        <v>-6.9583578735485666E-2</v>
      </c>
      <c r="P42" s="28">
        <v>0.04</v>
      </c>
    </row>
    <row r="43" spans="1:16" ht="18" customHeight="1" x14ac:dyDescent="0.25">
      <c r="A43" s="27" t="s">
        <v>146</v>
      </c>
      <c r="B43" s="34">
        <v>3.8E-3</v>
      </c>
      <c r="C43" s="32">
        <v>0</v>
      </c>
      <c r="D43" s="32">
        <v>0</v>
      </c>
      <c r="E43" s="33">
        <v>-5.1999999999999998E-3</v>
      </c>
      <c r="F43" s="33">
        <v>-6.8999999999999999E-3</v>
      </c>
      <c r="G43" s="33">
        <v>-9.5999999999999992E-3</v>
      </c>
      <c r="H43" s="34">
        <v>2.2000000000000001E-3</v>
      </c>
      <c r="I43" s="34">
        <v>3.8999999999999998E-3</v>
      </c>
      <c r="J43" s="33">
        <v>-5.6000000000000008E-3</v>
      </c>
      <c r="K43" s="33">
        <v>-1.5299999999999999E-2</v>
      </c>
      <c r="L43" s="33">
        <v>-1.8E-3</v>
      </c>
      <c r="M43" s="33">
        <v>-2.7000000000000001E-3</v>
      </c>
      <c r="N43" s="33">
        <v>-3.7100000000000001E-2</v>
      </c>
      <c r="O43" s="32">
        <v>-4.0363239199450757E-2</v>
      </c>
      <c r="P43" s="31">
        <v>-0.92</v>
      </c>
    </row>
    <row r="44" spans="1:16" ht="18" customHeight="1" x14ac:dyDescent="0.25">
      <c r="A44" s="27" t="s">
        <v>147</v>
      </c>
      <c r="B44" s="34">
        <v>9.1999999999999998E-3</v>
      </c>
      <c r="C44" s="34">
        <v>4.0000000000000002E-4</v>
      </c>
      <c r="D44" s="34">
        <v>5.0700000000000002E-2</v>
      </c>
      <c r="E44" s="30">
        <v>0</v>
      </c>
      <c r="F44" s="33">
        <v>-1.6999999999999999E-3</v>
      </c>
      <c r="G44" s="33">
        <v>-6.7999999999999996E-3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4">
        <v>5.1799999999999999E-2</v>
      </c>
      <c r="O44" s="30">
        <v>-3.1565562289396068E-2</v>
      </c>
      <c r="P44" s="28">
        <v>1.64</v>
      </c>
    </row>
    <row r="46" spans="1:16" ht="20.100000000000001" customHeight="1" x14ac:dyDescent="0.25">
      <c r="A46" s="72" t="s">
        <v>149</v>
      </c>
      <c r="B46" s="73"/>
      <c r="C46" s="73"/>
      <c r="D46" s="73"/>
      <c r="E46" s="73"/>
    </row>
    <row r="47" spans="1:16" ht="18" customHeight="1" x14ac:dyDescent="0.25">
      <c r="A47" s="1" t="s">
        <v>150</v>
      </c>
      <c r="B47" s="20" t="s">
        <v>151</v>
      </c>
      <c r="D47" s="1" t="s">
        <v>152</v>
      </c>
      <c r="E47" s="20" t="s">
        <v>153</v>
      </c>
    </row>
    <row r="48" spans="1:16" ht="18" customHeight="1" x14ac:dyDescent="0.25">
      <c r="A48" s="1" t="s">
        <v>154</v>
      </c>
      <c r="B48" s="20" t="s">
        <v>155</v>
      </c>
    </row>
    <row r="49" spans="1:5" ht="18" customHeight="1" x14ac:dyDescent="0.25">
      <c r="A49" s="22" t="s">
        <v>156</v>
      </c>
      <c r="B49" s="24" t="s">
        <v>119</v>
      </c>
      <c r="D49" s="22" t="s">
        <v>157</v>
      </c>
      <c r="E49" s="24" t="s">
        <v>119</v>
      </c>
    </row>
    <row r="51" spans="1:5" ht="18" customHeight="1" x14ac:dyDescent="0.25">
      <c r="A51" s="1" t="s">
        <v>158</v>
      </c>
      <c r="B51" s="25" t="s">
        <v>159</v>
      </c>
      <c r="D51" s="1" t="s">
        <v>160</v>
      </c>
      <c r="E51" s="20" t="s">
        <v>161</v>
      </c>
    </row>
    <row r="52" spans="1:5" ht="18" customHeight="1" x14ac:dyDescent="0.25">
      <c r="A52" s="22" t="s">
        <v>162</v>
      </c>
      <c r="B52" s="24" t="s">
        <v>163</v>
      </c>
      <c r="D52" s="22" t="s">
        <v>164</v>
      </c>
      <c r="E52" s="24" t="s">
        <v>165</v>
      </c>
    </row>
    <row r="53" spans="1:5" ht="18" customHeight="1" x14ac:dyDescent="0.25">
      <c r="A53" s="1" t="s">
        <v>166</v>
      </c>
      <c r="B53" s="25" t="s">
        <v>167</v>
      </c>
      <c r="D53" s="1" t="s">
        <v>168</v>
      </c>
      <c r="E53" s="20" t="s">
        <v>169</v>
      </c>
    </row>
    <row r="54" spans="1:5" ht="18" customHeight="1" x14ac:dyDescent="0.25">
      <c r="A54" s="22" t="s">
        <v>170</v>
      </c>
      <c r="B54" s="24" t="s">
        <v>171</v>
      </c>
      <c r="D54" s="22" t="s">
        <v>172</v>
      </c>
      <c r="E54" s="24" t="s">
        <v>173</v>
      </c>
    </row>
    <row r="55" spans="1:5" ht="18" customHeight="1" x14ac:dyDescent="0.25">
      <c r="A55" s="1" t="s">
        <v>174</v>
      </c>
      <c r="B55" s="25" t="s">
        <v>175</v>
      </c>
      <c r="D55" s="1" t="s">
        <v>176</v>
      </c>
      <c r="E55" s="20" t="s">
        <v>177</v>
      </c>
    </row>
    <row r="56" spans="1:5" ht="18" customHeight="1" x14ac:dyDescent="0.25">
      <c r="A56" s="22" t="s">
        <v>178</v>
      </c>
      <c r="B56" s="24" t="s">
        <v>179</v>
      </c>
      <c r="D56" s="22" t="s">
        <v>180</v>
      </c>
      <c r="E56" s="24" t="s">
        <v>181</v>
      </c>
    </row>
    <row r="58" spans="1:5" ht="18" customHeight="1" x14ac:dyDescent="0.25">
      <c r="A58" s="77" t="s">
        <v>182</v>
      </c>
      <c r="B58" s="73"/>
      <c r="C58" s="73"/>
      <c r="D58" s="73"/>
      <c r="E58" s="35" t="s">
        <v>183</v>
      </c>
    </row>
    <row r="59" spans="1:5" ht="18" customHeight="1" x14ac:dyDescent="0.25">
      <c r="A59" s="81" t="s">
        <v>184</v>
      </c>
      <c r="B59" s="73"/>
      <c r="C59" s="73"/>
      <c r="D59" s="73"/>
      <c r="E59" s="36" t="s">
        <v>185</v>
      </c>
    </row>
    <row r="60" spans="1:5" ht="18" customHeight="1" x14ac:dyDescent="0.25">
      <c r="A60" s="77" t="s">
        <v>186</v>
      </c>
      <c r="B60" s="73"/>
      <c r="C60" s="73"/>
      <c r="D60" s="73"/>
      <c r="E60" s="35" t="s">
        <v>187</v>
      </c>
    </row>
  </sheetData>
  <mergeCells count="14">
    <mergeCell ref="A60:D60"/>
    <mergeCell ref="A18:E18"/>
    <mergeCell ref="A1:E1"/>
    <mergeCell ref="A23:E23"/>
    <mergeCell ref="A46:E46"/>
    <mergeCell ref="A36:E36"/>
    <mergeCell ref="A59:D59"/>
    <mergeCell ref="A4:E4"/>
    <mergeCell ref="A20:E20"/>
    <mergeCell ref="A26:E26"/>
    <mergeCell ref="A2:E2"/>
    <mergeCell ref="A58:D58"/>
    <mergeCell ref="D13:E13"/>
    <mergeCell ref="D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8" width="12" customWidth="1"/>
    <col min="10" max="14" width="12" customWidth="1"/>
  </cols>
  <sheetData>
    <row r="1" spans="1:14" x14ac:dyDescent="0.25">
      <c r="A1" s="83" t="s">
        <v>188</v>
      </c>
      <c r="B1" s="73"/>
      <c r="C1" s="73"/>
      <c r="D1" s="73"/>
      <c r="E1" s="73"/>
      <c r="F1" s="73"/>
      <c r="G1" s="73"/>
      <c r="H1" s="73"/>
    </row>
    <row r="2" spans="1:14" x14ac:dyDescent="0.25">
      <c r="A2" s="82" t="s">
        <v>189</v>
      </c>
      <c r="B2" s="73"/>
      <c r="C2" s="73"/>
      <c r="D2" s="73"/>
      <c r="E2" s="73"/>
      <c r="F2" s="73"/>
      <c r="G2" s="73"/>
      <c r="H2" s="73"/>
    </row>
    <row r="4" spans="1:14" x14ac:dyDescent="0.25">
      <c r="A4" s="3" t="s">
        <v>190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57</v>
      </c>
      <c r="G4" s="3" t="s">
        <v>70</v>
      </c>
      <c r="H4" s="3" t="s">
        <v>71</v>
      </c>
      <c r="J4" s="37" t="s">
        <v>191</v>
      </c>
      <c r="K4" s="37" t="s">
        <v>192</v>
      </c>
      <c r="L4" s="37" t="s">
        <v>193</v>
      </c>
      <c r="M4" s="37" t="s">
        <v>190</v>
      </c>
      <c r="N4" s="37" t="s">
        <v>194</v>
      </c>
    </row>
    <row r="5" spans="1:14" x14ac:dyDescent="0.25">
      <c r="A5" s="38">
        <v>-0.12990476518208169</v>
      </c>
      <c r="B5" s="38">
        <v>99.87009523481791</v>
      </c>
      <c r="C5" s="38">
        <v>100</v>
      </c>
      <c r="D5" s="38">
        <v>-0.1299047651820899</v>
      </c>
      <c r="E5" s="38">
        <v>-1.2990476518208989E-3</v>
      </c>
      <c r="F5" s="38">
        <v>-0.8538</v>
      </c>
      <c r="G5" s="38">
        <v>99.146199999999993</v>
      </c>
      <c r="H5" s="38">
        <v>-0.85380000000000456</v>
      </c>
      <c r="J5" s="38" t="s">
        <v>195</v>
      </c>
      <c r="K5" s="38" t="s">
        <v>196</v>
      </c>
      <c r="L5" s="39">
        <v>12.669212383983529</v>
      </c>
      <c r="M5" s="38">
        <v>1.3840363779401159</v>
      </c>
      <c r="N5" s="38">
        <v>-0.85380000000000456</v>
      </c>
    </row>
    <row r="6" spans="1:14" x14ac:dyDescent="0.25">
      <c r="A6" s="38">
        <v>1.5139411431221981</v>
      </c>
      <c r="B6" s="38">
        <v>101.3820696962531</v>
      </c>
      <c r="C6" s="38">
        <v>101.3820696962531</v>
      </c>
      <c r="D6" s="38"/>
      <c r="E6" s="38">
        <v>0</v>
      </c>
      <c r="F6" s="38">
        <v>-0.45440000000000003</v>
      </c>
      <c r="G6" s="38">
        <v>99.416285522070893</v>
      </c>
      <c r="H6" s="38">
        <v>-0.58371447792910924</v>
      </c>
      <c r="J6" s="38" t="s">
        <v>197</v>
      </c>
      <c r="K6" s="38" t="s">
        <v>198</v>
      </c>
      <c r="L6" s="39">
        <v>6.8856964479294236</v>
      </c>
      <c r="M6" s="38">
        <v>2.7984211240933758</v>
      </c>
      <c r="N6" s="38">
        <v>-2.0363360318704342</v>
      </c>
    </row>
    <row r="7" spans="1:14" x14ac:dyDescent="0.25">
      <c r="A7" s="38">
        <v>-0.54817442230346547</v>
      </c>
      <c r="B7" s="38">
        <v>99.451825577696539</v>
      </c>
      <c r="C7" s="38">
        <v>100</v>
      </c>
      <c r="D7" s="38">
        <v>-0.54817442230346103</v>
      </c>
      <c r="E7" s="38">
        <v>-5.4817442230346101E-3</v>
      </c>
      <c r="F7" s="38">
        <v>-0.61439999999999995</v>
      </c>
      <c r="G7" s="38">
        <v>99.385599999999997</v>
      </c>
      <c r="H7" s="38">
        <v>-0.61440000000000383</v>
      </c>
      <c r="J7" s="38" t="s">
        <v>199</v>
      </c>
      <c r="K7" s="38" t="s">
        <v>200</v>
      </c>
      <c r="L7" s="39">
        <v>-8.6952387637855626</v>
      </c>
      <c r="M7" s="38">
        <v>-3.9519026136903079</v>
      </c>
      <c r="N7" s="38">
        <v>-6.0860916594692727</v>
      </c>
    </row>
    <row r="8" spans="1:14" x14ac:dyDescent="0.25">
      <c r="A8" s="38">
        <v>-0.47442843371262339</v>
      </c>
      <c r="B8" s="38">
        <v>98.979997839309661</v>
      </c>
      <c r="C8" s="38">
        <v>100</v>
      </c>
      <c r="D8" s="38">
        <v>-1.0200021606903391</v>
      </c>
      <c r="E8" s="38">
        <v>-1.020002160690339E-2</v>
      </c>
      <c r="F8" s="38">
        <v>-0.47739999999999999</v>
      </c>
      <c r="G8" s="38">
        <v>98.977042562388618</v>
      </c>
      <c r="H8" s="38">
        <v>-1.022957437611383</v>
      </c>
      <c r="J8" s="38" t="s">
        <v>201</v>
      </c>
      <c r="K8" s="38" t="s">
        <v>202</v>
      </c>
      <c r="L8" s="39">
        <v>-6.9047703869546844</v>
      </c>
      <c r="M8" s="38">
        <v>-6.4059740842409694</v>
      </c>
      <c r="N8" s="38">
        <v>-7.000143915010959</v>
      </c>
    </row>
    <row r="9" spans="1:14" x14ac:dyDescent="0.25">
      <c r="A9" s="38">
        <v>-0.47073733761825021</v>
      </c>
      <c r="B9" s="38">
        <v>98.514062032706292</v>
      </c>
      <c r="C9" s="38">
        <v>100</v>
      </c>
      <c r="D9" s="38">
        <v>-1.4859379672937081</v>
      </c>
      <c r="E9" s="38">
        <v>-1.485937967293708E-2</v>
      </c>
      <c r="F9" s="38">
        <v>-0.9143</v>
      </c>
      <c r="G9" s="38">
        <v>98.075023719064845</v>
      </c>
      <c r="H9" s="38">
        <v>-1.9249762809351529</v>
      </c>
      <c r="J9" s="38" t="s">
        <v>203</v>
      </c>
      <c r="K9" s="38" t="s">
        <v>204</v>
      </c>
      <c r="L9" s="39">
        <v>2.378772083578617</v>
      </c>
      <c r="M9" s="38">
        <v>1.751758446655439</v>
      </c>
      <c r="N9" s="38">
        <v>-5.0935376149838119</v>
      </c>
    </row>
    <row r="10" spans="1:14" x14ac:dyDescent="0.25">
      <c r="A10" s="38">
        <v>0.47004300481175598</v>
      </c>
      <c r="B10" s="38">
        <v>98.977120490046929</v>
      </c>
      <c r="C10" s="38">
        <v>100</v>
      </c>
      <c r="D10" s="38">
        <v>-1.022879509953071</v>
      </c>
      <c r="E10" s="38">
        <v>-1.0228795099530711E-2</v>
      </c>
      <c r="F10" s="38">
        <v>-0.55869999999999997</v>
      </c>
      <c r="G10" s="38">
        <v>97.963663968129566</v>
      </c>
      <c r="H10" s="38">
        <v>-2.0363360318704342</v>
      </c>
      <c r="J10" s="38" t="s">
        <v>205</v>
      </c>
      <c r="K10" s="38" t="s">
        <v>206</v>
      </c>
      <c r="L10" s="39">
        <v>1.8394399082420241</v>
      </c>
      <c r="M10" s="38">
        <v>1.9356696973157439</v>
      </c>
      <c r="N10" s="38">
        <v>-4.324118984509151</v>
      </c>
    </row>
    <row r="11" spans="1:14" x14ac:dyDescent="0.25">
      <c r="A11" s="38">
        <v>1.3808803735522359</v>
      </c>
      <c r="B11" s="38">
        <v>100.34387612120111</v>
      </c>
      <c r="C11" s="38">
        <v>100.34387612120111</v>
      </c>
      <c r="D11" s="38"/>
      <c r="E11" s="38">
        <v>0</v>
      </c>
      <c r="F11" s="38">
        <v>-0.57120000000000004</v>
      </c>
      <c r="G11" s="38">
        <v>98.411763177807771</v>
      </c>
      <c r="H11" s="38">
        <v>-1.5882368221922241</v>
      </c>
      <c r="J11" s="38" t="s">
        <v>207</v>
      </c>
      <c r="K11" s="38" t="s">
        <v>208</v>
      </c>
      <c r="L11" s="39">
        <v>-4.9857879746199929</v>
      </c>
      <c r="M11" s="38">
        <v>-0.8522564170511866</v>
      </c>
      <c r="N11" s="38">
        <v>-1.220979620211238</v>
      </c>
    </row>
    <row r="12" spans="1:14" x14ac:dyDescent="0.25">
      <c r="A12" s="38">
        <v>2.440837939363723</v>
      </c>
      <c r="B12" s="38">
        <v>102.79310751939551</v>
      </c>
      <c r="C12" s="38">
        <v>102.79310751939551</v>
      </c>
      <c r="D12" s="38"/>
      <c r="E12" s="38">
        <v>0</v>
      </c>
      <c r="F12" s="38">
        <v>1.3672</v>
      </c>
      <c r="G12" s="38">
        <v>101.7157775955302</v>
      </c>
      <c r="H12" s="38">
        <v>1.3671999999999911</v>
      </c>
    </row>
    <row r="13" spans="1:14" x14ac:dyDescent="0.25">
      <c r="A13" s="38">
        <v>-0.52686025672781311</v>
      </c>
      <c r="B13" s="38">
        <v>99.473139743272185</v>
      </c>
      <c r="C13" s="38">
        <v>100</v>
      </c>
      <c r="D13" s="38">
        <v>-0.52686025672781511</v>
      </c>
      <c r="E13" s="38">
        <v>-5.2686025672781514E-3</v>
      </c>
      <c r="F13" s="38">
        <v>-1.3661000000000001</v>
      </c>
      <c r="G13" s="38">
        <v>98.633899999999997</v>
      </c>
      <c r="H13" s="38">
        <v>-1.366100000000003</v>
      </c>
    </row>
    <row r="14" spans="1:14" x14ac:dyDescent="0.25">
      <c r="A14" s="38">
        <v>1.154518917160557</v>
      </c>
      <c r="B14" s="38">
        <v>100.6215759591018</v>
      </c>
      <c r="C14" s="38">
        <v>100.6215759591018</v>
      </c>
      <c r="D14" s="38"/>
      <c r="E14" s="38">
        <v>0</v>
      </c>
      <c r="F14" s="38">
        <v>-1.1325000000000001</v>
      </c>
      <c r="G14" s="38">
        <v>98.346606435679618</v>
      </c>
      <c r="H14" s="38">
        <v>-1.6533935643203821</v>
      </c>
    </row>
    <row r="15" spans="1:14" x14ac:dyDescent="0.25">
      <c r="A15" s="38">
        <v>-2.8989600489948328</v>
      </c>
      <c r="B15" s="38">
        <v>97.704596671378468</v>
      </c>
      <c r="C15" s="38">
        <v>100.6215759591018</v>
      </c>
      <c r="D15" s="38">
        <v>-2.91697928772335</v>
      </c>
      <c r="E15" s="38">
        <v>-2.8989600489948319E-2</v>
      </c>
      <c r="F15" s="38">
        <v>-2.9390999999999998</v>
      </c>
      <c r="G15" s="38">
        <v>97.66420722008786</v>
      </c>
      <c r="H15" s="38">
        <v>-2.9390999999999941</v>
      </c>
    </row>
    <row r="16" spans="1:14" x14ac:dyDescent="0.25">
      <c r="A16" s="38">
        <v>-0.66415026258742338</v>
      </c>
      <c r="B16" s="38">
        <v>97.055691336025518</v>
      </c>
      <c r="C16" s="38">
        <v>100.6215759591018</v>
      </c>
      <c r="D16" s="38">
        <v>-3.5658846230762999</v>
      </c>
      <c r="E16" s="38">
        <v>-3.543856860804559E-2</v>
      </c>
      <c r="F16" s="38">
        <v>-0.67510000000000003</v>
      </c>
      <c r="G16" s="38">
        <v>97.044992939249994</v>
      </c>
      <c r="H16" s="38">
        <v>-3.554489169704067</v>
      </c>
    </row>
    <row r="17" spans="1:8" x14ac:dyDescent="0.25">
      <c r="A17" s="38">
        <v>-0.94133869514580171</v>
      </c>
      <c r="B17" s="38">
        <v>96.14206855763824</v>
      </c>
      <c r="C17" s="38">
        <v>100.6215759591018</v>
      </c>
      <c r="D17" s="38">
        <v>-4.4795074014635787</v>
      </c>
      <c r="E17" s="38">
        <v>-4.4518358600190273E-2</v>
      </c>
      <c r="F17" s="38">
        <v>-0.9647</v>
      </c>
      <c r="G17" s="38">
        <v>96.119395081706884</v>
      </c>
      <c r="H17" s="38">
        <v>-4.4743692736683771</v>
      </c>
    </row>
    <row r="18" spans="1:8" x14ac:dyDescent="0.25">
      <c r="A18" s="38">
        <v>-0.59240103656656262</v>
      </c>
      <c r="B18" s="38">
        <v>95.572521946926258</v>
      </c>
      <c r="C18" s="38">
        <v>100.6215759591018</v>
      </c>
      <c r="D18" s="38">
        <v>-5.04905401217556</v>
      </c>
      <c r="E18" s="38">
        <v>-5.017864174804592E-2</v>
      </c>
      <c r="F18" s="38">
        <v>-1.7103999999999999</v>
      </c>
      <c r="G18" s="38">
        <v>94.497654617028388</v>
      </c>
      <c r="H18" s="38">
        <v>-6.0860916594692727</v>
      </c>
    </row>
    <row r="19" spans="1:8" x14ac:dyDescent="0.25">
      <c r="A19" s="38">
        <v>0.5172887691715683</v>
      </c>
      <c r="B19" s="38">
        <v>96.066907869371732</v>
      </c>
      <c r="C19" s="38">
        <v>100.6215759591018</v>
      </c>
      <c r="D19" s="38">
        <v>-4.554668089730086</v>
      </c>
      <c r="E19" s="38">
        <v>-4.5265322534615793E-2</v>
      </c>
      <c r="F19" s="38">
        <v>-0.25640000000000002</v>
      </c>
      <c r="G19" s="38">
        <v>95.327474000654334</v>
      </c>
      <c r="H19" s="38">
        <v>-5.2613983710604</v>
      </c>
    </row>
    <row r="20" spans="1:8" x14ac:dyDescent="0.25">
      <c r="A20" s="38">
        <v>-0.44976473844450587</v>
      </c>
      <c r="B20" s="38">
        <v>99.5502352615555</v>
      </c>
      <c r="C20" s="38">
        <v>100</v>
      </c>
      <c r="D20" s="38">
        <v>-0.44976473844450032</v>
      </c>
      <c r="E20" s="38">
        <v>-4.4976473844450023E-3</v>
      </c>
      <c r="F20" s="38">
        <v>-0.4929</v>
      </c>
      <c r="G20" s="38">
        <v>99.507100000000008</v>
      </c>
      <c r="H20" s="38">
        <v>-0.49289999999999612</v>
      </c>
    </row>
    <row r="21" spans="1:8" x14ac:dyDescent="0.25">
      <c r="A21" s="38">
        <v>-0.83701077716191385</v>
      </c>
      <c r="B21" s="38">
        <v>98.716989063726231</v>
      </c>
      <c r="C21" s="38">
        <v>100</v>
      </c>
      <c r="D21" s="38">
        <v>-1.2830109362737689</v>
      </c>
      <c r="E21" s="38">
        <v>-1.283010936273769E-2</v>
      </c>
      <c r="F21" s="38">
        <v>-0.86650000000000005</v>
      </c>
      <c r="G21" s="38">
        <v>98.687632473014119</v>
      </c>
      <c r="H21" s="38">
        <v>-1.3123675269858801</v>
      </c>
    </row>
    <row r="22" spans="1:8" x14ac:dyDescent="0.25">
      <c r="A22" s="38">
        <v>-0.1359891630341396</v>
      </c>
      <c r="B22" s="38">
        <v>98.582744656525961</v>
      </c>
      <c r="C22" s="38">
        <v>100</v>
      </c>
      <c r="D22" s="38">
        <v>-1.4172553434740389</v>
      </c>
      <c r="E22" s="38">
        <v>-1.417255343474039E-2</v>
      </c>
      <c r="F22" s="38">
        <v>-0.14729999999999999</v>
      </c>
      <c r="G22" s="38">
        <v>98.571578938835373</v>
      </c>
      <c r="H22" s="38">
        <v>-1.4284210611646311</v>
      </c>
    </row>
    <row r="23" spans="1:8" x14ac:dyDescent="0.25">
      <c r="A23" s="38">
        <v>-0.76606189467430641</v>
      </c>
      <c r="B23" s="38">
        <v>97.827539814988242</v>
      </c>
      <c r="C23" s="38">
        <v>100</v>
      </c>
      <c r="D23" s="38">
        <v>-2.172460185011758</v>
      </c>
      <c r="E23" s="38">
        <v>-2.172460185011758E-2</v>
      </c>
      <c r="F23" s="38">
        <v>-0.91690000000000005</v>
      </c>
      <c r="G23" s="38">
        <v>97.678839470770271</v>
      </c>
      <c r="H23" s="38">
        <v>-2.321160529229727</v>
      </c>
    </row>
    <row r="24" spans="1:8" x14ac:dyDescent="0.25">
      <c r="A24" s="38">
        <v>7.6551762725141012E-2</v>
      </c>
      <c r="B24" s="38">
        <v>97.902428521147257</v>
      </c>
      <c r="C24" s="38">
        <v>100</v>
      </c>
      <c r="D24" s="38">
        <v>-2.0975714788527431</v>
      </c>
      <c r="E24" s="38">
        <v>-2.097571478852743E-2</v>
      </c>
      <c r="F24" s="38">
        <v>-0.1905</v>
      </c>
      <c r="G24" s="38">
        <v>97.64117835164069</v>
      </c>
      <c r="H24" s="38">
        <v>-2.358821648359311</v>
      </c>
    </row>
    <row r="25" spans="1:8" x14ac:dyDescent="0.25">
      <c r="A25" s="38">
        <v>-0.79205143919641829</v>
      </c>
      <c r="B25" s="38">
        <v>97.126990927037269</v>
      </c>
      <c r="C25" s="38">
        <v>100</v>
      </c>
      <c r="D25" s="38">
        <v>-2.8730090729627311</v>
      </c>
      <c r="E25" s="38">
        <v>-2.873009072962731E-2</v>
      </c>
      <c r="F25" s="38">
        <v>-0.8024</v>
      </c>
      <c r="G25" s="38">
        <v>97.116859434693566</v>
      </c>
      <c r="H25" s="38">
        <v>-2.8831405653064301</v>
      </c>
    </row>
    <row r="26" spans="1:8" x14ac:dyDescent="0.25">
      <c r="A26" s="38">
        <v>1.262854496876292</v>
      </c>
      <c r="B26" s="38">
        <v>98.353563499639989</v>
      </c>
      <c r="C26" s="38">
        <v>100</v>
      </c>
      <c r="D26" s="38">
        <v>-1.646436500360011</v>
      </c>
      <c r="E26" s="38">
        <v>-1.6464365003600111E-2</v>
      </c>
      <c r="F26" s="38">
        <v>4.1799999999999997E-2</v>
      </c>
      <c r="G26" s="38">
        <v>97.167590009244776</v>
      </c>
      <c r="H26" s="38">
        <v>-2.8324099907552251</v>
      </c>
    </row>
    <row r="27" spans="1:8" x14ac:dyDescent="0.25">
      <c r="A27" s="38">
        <v>2.3325675914472521</v>
      </c>
      <c r="B27" s="38">
        <v>100.64772684686611</v>
      </c>
      <c r="C27" s="38">
        <v>100.64772684686611</v>
      </c>
      <c r="D27" s="38"/>
      <c r="E27" s="38">
        <v>0</v>
      </c>
      <c r="F27" s="38">
        <v>-0.95579999999999998</v>
      </c>
      <c r="G27" s="38">
        <v>97.413500139710436</v>
      </c>
      <c r="H27" s="38">
        <v>-2.586499860289559</v>
      </c>
    </row>
    <row r="28" spans="1:8" x14ac:dyDescent="0.25">
      <c r="A28" s="38">
        <v>-4.3871720425830896</v>
      </c>
      <c r="B28" s="38">
        <v>96.232137913144982</v>
      </c>
      <c r="C28" s="38">
        <v>100.64772684686611</v>
      </c>
      <c r="D28" s="38">
        <v>-4.4155889337210974</v>
      </c>
      <c r="E28" s="38">
        <v>-4.3871720425830832E-2</v>
      </c>
      <c r="F28" s="38">
        <v>-4.5035999999999996</v>
      </c>
      <c r="G28" s="38">
        <v>96.114955820590623</v>
      </c>
      <c r="H28" s="38">
        <v>-4.5035999999999969</v>
      </c>
    </row>
    <row r="29" spans="1:8" x14ac:dyDescent="0.25">
      <c r="A29" s="38">
        <v>-1.5856932472067209</v>
      </c>
      <c r="B29" s="38">
        <v>94.706191400613577</v>
      </c>
      <c r="C29" s="38">
        <v>100.64772684686611</v>
      </c>
      <c r="D29" s="38">
        <v>-5.9415354462525016</v>
      </c>
      <c r="E29" s="38">
        <v>-5.9032981989672287E-2</v>
      </c>
      <c r="F29" s="38">
        <v>-1.6406000000000001</v>
      </c>
      <c r="G29" s="38">
        <v>94.653353458541929</v>
      </c>
      <c r="H29" s="38">
        <v>-5.9557960980524571</v>
      </c>
    </row>
    <row r="30" spans="1:8" x14ac:dyDescent="0.25">
      <c r="A30" s="38">
        <v>-1.6078931240431291E-2</v>
      </c>
      <c r="B30" s="38">
        <v>94.69096365721785</v>
      </c>
      <c r="C30" s="38">
        <v>100.64772684686611</v>
      </c>
      <c r="D30" s="38">
        <v>-5.9567631896482283</v>
      </c>
      <c r="E30" s="38">
        <v>-5.9184279429493218E-2</v>
      </c>
      <c r="F30" s="38">
        <v>-3.4000000000000002E-2</v>
      </c>
      <c r="G30" s="38">
        <v>94.673991295537363</v>
      </c>
      <c r="H30" s="38">
        <v>-5.9352910775795849</v>
      </c>
    </row>
    <row r="31" spans="1:8" x14ac:dyDescent="0.25">
      <c r="A31" s="38">
        <v>0.23646957807398969</v>
      </c>
      <c r="B31" s="38">
        <v>94.914878979452268</v>
      </c>
      <c r="C31" s="38">
        <v>100.64772684686611</v>
      </c>
      <c r="D31" s="38">
        <v>-5.7328478674138097</v>
      </c>
      <c r="E31" s="38">
        <v>-5.6959536464606372E-2</v>
      </c>
      <c r="F31" s="38">
        <v>-8.8400000000000006E-2</v>
      </c>
      <c r="G31" s="38">
        <v>94.607256845344864</v>
      </c>
      <c r="H31" s="38">
        <v>-6.0015960526477619</v>
      </c>
    </row>
    <row r="32" spans="1:8" x14ac:dyDescent="0.25">
      <c r="A32" s="38">
        <v>-0.54583516761424844</v>
      </c>
      <c r="B32" s="38">
        <v>94.396800190683919</v>
      </c>
      <c r="C32" s="38">
        <v>100.64772684686611</v>
      </c>
      <c r="D32" s="38">
        <v>-6.250926656182159</v>
      </c>
      <c r="E32" s="38">
        <v>-6.2106982959414921E-2</v>
      </c>
      <c r="F32" s="38">
        <v>-0.75119999999999998</v>
      </c>
      <c r="G32" s="38">
        <v>94.201878408558628</v>
      </c>
      <c r="H32" s="38">
        <v>-6.4043656426684192</v>
      </c>
    </row>
    <row r="33" spans="1:8" x14ac:dyDescent="0.25">
      <c r="A33" s="38">
        <v>-0.42010117000564079</v>
      </c>
      <c r="B33" s="38">
        <v>94.000238128634976</v>
      </c>
      <c r="C33" s="38">
        <v>100.64772684686611</v>
      </c>
      <c r="D33" s="38">
        <v>-6.6474887182311022</v>
      </c>
      <c r="E33" s="38">
        <v>-6.6047082497403556E-2</v>
      </c>
      <c r="F33" s="38">
        <v>-0.43120000000000003</v>
      </c>
      <c r="G33" s="38">
        <v>93.989761188261696</v>
      </c>
      <c r="H33" s="38">
        <v>-6.6151177648893889</v>
      </c>
    </row>
    <row r="34" spans="1:8" x14ac:dyDescent="0.25">
      <c r="A34" s="38">
        <v>-0.37865894220222879</v>
      </c>
      <c r="B34" s="38">
        <v>93.644297821269518</v>
      </c>
      <c r="C34" s="38">
        <v>100.64772684686611</v>
      </c>
      <c r="D34" s="38">
        <v>-7.0034290255965601</v>
      </c>
      <c r="E34" s="38">
        <v>-6.9583578735485666E-2</v>
      </c>
      <c r="F34" s="38">
        <v>-0.4234</v>
      </c>
      <c r="G34" s="38">
        <v>93.602241120398332</v>
      </c>
      <c r="H34" s="38">
        <v>-7.000143915010959</v>
      </c>
    </row>
    <row r="35" spans="1:8" x14ac:dyDescent="0.25">
      <c r="A35" s="38">
        <v>0.52665689000369387</v>
      </c>
      <c r="B35" s="38">
        <v>100.52665689000369</v>
      </c>
      <c r="C35" s="38">
        <v>100.52665689000369</v>
      </c>
      <c r="D35" s="38"/>
      <c r="E35" s="38">
        <v>0</v>
      </c>
      <c r="F35" s="38">
        <v>-0.39369999999999999</v>
      </c>
      <c r="G35" s="38">
        <v>99.606300000000005</v>
      </c>
      <c r="H35" s="38">
        <v>-0.39369999999999677</v>
      </c>
    </row>
    <row r="36" spans="1:8" x14ac:dyDescent="0.25">
      <c r="A36" s="38">
        <v>-1.92897305974347</v>
      </c>
      <c r="B36" s="38">
        <v>98.587524760734752</v>
      </c>
      <c r="C36" s="38">
        <v>100.52665689000369</v>
      </c>
      <c r="D36" s="38">
        <v>-1.939132129268927</v>
      </c>
      <c r="E36" s="38">
        <v>-1.9289730597434732E-2</v>
      </c>
      <c r="F36" s="38">
        <v>-1.9522999999999999</v>
      </c>
      <c r="G36" s="38">
        <v>98.564074967540137</v>
      </c>
      <c r="H36" s="38">
        <v>-1.9522999999999959</v>
      </c>
    </row>
    <row r="37" spans="1:8" x14ac:dyDescent="0.25">
      <c r="A37" s="38">
        <v>-0.32207341081643931</v>
      </c>
      <c r="B37" s="38">
        <v>98.270000557098356</v>
      </c>
      <c r="C37" s="38">
        <v>100.52665689000369</v>
      </c>
      <c r="D37" s="38">
        <v>-2.256656332905322</v>
      </c>
      <c r="E37" s="38">
        <v>-2.2448337612326619E-2</v>
      </c>
      <c r="F37" s="38">
        <v>-0.3604</v>
      </c>
      <c r="G37" s="38">
        <v>98.232215321497065</v>
      </c>
      <c r="H37" s="38">
        <v>-2.2824210408361578</v>
      </c>
    </row>
    <row r="38" spans="1:8" x14ac:dyDescent="0.25">
      <c r="A38" s="38">
        <v>-0.74694836657031749</v>
      </c>
      <c r="B38" s="38">
        <v>97.535974393108461</v>
      </c>
      <c r="C38" s="38">
        <v>100.52665689000369</v>
      </c>
      <c r="D38" s="38">
        <v>-2.9906824968952179</v>
      </c>
      <c r="E38" s="38">
        <v>-2.97501437869124E-2</v>
      </c>
      <c r="F38" s="38">
        <v>-0.76519999999999999</v>
      </c>
      <c r="G38" s="38">
        <v>97.518038512835446</v>
      </c>
      <c r="H38" s="38">
        <v>-2.9928562932917009</v>
      </c>
    </row>
    <row r="39" spans="1:8" x14ac:dyDescent="0.25">
      <c r="A39" s="38">
        <v>0.42962237181386931</v>
      </c>
      <c r="B39" s="38">
        <v>97.955010759667914</v>
      </c>
      <c r="C39" s="38">
        <v>100.52665689000369</v>
      </c>
      <c r="D39" s="38">
        <v>-2.5716461303357652</v>
      </c>
      <c r="E39" s="38">
        <v>-2.5581733342128959E-2</v>
      </c>
      <c r="F39" s="38">
        <v>-0.15160000000000001</v>
      </c>
      <c r="G39" s="38">
        <v>97.388109855928519</v>
      </c>
      <c r="H39" s="38">
        <v>-3.1221042568931319</v>
      </c>
    </row>
    <row r="40" spans="1:8" x14ac:dyDescent="0.25">
      <c r="A40" s="38">
        <v>-1.179008526556885</v>
      </c>
      <c r="B40" s="38">
        <v>96.800112830621714</v>
      </c>
      <c r="C40" s="38">
        <v>100.52665689000369</v>
      </c>
      <c r="D40" s="38">
        <v>-3.7265440593819652</v>
      </c>
      <c r="E40" s="38">
        <v>-3.7070207790353082E-2</v>
      </c>
      <c r="F40" s="38">
        <v>-1.1999</v>
      </c>
      <c r="G40" s="38">
        <v>96.779648585562654</v>
      </c>
      <c r="H40" s="38">
        <v>-3.7273778123756758</v>
      </c>
    </row>
    <row r="41" spans="1:8" x14ac:dyDescent="0.25">
      <c r="A41" s="38">
        <v>-0.80530535405803527</v>
      </c>
      <c r="B41" s="38">
        <v>96.02057633926249</v>
      </c>
      <c r="C41" s="38">
        <v>100.52665689000369</v>
      </c>
      <c r="D41" s="38">
        <v>-4.5060805507411894</v>
      </c>
      <c r="E41" s="38">
        <v>-4.4824732962837351E-2</v>
      </c>
      <c r="F41" s="38">
        <v>-0.81820000000000004</v>
      </c>
      <c r="G41" s="38">
        <v>96.008094307441567</v>
      </c>
      <c r="H41" s="38">
        <v>-4.4948899350212397</v>
      </c>
    </row>
    <row r="42" spans="1:8" x14ac:dyDescent="0.25">
      <c r="A42" s="38">
        <v>-0.47881475998542739</v>
      </c>
      <c r="B42" s="38">
        <v>95.560815647127029</v>
      </c>
      <c r="C42" s="38">
        <v>100.52665689000369</v>
      </c>
      <c r="D42" s="38">
        <v>-4.9658412428766496</v>
      </c>
      <c r="E42" s="38">
        <v>-4.9398253125141477E-2</v>
      </c>
      <c r="F42" s="38">
        <v>-0.505</v>
      </c>
      <c r="G42" s="38">
        <v>95.535672428749209</v>
      </c>
      <c r="H42" s="38">
        <v>-4.964836806137507</v>
      </c>
    </row>
    <row r="43" spans="1:8" x14ac:dyDescent="0.25">
      <c r="A43" s="38">
        <v>4.0782268877271752</v>
      </c>
      <c r="B43" s="38">
        <v>99.458002524979548</v>
      </c>
      <c r="C43" s="38">
        <v>100.52665689000369</v>
      </c>
      <c r="D43" s="38">
        <v>-1.06865436502413</v>
      </c>
      <c r="E43" s="38">
        <v>-1.0630557088886911E-2</v>
      </c>
      <c r="F43" s="38">
        <v>-0.16170000000000001</v>
      </c>
      <c r="G43" s="38">
        <v>95.406293808225627</v>
      </c>
      <c r="H43" s="38">
        <v>-5.0935376149838119</v>
      </c>
    </row>
    <row r="44" spans="1:8" x14ac:dyDescent="0.25">
      <c r="A44" s="38">
        <v>1.4558764901147889</v>
      </c>
      <c r="B44" s="38">
        <v>100.9059882012785</v>
      </c>
      <c r="C44" s="38">
        <v>100.9059882012785</v>
      </c>
      <c r="D44" s="38"/>
      <c r="E44" s="38">
        <v>0</v>
      </c>
      <c r="F44" s="38">
        <v>-1.1024</v>
      </c>
      <c r="G44" s="38">
        <v>98.361577505144169</v>
      </c>
      <c r="H44" s="38">
        <v>-2.1537365827539068</v>
      </c>
    </row>
    <row r="45" spans="1:8" x14ac:dyDescent="0.25">
      <c r="A45" s="38">
        <v>0.33850251838346751</v>
      </c>
      <c r="B45" s="38">
        <v>101.2475575125396</v>
      </c>
      <c r="C45" s="38">
        <v>101.2475575125396</v>
      </c>
      <c r="D45" s="38"/>
      <c r="E45" s="38">
        <v>0</v>
      </c>
      <c r="F45" s="38">
        <v>-1.4358</v>
      </c>
      <c r="G45" s="38">
        <v>99.45718002268454</v>
      </c>
      <c r="H45" s="38">
        <v>-1.435799999999998</v>
      </c>
    </row>
    <row r="46" spans="1:8" x14ac:dyDescent="0.25">
      <c r="A46" s="38">
        <v>0.38399676634302032</v>
      </c>
      <c r="B46" s="38">
        <v>101.636344859389</v>
      </c>
      <c r="C46" s="38">
        <v>101.636344859389</v>
      </c>
      <c r="D46" s="38"/>
      <c r="E46" s="38">
        <v>0</v>
      </c>
      <c r="F46" s="38">
        <v>-0.59789999999999999</v>
      </c>
      <c r="G46" s="38">
        <v>100.6421983661721</v>
      </c>
      <c r="H46" s="38">
        <v>-0.59790000000000676</v>
      </c>
    </row>
    <row r="47" spans="1:8" x14ac:dyDescent="0.25">
      <c r="A47" s="38">
        <v>-0.5193595911451635</v>
      </c>
      <c r="B47" s="38">
        <v>99.480640408854839</v>
      </c>
      <c r="C47" s="38">
        <v>100</v>
      </c>
      <c r="D47" s="38">
        <v>-0.51935959114516095</v>
      </c>
      <c r="E47" s="38">
        <v>-5.1935959114516091E-3</v>
      </c>
      <c r="F47" s="38">
        <v>-0.70809999999999995</v>
      </c>
      <c r="G47" s="38">
        <v>99.291899999999998</v>
      </c>
      <c r="H47" s="38">
        <v>-0.7081000000000004</v>
      </c>
    </row>
    <row r="48" spans="1:8" x14ac:dyDescent="0.25">
      <c r="A48" s="38">
        <v>-0.63183855947407275</v>
      </c>
      <c r="B48" s="38">
        <v>98.852083363539947</v>
      </c>
      <c r="C48" s="38">
        <v>100</v>
      </c>
      <c r="D48" s="38">
        <v>-1.147916636460053</v>
      </c>
      <c r="E48" s="38">
        <v>-1.1479166364600529E-2</v>
      </c>
      <c r="F48" s="38">
        <v>-0.67659999999999998</v>
      </c>
      <c r="G48" s="38">
        <v>98.807554395848527</v>
      </c>
      <c r="H48" s="38">
        <v>-1.1924456041514711</v>
      </c>
    </row>
    <row r="49" spans="1:8" x14ac:dyDescent="0.25">
      <c r="A49" s="38">
        <v>-5.7774015334186572E-2</v>
      </c>
      <c r="B49" s="38">
        <v>98.794972545739327</v>
      </c>
      <c r="C49" s="38">
        <v>100</v>
      </c>
      <c r="D49" s="38">
        <v>-1.2050274542606729</v>
      </c>
      <c r="E49" s="38">
        <v>-1.205027454260673E-2</v>
      </c>
      <c r="F49" s="38">
        <v>-0.3785</v>
      </c>
      <c r="G49" s="38">
        <v>98.477928228008949</v>
      </c>
      <c r="H49" s="38">
        <v>-1.522071771991051</v>
      </c>
    </row>
    <row r="50" spans="1:8" x14ac:dyDescent="0.25">
      <c r="A50" s="38">
        <v>-0.95737226982797496</v>
      </c>
      <c r="B50" s="38">
        <v>97.849136874602266</v>
      </c>
      <c r="C50" s="38">
        <v>100</v>
      </c>
      <c r="D50" s="38">
        <v>-2.1508631253977342</v>
      </c>
      <c r="E50" s="38">
        <v>-2.1508631253977339E-2</v>
      </c>
      <c r="F50" s="38">
        <v>-0.98480000000000001</v>
      </c>
      <c r="G50" s="38">
        <v>97.822039656108885</v>
      </c>
      <c r="H50" s="38">
        <v>-2.177960343891117</v>
      </c>
    </row>
    <row r="51" spans="1:8" x14ac:dyDescent="0.25">
      <c r="A51" s="38">
        <v>0.22349211319425419</v>
      </c>
      <c r="B51" s="38">
        <v>98.067821978345648</v>
      </c>
      <c r="C51" s="38">
        <v>100</v>
      </c>
      <c r="D51" s="38">
        <v>-1.932178021654352</v>
      </c>
      <c r="E51" s="38">
        <v>-1.9321780216543519E-2</v>
      </c>
      <c r="F51" s="38">
        <v>-0.39529999999999998</v>
      </c>
      <c r="G51" s="38">
        <v>97.462339236536963</v>
      </c>
      <c r="H51" s="38">
        <v>-2.5376607634630339</v>
      </c>
    </row>
    <row r="52" spans="1:8" x14ac:dyDescent="0.25">
      <c r="A52" s="38">
        <v>0.39203257382910051</v>
      </c>
      <c r="B52" s="38">
        <v>98.452279784945489</v>
      </c>
      <c r="C52" s="38">
        <v>100</v>
      </c>
      <c r="D52" s="38">
        <v>-1.5477202150545111</v>
      </c>
      <c r="E52" s="38">
        <v>-1.547720215054511E-2</v>
      </c>
      <c r="F52" s="38">
        <v>-0.57450000000000001</v>
      </c>
      <c r="G52" s="38">
        <v>97.504422341080058</v>
      </c>
      <c r="H52" s="38">
        <v>-2.4955776589199452</v>
      </c>
    </row>
    <row r="53" spans="1:8" x14ac:dyDescent="0.25">
      <c r="A53" s="38">
        <v>-0.56099980000734662</v>
      </c>
      <c r="B53" s="38">
        <v>97.899962692249275</v>
      </c>
      <c r="C53" s="38">
        <v>100</v>
      </c>
      <c r="D53" s="38">
        <v>-2.1000373077507248</v>
      </c>
      <c r="E53" s="38">
        <v>-2.100037307750725E-2</v>
      </c>
      <c r="F53" s="38">
        <v>-1.8246</v>
      </c>
      <c r="G53" s="38">
        <v>96.655919487989379</v>
      </c>
      <c r="H53" s="38">
        <v>-3.344080512010617</v>
      </c>
    </row>
    <row r="54" spans="1:8" x14ac:dyDescent="0.25">
      <c r="A54" s="38">
        <v>-1.6163438448504941</v>
      </c>
      <c r="B54" s="38">
        <v>96.317562671162165</v>
      </c>
      <c r="C54" s="38">
        <v>100</v>
      </c>
      <c r="D54" s="38">
        <v>-3.6824373288378349</v>
      </c>
      <c r="E54" s="38">
        <v>-3.6824373288378363E-2</v>
      </c>
      <c r="F54" s="38">
        <v>-1.6398999999999999</v>
      </c>
      <c r="G54" s="38">
        <v>96.294501204059074</v>
      </c>
      <c r="H54" s="38">
        <v>-3.7054987959409309</v>
      </c>
    </row>
    <row r="55" spans="1:8" x14ac:dyDescent="0.25">
      <c r="A55" s="38">
        <v>9.0117672884400979E-2</v>
      </c>
      <c r="B55" s="38">
        <v>96.404361817220391</v>
      </c>
      <c r="C55" s="38">
        <v>100</v>
      </c>
      <c r="D55" s="38">
        <v>-3.5956381827796089</v>
      </c>
      <c r="E55" s="38">
        <v>-3.5956381827796091E-2</v>
      </c>
      <c r="F55" s="38">
        <v>-4.0800000000000003E-2</v>
      </c>
      <c r="G55" s="38">
        <v>96.27826510559234</v>
      </c>
      <c r="H55" s="38">
        <v>-3.7217348944076578</v>
      </c>
    </row>
    <row r="56" spans="1:8" x14ac:dyDescent="0.25">
      <c r="A56" s="38">
        <v>-0.18391283225761679</v>
      </c>
      <c r="B56" s="38">
        <v>96.227061824982457</v>
      </c>
      <c r="C56" s="38">
        <v>100</v>
      </c>
      <c r="D56" s="38">
        <v>-3.772938175017543</v>
      </c>
      <c r="E56" s="38">
        <v>-3.7729381750175428E-2</v>
      </c>
      <c r="F56" s="38">
        <v>-0.62270000000000003</v>
      </c>
      <c r="G56" s="38">
        <v>95.804051856184557</v>
      </c>
      <c r="H56" s="38">
        <v>-4.1959481438154427</v>
      </c>
    </row>
    <row r="57" spans="1:8" x14ac:dyDescent="0.25">
      <c r="A57" s="38">
        <v>-0.27371275806651002</v>
      </c>
      <c r="B57" s="38">
        <v>95.963676080054924</v>
      </c>
      <c r="C57" s="38">
        <v>100</v>
      </c>
      <c r="D57" s="38">
        <v>-4.036323919945076</v>
      </c>
      <c r="E57" s="38">
        <v>-4.0363239199450757E-2</v>
      </c>
      <c r="F57" s="38">
        <v>-0.39410000000000001</v>
      </c>
      <c r="G57" s="38">
        <v>95.847830974330208</v>
      </c>
      <c r="H57" s="38">
        <v>-4.1521690256697941</v>
      </c>
    </row>
    <row r="58" spans="1:8" x14ac:dyDescent="0.25">
      <c r="A58" s="38">
        <v>0.91677156080550992</v>
      </c>
      <c r="B58" s="38">
        <v>96.843443771060393</v>
      </c>
      <c r="C58" s="38">
        <v>100</v>
      </c>
      <c r="D58" s="38">
        <v>-3.156556228939607</v>
      </c>
      <c r="E58" s="38">
        <v>-3.1565562289396068E-2</v>
      </c>
      <c r="F58" s="38">
        <v>-0.2999</v>
      </c>
      <c r="G58" s="38">
        <v>95.675881015490845</v>
      </c>
      <c r="H58" s="38">
        <v>-4.324118984509151</v>
      </c>
    </row>
    <row r="59" spans="1:8" x14ac:dyDescent="0.25">
      <c r="A59" s="38">
        <v>4.4686479658714452E-2</v>
      </c>
      <c r="B59" s="38">
        <v>96.886719696861945</v>
      </c>
      <c r="C59" s="38">
        <v>100</v>
      </c>
      <c r="D59" s="38">
        <v>-3.1132803031380551</v>
      </c>
      <c r="E59" s="38">
        <v>-3.1132803031380551E-2</v>
      </c>
      <c r="F59" s="38">
        <v>-0.93169999999999997</v>
      </c>
      <c r="G59" s="38">
        <v>95.941153405445419</v>
      </c>
      <c r="H59" s="38">
        <v>-4.0588465945545771</v>
      </c>
    </row>
    <row r="60" spans="1:8" x14ac:dyDescent="0.25">
      <c r="A60" s="38">
        <v>5.0698829679071293</v>
      </c>
      <c r="B60" s="38">
        <v>101.7987629969371</v>
      </c>
      <c r="C60" s="38">
        <v>101.7987629969371</v>
      </c>
      <c r="D60" s="38"/>
      <c r="E60" s="38">
        <v>0</v>
      </c>
      <c r="F60" s="38">
        <v>-0.28989999999999999</v>
      </c>
      <c r="G60" s="38">
        <v>96.60584509646074</v>
      </c>
      <c r="H60" s="38">
        <v>-3.3941549035392589</v>
      </c>
    </row>
    <row r="61" spans="1:8" x14ac:dyDescent="0.25">
      <c r="A61" s="38">
        <v>-0.17168419276134439</v>
      </c>
      <c r="B61" s="38">
        <v>99.828315807238653</v>
      </c>
      <c r="C61" s="38">
        <v>100</v>
      </c>
      <c r="D61" s="38">
        <v>-0.1716841927613473</v>
      </c>
      <c r="E61" s="38">
        <v>-1.716841927613473E-3</v>
      </c>
      <c r="F61" s="38">
        <v>-0.73009999999999997</v>
      </c>
      <c r="G61" s="38">
        <v>99.269900000000007</v>
      </c>
      <c r="H61" s="38">
        <v>-0.73009999999998909</v>
      </c>
    </row>
    <row r="62" spans="1:8" x14ac:dyDescent="0.25">
      <c r="A62" s="38">
        <v>-0.68057222428984221</v>
      </c>
      <c r="B62" s="38">
        <v>99.148912017878246</v>
      </c>
      <c r="C62" s="38">
        <v>100</v>
      </c>
      <c r="D62" s="38">
        <v>-0.85108798212175429</v>
      </c>
      <c r="E62" s="38">
        <v>-8.5108798212175426E-3</v>
      </c>
      <c r="F62" s="38">
        <v>-1.0510999999999999</v>
      </c>
      <c r="G62" s="38">
        <v>98.779020379788761</v>
      </c>
      <c r="H62" s="38">
        <v>-1.220979620211238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9" t="s">
        <v>209</v>
      </c>
      <c r="B1" s="87"/>
      <c r="C1" s="87"/>
      <c r="D1" s="87"/>
      <c r="E1" s="88"/>
      <c r="G1" s="40" t="s">
        <v>83</v>
      </c>
      <c r="H1" s="40" t="s">
        <v>210</v>
      </c>
      <c r="I1" s="40" t="s">
        <v>85</v>
      </c>
      <c r="J1" s="40" t="s">
        <v>211</v>
      </c>
      <c r="K1" s="40" t="s">
        <v>212</v>
      </c>
      <c r="L1" s="40" t="s">
        <v>82</v>
      </c>
      <c r="M1" s="40" t="s">
        <v>213</v>
      </c>
      <c r="N1" s="40" t="s">
        <v>214</v>
      </c>
      <c r="O1" s="40" t="s">
        <v>215</v>
      </c>
      <c r="P1" s="40" t="s">
        <v>216</v>
      </c>
      <c r="Q1" s="40" t="s">
        <v>217</v>
      </c>
      <c r="R1" s="40" t="s">
        <v>218</v>
      </c>
      <c r="S1" s="40" t="s">
        <v>193</v>
      </c>
    </row>
    <row r="2" spans="1:58" x14ac:dyDescent="0.25">
      <c r="A2" s="86"/>
      <c r="B2" s="87"/>
      <c r="C2" s="87"/>
      <c r="D2" s="87"/>
      <c r="E2" s="88"/>
      <c r="G2" s="41">
        <v>0.37735849056603782</v>
      </c>
      <c r="H2" s="41">
        <v>1.2622850598042719E-2</v>
      </c>
      <c r="I2" s="41">
        <v>0.62264150943396224</v>
      </c>
      <c r="J2" s="41">
        <v>-8.662408686382796E-3</v>
      </c>
      <c r="K2" s="42">
        <v>-7.2755210972205164E-2</v>
      </c>
      <c r="L2" s="43">
        <v>58</v>
      </c>
      <c r="M2" s="44">
        <v>-0.850764415355591</v>
      </c>
      <c r="N2" s="44">
        <v>-1.4899786482820869</v>
      </c>
      <c r="O2" s="42">
        <v>-1.2407651823677359</v>
      </c>
      <c r="P2" s="42">
        <v>-0.17043220517793009</v>
      </c>
      <c r="Q2" s="42">
        <v>-2.705527381782828</v>
      </c>
      <c r="R2" s="44">
        <v>-0.30341263174940858</v>
      </c>
      <c r="S2" s="41">
        <v>-3.7947463914890567E-2</v>
      </c>
    </row>
    <row r="3" spans="1:58" x14ac:dyDescent="0.25">
      <c r="A3" s="45" t="s">
        <v>125</v>
      </c>
      <c r="B3" s="46" t="s">
        <v>219</v>
      </c>
      <c r="C3" s="46" t="s">
        <v>220</v>
      </c>
      <c r="D3" s="46" t="s">
        <v>221</v>
      </c>
      <c r="E3" s="46" t="s">
        <v>222</v>
      </c>
      <c r="F3" s="47" t="s">
        <v>223</v>
      </c>
      <c r="G3" s="46" t="s">
        <v>224</v>
      </c>
      <c r="H3" s="46" t="s">
        <v>225</v>
      </c>
      <c r="I3" s="46" t="s">
        <v>226</v>
      </c>
      <c r="J3" s="47" t="s">
        <v>227</v>
      </c>
      <c r="K3" s="46" t="s">
        <v>228</v>
      </c>
      <c r="L3" s="46" t="s">
        <v>229</v>
      </c>
      <c r="M3" s="46" t="s">
        <v>230</v>
      </c>
      <c r="N3" s="47" t="s">
        <v>231</v>
      </c>
      <c r="O3" s="46" t="s">
        <v>232</v>
      </c>
      <c r="P3" s="46" t="s">
        <v>233</v>
      </c>
      <c r="Q3" s="46" t="s">
        <v>234</v>
      </c>
      <c r="R3" s="47" t="s">
        <v>235</v>
      </c>
      <c r="S3" s="46" t="s">
        <v>236</v>
      </c>
      <c r="T3" s="46" t="s">
        <v>237</v>
      </c>
      <c r="U3" s="46" t="s">
        <v>238</v>
      </c>
      <c r="V3" s="46" t="s">
        <v>239</v>
      </c>
      <c r="W3" s="47" t="s">
        <v>240</v>
      </c>
      <c r="X3" s="46" t="s">
        <v>241</v>
      </c>
      <c r="Y3" s="46" t="s">
        <v>242</v>
      </c>
      <c r="Z3" s="46" t="s">
        <v>243</v>
      </c>
      <c r="AA3" s="47" t="s">
        <v>244</v>
      </c>
      <c r="AB3" s="46" t="s">
        <v>245</v>
      </c>
      <c r="AC3" s="46" t="s">
        <v>246</v>
      </c>
      <c r="AD3" s="46" t="s">
        <v>247</v>
      </c>
      <c r="AE3" s="47" t="s">
        <v>248</v>
      </c>
      <c r="AF3" s="46" t="s">
        <v>249</v>
      </c>
      <c r="AG3" s="46" t="s">
        <v>250</v>
      </c>
      <c r="AH3" s="46" t="s">
        <v>251</v>
      </c>
      <c r="AI3" s="46" t="s">
        <v>252</v>
      </c>
      <c r="AJ3" s="47" t="s">
        <v>253</v>
      </c>
      <c r="AK3" s="46" t="s">
        <v>254</v>
      </c>
      <c r="AL3" s="46" t="s">
        <v>255</v>
      </c>
      <c r="AM3" s="46" t="s">
        <v>256</v>
      </c>
      <c r="AN3" s="47" t="s">
        <v>257</v>
      </c>
      <c r="AO3" s="46" t="s">
        <v>258</v>
      </c>
      <c r="AP3" s="46" t="s">
        <v>259</v>
      </c>
      <c r="AQ3" s="46" t="s">
        <v>260</v>
      </c>
      <c r="AR3" s="46" t="s">
        <v>261</v>
      </c>
      <c r="AS3" s="47" t="s">
        <v>262</v>
      </c>
      <c r="AT3" s="46" t="s">
        <v>263</v>
      </c>
      <c r="AU3" s="46" t="s">
        <v>264</v>
      </c>
      <c r="AV3" s="46" t="s">
        <v>265</v>
      </c>
      <c r="AW3" s="47" t="s">
        <v>266</v>
      </c>
      <c r="AX3" s="46" t="s">
        <v>267</v>
      </c>
      <c r="AY3" s="46" t="s">
        <v>268</v>
      </c>
      <c r="AZ3" s="46" t="s">
        <v>269</v>
      </c>
      <c r="BA3" s="46" t="s">
        <v>270</v>
      </c>
      <c r="BB3" s="47" t="s">
        <v>271</v>
      </c>
      <c r="BC3" s="84" t="s">
        <v>138</v>
      </c>
      <c r="BD3" s="84" t="s">
        <v>139</v>
      </c>
      <c r="BE3" s="84" t="s">
        <v>272</v>
      </c>
      <c r="BF3" s="84" t="s">
        <v>140</v>
      </c>
    </row>
    <row r="4" spans="1:58" x14ac:dyDescent="0.25">
      <c r="A4" s="48" t="s">
        <v>273</v>
      </c>
      <c r="B4" s="48" t="s">
        <v>126</v>
      </c>
      <c r="C4" s="49"/>
      <c r="D4" s="49"/>
      <c r="E4" s="49"/>
      <c r="F4" s="50"/>
      <c r="G4" s="48" t="s">
        <v>127</v>
      </c>
      <c r="H4" s="49"/>
      <c r="I4" s="49"/>
      <c r="J4" s="50"/>
      <c r="K4" s="48" t="s">
        <v>128</v>
      </c>
      <c r="L4" s="49"/>
      <c r="M4" s="49"/>
      <c r="N4" s="50"/>
      <c r="O4" s="48" t="s">
        <v>129</v>
      </c>
      <c r="P4" s="49"/>
      <c r="Q4" s="49"/>
      <c r="R4" s="50"/>
      <c r="S4" s="48" t="s">
        <v>130</v>
      </c>
      <c r="T4" s="49"/>
      <c r="U4" s="49"/>
      <c r="V4" s="49"/>
      <c r="W4" s="50"/>
      <c r="X4" s="48" t="s">
        <v>131</v>
      </c>
      <c r="Y4" s="49"/>
      <c r="Z4" s="49"/>
      <c r="AA4" s="50"/>
      <c r="AB4" s="48" t="s">
        <v>132</v>
      </c>
      <c r="AC4" s="49"/>
      <c r="AD4" s="49"/>
      <c r="AE4" s="50"/>
      <c r="AF4" s="48" t="s">
        <v>133</v>
      </c>
      <c r="AG4" s="49"/>
      <c r="AH4" s="49"/>
      <c r="AI4" s="49"/>
      <c r="AJ4" s="50"/>
      <c r="AK4" s="48" t="s">
        <v>134</v>
      </c>
      <c r="AL4" s="49"/>
      <c r="AM4" s="49"/>
      <c r="AN4" s="50"/>
      <c r="AO4" s="48" t="s">
        <v>135</v>
      </c>
      <c r="AP4" s="49"/>
      <c r="AQ4" s="49"/>
      <c r="AR4" s="49"/>
      <c r="AS4" s="50"/>
      <c r="AT4" s="48" t="s">
        <v>136</v>
      </c>
      <c r="AU4" s="49"/>
      <c r="AV4" s="49"/>
      <c r="AW4" s="50"/>
      <c r="AX4" s="48" t="s">
        <v>137</v>
      </c>
      <c r="AY4" s="49"/>
      <c r="AZ4" s="49"/>
      <c r="BA4" s="49"/>
      <c r="BB4" s="50"/>
      <c r="BC4" s="85"/>
      <c r="BD4" s="85"/>
      <c r="BE4" s="85"/>
      <c r="BF4" s="85"/>
    </row>
    <row r="5" spans="1:58" x14ac:dyDescent="0.25">
      <c r="A5" s="51">
        <v>2019</v>
      </c>
      <c r="B5" s="52"/>
      <c r="C5" s="52"/>
      <c r="D5" s="52"/>
      <c r="E5" s="52"/>
      <c r="F5" s="53"/>
      <c r="G5" s="52"/>
      <c r="H5" s="52"/>
      <c r="I5" s="52"/>
      <c r="J5" s="53"/>
      <c r="K5" s="52"/>
      <c r="L5" s="52"/>
      <c r="M5" s="52"/>
      <c r="N5" s="53"/>
      <c r="O5" s="52"/>
      <c r="P5" s="52"/>
      <c r="Q5" s="52"/>
      <c r="R5" s="54">
        <v>-1.299E-3</v>
      </c>
      <c r="S5" s="52"/>
      <c r="T5" s="55">
        <v>1.5139E-2</v>
      </c>
      <c r="U5" s="52"/>
      <c r="V5" s="52"/>
      <c r="W5" s="53"/>
      <c r="X5" s="52"/>
      <c r="Y5" s="52"/>
      <c r="Z5" s="52"/>
      <c r="AA5" s="53"/>
      <c r="AB5" s="52"/>
      <c r="AC5" s="52"/>
      <c r="AD5" s="52"/>
      <c r="AE5" s="53"/>
      <c r="AF5" s="52"/>
      <c r="AG5" s="52"/>
      <c r="AH5" s="52"/>
      <c r="AI5" s="52"/>
      <c r="AJ5" s="53"/>
      <c r="AK5" s="52"/>
      <c r="AL5" s="52"/>
      <c r="AM5" s="52"/>
      <c r="AN5" s="53"/>
      <c r="AO5" s="52"/>
      <c r="AP5" s="52"/>
      <c r="AQ5" s="52"/>
      <c r="AR5" s="52"/>
      <c r="AS5" s="56">
        <v>-5.4819999999999999E-3</v>
      </c>
      <c r="AT5" s="57"/>
      <c r="AU5" s="57"/>
      <c r="AV5" s="57"/>
      <c r="AW5" s="58">
        <v>-4.744E-3</v>
      </c>
      <c r="AX5" s="57"/>
      <c r="AY5" s="57"/>
      <c r="AZ5" s="57"/>
      <c r="BA5" s="59">
        <v>-4.7070000000000002E-3</v>
      </c>
      <c r="BB5" s="53"/>
      <c r="BC5" s="60">
        <v>-1.093E-3</v>
      </c>
      <c r="BD5" s="61">
        <v>-1.49E-2</v>
      </c>
      <c r="BE5" s="61">
        <v>-1.9199999999999998E-2</v>
      </c>
      <c r="BF5" s="62">
        <v>-7.0000000000000007E-2</v>
      </c>
    </row>
    <row r="6" spans="1:58" x14ac:dyDescent="0.25">
      <c r="A6" s="51">
        <v>2020</v>
      </c>
      <c r="B6" s="52"/>
      <c r="C6" s="52"/>
      <c r="D6" s="52"/>
      <c r="E6" s="52"/>
      <c r="F6" s="63">
        <v>4.7000000000000002E-3</v>
      </c>
      <c r="G6" s="52"/>
      <c r="H6" s="52"/>
      <c r="I6" s="52"/>
      <c r="J6" s="63">
        <v>3.8217000000000001E-2</v>
      </c>
      <c r="K6" s="52"/>
      <c r="L6" s="52"/>
      <c r="M6" s="52"/>
      <c r="N6" s="53"/>
      <c r="O6" s="52"/>
      <c r="P6" s="52"/>
      <c r="Q6" s="52"/>
      <c r="R6" s="53"/>
      <c r="S6" s="52"/>
      <c r="T6" s="52"/>
      <c r="U6" s="52"/>
      <c r="V6" s="52"/>
      <c r="W6" s="53"/>
      <c r="X6" s="52"/>
      <c r="Y6" s="52"/>
      <c r="Z6" s="52"/>
      <c r="AA6" s="53"/>
      <c r="AB6" s="52"/>
      <c r="AC6" s="52"/>
      <c r="AD6" s="52"/>
      <c r="AE6" s="53"/>
      <c r="AF6" s="52"/>
      <c r="AG6" s="52"/>
      <c r="AH6" s="52"/>
      <c r="AI6" s="52"/>
      <c r="AJ6" s="53"/>
      <c r="AK6" s="52"/>
      <c r="AL6" s="52"/>
      <c r="AM6" s="52"/>
      <c r="AN6" s="53"/>
      <c r="AO6" s="52"/>
      <c r="AP6" s="52"/>
      <c r="AQ6" s="52"/>
      <c r="AR6" s="52"/>
      <c r="AS6" s="53"/>
      <c r="AT6" s="52"/>
      <c r="AU6" s="52"/>
      <c r="AV6" s="52"/>
      <c r="AW6" s="53"/>
      <c r="AX6" s="52"/>
      <c r="AY6" s="52"/>
      <c r="AZ6" s="52"/>
      <c r="BA6" s="52"/>
      <c r="BB6" s="53"/>
      <c r="BC6" s="64">
        <v>4.2917999999999998E-2</v>
      </c>
      <c r="BD6" s="65"/>
      <c r="BE6" s="61">
        <v>-2.0400000000000001E-2</v>
      </c>
      <c r="BF6" s="66"/>
    </row>
    <row r="7" spans="1:58" x14ac:dyDescent="0.25">
      <c r="A7" s="51">
        <v>2022</v>
      </c>
      <c r="B7" s="52"/>
      <c r="C7" s="52"/>
      <c r="D7" s="52"/>
      <c r="E7" s="52"/>
      <c r="F7" s="53"/>
      <c r="G7" s="52"/>
      <c r="H7" s="52"/>
      <c r="I7" s="52"/>
      <c r="J7" s="53"/>
      <c r="K7" s="52"/>
      <c r="L7" s="52"/>
      <c r="M7" s="52"/>
      <c r="N7" s="53"/>
      <c r="O7" s="52"/>
      <c r="P7" s="52"/>
      <c r="Q7" s="52"/>
      <c r="R7" s="53"/>
      <c r="S7" s="52"/>
      <c r="T7" s="52"/>
      <c r="U7" s="52"/>
      <c r="V7" s="52"/>
      <c r="W7" s="53"/>
      <c r="X7" s="52"/>
      <c r="Y7" s="52"/>
      <c r="Z7" s="52"/>
      <c r="AA7" s="53"/>
      <c r="AB7" s="52"/>
      <c r="AC7" s="52"/>
      <c r="AD7" s="52"/>
      <c r="AE7" s="53"/>
      <c r="AF7" s="52"/>
      <c r="AG7" s="52"/>
      <c r="AH7" s="52"/>
      <c r="AI7" s="67">
        <v>-5.2690000000000002E-3</v>
      </c>
      <c r="AJ7" s="53"/>
      <c r="AK7" s="52"/>
      <c r="AL7" s="52"/>
      <c r="AM7" s="52"/>
      <c r="AN7" s="63">
        <v>1.1545E-2</v>
      </c>
      <c r="AO7" s="52"/>
      <c r="AP7" s="52"/>
      <c r="AQ7" s="52"/>
      <c r="AR7" s="56">
        <v>-2.8989999999999998E-2</v>
      </c>
      <c r="AS7" s="57"/>
      <c r="AT7" s="58">
        <v>-6.6420000000000003E-3</v>
      </c>
      <c r="AU7" s="57"/>
      <c r="AV7" s="58">
        <v>-9.4129999999999995E-3</v>
      </c>
      <c r="AW7" s="57"/>
      <c r="AX7" s="57"/>
      <c r="AY7" s="57"/>
      <c r="AZ7" s="57"/>
      <c r="BA7" s="59">
        <v>-5.9239999999999996E-3</v>
      </c>
      <c r="BB7" s="53"/>
      <c r="BC7" s="60">
        <v>-4.4692000000000003E-2</v>
      </c>
      <c r="BD7" s="61">
        <v>-5.0999999999999997E-2</v>
      </c>
      <c r="BE7" s="61">
        <v>-6.08E-2</v>
      </c>
      <c r="BF7" s="62">
        <v>-0.88</v>
      </c>
    </row>
    <row r="8" spans="1:58" x14ac:dyDescent="0.25">
      <c r="A8" s="51">
        <v>2023</v>
      </c>
      <c r="B8" s="55">
        <v>5.1729999999999996E-3</v>
      </c>
      <c r="C8" s="52"/>
      <c r="D8" s="52"/>
      <c r="E8" s="52"/>
      <c r="F8" s="53"/>
      <c r="G8" s="52"/>
      <c r="H8" s="52"/>
      <c r="I8" s="52"/>
      <c r="J8" s="53"/>
      <c r="K8" s="52"/>
      <c r="L8" s="52"/>
      <c r="M8" s="52"/>
      <c r="N8" s="53"/>
      <c r="O8" s="52"/>
      <c r="P8" s="52"/>
      <c r="Q8" s="52"/>
      <c r="R8" s="53"/>
      <c r="S8" s="52"/>
      <c r="T8" s="52"/>
      <c r="U8" s="52"/>
      <c r="V8" s="67">
        <v>-4.4980000000000003E-3</v>
      </c>
      <c r="W8" s="53"/>
      <c r="X8" s="52"/>
      <c r="Y8" s="52"/>
      <c r="Z8" s="52"/>
      <c r="AA8" s="54">
        <v>-9.7300000000000008E-3</v>
      </c>
      <c r="AB8" s="52"/>
      <c r="AC8" s="52"/>
      <c r="AD8" s="52"/>
      <c r="AE8" s="54">
        <v>-7.6610000000000003E-3</v>
      </c>
      <c r="AF8" s="52"/>
      <c r="AG8" s="52"/>
      <c r="AH8" s="52"/>
      <c r="AI8" s="52"/>
      <c r="AJ8" s="63">
        <v>7.6599999999999997E-4</v>
      </c>
      <c r="AK8" s="52"/>
      <c r="AL8" s="67">
        <v>-7.9209999999999992E-3</v>
      </c>
      <c r="AM8" s="52"/>
      <c r="AN8" s="63">
        <v>1.2629E-2</v>
      </c>
      <c r="AO8" s="52"/>
      <c r="AP8" s="52"/>
      <c r="AQ8" s="52"/>
      <c r="AR8" s="55">
        <v>2.3326E-2</v>
      </c>
      <c r="AS8" s="53"/>
      <c r="AT8" s="52"/>
      <c r="AU8" s="52"/>
      <c r="AV8" s="52"/>
      <c r="AW8" s="56">
        <v>-4.3872000000000001E-2</v>
      </c>
      <c r="AX8" s="57"/>
      <c r="AY8" s="58">
        <v>-1.5857E-2</v>
      </c>
      <c r="AZ8" s="57"/>
      <c r="BA8" s="59">
        <v>-1.6100000000000001E-4</v>
      </c>
      <c r="BB8" s="53"/>
      <c r="BC8" s="60">
        <v>-4.7806000000000001E-2</v>
      </c>
      <c r="BD8" s="61">
        <v>-5.9900000000000002E-2</v>
      </c>
      <c r="BE8" s="61">
        <v>-5.96E-2</v>
      </c>
      <c r="BF8" s="62">
        <v>-0.8</v>
      </c>
    </row>
    <row r="9" spans="1:58" x14ac:dyDescent="0.25">
      <c r="A9" s="51">
        <v>2024</v>
      </c>
      <c r="B9" s="52"/>
      <c r="C9" s="52"/>
      <c r="D9" s="52"/>
      <c r="E9" s="55">
        <v>2.3649999999999999E-3</v>
      </c>
      <c r="F9" s="53"/>
      <c r="G9" s="52"/>
      <c r="H9" s="52"/>
      <c r="I9" s="52"/>
      <c r="J9" s="56">
        <v>-5.4580000000000002E-3</v>
      </c>
      <c r="K9" s="58">
        <v>-4.2009999999999999E-3</v>
      </c>
      <c r="L9" s="57"/>
      <c r="M9" s="57"/>
      <c r="N9" s="58">
        <v>-3.787E-3</v>
      </c>
      <c r="O9" s="57"/>
      <c r="P9" s="57"/>
      <c r="Q9" s="57"/>
      <c r="R9" s="57"/>
      <c r="S9" s="57"/>
      <c r="T9" s="57"/>
      <c r="U9" s="57"/>
      <c r="V9" s="57"/>
      <c r="W9" s="68">
        <v>5.267E-3</v>
      </c>
      <c r="X9" s="57"/>
      <c r="Y9" s="57"/>
      <c r="Z9" s="57"/>
      <c r="AA9" s="58">
        <v>-2.2509999999999999E-2</v>
      </c>
      <c r="AB9" s="57"/>
      <c r="AC9" s="57"/>
      <c r="AD9" s="58">
        <v>-7.4689999999999999E-3</v>
      </c>
      <c r="AE9" s="68">
        <v>4.2960000000000003E-3</v>
      </c>
      <c r="AF9" s="57"/>
      <c r="AG9" s="57"/>
      <c r="AH9" s="57"/>
      <c r="AI9" s="57"/>
      <c r="AJ9" s="58">
        <v>-1.179E-2</v>
      </c>
      <c r="AK9" s="57"/>
      <c r="AL9" s="57"/>
      <c r="AM9" s="57"/>
      <c r="AN9" s="59">
        <v>-1.2841E-2</v>
      </c>
      <c r="AO9" s="52"/>
      <c r="AP9" s="52"/>
      <c r="AQ9" s="52"/>
      <c r="AR9" s="52"/>
      <c r="AS9" s="63">
        <v>4.0781999999999999E-2</v>
      </c>
      <c r="AT9" s="52"/>
      <c r="AU9" s="52"/>
      <c r="AV9" s="52"/>
      <c r="AW9" s="63">
        <v>1.4559000000000001E-2</v>
      </c>
      <c r="AX9" s="52"/>
      <c r="AY9" s="52"/>
      <c r="AZ9" s="52"/>
      <c r="BA9" s="55">
        <v>3.385E-3</v>
      </c>
      <c r="BB9" s="53"/>
      <c r="BC9" s="64">
        <v>2.5959999999999998E-3</v>
      </c>
      <c r="BD9" s="61">
        <v>-5.8500000000000003E-2</v>
      </c>
      <c r="BE9" s="61">
        <v>-7.0000000000000007E-2</v>
      </c>
      <c r="BF9" s="69">
        <v>0.04</v>
      </c>
    </row>
    <row r="10" spans="1:58" x14ac:dyDescent="0.25">
      <c r="A10" s="51">
        <v>2025</v>
      </c>
      <c r="B10" s="52"/>
      <c r="C10" s="55">
        <v>3.8400000000000001E-3</v>
      </c>
      <c r="D10" s="52"/>
      <c r="E10" s="52"/>
      <c r="F10" s="53"/>
      <c r="G10" s="52"/>
      <c r="H10" s="52"/>
      <c r="I10" s="52"/>
      <c r="J10" s="53"/>
      <c r="K10" s="52"/>
      <c r="L10" s="52"/>
      <c r="M10" s="52"/>
      <c r="N10" s="53"/>
      <c r="O10" s="52"/>
      <c r="P10" s="52"/>
      <c r="Q10" s="52"/>
      <c r="R10" s="56">
        <v>-5.1939999999999998E-3</v>
      </c>
      <c r="S10" s="57"/>
      <c r="T10" s="57"/>
      <c r="U10" s="58">
        <v>-6.3179999999999998E-3</v>
      </c>
      <c r="V10" s="57"/>
      <c r="W10" s="58">
        <v>-5.7799999999999995E-4</v>
      </c>
      <c r="X10" s="57"/>
      <c r="Y10" s="57"/>
      <c r="Z10" s="57"/>
      <c r="AA10" s="58">
        <v>-9.5739999999999992E-3</v>
      </c>
      <c r="AB10" s="57"/>
      <c r="AC10" s="57"/>
      <c r="AD10" s="57"/>
      <c r="AE10" s="57"/>
      <c r="AF10" s="68">
        <v>2.235E-3</v>
      </c>
      <c r="AG10" s="57"/>
      <c r="AH10" s="57"/>
      <c r="AI10" s="57"/>
      <c r="AJ10" s="68">
        <v>3.9199999999999999E-3</v>
      </c>
      <c r="AK10" s="57"/>
      <c r="AL10" s="57"/>
      <c r="AM10" s="57"/>
      <c r="AN10" s="57"/>
      <c r="AO10" s="58">
        <v>-5.6100000000000004E-3</v>
      </c>
      <c r="AP10" s="57"/>
      <c r="AQ10" s="57"/>
      <c r="AR10" s="57"/>
      <c r="AS10" s="58">
        <v>-1.5262E-2</v>
      </c>
      <c r="AT10" s="57"/>
      <c r="AU10" s="57"/>
      <c r="AV10" s="57"/>
      <c r="AW10" s="59">
        <v>-1.8389999999999999E-3</v>
      </c>
      <c r="AX10" s="52"/>
      <c r="AY10" s="52"/>
      <c r="AZ10" s="52"/>
      <c r="BA10" s="52"/>
      <c r="BB10" s="53"/>
      <c r="BC10" s="60">
        <v>-3.4380000000000001E-2</v>
      </c>
      <c r="BD10" s="61">
        <v>-3.8199999999999998E-2</v>
      </c>
      <c r="BE10" s="61">
        <v>-4.2000000000000003E-2</v>
      </c>
      <c r="BF10" s="62">
        <v>-0.9</v>
      </c>
    </row>
    <row r="11" spans="1:58" x14ac:dyDescent="0.25">
      <c r="A11" s="51">
        <v>2026</v>
      </c>
      <c r="B11" s="67">
        <v>-2.7369999999999998E-3</v>
      </c>
      <c r="C11" s="52"/>
      <c r="D11" s="52"/>
      <c r="E11" s="52"/>
      <c r="F11" s="63">
        <v>9.1680000000000008E-3</v>
      </c>
      <c r="G11" s="52"/>
      <c r="H11" s="52"/>
      <c r="I11" s="52"/>
      <c r="J11" s="63">
        <v>4.4700000000000002E-4</v>
      </c>
      <c r="K11" s="52"/>
      <c r="L11" s="52"/>
      <c r="M11" s="55">
        <v>5.0699000000000001E-2</v>
      </c>
      <c r="N11" s="53"/>
      <c r="O11" s="52"/>
      <c r="P11" s="52"/>
      <c r="Q11" s="52"/>
      <c r="R11" s="53"/>
      <c r="S11" s="52"/>
      <c r="T11" s="52"/>
      <c r="U11" s="52"/>
      <c r="V11" s="52"/>
      <c r="W11" s="56">
        <v>-1.717E-3</v>
      </c>
      <c r="X11" s="57"/>
      <c r="Y11" s="57"/>
      <c r="Z11" s="57"/>
      <c r="AA11" s="57"/>
      <c r="AB11" s="59">
        <v>-6.8060000000000004E-3</v>
      </c>
      <c r="AC11" s="52"/>
      <c r="AD11" s="52"/>
      <c r="AE11" s="53"/>
      <c r="AF11" s="52"/>
      <c r="AG11" s="52"/>
      <c r="AH11" s="52"/>
      <c r="AI11" s="52"/>
      <c r="AJ11" s="53"/>
      <c r="AK11" s="52"/>
      <c r="AL11" s="52"/>
      <c r="AM11" s="52"/>
      <c r="AN11" s="53"/>
      <c r="AO11" s="52"/>
      <c r="AP11" s="52"/>
      <c r="AQ11" s="52"/>
      <c r="AR11" s="52"/>
      <c r="AS11" s="53"/>
      <c r="AT11" s="52"/>
      <c r="AU11" s="52"/>
      <c r="AV11" s="52"/>
      <c r="AW11" s="53"/>
      <c r="AX11" s="52"/>
      <c r="AY11" s="52"/>
      <c r="AZ11" s="52"/>
      <c r="BA11" s="52"/>
      <c r="BB11" s="53"/>
      <c r="BC11" s="64">
        <v>4.9054E-2</v>
      </c>
      <c r="BD11" s="61">
        <v>-8.5000000000000006E-3</v>
      </c>
      <c r="BE11" s="61">
        <v>-4.3200000000000002E-2</v>
      </c>
      <c r="BF11" s="69">
        <v>5.77</v>
      </c>
    </row>
    <row r="12" spans="1:58" x14ac:dyDescent="0.25">
      <c r="A12" s="45" t="s">
        <v>138</v>
      </c>
      <c r="BC12" s="61">
        <v>-3.3402000000000001E-2</v>
      </c>
      <c r="BD12" s="61">
        <v>-3.85E-2</v>
      </c>
      <c r="BE12" s="61">
        <v>-4.5029E-2</v>
      </c>
      <c r="BF12" s="69">
        <v>0.53</v>
      </c>
    </row>
    <row r="14" spans="1:58" x14ac:dyDescent="0.25">
      <c r="A14" s="89" t="s">
        <v>209</v>
      </c>
      <c r="B14" s="87"/>
      <c r="C14" s="87"/>
      <c r="D14" s="88"/>
      <c r="F14" s="40" t="s">
        <v>83</v>
      </c>
      <c r="G14" s="40" t="s">
        <v>210</v>
      </c>
      <c r="H14" s="40" t="s">
        <v>85</v>
      </c>
      <c r="I14" s="40" t="s">
        <v>211</v>
      </c>
      <c r="J14" s="40" t="s">
        <v>212</v>
      </c>
      <c r="K14" s="40" t="s">
        <v>82</v>
      </c>
      <c r="L14" s="40" t="s">
        <v>213</v>
      </c>
      <c r="M14" s="40" t="s">
        <v>214</v>
      </c>
      <c r="N14" s="40" t="s">
        <v>215</v>
      </c>
      <c r="O14" s="40" t="s">
        <v>216</v>
      </c>
      <c r="P14" s="40" t="s">
        <v>217</v>
      </c>
      <c r="Q14" s="40" t="s">
        <v>218</v>
      </c>
      <c r="R14" s="40" t="s">
        <v>193</v>
      </c>
    </row>
    <row r="15" spans="1:58" x14ac:dyDescent="0.25">
      <c r="A15" s="86"/>
      <c r="B15" s="87"/>
      <c r="C15" s="87"/>
      <c r="D15" s="88"/>
      <c r="F15" s="41">
        <v>0.40425531914893609</v>
      </c>
      <c r="G15" s="41">
        <v>1.2644224939513241E-2</v>
      </c>
      <c r="H15" s="41">
        <v>0.5957446808510638</v>
      </c>
      <c r="I15" s="41">
        <v>-9.7729553050189041E-3</v>
      </c>
      <c r="J15" s="42">
        <v>-7.2720167919049117E-2</v>
      </c>
      <c r="K15" s="43">
        <v>58</v>
      </c>
      <c r="L15" s="44">
        <v>-1.236915879885921</v>
      </c>
      <c r="M15" s="44">
        <v>-2.1718600202960112</v>
      </c>
      <c r="N15" s="42">
        <v>-1.2035022093342631</v>
      </c>
      <c r="O15" s="42">
        <v>-0.1755488395322396</v>
      </c>
      <c r="P15" s="42">
        <v>-2.7867514340897421</v>
      </c>
      <c r="Q15" s="44">
        <v>-0.30464257593947203</v>
      </c>
      <c r="R15" s="41">
        <v>-1.0005170109257061E-2</v>
      </c>
    </row>
    <row r="16" spans="1:58" x14ac:dyDescent="0.25">
      <c r="A16" s="70" t="s">
        <v>125</v>
      </c>
      <c r="B16" s="70" t="s">
        <v>126</v>
      </c>
      <c r="C16" s="70" t="s">
        <v>127</v>
      </c>
      <c r="D16" s="70" t="s">
        <v>128</v>
      </c>
      <c r="E16" s="70" t="s">
        <v>129</v>
      </c>
      <c r="F16" s="70" t="s">
        <v>130</v>
      </c>
      <c r="G16" s="70" t="s">
        <v>131</v>
      </c>
      <c r="H16" s="70" t="s">
        <v>132</v>
      </c>
      <c r="I16" s="70" t="s">
        <v>133</v>
      </c>
      <c r="J16" s="70" t="s">
        <v>134</v>
      </c>
      <c r="K16" s="70" t="s">
        <v>135</v>
      </c>
      <c r="L16" s="70" t="s">
        <v>136</v>
      </c>
      <c r="M16" s="70" t="s">
        <v>137</v>
      </c>
      <c r="N16" s="70" t="s">
        <v>138</v>
      </c>
      <c r="O16" s="70" t="s">
        <v>139</v>
      </c>
      <c r="P16" s="70" t="s">
        <v>272</v>
      </c>
      <c r="Q16" s="70" t="s">
        <v>140</v>
      </c>
    </row>
    <row r="17" spans="1:17" x14ac:dyDescent="0.25">
      <c r="A17" s="51">
        <v>2019</v>
      </c>
      <c r="B17" s="66"/>
      <c r="C17" s="66"/>
      <c r="D17" s="66"/>
      <c r="E17" s="61">
        <v>-1.299E-3</v>
      </c>
      <c r="F17" s="71">
        <v>1.5139E-2</v>
      </c>
      <c r="G17" s="66"/>
      <c r="H17" s="66"/>
      <c r="I17" s="66"/>
      <c r="J17" s="66"/>
      <c r="K17" s="61">
        <v>-5.4819999999999999E-3</v>
      </c>
      <c r="L17" s="61">
        <v>-4.744E-3</v>
      </c>
      <c r="M17" s="61">
        <v>-4.7070000000000002E-3</v>
      </c>
      <c r="N17" s="61">
        <v>-1.093E-3</v>
      </c>
      <c r="O17" s="61">
        <v>-1.4859000000000001E-2</v>
      </c>
      <c r="P17" s="61">
        <v>-1.9199999999999998E-2</v>
      </c>
      <c r="Q17" s="62">
        <v>-7.0000000000000007E-2</v>
      </c>
    </row>
    <row r="18" spans="1:17" x14ac:dyDescent="0.25">
      <c r="A18" s="51">
        <v>2020</v>
      </c>
      <c r="B18" s="71">
        <v>4.7000000000000002E-3</v>
      </c>
      <c r="C18" s="71">
        <v>3.8217000000000001E-2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71">
        <v>4.2917999999999998E-2</v>
      </c>
      <c r="O18" s="61">
        <v>-1.0229E-2</v>
      </c>
      <c r="P18" s="61">
        <v>-2.0400000000000001E-2</v>
      </c>
      <c r="Q18" s="69">
        <v>4.2</v>
      </c>
    </row>
    <row r="19" spans="1:17" x14ac:dyDescent="0.25">
      <c r="A19" s="51">
        <v>2022</v>
      </c>
      <c r="B19" s="66"/>
      <c r="C19" s="66"/>
      <c r="D19" s="66"/>
      <c r="E19" s="66"/>
      <c r="F19" s="66"/>
      <c r="G19" s="66"/>
      <c r="H19" s="66"/>
      <c r="I19" s="61">
        <v>-5.2690000000000002E-3</v>
      </c>
      <c r="J19" s="71">
        <v>1.1545E-2</v>
      </c>
      <c r="K19" s="61">
        <v>-2.8989999999999998E-2</v>
      </c>
      <c r="L19" s="61">
        <v>-1.6055E-2</v>
      </c>
      <c r="M19" s="61">
        <v>-5.9239999999999996E-3</v>
      </c>
      <c r="N19" s="61">
        <v>-4.4692000000000003E-2</v>
      </c>
      <c r="O19" s="61">
        <v>-5.0179000000000001E-2</v>
      </c>
      <c r="P19" s="61">
        <v>-6.08E-2</v>
      </c>
      <c r="Q19" s="62">
        <v>-0.89</v>
      </c>
    </row>
    <row r="20" spans="1:17" x14ac:dyDescent="0.25">
      <c r="A20" s="51">
        <v>2023</v>
      </c>
      <c r="B20" s="71">
        <v>5.1729999999999996E-3</v>
      </c>
      <c r="C20" s="66"/>
      <c r="D20" s="66"/>
      <c r="E20" s="66"/>
      <c r="F20" s="61">
        <v>-4.4980000000000003E-3</v>
      </c>
      <c r="G20" s="61">
        <v>-9.7300000000000008E-3</v>
      </c>
      <c r="H20" s="61">
        <v>-7.6610000000000003E-3</v>
      </c>
      <c r="I20" s="71">
        <v>7.6599999999999997E-4</v>
      </c>
      <c r="J20" s="71">
        <v>4.7080000000000004E-3</v>
      </c>
      <c r="K20" s="71">
        <v>2.3326E-2</v>
      </c>
      <c r="L20" s="61">
        <v>-4.3872000000000001E-2</v>
      </c>
      <c r="M20" s="61">
        <v>-1.6018000000000001E-2</v>
      </c>
      <c r="N20" s="61">
        <v>-4.7806000000000001E-2</v>
      </c>
      <c r="O20" s="61">
        <v>-5.9184E-2</v>
      </c>
      <c r="P20" s="61">
        <v>-5.96E-2</v>
      </c>
      <c r="Q20" s="62">
        <v>-0.81</v>
      </c>
    </row>
    <row r="21" spans="1:17" x14ac:dyDescent="0.25">
      <c r="A21" s="51">
        <v>2024</v>
      </c>
      <c r="B21" s="71">
        <v>2.3649999999999999E-3</v>
      </c>
      <c r="C21" s="61">
        <v>-5.4580000000000002E-3</v>
      </c>
      <c r="D21" s="61">
        <v>-7.9880000000000003E-3</v>
      </c>
      <c r="E21" s="66"/>
      <c r="F21" s="71">
        <v>5.267E-3</v>
      </c>
      <c r="G21" s="61">
        <v>-2.2509999999999999E-2</v>
      </c>
      <c r="H21" s="61">
        <v>-3.173E-3</v>
      </c>
      <c r="I21" s="61">
        <v>-1.179E-2</v>
      </c>
      <c r="J21" s="61">
        <v>-1.2841E-2</v>
      </c>
      <c r="K21" s="71">
        <v>4.0781999999999999E-2</v>
      </c>
      <c r="L21" s="71">
        <v>1.4559000000000001E-2</v>
      </c>
      <c r="M21" s="71">
        <v>3.385E-3</v>
      </c>
      <c r="N21" s="71">
        <v>2.5959999999999998E-3</v>
      </c>
      <c r="O21" s="61">
        <v>-6.9583999999999993E-2</v>
      </c>
      <c r="P21" s="61">
        <v>-7.0000000000000007E-2</v>
      </c>
      <c r="Q21" s="69">
        <v>0.04</v>
      </c>
    </row>
    <row r="22" spans="1:17" x14ac:dyDescent="0.25">
      <c r="A22" s="51">
        <v>2025</v>
      </c>
      <c r="B22" s="71">
        <v>3.8400000000000001E-3</v>
      </c>
      <c r="C22" s="66"/>
      <c r="D22" s="66"/>
      <c r="E22" s="61">
        <v>-5.1939999999999998E-3</v>
      </c>
      <c r="F22" s="61">
        <v>-6.8960000000000002E-3</v>
      </c>
      <c r="G22" s="61">
        <v>-9.5739999999999992E-3</v>
      </c>
      <c r="H22" s="71">
        <v>2.235E-3</v>
      </c>
      <c r="I22" s="71">
        <v>3.9199999999999999E-3</v>
      </c>
      <c r="J22" s="61">
        <v>-5.6100000000000004E-3</v>
      </c>
      <c r="K22" s="61">
        <v>-1.5262E-2</v>
      </c>
      <c r="L22" s="61">
        <v>-1.8389999999999999E-3</v>
      </c>
      <c r="M22" s="61">
        <v>-2.7369999999999998E-3</v>
      </c>
      <c r="N22" s="61">
        <v>-3.7116999999999997E-2</v>
      </c>
      <c r="O22" s="61">
        <v>-4.0363000000000003E-2</v>
      </c>
      <c r="P22" s="61">
        <v>-4.2000000000000003E-2</v>
      </c>
      <c r="Q22" s="62">
        <v>-0.92</v>
      </c>
    </row>
    <row r="23" spans="1:17" x14ac:dyDescent="0.25">
      <c r="A23" s="51">
        <v>2026</v>
      </c>
      <c r="B23" s="71">
        <v>9.1680000000000008E-3</v>
      </c>
      <c r="C23" s="71">
        <v>4.4700000000000002E-4</v>
      </c>
      <c r="D23" s="71">
        <v>5.0699000000000001E-2</v>
      </c>
      <c r="E23" s="66"/>
      <c r="F23" s="61">
        <v>-1.717E-3</v>
      </c>
      <c r="G23" s="61">
        <v>-6.8060000000000004E-3</v>
      </c>
      <c r="H23" s="66"/>
      <c r="I23" s="66"/>
      <c r="J23" s="66"/>
      <c r="K23" s="66"/>
      <c r="L23" s="66"/>
      <c r="M23" s="66"/>
      <c r="N23" s="71">
        <v>5.1790999999999997E-2</v>
      </c>
      <c r="O23" s="61">
        <v>-3.1565999999999997E-2</v>
      </c>
      <c r="P23" s="61">
        <v>-4.3200000000000002E-2</v>
      </c>
      <c r="Q23" s="69">
        <v>1.64</v>
      </c>
    </row>
    <row r="24" spans="1:17" x14ac:dyDescent="0.25">
      <c r="A24" s="45" t="s">
        <v>138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61">
        <v>-3.3402000000000001E-2</v>
      </c>
      <c r="O24" s="61">
        <v>-3.9423E-2</v>
      </c>
      <c r="P24" s="61">
        <v>-4.5029E-2</v>
      </c>
      <c r="Q24" s="69">
        <v>0.45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AFF47</cp:lastModifiedBy>
  <dcterms:created xsi:type="dcterms:W3CDTF">2026-07-22T07:03:02Z</dcterms:created>
  <dcterms:modified xsi:type="dcterms:W3CDTF">2026-07-22T07:09:54Z</dcterms:modified>
</cp:coreProperties>
</file>