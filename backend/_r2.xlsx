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andini Patel\Algo test\TV Verification\"/>
    </mc:Choice>
  </mc:AlternateContent>
  <bookViews>
    <workbookView xWindow="0" yWindow="0" windowWidth="24000" windowHeight="9510" activeTab="1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calcPr calcId="162913"/>
</workbook>
</file>

<file path=xl/calcChain.xml><?xml version="1.0" encoding="utf-8"?>
<calcChain xmlns="http://schemas.openxmlformats.org/spreadsheetml/2006/main">
  <c r="M4" i="2" l="1"/>
  <c r="N4" i="2"/>
  <c r="O4" i="2" s="1"/>
  <c r="M5" i="2"/>
  <c r="N5" i="2"/>
  <c r="O5" i="2"/>
  <c r="M6" i="2"/>
  <c r="N6" i="2"/>
  <c r="O6" i="2" s="1"/>
  <c r="M7" i="2"/>
  <c r="N7" i="2"/>
  <c r="O7" i="2"/>
  <c r="M8" i="2"/>
  <c r="N8" i="2"/>
  <c r="O8" i="2" s="1"/>
  <c r="M9" i="2"/>
  <c r="N9" i="2"/>
  <c r="O9" i="2"/>
  <c r="M10" i="2"/>
  <c r="N10" i="2"/>
  <c r="O10" i="2" s="1"/>
  <c r="M11" i="2"/>
  <c r="N11" i="2"/>
  <c r="O11" i="2"/>
  <c r="M12" i="2"/>
  <c r="N12" i="2"/>
  <c r="O12" i="2" s="1"/>
  <c r="M13" i="2"/>
  <c r="N13" i="2"/>
  <c r="O13" i="2"/>
  <c r="M14" i="2"/>
  <c r="N14" i="2"/>
  <c r="O14" i="2" s="1"/>
  <c r="M15" i="2"/>
  <c r="N15" i="2"/>
  <c r="O15" i="2"/>
  <c r="M16" i="2"/>
  <c r="N16" i="2"/>
  <c r="O16" i="2" s="1"/>
  <c r="M17" i="2"/>
  <c r="N17" i="2"/>
  <c r="O17" i="2"/>
  <c r="M18" i="2"/>
  <c r="N18" i="2"/>
  <c r="O18" i="2" s="1"/>
  <c r="M19" i="2"/>
  <c r="N19" i="2"/>
  <c r="O19" i="2"/>
  <c r="M20" i="2"/>
  <c r="N20" i="2"/>
  <c r="O20" i="2" s="1"/>
  <c r="M21" i="2"/>
  <c r="N21" i="2"/>
  <c r="O21" i="2"/>
  <c r="M22" i="2"/>
  <c r="N22" i="2"/>
  <c r="O22" i="2" s="1"/>
  <c r="M23" i="2"/>
  <c r="N23" i="2"/>
  <c r="O23" i="2"/>
  <c r="M24" i="2"/>
  <c r="N24" i="2"/>
  <c r="O24" i="2" s="1"/>
  <c r="M25" i="2"/>
  <c r="N25" i="2"/>
  <c r="O25" i="2"/>
  <c r="M26" i="2"/>
  <c r="N26" i="2"/>
  <c r="O26" i="2" s="1"/>
  <c r="M27" i="2"/>
  <c r="N27" i="2"/>
  <c r="O27" i="2"/>
  <c r="M28" i="2"/>
  <c r="N28" i="2"/>
  <c r="O28" i="2" s="1"/>
  <c r="M29" i="2"/>
  <c r="N29" i="2"/>
  <c r="O29" i="2"/>
  <c r="M30" i="2"/>
  <c r="N30" i="2"/>
  <c r="O30" i="2" s="1"/>
  <c r="M31" i="2"/>
  <c r="N31" i="2"/>
  <c r="O31" i="2"/>
  <c r="M32" i="2"/>
  <c r="N32" i="2"/>
  <c r="O32" i="2" s="1"/>
  <c r="M33" i="2"/>
  <c r="N33" i="2"/>
  <c r="O33" i="2"/>
  <c r="M34" i="2"/>
  <c r="N34" i="2"/>
  <c r="O34" i="2" s="1"/>
  <c r="M35" i="2"/>
  <c r="N35" i="2"/>
  <c r="O35" i="2"/>
  <c r="M36" i="2"/>
  <c r="N36" i="2"/>
  <c r="O36" i="2" s="1"/>
  <c r="M37" i="2"/>
  <c r="N37" i="2"/>
  <c r="O37" i="2"/>
  <c r="M38" i="2"/>
  <c r="N38" i="2"/>
  <c r="O38" i="2" s="1"/>
  <c r="M39" i="2"/>
  <c r="N39" i="2"/>
  <c r="O39" i="2"/>
  <c r="M40" i="2"/>
  <c r="N40" i="2"/>
  <c r="O40" i="2" s="1"/>
  <c r="M41" i="2"/>
  <c r="N41" i="2"/>
  <c r="O41" i="2"/>
  <c r="M42" i="2"/>
  <c r="N42" i="2"/>
  <c r="O42" i="2" s="1"/>
  <c r="M43" i="2"/>
  <c r="N43" i="2"/>
  <c r="O43" i="2"/>
  <c r="M44" i="2"/>
  <c r="N44" i="2"/>
  <c r="O44" i="2" s="1"/>
  <c r="M45" i="2"/>
  <c r="N45" i="2"/>
  <c r="O45" i="2"/>
  <c r="M46" i="2"/>
  <c r="N46" i="2"/>
  <c r="O46" i="2" s="1"/>
  <c r="M47" i="2"/>
  <c r="N47" i="2"/>
  <c r="O47" i="2"/>
  <c r="M48" i="2"/>
  <c r="N48" i="2"/>
  <c r="O48" i="2" s="1"/>
  <c r="M49" i="2"/>
  <c r="N49" i="2"/>
  <c r="O49" i="2"/>
  <c r="M50" i="2"/>
  <c r="N50" i="2"/>
  <c r="O50" i="2" s="1"/>
  <c r="M51" i="2"/>
  <c r="N51" i="2"/>
  <c r="O51" i="2"/>
  <c r="M52" i="2"/>
  <c r="N52" i="2"/>
  <c r="O52" i="2" s="1"/>
  <c r="M53" i="2"/>
  <c r="N53" i="2"/>
  <c r="O53" i="2"/>
  <c r="M54" i="2"/>
  <c r="N54" i="2"/>
  <c r="O54" i="2"/>
  <c r="M55" i="2"/>
  <c r="N55" i="2"/>
  <c r="O55" i="2"/>
  <c r="M56" i="2"/>
  <c r="N56" i="2"/>
  <c r="O56" i="2" s="1"/>
  <c r="M57" i="2"/>
  <c r="N57" i="2"/>
  <c r="O57" i="2"/>
  <c r="M58" i="2"/>
  <c r="N58" i="2"/>
  <c r="O58" i="2" s="1"/>
  <c r="M59" i="2"/>
  <c r="N59" i="2"/>
  <c r="O59" i="2"/>
  <c r="M60" i="2"/>
  <c r="N60" i="2"/>
  <c r="O60" i="2" s="1"/>
  <c r="M61" i="2"/>
  <c r="N61" i="2"/>
  <c r="O61" i="2"/>
  <c r="M62" i="2"/>
  <c r="N62" i="2"/>
  <c r="O62" i="2"/>
  <c r="M63" i="2"/>
  <c r="N63" i="2"/>
  <c r="O63" i="2"/>
  <c r="M64" i="2"/>
  <c r="N64" i="2"/>
  <c r="O64" i="2" s="1"/>
  <c r="M65" i="2"/>
  <c r="N65" i="2"/>
  <c r="O65" i="2"/>
  <c r="M66" i="2"/>
  <c r="N66" i="2"/>
  <c r="O66" i="2" s="1"/>
  <c r="M67" i="2"/>
  <c r="N67" i="2"/>
  <c r="O67" i="2"/>
  <c r="M68" i="2"/>
  <c r="N68" i="2"/>
  <c r="O68" i="2" s="1"/>
  <c r="M69" i="2"/>
  <c r="N69" i="2"/>
  <c r="O69" i="2"/>
  <c r="M70" i="2"/>
  <c r="N70" i="2"/>
  <c r="O70" i="2"/>
  <c r="M71" i="2"/>
  <c r="N71" i="2"/>
  <c r="O71" i="2"/>
  <c r="M72" i="2"/>
  <c r="N72" i="2"/>
  <c r="O72" i="2" s="1"/>
  <c r="M73" i="2"/>
  <c r="N73" i="2"/>
  <c r="O73" i="2"/>
  <c r="M74" i="2"/>
  <c r="N74" i="2"/>
  <c r="O74" i="2" s="1"/>
  <c r="M75" i="2"/>
  <c r="N75" i="2"/>
  <c r="O75" i="2"/>
  <c r="M76" i="2"/>
  <c r="N76" i="2"/>
  <c r="O76" i="2" s="1"/>
  <c r="M77" i="2"/>
  <c r="N77" i="2"/>
  <c r="O77" i="2"/>
  <c r="M78" i="2"/>
  <c r="N78" i="2"/>
  <c r="O78" i="2"/>
  <c r="M79" i="2"/>
  <c r="N79" i="2"/>
  <c r="O79" i="2"/>
  <c r="M80" i="2"/>
  <c r="N80" i="2"/>
  <c r="O80" i="2" s="1"/>
  <c r="M81" i="2"/>
  <c r="N81" i="2"/>
  <c r="O81" i="2"/>
  <c r="M82" i="2"/>
  <c r="N82" i="2"/>
  <c r="O82" i="2" s="1"/>
  <c r="M83" i="2"/>
  <c r="N83" i="2"/>
  <c r="O83" i="2"/>
  <c r="M84" i="2"/>
  <c r="N84" i="2"/>
  <c r="O84" i="2" s="1"/>
  <c r="M85" i="2"/>
  <c r="N85" i="2"/>
  <c r="O85" i="2"/>
  <c r="M86" i="2"/>
  <c r="N86" i="2"/>
  <c r="O86" i="2"/>
  <c r="M87" i="2"/>
  <c r="N87" i="2"/>
  <c r="O87" i="2" s="1"/>
  <c r="M88" i="2"/>
  <c r="N88" i="2"/>
  <c r="O88" i="2" s="1"/>
  <c r="M89" i="2"/>
  <c r="N89" i="2"/>
  <c r="O89" i="2"/>
  <c r="M90" i="2"/>
  <c r="N90" i="2"/>
  <c r="O90" i="2" s="1"/>
  <c r="M91" i="2"/>
  <c r="N91" i="2"/>
  <c r="O91" i="2"/>
  <c r="M92" i="2"/>
  <c r="N92" i="2"/>
  <c r="O92" i="2" s="1"/>
  <c r="M93" i="2"/>
  <c r="N93" i="2"/>
  <c r="O93" i="2"/>
  <c r="M94" i="2"/>
  <c r="N94" i="2"/>
  <c r="O94" i="2"/>
  <c r="M95" i="2"/>
  <c r="N95" i="2"/>
  <c r="O95" i="2"/>
  <c r="M96" i="2"/>
  <c r="N96" i="2"/>
  <c r="O96" i="2" s="1"/>
  <c r="M97" i="2"/>
  <c r="N97" i="2"/>
  <c r="O97" i="2"/>
  <c r="M98" i="2"/>
  <c r="N98" i="2"/>
  <c r="O98" i="2" s="1"/>
  <c r="M99" i="2"/>
  <c r="N99" i="2"/>
  <c r="O99" i="2"/>
  <c r="M100" i="2"/>
  <c r="N100" i="2"/>
  <c r="O100" i="2" s="1"/>
  <c r="M101" i="2"/>
  <c r="N101" i="2"/>
  <c r="O101" i="2"/>
  <c r="M102" i="2"/>
  <c r="N102" i="2"/>
  <c r="O102" i="2"/>
  <c r="M103" i="2"/>
  <c r="N103" i="2"/>
  <c r="O103" i="2"/>
  <c r="M104" i="2"/>
  <c r="N104" i="2"/>
  <c r="O104" i="2" s="1"/>
  <c r="M105" i="2"/>
  <c r="N105" i="2"/>
  <c r="O105" i="2"/>
  <c r="M106" i="2"/>
  <c r="N106" i="2"/>
  <c r="O106" i="2" s="1"/>
  <c r="M107" i="2"/>
  <c r="N107" i="2"/>
  <c r="O107" i="2"/>
  <c r="M108" i="2"/>
  <c r="N108" i="2"/>
  <c r="O108" i="2" s="1"/>
  <c r="M109" i="2"/>
  <c r="N109" i="2"/>
  <c r="O109" i="2"/>
  <c r="M110" i="2"/>
  <c r="N110" i="2"/>
  <c r="O110" i="2"/>
  <c r="M111" i="2"/>
  <c r="N111" i="2"/>
  <c r="O111" i="2"/>
  <c r="M112" i="2"/>
  <c r="N112" i="2"/>
  <c r="O112" i="2" s="1"/>
  <c r="M113" i="2"/>
  <c r="N113" i="2"/>
  <c r="O113" i="2"/>
  <c r="M114" i="2"/>
  <c r="N114" i="2"/>
  <c r="O114" i="2" s="1"/>
  <c r="M115" i="2"/>
  <c r="N115" i="2"/>
  <c r="O115" i="2"/>
  <c r="M116" i="2"/>
  <c r="N116" i="2"/>
  <c r="O116" i="2" s="1"/>
  <c r="M117" i="2"/>
  <c r="N117" i="2"/>
  <c r="O117" i="2"/>
  <c r="M118" i="2"/>
  <c r="N118" i="2"/>
  <c r="O118" i="2"/>
  <c r="M119" i="2"/>
  <c r="N119" i="2"/>
  <c r="O119" i="2"/>
  <c r="M120" i="2"/>
  <c r="N120" i="2"/>
  <c r="O120" i="2" s="1"/>
  <c r="M121" i="2"/>
  <c r="N121" i="2"/>
  <c r="O121" i="2"/>
  <c r="M122" i="2"/>
  <c r="N122" i="2"/>
  <c r="O122" i="2" s="1"/>
  <c r="M123" i="2"/>
  <c r="N123" i="2"/>
  <c r="O123" i="2" s="1"/>
  <c r="M124" i="2"/>
  <c r="N124" i="2"/>
  <c r="O124" i="2" s="1"/>
  <c r="M125" i="2"/>
  <c r="N125" i="2"/>
  <c r="O125" i="2"/>
  <c r="M126" i="2"/>
  <c r="N126" i="2"/>
  <c r="O126" i="2"/>
  <c r="M127" i="2"/>
  <c r="N127" i="2"/>
  <c r="O127" i="2"/>
  <c r="M128" i="2"/>
  <c r="N128" i="2"/>
  <c r="O128" i="2" s="1"/>
  <c r="M129" i="2"/>
  <c r="N129" i="2"/>
  <c r="O129" i="2"/>
  <c r="M130" i="2"/>
  <c r="N130" i="2"/>
  <c r="O130" i="2" s="1"/>
  <c r="M131" i="2"/>
  <c r="N131" i="2"/>
  <c r="O131" i="2"/>
  <c r="M132" i="2"/>
  <c r="N132" i="2"/>
  <c r="O132" i="2" s="1"/>
  <c r="M133" i="2"/>
  <c r="N133" i="2"/>
  <c r="O133" i="2"/>
  <c r="M134" i="2"/>
  <c r="N134" i="2"/>
  <c r="O134" i="2"/>
  <c r="M135" i="2"/>
  <c r="N135" i="2"/>
  <c r="O135" i="2"/>
  <c r="M136" i="2"/>
  <c r="N136" i="2"/>
  <c r="O136" i="2" s="1"/>
  <c r="M137" i="2"/>
  <c r="N137" i="2"/>
  <c r="O137" i="2"/>
  <c r="M138" i="2"/>
  <c r="N138" i="2"/>
  <c r="O138" i="2" s="1"/>
  <c r="M139" i="2"/>
  <c r="N139" i="2"/>
  <c r="O139" i="2"/>
  <c r="M140" i="2"/>
  <c r="N140" i="2"/>
  <c r="O140" i="2" s="1"/>
  <c r="M141" i="2"/>
  <c r="N141" i="2"/>
  <c r="O141" i="2"/>
  <c r="M142" i="2"/>
  <c r="N142" i="2"/>
  <c r="O142" i="2"/>
  <c r="M143" i="2"/>
  <c r="N143" i="2"/>
  <c r="O143" i="2"/>
  <c r="M144" i="2"/>
  <c r="N144" i="2"/>
  <c r="O144" i="2" s="1"/>
  <c r="M145" i="2"/>
  <c r="N145" i="2"/>
  <c r="O145" i="2"/>
  <c r="M146" i="2"/>
  <c r="N146" i="2"/>
  <c r="O146" i="2" s="1"/>
  <c r="M147" i="2"/>
  <c r="N147" i="2"/>
  <c r="O147" i="2"/>
  <c r="M148" i="2"/>
  <c r="N148" i="2"/>
  <c r="O148" i="2" s="1"/>
  <c r="M149" i="2"/>
  <c r="N149" i="2"/>
  <c r="O149" i="2"/>
  <c r="M150" i="2"/>
  <c r="N150" i="2"/>
  <c r="O150" i="2"/>
  <c r="M151" i="2"/>
  <c r="N151" i="2"/>
  <c r="O151" i="2"/>
  <c r="M152" i="2"/>
  <c r="N152" i="2"/>
  <c r="O152" i="2" s="1"/>
  <c r="M153" i="2"/>
  <c r="N153" i="2"/>
  <c r="O153" i="2"/>
  <c r="M154" i="2"/>
  <c r="N154" i="2"/>
  <c r="O154" i="2" s="1"/>
  <c r="M155" i="2"/>
  <c r="N155" i="2"/>
  <c r="O155" i="2"/>
  <c r="M156" i="2"/>
  <c r="N156" i="2"/>
  <c r="O156" i="2" s="1"/>
  <c r="M157" i="2"/>
  <c r="N157" i="2"/>
  <c r="O157" i="2"/>
  <c r="M158" i="2"/>
  <c r="N158" i="2"/>
  <c r="O158" i="2"/>
  <c r="M159" i="2"/>
  <c r="N159" i="2"/>
  <c r="O159" i="2"/>
  <c r="M160" i="2"/>
  <c r="N160" i="2"/>
  <c r="O160" i="2" s="1"/>
  <c r="M161" i="2"/>
  <c r="N161" i="2"/>
  <c r="O161" i="2"/>
  <c r="M162" i="2"/>
  <c r="N162" i="2"/>
  <c r="O162" i="2" s="1"/>
  <c r="M163" i="2"/>
  <c r="N163" i="2"/>
  <c r="O163" i="2"/>
  <c r="M164" i="2"/>
  <c r="N164" i="2"/>
  <c r="O164" i="2" s="1"/>
  <c r="M165" i="2"/>
  <c r="N165" i="2"/>
  <c r="O165" i="2"/>
  <c r="M166" i="2"/>
  <c r="N166" i="2"/>
  <c r="O166" i="2"/>
  <c r="M167" i="2"/>
  <c r="N167" i="2"/>
  <c r="O167" i="2"/>
  <c r="M168" i="2"/>
  <c r="N168" i="2"/>
  <c r="O168" i="2" s="1"/>
  <c r="M169" i="2"/>
  <c r="N169" i="2"/>
  <c r="O169" i="2"/>
  <c r="M170" i="2"/>
  <c r="N170" i="2"/>
  <c r="O170" i="2" s="1"/>
  <c r="M171" i="2"/>
  <c r="N171" i="2"/>
  <c r="O171" i="2"/>
  <c r="M172" i="2"/>
  <c r="N172" i="2"/>
  <c r="O172" i="2" s="1"/>
  <c r="M173" i="2"/>
  <c r="N173" i="2"/>
  <c r="O173" i="2"/>
  <c r="M174" i="2"/>
  <c r="N174" i="2"/>
  <c r="O174" i="2"/>
  <c r="M175" i="2"/>
  <c r="N175" i="2"/>
  <c r="O175" i="2"/>
  <c r="M176" i="2"/>
  <c r="N176" i="2"/>
  <c r="O176" i="2" s="1"/>
  <c r="M177" i="2"/>
  <c r="N177" i="2"/>
  <c r="O177" i="2"/>
  <c r="M178" i="2"/>
  <c r="N178" i="2"/>
  <c r="O178" i="2" s="1"/>
  <c r="M179" i="2"/>
  <c r="N179" i="2"/>
  <c r="O179" i="2"/>
  <c r="M180" i="2"/>
  <c r="N180" i="2"/>
  <c r="O180" i="2" s="1"/>
  <c r="M181" i="2"/>
  <c r="N181" i="2"/>
  <c r="O181" i="2"/>
  <c r="M182" i="2"/>
  <c r="N182" i="2"/>
  <c r="O182" i="2"/>
  <c r="M183" i="2"/>
  <c r="N183" i="2"/>
  <c r="O183" i="2"/>
  <c r="M184" i="2"/>
  <c r="N184" i="2"/>
  <c r="O184" i="2" s="1"/>
  <c r="M185" i="2"/>
  <c r="N185" i="2"/>
  <c r="O185" i="2"/>
  <c r="M186" i="2"/>
  <c r="N186" i="2"/>
  <c r="O186" i="2" s="1"/>
  <c r="M187" i="2"/>
  <c r="N187" i="2"/>
  <c r="O187" i="2"/>
  <c r="M188" i="2"/>
  <c r="N188" i="2"/>
  <c r="O188" i="2" s="1"/>
  <c r="M189" i="2"/>
  <c r="N189" i="2"/>
  <c r="O189" i="2"/>
  <c r="M190" i="2"/>
  <c r="N190" i="2"/>
  <c r="O190" i="2"/>
  <c r="M191" i="2"/>
  <c r="N191" i="2"/>
  <c r="O191" i="2"/>
  <c r="M192" i="2"/>
  <c r="N192" i="2"/>
  <c r="O192" i="2" s="1"/>
  <c r="M193" i="2"/>
  <c r="N193" i="2"/>
  <c r="O193" i="2"/>
  <c r="M194" i="2"/>
  <c r="N194" i="2"/>
  <c r="O194" i="2" s="1"/>
  <c r="M195" i="2"/>
  <c r="N195" i="2"/>
  <c r="O195" i="2"/>
  <c r="M196" i="2"/>
  <c r="N196" i="2"/>
  <c r="O196" i="2" s="1"/>
  <c r="M197" i="2"/>
  <c r="N197" i="2"/>
  <c r="O197" i="2"/>
  <c r="M198" i="2"/>
  <c r="N198" i="2"/>
  <c r="O198" i="2"/>
  <c r="M199" i="2"/>
  <c r="N199" i="2"/>
  <c r="O199" i="2"/>
  <c r="M200" i="2"/>
  <c r="N200" i="2"/>
  <c r="O200" i="2" s="1"/>
  <c r="M201" i="2"/>
  <c r="N201" i="2"/>
  <c r="O201" i="2"/>
  <c r="M202" i="2"/>
  <c r="N202" i="2"/>
  <c r="O202" i="2" s="1"/>
  <c r="M203" i="2"/>
  <c r="N203" i="2"/>
  <c r="O203" i="2"/>
  <c r="M204" i="2"/>
  <c r="N204" i="2"/>
  <c r="O204" i="2" s="1"/>
  <c r="M205" i="2"/>
  <c r="N205" i="2"/>
  <c r="O205" i="2"/>
  <c r="M206" i="2"/>
  <c r="N206" i="2"/>
  <c r="O206" i="2"/>
  <c r="M207" i="2"/>
  <c r="N207" i="2"/>
  <c r="O207" i="2"/>
  <c r="M208" i="2"/>
  <c r="N208" i="2"/>
  <c r="O208" i="2" s="1"/>
  <c r="M209" i="2"/>
  <c r="N209" i="2"/>
  <c r="O209" i="2"/>
  <c r="M210" i="2"/>
  <c r="N210" i="2"/>
  <c r="O210" i="2" s="1"/>
  <c r="M211" i="2"/>
  <c r="N211" i="2"/>
  <c r="O211" i="2"/>
  <c r="M212" i="2"/>
  <c r="N212" i="2"/>
  <c r="O212" i="2" s="1"/>
  <c r="M213" i="2"/>
  <c r="N213" i="2"/>
  <c r="O213" i="2"/>
  <c r="M214" i="2"/>
  <c r="N214" i="2"/>
  <c r="O214" i="2"/>
  <c r="M215" i="2"/>
  <c r="N215" i="2"/>
  <c r="O215" i="2"/>
  <c r="M216" i="2"/>
  <c r="N216" i="2"/>
  <c r="O216" i="2" s="1"/>
  <c r="M217" i="2"/>
  <c r="N217" i="2"/>
  <c r="O217" i="2"/>
  <c r="M218" i="2"/>
  <c r="N218" i="2"/>
  <c r="O218" i="2" s="1"/>
  <c r="M219" i="2"/>
  <c r="N219" i="2"/>
  <c r="O219" i="2"/>
  <c r="M220" i="2"/>
  <c r="N220" i="2"/>
  <c r="O220" i="2" s="1"/>
  <c r="M221" i="2"/>
  <c r="N221" i="2"/>
  <c r="O221" i="2"/>
  <c r="M222" i="2"/>
  <c r="N222" i="2"/>
  <c r="O222" i="2"/>
  <c r="M223" i="2"/>
  <c r="N223" i="2"/>
  <c r="O223" i="2"/>
  <c r="M224" i="2"/>
  <c r="N224" i="2"/>
  <c r="O224" i="2" s="1"/>
  <c r="M225" i="2"/>
  <c r="N225" i="2"/>
  <c r="O225" i="2"/>
  <c r="M226" i="2"/>
  <c r="N226" i="2"/>
  <c r="O226" i="2" s="1"/>
  <c r="M227" i="2"/>
  <c r="N227" i="2"/>
  <c r="O227" i="2" s="1"/>
  <c r="M228" i="2"/>
  <c r="N228" i="2"/>
  <c r="O228" i="2" s="1"/>
  <c r="M229" i="2"/>
  <c r="N229" i="2"/>
  <c r="O229" i="2"/>
  <c r="M230" i="2"/>
  <c r="N230" i="2"/>
  <c r="O230" i="2"/>
  <c r="M231" i="2"/>
  <c r="N231" i="2"/>
  <c r="O231" i="2"/>
  <c r="M232" i="2"/>
  <c r="N232" i="2"/>
  <c r="O232" i="2" s="1"/>
  <c r="M233" i="2"/>
  <c r="N233" i="2"/>
  <c r="O233" i="2"/>
  <c r="M234" i="2"/>
  <c r="N234" i="2"/>
  <c r="O234" i="2" s="1"/>
  <c r="M235" i="2"/>
  <c r="N235" i="2"/>
  <c r="O235" i="2" s="1"/>
  <c r="M236" i="2"/>
  <c r="N236" i="2"/>
  <c r="O236" i="2" s="1"/>
  <c r="M237" i="2"/>
  <c r="N237" i="2"/>
  <c r="O237" i="2"/>
  <c r="M238" i="2"/>
  <c r="N238" i="2"/>
  <c r="O238" i="2"/>
  <c r="M239" i="2"/>
  <c r="N239" i="2"/>
  <c r="O239" i="2"/>
  <c r="M240" i="2"/>
  <c r="N240" i="2"/>
  <c r="O240" i="2" s="1"/>
  <c r="M241" i="2"/>
  <c r="N241" i="2"/>
  <c r="O241" i="2"/>
  <c r="M242" i="2"/>
  <c r="N242" i="2"/>
  <c r="O242" i="2" s="1"/>
  <c r="M243" i="2"/>
  <c r="N243" i="2"/>
  <c r="O243" i="2"/>
  <c r="M244" i="2"/>
  <c r="N244" i="2"/>
  <c r="O244" i="2" s="1"/>
  <c r="M245" i="2"/>
  <c r="N245" i="2"/>
  <c r="O245" i="2"/>
  <c r="M246" i="2"/>
  <c r="N246" i="2"/>
  <c r="O246" i="2"/>
  <c r="M247" i="2"/>
  <c r="N247" i="2"/>
  <c r="O247" i="2"/>
  <c r="M248" i="2"/>
  <c r="N248" i="2"/>
  <c r="O248" i="2" s="1"/>
  <c r="M249" i="2"/>
  <c r="N249" i="2"/>
  <c r="O249" i="2"/>
  <c r="M250" i="2"/>
  <c r="N250" i="2"/>
  <c r="O250" i="2" s="1"/>
  <c r="M251" i="2"/>
  <c r="N251" i="2"/>
  <c r="O251" i="2" s="1"/>
  <c r="M252" i="2"/>
  <c r="N252" i="2"/>
  <c r="O252" i="2" s="1"/>
  <c r="M253" i="2"/>
  <c r="N253" i="2"/>
  <c r="O253" i="2"/>
  <c r="M254" i="2"/>
  <c r="N254" i="2"/>
  <c r="O254" i="2" s="1"/>
  <c r="M255" i="2"/>
  <c r="N255" i="2"/>
  <c r="O255" i="2"/>
  <c r="M256" i="2"/>
  <c r="N256" i="2"/>
  <c r="O256" i="2" s="1"/>
  <c r="M257" i="2"/>
  <c r="N257" i="2"/>
  <c r="O257" i="2"/>
  <c r="M258" i="2"/>
  <c r="N258" i="2"/>
  <c r="O258" i="2" s="1"/>
  <c r="M259" i="2"/>
  <c r="N259" i="2"/>
  <c r="O259" i="2" s="1"/>
  <c r="M260" i="2"/>
  <c r="N260" i="2"/>
  <c r="O260" i="2" s="1"/>
  <c r="M261" i="2"/>
  <c r="N261" i="2"/>
  <c r="O261" i="2"/>
  <c r="M262" i="2"/>
  <c r="N262" i="2"/>
  <c r="O262" i="2"/>
  <c r="M263" i="2"/>
  <c r="N263" i="2"/>
  <c r="O263" i="2"/>
  <c r="M264" i="2"/>
  <c r="N264" i="2"/>
  <c r="O264" i="2" s="1"/>
  <c r="M265" i="2"/>
  <c r="N265" i="2"/>
  <c r="O265" i="2"/>
  <c r="M266" i="2"/>
  <c r="N266" i="2"/>
  <c r="O266" i="2" s="1"/>
  <c r="M267" i="2"/>
  <c r="N267" i="2"/>
  <c r="O267" i="2" s="1"/>
  <c r="N3" i="2"/>
  <c r="O3" i="2" s="1"/>
  <c r="M3" i="2"/>
  <c r="O2" i="2"/>
  <c r="N2" i="2"/>
  <c r="M2" i="2"/>
</calcChain>
</file>

<file path=xl/sharedStrings.xml><?xml version="1.0" encoding="utf-8"?>
<sst xmlns="http://schemas.openxmlformats.org/spreadsheetml/2006/main" count="1345" uniqueCount="279">
  <si>
    <t>STRATEGY RULES</t>
  </si>
  <si>
    <t xml:space="preserve">  Strategy</t>
  </si>
  <si>
    <t>Index</t>
  </si>
  <si>
    <t>NIFTY</t>
  </si>
  <si>
    <t>Backtest Date Range</t>
  </si>
  <si>
    <t>2019-02-01 → 2026-06-30</t>
  </si>
  <si>
    <t>Expiry</t>
  </si>
  <si>
    <t>Weekly</t>
  </si>
  <si>
    <t>Entry / Exit DTE</t>
  </si>
  <si>
    <t>T-1 to T-1</t>
  </si>
  <si>
    <t>Square-off Mode</t>
  </si>
  <si>
    <t>partial</t>
  </si>
  <si>
    <t>Rollover</t>
  </si>
  <si>
    <t>Yes (min 0 days to expiry)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</si>
  <si>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</si>
  <si>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</si>
  <si>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</si>
  <si>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</si>
  <si>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</si>
  <si>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</si>
  <si>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</si>
  <si>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 2.1 Bull With MFI_Ex TROC_Ex 1st Month</t>
  </si>
  <si>
    <t xml:space="preserve">  Leg 1 — PE Sell (Options)</t>
  </si>
  <si>
    <t>Position</t>
  </si>
  <si>
    <t>Sell</t>
  </si>
  <si>
    <t>Lots</t>
  </si>
  <si>
    <t>1</t>
  </si>
  <si>
    <t>Option Type</t>
  </si>
  <si>
    <t>PE</t>
  </si>
  <si>
    <t>Strike Selection</t>
  </si>
  <si>
    <t>Time Value nearest: 75 (ATM, within 2%)</t>
  </si>
  <si>
    <t>Strike Gap</t>
  </si>
  <si>
    <t>100</t>
  </si>
  <si>
    <t>Rollover Strike Mode</t>
  </si>
  <si>
    <t>Fresh</t>
  </si>
  <si>
    <t>Yes (Rise 1%)</t>
  </si>
  <si>
    <t>Slippage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</si>
  <si>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</si>
  <si>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</si>
  <si>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</si>
  <si>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</si>
  <si>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</si>
  <si>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</si>
  <si>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</si>
  <si>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</si>
  <si>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</si>
  <si>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</si>
  <si>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</si>
  <si>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</si>
  <si>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</si>
  <si>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</si>
  <si>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</si>
  <si>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</si>
  <si>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Net MAE 1</t>
  </si>
  <si>
    <t>Net MAE 2</t>
  </si>
  <si>
    <t>Final MAE</t>
  </si>
  <si>
    <t>PE P&amp;L</t>
  </si>
  <si>
    <t>PE P&amp;L %</t>
  </si>
  <si>
    <t>Net P&amp;L</t>
  </si>
  <si>
    <t>% P&amp;L</t>
  </si>
  <si>
    <t>Cumulative</t>
  </si>
  <si>
    <t>Peak</t>
  </si>
  <si>
    <t>DD</t>
  </si>
  <si>
    <t>%DD</t>
  </si>
  <si>
    <t>Lowest NAV</t>
  </si>
  <si>
    <t>Actual Live DD</t>
  </si>
  <si>
    <t>Exit Reason</t>
  </si>
  <si>
    <t>SELL</t>
  </si>
  <si>
    <t>SCHEDULED_EXIT</t>
  </si>
  <si>
    <t>SCHEDULED_EXIT+SPOT_ADJ_RISE (Leg 1 PE Weekly)</t>
  </si>
  <si>
    <t>FILTER_END</t>
  </si>
  <si>
    <t>SPOT_ADJ_RISE (Leg 1 PE Weekly)</t>
  </si>
  <si>
    <t xml:space="preserve">  BACKTEST SUMMARY REPORT</t>
  </si>
  <si>
    <t>NIFTY_SELL_PE_TV75_ATM_R2PCT_WEEKLY_T1_T1   ·   2019-02-01 → 2026-06-30   ·   Generated: 05 Aug 2026</t>
  </si>
  <si>
    <t xml:space="preserve">  PERFORMANCE OVERVIEW</t>
  </si>
  <si>
    <t>Overall Profit</t>
  </si>
  <si>
    <t>+9.39%</t>
  </si>
  <si>
    <t>No. of Trades</t>
  </si>
  <si>
    <t>Win %</t>
  </si>
  <si>
    <t>69.17%</t>
  </si>
  <si>
    <t>Loss %</t>
  </si>
  <si>
    <t>30.83%</t>
  </si>
  <si>
    <t>Avg Profit on Winners</t>
  </si>
  <si>
    <t>0.48%</t>
  </si>
  <si>
    <t>Avg Loss on Losers</t>
  </si>
  <si>
    <t>-0.96%</t>
  </si>
  <si>
    <t>Avg Profit per Trade</t>
  </si>
  <si>
    <t>+6.06</t>
  </si>
  <si>
    <t>Expectancy Ratio</t>
  </si>
  <si>
    <t>0.0368</t>
  </si>
  <si>
    <t>Net P/L Avg %</t>
  </si>
  <si>
    <t>+0.0353%</t>
  </si>
  <si>
    <t>Max Profit (Single Trade)</t>
  </si>
  <si>
    <t>₹387.00</t>
  </si>
  <si>
    <t>Max Loss (Single Trade)</t>
  </si>
  <si>
    <t>₹-1,055.05</t>
  </si>
  <si>
    <t>CAGR (Options)</t>
  </si>
  <si>
    <t>+0.12%</t>
  </si>
  <si>
    <t>CAGR (Spot)</t>
  </si>
  <si>
    <t>+10.47%</t>
  </si>
  <si>
    <t>Sum</t>
  </si>
  <si>
    <t>%</t>
  </si>
  <si>
    <t>ROI vs Spot</t>
  </si>
  <si>
    <t>4,876.55</t>
  </si>
  <si>
    <t>+24.43%</t>
  </si>
  <si>
    <t>+0.38%</t>
  </si>
  <si>
    <t>1,610.75</t>
  </si>
  <si>
    <t xml:space="preserve">  RISK METRICS</t>
  </si>
  <si>
    <t>Max Drawdown</t>
  </si>
  <si>
    <t>-9.06%</t>
  </si>
  <si>
    <t>Max DD Days</t>
  </si>
  <si>
    <t>77</t>
  </si>
  <si>
    <t>Drawdown Period:  2026-01-02  →  2026-03-20</t>
  </si>
  <si>
    <t>Return / MaxDD</t>
  </si>
  <si>
    <t>0.0001</t>
  </si>
  <si>
    <t xml:space="preserve">  CONSISTENCY &amp; STREAKS</t>
  </si>
  <si>
    <t>Max Win Streak</t>
  </si>
  <si>
    <t>17 trades</t>
  </si>
  <si>
    <t>Max Losing Streak</t>
  </si>
  <si>
    <t>5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</si>
  <si>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</si>
  <si>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</si>
  <si>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</si>
  <si>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</si>
  <si>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</si>
  <si>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</si>
  <si>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</si>
  <si>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</si>
  <si>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</si>
  <si>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</si>
  <si>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</si>
  <si>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</si>
  <si>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</si>
  <si>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</si>
  <si>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</si>
  <si>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</si>
  <si>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</si>
  <si>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</si>
  <si>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</si>
  <si>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</si>
  <si>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</si>
  <si>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</si>
  <si>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</si>
  <si>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</si>
  <si>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</si>
  <si>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</si>
  <si>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</si>
  <si>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-9.92%</t>
  </si>
  <si>
    <t>Avg Actual Live DD</t>
  </si>
  <si>
    <t>-1.73%</t>
  </si>
  <si>
    <t>Avg Final MAE</t>
  </si>
  <si>
    <t>-0.70%</t>
  </si>
  <si>
    <t>CAR/MDD (Booked)</t>
  </si>
  <si>
    <t>CAR/MDD Live</t>
  </si>
  <si>
    <t>+ve Outlier 1</t>
  </si>
  <si>
    <t>+1.70%</t>
  </si>
  <si>
    <t>-ve Outlier 1</t>
  </si>
  <si>
    <t>-4.41%</t>
  </si>
  <si>
    <t>Actual Live DD Without Outlier 1</t>
  </si>
  <si>
    <t>Avg Actual Live DD Without Outlier 1</t>
  </si>
  <si>
    <t>-1.66%</t>
  </si>
  <si>
    <t>+ve Outlier 2</t>
  </si>
  <si>
    <t>+3.27%</t>
  </si>
  <si>
    <t>-ve Outlier 2</t>
  </si>
  <si>
    <t>-8.60%</t>
  </si>
  <si>
    <t>Actual Live DD Without Outlier 2</t>
  </si>
  <si>
    <t>-8.73%</t>
  </si>
  <si>
    <t>Avg Actual Live DD Without Outlier 2</t>
  </si>
  <si>
    <t>-1.60%</t>
  </si>
  <si>
    <t>+ve Outlier 3</t>
  </si>
  <si>
    <t>+4.65%</t>
  </si>
  <si>
    <t>-ve Outlier 3</t>
  </si>
  <si>
    <t>-11.96%</t>
  </si>
  <si>
    <t>Actual Live DD Without Outlier 3</t>
  </si>
  <si>
    <t>Avg Actual Live DD Without Outlier 3</t>
  </si>
  <si>
    <t>-1.46%</t>
  </si>
  <si>
    <t>CE + PE + P&amp;L % Without Top 1 Outliers</t>
  </si>
  <si>
    <t>+12.10%</t>
  </si>
  <si>
    <t>CE + PE + P&amp;L % Without Top 2 Outliers</t>
  </si>
  <si>
    <t>+14.71%</t>
  </si>
  <si>
    <t>CE + PE + P&amp;L % Without Top 3 Outliers</t>
  </si>
  <si>
    <t>+16.70%</t>
  </si>
  <si>
    <t>Nifty PE</t>
  </si>
  <si>
    <t>Phase wise Distribution</t>
  </si>
  <si>
    <t>Net P&amp;L %</t>
  </si>
  <si>
    <t>Entry</t>
  </si>
  <si>
    <t>Exit</t>
  </si>
  <si>
    <t>CAGR</t>
  </si>
  <si>
    <t>Live DD</t>
  </si>
  <si>
    <t>29-03-2019</t>
  </si>
  <si>
    <t>10-05-2019</t>
  </si>
  <si>
    <t>30-09-2019</t>
  </si>
  <si>
    <t>28-02-2020</t>
  </si>
  <si>
    <t>29-07-2022</t>
  </si>
  <si>
    <t>23-12-2022</t>
  </si>
  <si>
    <t>28-04-2023</t>
  </si>
  <si>
    <t>28-03-2024</t>
  </si>
  <si>
    <t>30-04-2024</t>
  </si>
  <si>
    <t>31-12-2024</t>
  </si>
  <si>
    <t>28-03-2025</t>
  </si>
  <si>
    <t>20-03-2026</t>
  </si>
  <si>
    <t>30-04-2026</t>
  </si>
  <si>
    <t>29-06-2026</t>
  </si>
  <si>
    <t>NIFTY_SELL_PE_TV75_ATM_R2PCT_WEEKLY_T1_T1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</si>
  <si>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</si>
  <si>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</si>
  <si>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</si>
  <si>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</si>
  <si>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</si>
  <si>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</si>
  <si>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</si>
  <si>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</si>
  <si>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</si>
  <si>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</si>
  <si>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</si>
  <si>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</si>
  <si>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</si>
  <si>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</si>
  <si>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</si>
  <si>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</si>
  <si>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</si>
  <si>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</si>
  <si>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</si>
  <si>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</si>
  <si>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</si>
  <si>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</si>
  <si>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</si>
  <si>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</si>
  <si>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</si>
  <si>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</si>
  <si>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</si>
  <si>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</si>
  <si>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</si>
  <si>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</si>
  <si>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</si>
  <si>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</si>
  <si>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</si>
  <si>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</si>
  <si>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</si>
  <si>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</si>
  <si>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</si>
  <si>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</si>
  <si>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</si>
  <si>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</si>
  <si>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</si>
  <si>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</si>
  <si>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</si>
  <si>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</si>
  <si>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</si>
  <si>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</si>
  <si>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</si>
  <si>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</si>
  <si>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</si>
  <si>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</si>
  <si>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</si>
  <si>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</si>
  <si>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</si>
  <si>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</si>
  <si>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</si>
  <si>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</si>
  <si>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</si>
  <si>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</si>
  <si>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</si>
  <si>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</si>
  <si>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</si>
  <si>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</si>
  <si>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</si>
  <si>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</si>
  <si>
    <t>Min of Final MAE</t>
  </si>
  <si>
    <t>Grand Total</t>
  </si>
  <si>
    <t>Min of Actual Live DD</t>
  </si>
  <si>
    <t>a</t>
  </si>
  <si>
    <t>IV</t>
  </si>
  <si>
    <t>TV</t>
  </si>
  <si>
    <t>StrikePrice</t>
  </si>
  <si>
    <t>Close</t>
  </si>
  <si>
    <t>Intrinsic</t>
  </si>
  <si>
    <t>Contracts</t>
  </si>
  <si>
    <t>OpenInterest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</si>
</sst>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#,##0.0000"/>
    <numFmt numFmtId="166" formatCode="0.00&quot;%&quot;"/>
    <numFmt numFmtId="167" formatCode="0.0000"/>
  </numFmts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2C3E50"/>
      <name val="Calibri"/>
      <family val="2"/>
      <scheme val="minor"/>
    </font>
    <font>
      <sz val="10"/>
      <color rgb="FF1A1A2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1E7E34"/>
      <name val="Calibri"/>
      <family val="2"/>
      <scheme val="minor"/>
    </font>
    <font>
      <b/>
      <sz val="10"/>
      <color rgb="FFC0392B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0"/>
      <color rgb="FF1A1A2E"/>
      <name val="Calibri"/>
      <family val="2"/>
      <scheme val="minor"/>
    </font>
    <font>
      <b/>
      <sz val="11"/>
      <color rgb="FF1E7E34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9"/>
      <color rgb="FF1F3864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7"/>
      <color rgb="FFFFFFFF"/>
      <name val="Calibri"/>
      <family val="2"/>
      <scheme val="minor"/>
    </font>
    <font>
      <b/>
      <sz val="8"/>
      <color rgb="FF1F3864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1E7E34"/>
      <name val="Calibri"/>
      <family val="2"/>
      <scheme val="minor"/>
    </font>
    <font>
      <sz val="7"/>
      <color rgb="FFC0392B"/>
      <name val="Calibri"/>
      <family val="2"/>
      <scheme val="minor"/>
    </font>
    <font>
      <sz val="9"/>
      <color rgb="FF1E7E34"/>
      <name val="Calibri"/>
      <family val="2"/>
      <scheme val="minor"/>
    </font>
    <font>
      <sz val="9"/>
      <color rgb="FFC0392B"/>
      <name val="Calibri"/>
      <family val="2"/>
      <scheme val="minor"/>
    </font>
    <font>
      <b/>
      <sz val="7"/>
      <color rgb="FF1F3864"/>
      <name val="Calibri"/>
      <family val="2"/>
      <scheme val="minor"/>
    </font>
    <font>
      <sz val="7"/>
      <color rgb="FF2C6E4A"/>
      <name val="Calibri"/>
      <family val="2"/>
      <scheme val="minor"/>
    </font>
    <font>
      <sz val="7"/>
      <color rgb="FF8E2A3F"/>
      <name val="Calibri"/>
      <family val="2"/>
      <scheme val="minor"/>
    </font>
    <font>
      <sz val="9"/>
      <color rgb="FF8E2A3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C5F8A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CEDFD5"/>
        <bgColor indexed="64"/>
      </patternFill>
    </fill>
    <fill>
      <patternFill patternType="solid">
        <fgColor rgb="FFFEF6F7"/>
        <bgColor indexed="64"/>
      </patternFill>
    </fill>
    <fill>
      <patternFill patternType="solid">
        <fgColor rgb="FFF4E1E5"/>
        <bgColor indexed="64"/>
      </patternFill>
    </fill>
    <fill>
      <patternFill patternType="solid">
        <fgColor rgb="FFF7FBF8"/>
        <bgColor indexed="64"/>
      </patternFill>
    </fill>
    <fill>
      <patternFill patternType="solid">
        <fgColor rgb="FFEACCD3"/>
        <bgColor indexed="64"/>
      </patternFill>
    </fill>
    <fill>
      <patternFill patternType="solid">
        <fgColor rgb="FFB6CEC0"/>
        <bgColor indexed="64"/>
      </patternFill>
    </fill>
    <fill>
      <patternFill patternType="solid">
        <fgColor rgb="FFE3EDE7"/>
        <bgColor indexed="64"/>
      </patternFill>
    </fill>
    <fill>
      <patternFill patternType="solid">
        <fgColor rgb="FFDEB2B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left" vertical="center"/>
    </xf>
    <xf numFmtId="4" fontId="6" fillId="5" borderId="1" xfId="0" applyNumberFormat="1" applyFont="1" applyFill="1" applyBorder="1" applyAlignment="1">
      <alignment horizontal="left" vertical="center"/>
    </xf>
    <xf numFmtId="10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  <xf numFmtId="4" fontId="7" fillId="7" borderId="1" xfId="0" applyNumberFormat="1" applyFont="1" applyFill="1" applyBorder="1" applyAlignment="1">
      <alignment horizontal="left" vertical="center"/>
    </xf>
    <xf numFmtId="1" fontId="6" fillId="8" borderId="1" xfId="0" applyNumberFormat="1" applyFont="1" applyFill="1" applyBorder="1" applyAlignment="1">
      <alignment horizontal="left" vertical="center"/>
    </xf>
    <xf numFmtId="4" fontId="6" fillId="8" borderId="1" xfId="0" applyNumberFormat="1" applyFont="1" applyFill="1" applyBorder="1" applyAlignment="1">
      <alignment horizontal="left" vertical="center"/>
    </xf>
    <xf numFmtId="10" fontId="6" fillId="8" borderId="1" xfId="0" applyNumberFormat="1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165" fontId="6" fillId="8" borderId="1" xfId="0" applyNumberFormat="1" applyFont="1" applyFill="1" applyBorder="1" applyAlignment="1">
      <alignment horizontal="left" vertical="center"/>
    </xf>
    <xf numFmtId="4" fontId="8" fillId="9" borderId="1" xfId="0" applyNumberFormat="1" applyFont="1" applyFill="1" applyBorder="1" applyAlignment="1">
      <alignment horizontal="left" vertical="center"/>
    </xf>
    <xf numFmtId="1" fontId="8" fillId="9" borderId="1" xfId="0" applyNumberFormat="1" applyFont="1" applyFill="1" applyBorder="1" applyAlignment="1">
      <alignment horizontal="left" vertical="center"/>
    </xf>
    <xf numFmtId="1" fontId="7" fillId="7" borderId="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0" fontId="6" fillId="8" borderId="1" xfId="0" applyNumberFormat="1" applyFont="1" applyFill="1" applyBorder="1" applyAlignment="1">
      <alignment horizontal="center" vertical="center"/>
    </xf>
    <xf numFmtId="10" fontId="7" fillId="7" borderId="1" xfId="0" applyNumberFormat="1" applyFont="1" applyFill="1" applyBorder="1" applyAlignment="1">
      <alignment horizontal="center" vertical="center"/>
    </xf>
    <xf numFmtId="10" fontId="8" fillId="9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0" fontId="16" fillId="4" borderId="1" xfId="0" applyNumberFormat="1" applyFont="1" applyFill="1" applyBorder="1" applyAlignment="1">
      <alignment horizontal="center" vertical="center"/>
    </xf>
    <xf numFmtId="167" fontId="16" fillId="4" borderId="1" xfId="0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/>
    </xf>
    <xf numFmtId="2" fontId="16" fillId="4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0" fontId="20" fillId="7" borderId="1" xfId="0" applyNumberFormat="1" applyFont="1" applyFill="1" applyBorder="1" applyAlignment="1">
      <alignment horizontal="center" vertical="center"/>
    </xf>
    <xf numFmtId="10" fontId="21" fillId="9" borderId="2" xfId="0" applyNumberFormat="1" applyFont="1" applyFill="1" applyBorder="1" applyAlignment="1">
      <alignment horizontal="center" vertical="center"/>
    </xf>
    <xf numFmtId="10" fontId="21" fillId="9" borderId="3" xfId="0" applyNumberFormat="1" applyFont="1" applyFill="1" applyBorder="1" applyAlignment="1">
      <alignment horizontal="center" vertical="center"/>
    </xf>
    <xf numFmtId="10" fontId="21" fillId="9" borderId="4" xfId="0" applyNumberFormat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0" fontId="21" fillId="9" borderId="5" xfId="0" applyNumberFormat="1" applyFont="1" applyFill="1" applyBorder="1" applyAlignment="1">
      <alignment horizontal="center" vertical="center"/>
    </xf>
    <xf numFmtId="10" fontId="20" fillId="7" borderId="2" xfId="0" applyNumberFormat="1" applyFont="1" applyFill="1" applyBorder="1" applyAlignment="1">
      <alignment horizontal="center" vertical="center"/>
    </xf>
    <xf numFmtId="10" fontId="21" fillId="9" borderId="1" xfId="0" applyNumberFormat="1" applyFont="1" applyFill="1" applyBorder="1" applyAlignment="1">
      <alignment horizontal="center" vertical="center"/>
    </xf>
    <xf numFmtId="10" fontId="22" fillId="4" borderId="1" xfId="0" applyNumberFormat="1" applyFont="1" applyFill="1" applyBorder="1" applyAlignment="1">
      <alignment horizontal="center" vertical="center"/>
    </xf>
    <xf numFmtId="10" fontId="23" fillId="9" borderId="1" xfId="0" applyNumberFormat="1" applyFont="1" applyFill="1" applyBorder="1" applyAlignment="1">
      <alignment horizontal="center" vertical="center"/>
    </xf>
    <xf numFmtId="2" fontId="22" fillId="7" borderId="1" xfId="0" applyNumberFormat="1" applyFont="1" applyFill="1" applyBorder="1" applyAlignment="1">
      <alignment horizontal="center" vertical="center"/>
    </xf>
    <xf numFmtId="10" fontId="20" fillId="7" borderId="4" xfId="0" applyNumberFormat="1" applyFont="1" applyFill="1" applyBorder="1" applyAlignment="1">
      <alignment horizontal="center" vertical="center"/>
    </xf>
    <xf numFmtId="10" fontId="23" fillId="4" borderId="1" xfId="0" applyNumberFormat="1" applyFont="1" applyFill="1" applyBorder="1" applyAlignment="1">
      <alignment horizontal="center" vertical="center"/>
    </xf>
    <xf numFmtId="2" fontId="23" fillId="9" borderId="1" xfId="0" applyNumberFormat="1" applyFont="1" applyFill="1" applyBorder="1" applyAlignment="1">
      <alignment horizontal="center" vertical="center"/>
    </xf>
    <xf numFmtId="10" fontId="22" fillId="7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2" fontId="25" fillId="11" borderId="1" xfId="0" applyNumberFormat="1" applyFont="1" applyFill="1" applyBorder="1" applyAlignment="1">
      <alignment horizontal="center" vertical="center"/>
    </xf>
    <xf numFmtId="2" fontId="26" fillId="12" borderId="1" xfId="0" applyNumberFormat="1" applyFont="1" applyFill="1" applyBorder="1" applyAlignment="1">
      <alignment horizontal="center" vertical="center"/>
    </xf>
    <xf numFmtId="2" fontId="26" fillId="12" borderId="2" xfId="0" applyNumberFormat="1" applyFont="1" applyFill="1" applyBorder="1" applyAlignment="1">
      <alignment horizontal="center" vertical="center"/>
    </xf>
    <xf numFmtId="2" fontId="26" fillId="13" borderId="1" xfId="0" applyNumberFormat="1" applyFont="1" applyFill="1" applyBorder="1" applyAlignment="1">
      <alignment horizontal="center" vertical="center"/>
    </xf>
    <xf numFmtId="2" fontId="27" fillId="13" borderId="1" xfId="0" applyNumberFormat="1" applyFont="1" applyFill="1" applyBorder="1" applyAlignment="1">
      <alignment horizontal="center" vertical="center"/>
    </xf>
    <xf numFmtId="2" fontId="26" fillId="13" borderId="2" xfId="0" applyNumberFormat="1" applyFont="1" applyFill="1" applyBorder="1" applyAlignment="1">
      <alignment horizontal="center" vertical="center"/>
    </xf>
    <xf numFmtId="2" fontId="25" fillId="14" borderId="1" xfId="0" applyNumberFormat="1" applyFont="1" applyFill="1" applyBorder="1" applyAlignment="1">
      <alignment horizontal="center" vertical="center"/>
    </xf>
    <xf numFmtId="2" fontId="26" fillId="15" borderId="2" xfId="0" applyNumberFormat="1" applyFont="1" applyFill="1" applyBorder="1" applyAlignment="1">
      <alignment horizontal="center" vertical="center"/>
    </xf>
    <xf numFmtId="2" fontId="25" fillId="14" borderId="2" xfId="0" applyNumberFormat="1" applyFont="1" applyFill="1" applyBorder="1" applyAlignment="1">
      <alignment horizontal="center" vertical="center"/>
    </xf>
    <xf numFmtId="2" fontId="27" fillId="15" borderId="1" xfId="0" applyNumberFormat="1" applyFont="1" applyFill="1" applyBorder="1" applyAlignment="1">
      <alignment horizontal="center" vertical="center"/>
    </xf>
    <xf numFmtId="2" fontId="25" fillId="16" borderId="1" xfId="0" applyNumberFormat="1" applyFont="1" applyFill="1" applyBorder="1" applyAlignment="1">
      <alignment horizontal="center" vertical="center"/>
    </xf>
    <xf numFmtId="2" fontId="25" fillId="17" borderId="1" xfId="0" applyNumberFormat="1" applyFont="1" applyFill="1" applyBorder="1" applyAlignment="1">
      <alignment horizontal="center" vertical="center"/>
    </xf>
    <xf numFmtId="2" fontId="26" fillId="18" borderId="1" xfId="0" applyNumberFormat="1" applyFont="1" applyFill="1" applyBorder="1" applyAlignment="1">
      <alignment horizontal="center" vertical="center"/>
    </xf>
    <xf numFmtId="2" fontId="25" fillId="16" borderId="2" xfId="0" applyNumberFormat="1" applyFont="1" applyFill="1" applyBorder="1" applyAlignment="1">
      <alignment horizontal="center" vertical="center"/>
    </xf>
    <xf numFmtId="2" fontId="27" fillId="18" borderId="1" xfId="0" applyNumberFormat="1" applyFont="1" applyFill="1" applyBorder="1" applyAlignment="1">
      <alignment horizontal="center" vertical="center"/>
    </xf>
    <xf numFmtId="2" fontId="25" fillId="17" borderId="2" xfId="0" applyNumberFormat="1" applyFont="1" applyFill="1" applyBorder="1" applyAlignment="1">
      <alignment horizontal="center" vertical="center"/>
    </xf>
    <xf numFmtId="2" fontId="26" fillId="15" borderId="1" xfId="0" applyNumberFormat="1" applyFont="1" applyFill="1" applyBorder="1" applyAlignment="1">
      <alignment horizontal="center" vertical="center"/>
    </xf>
    <xf numFmtId="2" fontId="26" fillId="18" borderId="2" xfId="0" applyNumberFormat="1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27" fillId="1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14" fontId="6" fillId="5" borderId="1" xfId="0" applyNumberFormat="1" applyFont="1" applyFill="1" applyBorder="1" applyAlignment="1">
      <alignment horizontal="left" vertical="center"/>
    </xf>
    <xf numFmtId="14" fontId="6" fillId="8" borderId="1" xfId="0" applyNumberFormat="1" applyFont="1" applyFill="1" applyBorder="1" applyAlignment="1">
      <alignment horizontal="left" vertical="center"/>
    </xf>
    <xf numFmtId="0" fontId="29" fillId="19" borderId="1" xfId="0" applyFont="1" applyFill="1" applyBorder="1" applyAlignment="1">
      <alignment horizontal="center" vertical="center"/>
    </xf>
    <xf numFmtId="1" fontId="30" fillId="20" borderId="1" xfId="0" applyNumberFormat="1" applyFont="1" applyFill="1" applyBorder="1" applyAlignment="1">
      <alignment horizontal="center" vertical="center"/>
    </xf>
    <xf numFmtId="1" fontId="6" fillId="21" borderId="1" xfId="0" applyNumberFormat="1" applyFont="1" applyFill="1" applyBorder="1" applyAlignment="1">
      <alignment horizontal="left" vertical="center"/>
    </xf>
    <xf numFmtId="14" fontId="6" fillId="21" borderId="1" xfId="0" applyNumberFormat="1" applyFont="1" applyFill="1" applyBorder="1" applyAlignment="1">
      <alignment horizontal="left" vertical="center"/>
    </xf>
    <xf numFmtId="4" fontId="6" fillId="21" borderId="1" xfId="0" applyNumberFormat="1" applyFont="1" applyFill="1" applyBorder="1" applyAlignment="1">
      <alignment horizontal="left" vertical="center"/>
    </xf>
    <xf numFmtId="10" fontId="6" fillId="21" borderId="1" xfId="0" applyNumberFormat="1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/>
    </xf>
    <xf numFmtId="10" fontId="6" fillId="21" borderId="1" xfId="0" applyNumberFormat="1" applyFont="1" applyFill="1" applyBorder="1" applyAlignment="1">
      <alignment horizontal="center" vertical="center"/>
    </xf>
    <xf numFmtId="1" fontId="30" fillId="21" borderId="1" xfId="0" applyNumberFormat="1" applyFont="1" applyFill="1" applyBorder="1" applyAlignment="1">
      <alignment horizontal="center" vertical="center"/>
    </xf>
    <xf numFmtId="165" fontId="6" fillId="21" borderId="1" xfId="0" applyNumberFormat="1" applyFont="1" applyFill="1" applyBorder="1" applyAlignment="1">
      <alignment horizontal="left" vertical="center"/>
    </xf>
    <xf numFmtId="4" fontId="8" fillId="21" borderId="1" xfId="0" applyNumberFormat="1" applyFont="1" applyFill="1" applyBorder="1" applyAlignment="1">
      <alignment horizontal="left" vertical="center"/>
    </xf>
    <xf numFmtId="0" fontId="0" fillId="2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93" t="s">
        <v>0</v>
      </c>
      <c r="B1" s="93"/>
    </row>
    <row r="2" spans="1:2" ht="20.100000000000001" customHeight="1" x14ac:dyDescent="0.25">
      <c r="A2" s="94" t="s">
        <v>1</v>
      </c>
      <c r="B2" s="94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6" customHeight="1" x14ac:dyDescent="0.25"/>
    <row r="14" spans="1:2" ht="20.100000000000001" customHeight="1" x14ac:dyDescent="0.25">
      <c r="A14" s="94" t="s">
        <v>22</v>
      </c>
      <c r="B14" s="94"/>
    </row>
    <row r="15" spans="1:2" ht="18" customHeight="1" x14ac:dyDescent="0.25">
      <c r="A15" s="1" t="s">
        <v>23</v>
      </c>
      <c r="B15" s="2" t="s">
        <v>24</v>
      </c>
    </row>
    <row r="16" spans="1:2" ht="18" customHeight="1" x14ac:dyDescent="0.25">
      <c r="A16" s="1" t="s">
        <v>25</v>
      </c>
      <c r="B16" s="2" t="s">
        <v>26</v>
      </c>
    </row>
    <row r="17" spans="1:2" ht="18" customHeight="1" x14ac:dyDescent="0.25">
      <c r="A17" s="1" t="s">
        <v>2</v>
      </c>
      <c r="B17" s="2" t="s">
        <v>3</v>
      </c>
    </row>
    <row r="18" spans="1:2" ht="18" customHeight="1" x14ac:dyDescent="0.25">
      <c r="A18" s="1" t="s">
        <v>6</v>
      </c>
      <c r="B18" s="2" t="s">
        <v>7</v>
      </c>
    </row>
    <row r="19" spans="1:2" ht="18" customHeight="1" x14ac:dyDescent="0.25">
      <c r="A19" s="1" t="s">
        <v>27</v>
      </c>
      <c r="B19" s="2" t="s">
        <v>28</v>
      </c>
    </row>
    <row r="20" spans="1:2" ht="18" customHeight="1" x14ac:dyDescent="0.25">
      <c r="A20" s="1" t="s">
        <v>29</v>
      </c>
      <c r="B20" s="2" t="s">
        <v>30</v>
      </c>
    </row>
    <row r="21" spans="1:2" ht="18" customHeight="1" x14ac:dyDescent="0.25">
      <c r="A21" s="1" t="s">
        <v>31</v>
      </c>
      <c r="B21" s="2" t="s">
        <v>32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14</v>
      </c>
      <c r="B23" s="2" t="s">
        <v>35</v>
      </c>
    </row>
    <row r="24" spans="1:2" ht="18" customHeight="1" x14ac:dyDescent="0.25">
      <c r="A24" s="1" t="s">
        <v>36</v>
      </c>
      <c r="B24" s="2" t="s">
        <v>15</v>
      </c>
    </row>
  </sheetData>
  <mergeCells count="3">
    <mergeCell ref="A1:B1"/>
    <mergeCell ref="A2:B2"/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2"/>
  <sheetViews>
    <sheetView tabSelected="1" workbookViewId="0">
      <pane ySplit="1" topLeftCell="A249" activePane="bottomLeft" state="frozen"/>
      <selection pane="bottomLeft" activeCell="L254" sqref="L254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8" width="12" customWidth="1"/>
    <col min="9" max="17" width="10" customWidth="1"/>
    <col min="18" max="19" width="12" customWidth="1"/>
    <col min="20" max="21" width="9" customWidth="1"/>
    <col min="22" max="27" width="10" customWidth="1"/>
    <col min="28" max="28" width="8" customWidth="1"/>
    <col min="29" max="29" width="11" customWidth="1"/>
    <col min="30" max="30" width="10" customWidth="1"/>
    <col min="31" max="31" width="9" customWidth="1"/>
    <col min="32" max="32" width="8" customWidth="1"/>
    <col min="33" max="33" width="13" customWidth="1"/>
    <col min="34" max="34" width="15" customWidth="1"/>
    <col min="35" max="35" width="14" customWidth="1"/>
  </cols>
  <sheetData>
    <row r="1" spans="1:35" ht="21.95" customHeight="1" x14ac:dyDescent="0.25">
      <c r="A1" s="3" t="s">
        <v>37</v>
      </c>
      <c r="B1" s="3" t="s">
        <v>38</v>
      </c>
      <c r="C1" s="3" t="s">
        <v>2</v>
      </c>
      <c r="D1" s="3" t="s">
        <v>39</v>
      </c>
      <c r="E1" s="3" t="s">
        <v>40</v>
      </c>
      <c r="F1" s="3" t="s">
        <v>6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271</v>
      </c>
      <c r="N1" s="110" t="s">
        <v>272</v>
      </c>
      <c r="O1" s="110" t="s">
        <v>273</v>
      </c>
      <c r="P1" s="3" t="s">
        <v>47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56</v>
      </c>
      <c r="Z1" s="3" t="s">
        <v>57</v>
      </c>
      <c r="AA1" s="3" t="s">
        <v>58</v>
      </c>
      <c r="AB1" s="3" t="s">
        <v>59</v>
      </c>
      <c r="AC1" s="3" t="s">
        <v>60</v>
      </c>
      <c r="AD1" s="3" t="s">
        <v>61</v>
      </c>
      <c r="AE1" s="3" t="s">
        <v>62</v>
      </c>
      <c r="AF1" s="3" t="s">
        <v>63</v>
      </c>
      <c r="AG1" s="3" t="s">
        <v>64</v>
      </c>
      <c r="AH1" s="3" t="s">
        <v>65</v>
      </c>
      <c r="AI1" s="3" t="s">
        <v>66</v>
      </c>
    </row>
    <row r="2" spans="1:35" ht="18" customHeight="1" x14ac:dyDescent="0.25">
      <c r="A2" s="4">
        <v>1</v>
      </c>
      <c r="B2" s="4">
        <v>1</v>
      </c>
      <c r="C2" s="4">
        <v>1</v>
      </c>
      <c r="D2" s="108">
        <v>43553</v>
      </c>
      <c r="E2" s="108">
        <v>43558</v>
      </c>
      <c r="F2" s="108">
        <v>43559</v>
      </c>
      <c r="G2" s="5">
        <v>11623.9</v>
      </c>
      <c r="H2" s="5">
        <v>11643.95</v>
      </c>
      <c r="I2" s="5">
        <v>20.05</v>
      </c>
      <c r="J2" s="6">
        <v>1.7248943986097611E-3</v>
      </c>
      <c r="K2" s="7" t="s">
        <v>28</v>
      </c>
      <c r="L2" s="4">
        <v>11600</v>
      </c>
      <c r="M2" s="28">
        <f>L2/G2-1</f>
        <v>-2.0561085350011554E-3</v>
      </c>
      <c r="N2" s="111">
        <f>IF(L2&gt;G2,L2-G2,0)</f>
        <v>0</v>
      </c>
      <c r="O2" s="111">
        <f>R2-N2</f>
        <v>70.8</v>
      </c>
      <c r="P2" s="7" t="s">
        <v>67</v>
      </c>
      <c r="Q2" s="4">
        <v>65</v>
      </c>
      <c r="R2" s="5">
        <v>70.8</v>
      </c>
      <c r="S2" s="5">
        <v>13.4</v>
      </c>
      <c r="T2" s="8">
        <v>0.1114</v>
      </c>
      <c r="U2" s="8">
        <v>0.56610000000000005</v>
      </c>
      <c r="V2" s="8">
        <v>0.1114</v>
      </c>
      <c r="W2" s="8">
        <v>0.56610000000000005</v>
      </c>
      <c r="X2" s="8">
        <v>0.1114</v>
      </c>
      <c r="Y2" s="5">
        <v>57.4</v>
      </c>
      <c r="Z2" s="6">
        <v>4.9381016698354253E-3</v>
      </c>
      <c r="AA2" s="9">
        <v>57.4</v>
      </c>
      <c r="AB2" s="9">
        <v>0.49381016698354252</v>
      </c>
      <c r="AC2" s="5">
        <v>100.49381016698354</v>
      </c>
      <c r="AD2" s="5">
        <v>100.49381016698354</v>
      </c>
      <c r="AE2" s="4">
        <v>0</v>
      </c>
      <c r="AF2" s="6">
        <v>0</v>
      </c>
      <c r="AG2" s="5">
        <v>100.11</v>
      </c>
      <c r="AH2" s="5">
        <v>0.11</v>
      </c>
      <c r="AI2" s="7" t="s">
        <v>68</v>
      </c>
    </row>
    <row r="3" spans="1:35" ht="18" customHeight="1" x14ac:dyDescent="0.25">
      <c r="A3" s="10">
        <v>2</v>
      </c>
      <c r="B3" s="10">
        <v>1</v>
      </c>
      <c r="C3" s="10">
        <v>2</v>
      </c>
      <c r="D3" s="109">
        <v>43558</v>
      </c>
      <c r="E3" s="109">
        <v>43565</v>
      </c>
      <c r="F3" s="109">
        <v>43566</v>
      </c>
      <c r="G3" s="11">
        <v>11643.95</v>
      </c>
      <c r="H3" s="11">
        <v>11584.3</v>
      </c>
      <c r="I3" s="11">
        <v>-59.65</v>
      </c>
      <c r="J3" s="12">
        <v>-5.1228320286500709E-3</v>
      </c>
      <c r="K3" s="13" t="s">
        <v>28</v>
      </c>
      <c r="L3" s="10">
        <v>11600</v>
      </c>
      <c r="M3" s="28">
        <f>L3/G3-1</f>
        <v>-3.7744923329283697E-3</v>
      </c>
      <c r="N3" s="111">
        <f>IF(L3&gt;G3,L3-G3,0)</f>
        <v>0</v>
      </c>
      <c r="O3" s="111">
        <f>R3-N3</f>
        <v>59.05</v>
      </c>
      <c r="P3" s="13" t="s">
        <v>67</v>
      </c>
      <c r="Q3" s="10">
        <v>65</v>
      </c>
      <c r="R3" s="11">
        <v>59.05</v>
      </c>
      <c r="S3" s="10">
        <v>30</v>
      </c>
      <c r="T3" s="14">
        <v>-0.1885</v>
      </c>
      <c r="U3" s="14">
        <v>0.40970000000000001</v>
      </c>
      <c r="V3" s="14">
        <v>-0.1885</v>
      </c>
      <c r="W3" s="14">
        <v>0.40970000000000001</v>
      </c>
      <c r="X3" s="14">
        <v>-0.1885</v>
      </c>
      <c r="Y3" s="11">
        <v>29.05</v>
      </c>
      <c r="Z3" s="12">
        <v>2.4948578446317613E-3</v>
      </c>
      <c r="AA3" s="9">
        <v>29.05</v>
      </c>
      <c r="AB3" s="9">
        <v>0.24948578446317612</v>
      </c>
      <c r="AC3" s="11">
        <v>100.74452793761557</v>
      </c>
      <c r="AD3" s="11">
        <v>100.74452793761557</v>
      </c>
      <c r="AE3" s="10">
        <v>0</v>
      </c>
      <c r="AF3" s="12">
        <v>0</v>
      </c>
      <c r="AG3" s="11">
        <v>100.3</v>
      </c>
      <c r="AH3" s="11">
        <v>-0.19</v>
      </c>
      <c r="AI3" s="13" t="s">
        <v>68</v>
      </c>
    </row>
    <row r="4" spans="1:35" ht="18" customHeight="1" x14ac:dyDescent="0.25">
      <c r="A4" s="4">
        <v>3</v>
      </c>
      <c r="B4" s="4">
        <v>1</v>
      </c>
      <c r="C4" s="4">
        <v>3</v>
      </c>
      <c r="D4" s="108">
        <v>43565</v>
      </c>
      <c r="E4" s="108">
        <v>43571</v>
      </c>
      <c r="F4" s="108">
        <v>43573</v>
      </c>
      <c r="G4" s="5">
        <v>11584.3</v>
      </c>
      <c r="H4" s="5">
        <v>11787.15</v>
      </c>
      <c r="I4" s="5">
        <v>202.85</v>
      </c>
      <c r="J4" s="6">
        <v>1.7510768885474308E-2</v>
      </c>
      <c r="K4" s="7" t="s">
        <v>28</v>
      </c>
      <c r="L4" s="4">
        <v>11600</v>
      </c>
      <c r="M4" s="28">
        <f t="shared" ref="M4:M67" si="0">L4/G4-1</f>
        <v>1.3552825807343627E-3</v>
      </c>
      <c r="N4" s="111">
        <f t="shared" ref="N4:N67" si="1">IF(L4&gt;G4,L4-G4,0)</f>
        <v>15.700000000000728</v>
      </c>
      <c r="O4" s="111">
        <f t="shared" ref="O4:O67" si="2">R4-N4</f>
        <v>59.399999999999267</v>
      </c>
      <c r="P4" s="7" t="s">
        <v>67</v>
      </c>
      <c r="Q4" s="4">
        <v>65</v>
      </c>
      <c r="R4" s="5">
        <v>75.099999999999994</v>
      </c>
      <c r="S4" s="5">
        <v>2.75</v>
      </c>
      <c r="T4" s="8">
        <v>-0.1187</v>
      </c>
      <c r="U4" s="8">
        <v>0.62970000000000004</v>
      </c>
      <c r="V4" s="8">
        <v>-0.1187</v>
      </c>
      <c r="W4" s="8">
        <v>0.62970000000000004</v>
      </c>
      <c r="X4" s="8">
        <v>-0.1187</v>
      </c>
      <c r="Y4" s="5">
        <v>72.349999999999994</v>
      </c>
      <c r="Z4" s="6">
        <v>6.2455219564410448E-3</v>
      </c>
      <c r="AA4" s="9">
        <v>72.349999999999994</v>
      </c>
      <c r="AB4" s="9">
        <v>0.62455219564410447</v>
      </c>
      <c r="AC4" s="5">
        <v>101.37373009884124</v>
      </c>
      <c r="AD4" s="5">
        <v>101.37373009884124</v>
      </c>
      <c r="AE4" s="4">
        <v>0</v>
      </c>
      <c r="AF4" s="6">
        <v>0</v>
      </c>
      <c r="AG4" s="5">
        <v>100.62</v>
      </c>
      <c r="AH4" s="5">
        <v>-0.12</v>
      </c>
      <c r="AI4" s="7" t="s">
        <v>69</v>
      </c>
    </row>
    <row r="5" spans="1:35" ht="18" customHeight="1" x14ac:dyDescent="0.25">
      <c r="A5" s="10">
        <v>4</v>
      </c>
      <c r="B5" s="10">
        <v>1</v>
      </c>
      <c r="C5" s="10">
        <v>4</v>
      </c>
      <c r="D5" s="109">
        <v>43571</v>
      </c>
      <c r="E5" s="109">
        <v>43579</v>
      </c>
      <c r="F5" s="109">
        <v>43580</v>
      </c>
      <c r="G5" s="11">
        <v>11787.15</v>
      </c>
      <c r="H5" s="11">
        <v>11726.15</v>
      </c>
      <c r="I5" s="10">
        <v>-61</v>
      </c>
      <c r="J5" s="12">
        <v>-5.1751271511773413E-3</v>
      </c>
      <c r="K5" s="13" t="s">
        <v>28</v>
      </c>
      <c r="L5" s="10">
        <v>11800</v>
      </c>
      <c r="M5" s="28">
        <f t="shared" si="0"/>
        <v>1.0901702277481551E-3</v>
      </c>
      <c r="N5" s="111">
        <f t="shared" si="1"/>
        <v>12.850000000000364</v>
      </c>
      <c r="O5" s="111">
        <f t="shared" si="2"/>
        <v>54.099999999999639</v>
      </c>
      <c r="P5" s="13" t="s">
        <v>67</v>
      </c>
      <c r="Q5" s="10">
        <v>65</v>
      </c>
      <c r="R5" s="11">
        <v>66.95</v>
      </c>
      <c r="S5" s="11">
        <v>67.5</v>
      </c>
      <c r="T5" s="14">
        <v>-1.3243</v>
      </c>
      <c r="U5" s="14">
        <v>0.21929999999999999</v>
      </c>
      <c r="V5" s="14">
        <v>-1.3243</v>
      </c>
      <c r="W5" s="14">
        <v>0.21929999999999999</v>
      </c>
      <c r="X5" s="14">
        <v>-1.3243</v>
      </c>
      <c r="Y5" s="11">
        <v>-0.55000000000000004</v>
      </c>
      <c r="Z5" s="12">
        <v>-4.6660982510615377E-5</v>
      </c>
      <c r="AA5" s="15">
        <v>-0.55000000000000004</v>
      </c>
      <c r="AB5" s="15">
        <v>-4.6660982510615375E-3</v>
      </c>
      <c r="AC5" s="11">
        <v>101.36899990099405</v>
      </c>
      <c r="AD5" s="11">
        <v>101.37373009884124</v>
      </c>
      <c r="AE5" s="11">
        <v>-4.7301978471807615E-3</v>
      </c>
      <c r="AF5" s="12">
        <v>-4.6660982510643858E-5</v>
      </c>
      <c r="AG5" s="11">
        <v>100.03</v>
      </c>
      <c r="AH5" s="11">
        <v>-1.33</v>
      </c>
      <c r="AI5" s="13" t="s">
        <v>68</v>
      </c>
    </row>
    <row r="6" spans="1:35" ht="18" customHeight="1" x14ac:dyDescent="0.25">
      <c r="A6" s="4">
        <v>5</v>
      </c>
      <c r="B6" s="4">
        <v>1</v>
      </c>
      <c r="C6" s="4">
        <v>5</v>
      </c>
      <c r="D6" s="108">
        <v>43579</v>
      </c>
      <c r="E6" s="108">
        <v>43585</v>
      </c>
      <c r="F6" s="108">
        <v>43587</v>
      </c>
      <c r="G6" s="5">
        <v>11726.15</v>
      </c>
      <c r="H6" s="5">
        <v>11748.15</v>
      </c>
      <c r="I6" s="4">
        <v>22</v>
      </c>
      <c r="J6" s="6">
        <v>1.8761486080256522E-3</v>
      </c>
      <c r="K6" s="7" t="s">
        <v>28</v>
      </c>
      <c r="L6" s="4">
        <v>11700</v>
      </c>
      <c r="M6" s="28">
        <f t="shared" si="0"/>
        <v>-2.2300584590849715E-3</v>
      </c>
      <c r="N6" s="111">
        <f t="shared" si="1"/>
        <v>0</v>
      </c>
      <c r="O6" s="111">
        <f t="shared" si="2"/>
        <v>45.45</v>
      </c>
      <c r="P6" s="7" t="s">
        <v>67</v>
      </c>
      <c r="Q6" s="4">
        <v>65</v>
      </c>
      <c r="R6" s="5">
        <v>45.45</v>
      </c>
      <c r="S6" s="5">
        <v>15.4</v>
      </c>
      <c r="T6" s="8">
        <v>-0.28310000000000002</v>
      </c>
      <c r="U6" s="8">
        <v>0.29249999999999998</v>
      </c>
      <c r="V6" s="8">
        <v>-0.28310000000000002</v>
      </c>
      <c r="W6" s="8">
        <v>0.29249999999999998</v>
      </c>
      <c r="X6" s="8">
        <v>-0.28310000000000002</v>
      </c>
      <c r="Y6" s="5">
        <v>30.05</v>
      </c>
      <c r="Z6" s="6">
        <v>2.562648439598675E-3</v>
      </c>
      <c r="AA6" s="9">
        <v>30.05</v>
      </c>
      <c r="AB6" s="9">
        <v>0.25626484395986748</v>
      </c>
      <c r="AC6" s="5">
        <v>101.62877301041401</v>
      </c>
      <c r="AD6" s="5">
        <v>101.62877301041401</v>
      </c>
      <c r="AE6" s="4">
        <v>0</v>
      </c>
      <c r="AF6" s="6">
        <v>0</v>
      </c>
      <c r="AG6" s="5">
        <v>101.08</v>
      </c>
      <c r="AH6" s="5">
        <v>-0.28999999999999998</v>
      </c>
      <c r="AI6" s="7" t="s">
        <v>68</v>
      </c>
    </row>
    <row r="7" spans="1:35" ht="18" customHeight="1" x14ac:dyDescent="0.25">
      <c r="A7" s="10">
        <v>6</v>
      </c>
      <c r="B7" s="10">
        <v>1</v>
      </c>
      <c r="C7" s="10">
        <v>6</v>
      </c>
      <c r="D7" s="109">
        <v>43585</v>
      </c>
      <c r="E7" s="109">
        <v>43593</v>
      </c>
      <c r="F7" s="109">
        <v>43594</v>
      </c>
      <c r="G7" s="11">
        <v>11748.15</v>
      </c>
      <c r="H7" s="11">
        <v>11359.45</v>
      </c>
      <c r="I7" s="11">
        <v>-388.7</v>
      </c>
      <c r="J7" s="12">
        <v>-3.3086060358439411E-2</v>
      </c>
      <c r="K7" s="13" t="s">
        <v>28</v>
      </c>
      <c r="L7" s="10">
        <v>11700</v>
      </c>
      <c r="M7" s="28">
        <f t="shared" si="0"/>
        <v>-4.0985176389474187E-3</v>
      </c>
      <c r="N7" s="111">
        <f t="shared" si="1"/>
        <v>0</v>
      </c>
      <c r="O7" s="111">
        <f t="shared" si="2"/>
        <v>60.6</v>
      </c>
      <c r="P7" s="13" t="s">
        <v>67</v>
      </c>
      <c r="Q7" s="10">
        <v>65</v>
      </c>
      <c r="R7" s="11">
        <v>60.6</v>
      </c>
      <c r="S7" s="11">
        <v>318.8</v>
      </c>
      <c r="T7" s="14">
        <v>-2.3220999999999998</v>
      </c>
      <c r="U7" s="14">
        <v>0.26860000000000001</v>
      </c>
      <c r="V7" s="14">
        <v>-2.3220999999999998</v>
      </c>
      <c r="W7" s="14">
        <v>0.26860000000000001</v>
      </c>
      <c r="X7" s="14">
        <v>-2.3220999999999998</v>
      </c>
      <c r="Y7" s="11">
        <v>-258.2</v>
      </c>
      <c r="Z7" s="12">
        <v>-2.1977928439796904E-2</v>
      </c>
      <c r="AA7" s="15">
        <v>-258.2</v>
      </c>
      <c r="AB7" s="15">
        <v>-2.1977928439796903</v>
      </c>
      <c r="AC7" s="11">
        <v>99.395183109766762</v>
      </c>
      <c r="AD7" s="11">
        <v>101.62877301041401</v>
      </c>
      <c r="AE7" s="11">
        <v>-2.2335899006472459</v>
      </c>
      <c r="AF7" s="12">
        <v>-2.1977928439796943E-2</v>
      </c>
      <c r="AG7" s="11">
        <v>99.27</v>
      </c>
      <c r="AH7" s="11">
        <v>-2.3199999999999998</v>
      </c>
      <c r="AI7" s="13" t="s">
        <v>68</v>
      </c>
    </row>
    <row r="8" spans="1:35" ht="18" customHeight="1" x14ac:dyDescent="0.25">
      <c r="A8" s="4">
        <v>7</v>
      </c>
      <c r="B8" s="4">
        <v>1</v>
      </c>
      <c r="C8" s="4">
        <v>7</v>
      </c>
      <c r="D8" s="108">
        <v>43593</v>
      </c>
      <c r="E8" s="108">
        <v>43595</v>
      </c>
      <c r="F8" s="108">
        <v>43601</v>
      </c>
      <c r="G8" s="5">
        <v>11359.45</v>
      </c>
      <c r="H8" s="5">
        <v>11278.9</v>
      </c>
      <c r="I8" s="5">
        <v>-80.55</v>
      </c>
      <c r="J8" s="6">
        <v>-7.0910123289419811E-3</v>
      </c>
      <c r="K8" s="7" t="s">
        <v>28</v>
      </c>
      <c r="L8" s="4">
        <v>11400</v>
      </c>
      <c r="M8" s="28">
        <f t="shared" si="0"/>
        <v>3.5697150830364954E-3</v>
      </c>
      <c r="N8" s="111">
        <f t="shared" si="1"/>
        <v>40.549999999999272</v>
      </c>
      <c r="O8" s="111">
        <f t="shared" si="2"/>
        <v>60.850000000000733</v>
      </c>
      <c r="P8" s="7" t="s">
        <v>67</v>
      </c>
      <c r="Q8" s="4">
        <v>65</v>
      </c>
      <c r="R8" s="5">
        <v>101.4</v>
      </c>
      <c r="S8" s="5">
        <v>156.44999999999999</v>
      </c>
      <c r="T8" s="8">
        <v>-0.66159999999999997</v>
      </c>
      <c r="U8" s="8">
        <v>-1.1900000000000001E-2</v>
      </c>
      <c r="V8" s="8">
        <v>-0.66159999999999997</v>
      </c>
      <c r="W8" s="8">
        <v>-1.1900000000000001E-2</v>
      </c>
      <c r="X8" s="8">
        <v>-0.66159999999999997</v>
      </c>
      <c r="Y8" s="5">
        <v>-55.05</v>
      </c>
      <c r="Z8" s="6">
        <v>-4.8461853346772948E-3</v>
      </c>
      <c r="AA8" s="15">
        <v>-55.05</v>
      </c>
      <c r="AB8" s="15">
        <v>-0.48461853346772948</v>
      </c>
      <c r="AC8" s="5">
        <v>98.91349563104265</v>
      </c>
      <c r="AD8" s="5">
        <v>101.62877301041401</v>
      </c>
      <c r="AE8" s="5">
        <v>-2.7152773793713578</v>
      </c>
      <c r="AF8" s="6">
        <v>-2.6717604659982665E-2</v>
      </c>
      <c r="AG8" s="5">
        <v>98.74</v>
      </c>
      <c r="AH8" s="5">
        <v>-2.84</v>
      </c>
      <c r="AI8" s="7" t="s">
        <v>70</v>
      </c>
    </row>
    <row r="9" spans="1:35" ht="18" customHeight="1" x14ac:dyDescent="0.25">
      <c r="A9" s="10">
        <v>8</v>
      </c>
      <c r="B9" s="10">
        <v>1</v>
      </c>
      <c r="C9" s="10">
        <v>8</v>
      </c>
      <c r="D9" s="109">
        <v>43738</v>
      </c>
      <c r="E9" s="109">
        <v>43739</v>
      </c>
      <c r="F9" s="109">
        <v>43741</v>
      </c>
      <c r="G9" s="11">
        <v>11474.45</v>
      </c>
      <c r="H9" s="11">
        <v>11359.9</v>
      </c>
      <c r="I9" s="11">
        <v>-114.55</v>
      </c>
      <c r="J9" s="12">
        <v>-9.9830492964804399E-3</v>
      </c>
      <c r="K9" s="13" t="s">
        <v>28</v>
      </c>
      <c r="L9" s="10">
        <v>11500</v>
      </c>
      <c r="M9" s="28">
        <f t="shared" si="0"/>
        <v>2.2266862463995452E-3</v>
      </c>
      <c r="N9" s="111">
        <f t="shared" si="1"/>
        <v>25.549999999999272</v>
      </c>
      <c r="O9" s="111">
        <f t="shared" si="2"/>
        <v>40.700000000000728</v>
      </c>
      <c r="P9" s="13" t="s">
        <v>67</v>
      </c>
      <c r="Q9" s="10">
        <v>65</v>
      </c>
      <c r="R9" s="11">
        <v>66.25</v>
      </c>
      <c r="S9" s="11">
        <v>135.80000000000001</v>
      </c>
      <c r="T9" s="14">
        <v>-1.5709</v>
      </c>
      <c r="U9" s="14">
        <v>0.34289999999999998</v>
      </c>
      <c r="V9" s="14">
        <v>-1.5709</v>
      </c>
      <c r="W9" s="14">
        <v>0.34289999999999998</v>
      </c>
      <c r="X9" s="14">
        <v>-1.5709</v>
      </c>
      <c r="Y9" s="11">
        <v>-69.55</v>
      </c>
      <c r="Z9" s="12">
        <v>-6.0612926981249643E-3</v>
      </c>
      <c r="AA9" s="15">
        <v>-69.55</v>
      </c>
      <c r="AB9" s="15">
        <v>-0.60612926981249649</v>
      </c>
      <c r="AC9" s="11">
        <v>99.393870730187501</v>
      </c>
      <c r="AD9" s="10">
        <v>100</v>
      </c>
      <c r="AE9" s="11">
        <v>-0.60612926981249871</v>
      </c>
      <c r="AF9" s="12">
        <v>-6.0612926981249869E-3</v>
      </c>
      <c r="AG9" s="11">
        <v>98.43</v>
      </c>
      <c r="AH9" s="11">
        <v>-1.57</v>
      </c>
      <c r="AI9" s="13" t="s">
        <v>68</v>
      </c>
    </row>
    <row r="10" spans="1:35" ht="18" customHeight="1" x14ac:dyDescent="0.25">
      <c r="A10" s="4">
        <v>9</v>
      </c>
      <c r="B10" s="4">
        <v>1</v>
      </c>
      <c r="C10" s="4">
        <v>9</v>
      </c>
      <c r="D10" s="108">
        <v>43739</v>
      </c>
      <c r="E10" s="108">
        <v>43747</v>
      </c>
      <c r="F10" s="108">
        <v>43748</v>
      </c>
      <c r="G10" s="5">
        <v>11359.9</v>
      </c>
      <c r="H10" s="5">
        <v>11313.3</v>
      </c>
      <c r="I10" s="5">
        <v>-46.6</v>
      </c>
      <c r="J10" s="6">
        <v>-4.102148786521008E-3</v>
      </c>
      <c r="K10" s="7" t="s">
        <v>28</v>
      </c>
      <c r="L10" s="4">
        <v>11400</v>
      </c>
      <c r="M10" s="28">
        <f t="shared" si="0"/>
        <v>3.5299606510621473E-3</v>
      </c>
      <c r="N10" s="111">
        <f t="shared" si="1"/>
        <v>40.100000000000364</v>
      </c>
      <c r="O10" s="111">
        <f t="shared" si="2"/>
        <v>80.499999999999631</v>
      </c>
      <c r="P10" s="7" t="s">
        <v>67</v>
      </c>
      <c r="Q10" s="4">
        <v>65</v>
      </c>
      <c r="R10" s="5">
        <v>120.6</v>
      </c>
      <c r="S10" s="5">
        <v>92.2</v>
      </c>
      <c r="T10" s="8">
        <v>-1.6496999999999999</v>
      </c>
      <c r="U10" s="8">
        <v>0.33100000000000002</v>
      </c>
      <c r="V10" s="8">
        <v>-1.6496999999999999</v>
      </c>
      <c r="W10" s="8">
        <v>0.33100000000000002</v>
      </c>
      <c r="X10" s="8">
        <v>-1.6496999999999999</v>
      </c>
      <c r="Y10" s="5">
        <v>28.4</v>
      </c>
      <c r="Z10" s="6">
        <v>2.5000220072359794E-3</v>
      </c>
      <c r="AA10" s="9">
        <v>28.4</v>
      </c>
      <c r="AB10" s="9">
        <v>0.25000220072359791</v>
      </c>
      <c r="AC10" s="5">
        <v>99.642357594397339</v>
      </c>
      <c r="AD10" s="4">
        <v>100</v>
      </c>
      <c r="AE10" s="5">
        <v>-0.35764240560266103</v>
      </c>
      <c r="AF10" s="6">
        <v>-3.5764240560266104E-3</v>
      </c>
      <c r="AG10" s="5">
        <v>97.75</v>
      </c>
      <c r="AH10" s="5">
        <v>-2.25</v>
      </c>
      <c r="AI10" s="7" t="s">
        <v>68</v>
      </c>
    </row>
    <row r="11" spans="1:35" ht="18" customHeight="1" x14ac:dyDescent="0.25">
      <c r="A11" s="10">
        <v>10</v>
      </c>
      <c r="B11" s="10">
        <v>1</v>
      </c>
      <c r="C11" s="10">
        <v>10</v>
      </c>
      <c r="D11" s="109">
        <v>43747</v>
      </c>
      <c r="E11" s="109">
        <v>43753</v>
      </c>
      <c r="F11" s="109">
        <v>43755</v>
      </c>
      <c r="G11" s="11">
        <v>11313.3</v>
      </c>
      <c r="H11" s="11">
        <v>11428.3</v>
      </c>
      <c r="I11" s="10">
        <v>115</v>
      </c>
      <c r="J11" s="12">
        <v>1.0165027003615214E-2</v>
      </c>
      <c r="K11" s="13" t="s">
        <v>28</v>
      </c>
      <c r="L11" s="10">
        <v>11200</v>
      </c>
      <c r="M11" s="28">
        <f t="shared" si="0"/>
        <v>-1.0014761387039939E-2</v>
      </c>
      <c r="N11" s="111">
        <f t="shared" si="1"/>
        <v>0</v>
      </c>
      <c r="O11" s="111">
        <f t="shared" si="2"/>
        <v>60.5</v>
      </c>
      <c r="P11" s="13" t="s">
        <v>67</v>
      </c>
      <c r="Q11" s="10">
        <v>65</v>
      </c>
      <c r="R11" s="11">
        <v>60.5</v>
      </c>
      <c r="S11" s="11">
        <v>9.35</v>
      </c>
      <c r="T11" s="14">
        <v>-0.59</v>
      </c>
      <c r="U11" s="14">
        <v>0.47110000000000002</v>
      </c>
      <c r="V11" s="14">
        <v>-0.59</v>
      </c>
      <c r="W11" s="14">
        <v>0.47110000000000002</v>
      </c>
      <c r="X11" s="14">
        <v>-0.59</v>
      </c>
      <c r="Y11" s="11">
        <v>51.15</v>
      </c>
      <c r="Z11" s="12">
        <v>4.5212272281297235E-3</v>
      </c>
      <c r="AA11" s="9">
        <v>51.15</v>
      </c>
      <c r="AB11" s="9">
        <v>0.45212272281297233</v>
      </c>
      <c r="AC11" s="11">
        <v>100.09286333462816</v>
      </c>
      <c r="AD11" s="11">
        <v>100.09286333462816</v>
      </c>
      <c r="AE11" s="10">
        <v>0</v>
      </c>
      <c r="AF11" s="12">
        <v>0</v>
      </c>
      <c r="AG11" s="11">
        <v>99.05</v>
      </c>
      <c r="AH11" s="11">
        <v>-0.95</v>
      </c>
      <c r="AI11" s="13" t="s">
        <v>71</v>
      </c>
    </row>
    <row r="12" spans="1:35" ht="18" customHeight="1" x14ac:dyDescent="0.25">
      <c r="A12" s="4">
        <v>11</v>
      </c>
      <c r="B12" s="4">
        <v>1</v>
      </c>
      <c r="C12" s="4">
        <v>11</v>
      </c>
      <c r="D12" s="108">
        <v>43753</v>
      </c>
      <c r="E12" s="108">
        <v>43754</v>
      </c>
      <c r="F12" s="108">
        <v>43755</v>
      </c>
      <c r="G12" s="5">
        <v>11428.3</v>
      </c>
      <c r="H12" s="4">
        <v>11464</v>
      </c>
      <c r="I12" s="5">
        <v>35.700000000000003</v>
      </c>
      <c r="J12" s="6">
        <v>3.1238241908245327E-3</v>
      </c>
      <c r="K12" s="7" t="s">
        <v>28</v>
      </c>
      <c r="L12" s="4">
        <v>11400</v>
      </c>
      <c r="M12" s="28">
        <f t="shared" si="0"/>
        <v>-2.4763088123341825E-3</v>
      </c>
      <c r="N12" s="111">
        <f t="shared" si="1"/>
        <v>0</v>
      </c>
      <c r="O12" s="111">
        <f t="shared" si="2"/>
        <v>49.3</v>
      </c>
      <c r="P12" s="7" t="s">
        <v>67</v>
      </c>
      <c r="Q12" s="4">
        <v>65</v>
      </c>
      <c r="R12" s="5">
        <v>49.3</v>
      </c>
      <c r="S12" s="5">
        <v>18.25</v>
      </c>
      <c r="T12" s="8">
        <v>1.23E-2</v>
      </c>
      <c r="U12" s="8">
        <v>0.30890000000000001</v>
      </c>
      <c r="V12" s="8">
        <v>1.23E-2</v>
      </c>
      <c r="W12" s="8">
        <v>0.30890000000000001</v>
      </c>
      <c r="X12" s="8">
        <v>1.23E-2</v>
      </c>
      <c r="Y12" s="5">
        <v>31.05</v>
      </c>
      <c r="Z12" s="6">
        <v>2.7169395273137741E-3</v>
      </c>
      <c r="AA12" s="9">
        <v>31.05</v>
      </c>
      <c r="AB12" s="9">
        <v>0.27169395273137742</v>
      </c>
      <c r="AC12" s="5">
        <v>100.36480959142402</v>
      </c>
      <c r="AD12" s="5">
        <v>100.36480959142402</v>
      </c>
      <c r="AE12" s="4">
        <v>0</v>
      </c>
      <c r="AF12" s="6">
        <v>0</v>
      </c>
      <c r="AG12" s="5">
        <v>100.11</v>
      </c>
      <c r="AH12" s="5">
        <v>0.02</v>
      </c>
      <c r="AI12" s="7" t="s">
        <v>68</v>
      </c>
    </row>
    <row r="13" spans="1:35" ht="18" customHeight="1" x14ac:dyDescent="0.25">
      <c r="A13" s="10">
        <v>12</v>
      </c>
      <c r="B13" s="10">
        <v>1</v>
      </c>
      <c r="C13" s="10">
        <v>12</v>
      </c>
      <c r="D13" s="109">
        <v>43754</v>
      </c>
      <c r="E13" s="109">
        <v>43755</v>
      </c>
      <c r="F13" s="109">
        <v>43762</v>
      </c>
      <c r="G13" s="10">
        <v>11464</v>
      </c>
      <c r="H13" s="11">
        <v>11586.35</v>
      </c>
      <c r="I13" s="11">
        <v>122.35</v>
      </c>
      <c r="J13" s="12">
        <v>1.0672540125610606E-2</v>
      </c>
      <c r="K13" s="13" t="s">
        <v>28</v>
      </c>
      <c r="L13" s="10">
        <v>11500</v>
      </c>
      <c r="M13" s="28">
        <f t="shared" si="0"/>
        <v>3.1402651779484092E-3</v>
      </c>
      <c r="N13" s="111">
        <f t="shared" si="1"/>
        <v>36</v>
      </c>
      <c r="O13" s="111">
        <f t="shared" si="2"/>
        <v>83.8</v>
      </c>
      <c r="P13" s="13" t="s">
        <v>67</v>
      </c>
      <c r="Q13" s="10">
        <v>65</v>
      </c>
      <c r="R13" s="11">
        <v>119.8</v>
      </c>
      <c r="S13" s="11">
        <v>50.65</v>
      </c>
      <c r="T13" s="14">
        <v>-7.6300000000000007E-2</v>
      </c>
      <c r="U13" s="14">
        <v>0.64939999999999998</v>
      </c>
      <c r="V13" s="14">
        <v>-7.6300000000000007E-2</v>
      </c>
      <c r="W13" s="14">
        <v>0.64939999999999998</v>
      </c>
      <c r="X13" s="14">
        <v>-7.6300000000000007E-2</v>
      </c>
      <c r="Y13" s="11">
        <v>69.150000000000006</v>
      </c>
      <c r="Z13" s="12">
        <v>6.0319260293091419E-3</v>
      </c>
      <c r="AA13" s="9">
        <v>69.150000000000006</v>
      </c>
      <c r="AB13" s="9">
        <v>0.60319260293091415</v>
      </c>
      <c r="AC13" s="11">
        <v>100.97020269882519</v>
      </c>
      <c r="AD13" s="11">
        <v>100.97020269882519</v>
      </c>
      <c r="AE13" s="10">
        <v>0</v>
      </c>
      <c r="AF13" s="12">
        <v>0</v>
      </c>
      <c r="AG13" s="11">
        <v>100.29</v>
      </c>
      <c r="AH13" s="11">
        <v>-7.0000000000000007E-2</v>
      </c>
      <c r="AI13" s="13" t="s">
        <v>71</v>
      </c>
    </row>
    <row r="14" spans="1:35" ht="18" customHeight="1" x14ac:dyDescent="0.25">
      <c r="A14" s="4">
        <v>13</v>
      </c>
      <c r="B14" s="4">
        <v>1</v>
      </c>
      <c r="C14" s="4">
        <v>13</v>
      </c>
      <c r="D14" s="108">
        <v>43755</v>
      </c>
      <c r="E14" s="108">
        <v>43761</v>
      </c>
      <c r="F14" s="108">
        <v>43762</v>
      </c>
      <c r="G14" s="5">
        <v>11586.35</v>
      </c>
      <c r="H14" s="5">
        <v>11604.1</v>
      </c>
      <c r="I14" s="5">
        <v>17.75</v>
      </c>
      <c r="J14" s="6">
        <v>1.5319751259024628E-3</v>
      </c>
      <c r="K14" s="7" t="s">
        <v>28</v>
      </c>
      <c r="L14" s="4">
        <v>11600</v>
      </c>
      <c r="M14" s="28">
        <f t="shared" si="0"/>
        <v>1.178110448933456E-3</v>
      </c>
      <c r="N14" s="111">
        <f t="shared" si="1"/>
        <v>13.649999999999636</v>
      </c>
      <c r="O14" s="111">
        <f t="shared" si="2"/>
        <v>78.250000000000369</v>
      </c>
      <c r="P14" s="7" t="s">
        <v>67</v>
      </c>
      <c r="Q14" s="4">
        <v>65</v>
      </c>
      <c r="R14" s="5">
        <v>91.9</v>
      </c>
      <c r="S14" s="5">
        <v>36.549999999999997</v>
      </c>
      <c r="T14" s="8">
        <v>-0.1497</v>
      </c>
      <c r="U14" s="8">
        <v>0.60240000000000005</v>
      </c>
      <c r="V14" s="8">
        <v>-0.1497</v>
      </c>
      <c r="W14" s="8">
        <v>0.60240000000000005</v>
      </c>
      <c r="X14" s="8">
        <v>-0.1497</v>
      </c>
      <c r="Y14" s="5">
        <v>55.35</v>
      </c>
      <c r="Z14" s="6">
        <v>4.7771731390817643E-3</v>
      </c>
      <c r="AA14" s="9">
        <v>55.35</v>
      </c>
      <c r="AB14" s="9">
        <v>0.47771731390817646</v>
      </c>
      <c r="AC14" s="5">
        <v>101.45255483900566</v>
      </c>
      <c r="AD14" s="5">
        <v>101.45255483900566</v>
      </c>
      <c r="AE14" s="4">
        <v>0</v>
      </c>
      <c r="AF14" s="6">
        <v>0</v>
      </c>
      <c r="AG14" s="5">
        <v>100.82</v>
      </c>
      <c r="AH14" s="5">
        <v>-0.15</v>
      </c>
      <c r="AI14" s="7" t="s">
        <v>68</v>
      </c>
    </row>
    <row r="15" spans="1:35" ht="18" customHeight="1" x14ac:dyDescent="0.25">
      <c r="A15" s="10">
        <v>14</v>
      </c>
      <c r="B15" s="10">
        <v>1</v>
      </c>
      <c r="C15" s="10">
        <v>14</v>
      </c>
      <c r="D15" s="109">
        <v>43761</v>
      </c>
      <c r="E15" s="109">
        <v>43767</v>
      </c>
      <c r="F15" s="109">
        <v>43769</v>
      </c>
      <c r="G15" s="11">
        <v>11604.1</v>
      </c>
      <c r="H15" s="11">
        <v>11786.85</v>
      </c>
      <c r="I15" s="11">
        <v>182.75</v>
      </c>
      <c r="J15" s="12">
        <v>1.5748743978421419E-2</v>
      </c>
      <c r="K15" s="13" t="s">
        <v>28</v>
      </c>
      <c r="L15" s="10">
        <v>11600</v>
      </c>
      <c r="M15" s="28">
        <f t="shared" si="0"/>
        <v>-3.5332339431759507E-4</v>
      </c>
      <c r="N15" s="111">
        <f t="shared" si="1"/>
        <v>0</v>
      </c>
      <c r="O15" s="111">
        <f t="shared" si="2"/>
        <v>92.8</v>
      </c>
      <c r="P15" s="13" t="s">
        <v>67</v>
      </c>
      <c r="Q15" s="10">
        <v>65</v>
      </c>
      <c r="R15" s="11">
        <v>92.8</v>
      </c>
      <c r="S15" s="11">
        <v>8.65</v>
      </c>
      <c r="T15" s="14">
        <v>-0.42049999999999998</v>
      </c>
      <c r="U15" s="14">
        <v>0.73770000000000002</v>
      </c>
      <c r="V15" s="14">
        <v>-0.42049999999999998</v>
      </c>
      <c r="W15" s="14">
        <v>0.73770000000000002</v>
      </c>
      <c r="X15" s="14">
        <v>-0.42049999999999998</v>
      </c>
      <c r="Y15" s="11">
        <v>84.15</v>
      </c>
      <c r="Z15" s="12">
        <v>7.251747227273119E-3</v>
      </c>
      <c r="AA15" s="9">
        <v>84.15</v>
      </c>
      <c r="AB15" s="9">
        <v>0.72517472272731187</v>
      </c>
      <c r="AC15" s="11">
        <v>102.18826312225919</v>
      </c>
      <c r="AD15" s="11">
        <v>102.18826312225919</v>
      </c>
      <c r="AE15" s="10">
        <v>0</v>
      </c>
      <c r="AF15" s="12">
        <v>0</v>
      </c>
      <c r="AG15" s="11">
        <v>101.03</v>
      </c>
      <c r="AH15" s="11">
        <v>-0.42</v>
      </c>
      <c r="AI15" s="13" t="s">
        <v>71</v>
      </c>
    </row>
    <row r="16" spans="1:35" ht="18" customHeight="1" x14ac:dyDescent="0.25">
      <c r="A16" s="4">
        <v>15</v>
      </c>
      <c r="B16" s="4">
        <v>1</v>
      </c>
      <c r="C16" s="4">
        <v>15</v>
      </c>
      <c r="D16" s="108">
        <v>43767</v>
      </c>
      <c r="E16" s="108">
        <v>43768</v>
      </c>
      <c r="F16" s="108">
        <v>43769</v>
      </c>
      <c r="G16" s="5">
        <v>11786.85</v>
      </c>
      <c r="H16" s="5">
        <v>11844.1</v>
      </c>
      <c r="I16" s="5">
        <v>57.25</v>
      </c>
      <c r="J16" s="6">
        <v>4.8571077090147066E-3</v>
      </c>
      <c r="K16" s="7" t="s">
        <v>28</v>
      </c>
      <c r="L16" s="4">
        <v>11800</v>
      </c>
      <c r="M16" s="28">
        <f t="shared" si="0"/>
        <v>1.1156500676601233E-3</v>
      </c>
      <c r="N16" s="111">
        <f t="shared" si="1"/>
        <v>13.149999999999636</v>
      </c>
      <c r="O16" s="111">
        <f t="shared" si="2"/>
        <v>42.450000000000365</v>
      </c>
      <c r="P16" s="7" t="s">
        <v>67</v>
      </c>
      <c r="Q16" s="4">
        <v>65</v>
      </c>
      <c r="R16" s="5">
        <v>55.6</v>
      </c>
      <c r="S16" s="5">
        <v>22.15</v>
      </c>
      <c r="T16" s="8">
        <v>-1.61E-2</v>
      </c>
      <c r="U16" s="8">
        <v>0.31900000000000001</v>
      </c>
      <c r="V16" s="8">
        <v>-1.61E-2</v>
      </c>
      <c r="W16" s="8">
        <v>0.31900000000000001</v>
      </c>
      <c r="X16" s="8">
        <v>-1.61E-2</v>
      </c>
      <c r="Y16" s="5">
        <v>33.450000000000003</v>
      </c>
      <c r="Z16" s="6">
        <v>2.8379083470138336E-3</v>
      </c>
      <c r="AA16" s="9">
        <v>33.450000000000003</v>
      </c>
      <c r="AB16" s="9">
        <v>0.28379083470138333</v>
      </c>
      <c r="AC16" s="5">
        <v>102.47826404714068</v>
      </c>
      <c r="AD16" s="5">
        <v>102.47826404714068</v>
      </c>
      <c r="AE16" s="4">
        <v>0</v>
      </c>
      <c r="AF16" s="6">
        <v>0</v>
      </c>
      <c r="AG16" s="5">
        <v>102.17</v>
      </c>
      <c r="AH16" s="5">
        <v>-0.02</v>
      </c>
      <c r="AI16" s="7" t="s">
        <v>68</v>
      </c>
    </row>
    <row r="17" spans="1:35" ht="18" customHeight="1" x14ac:dyDescent="0.25">
      <c r="A17" s="10">
        <v>16</v>
      </c>
      <c r="B17" s="10">
        <v>1</v>
      </c>
      <c r="C17" s="10">
        <v>16</v>
      </c>
      <c r="D17" s="109">
        <v>43768</v>
      </c>
      <c r="E17" s="109">
        <v>43775</v>
      </c>
      <c r="F17" s="109">
        <v>43776</v>
      </c>
      <c r="G17" s="11">
        <v>11844.1</v>
      </c>
      <c r="H17" s="11">
        <v>11966.05</v>
      </c>
      <c r="I17" s="11">
        <v>121.95</v>
      </c>
      <c r="J17" s="12">
        <v>1.0296265651252523E-2</v>
      </c>
      <c r="K17" s="13" t="s">
        <v>28</v>
      </c>
      <c r="L17" s="10">
        <v>11800</v>
      </c>
      <c r="M17" s="28">
        <f t="shared" si="0"/>
        <v>-3.7233728185341874E-3</v>
      </c>
      <c r="N17" s="111">
        <f t="shared" si="1"/>
        <v>0</v>
      </c>
      <c r="O17" s="111">
        <f t="shared" si="2"/>
        <v>81.599999999999994</v>
      </c>
      <c r="P17" s="13" t="s">
        <v>67</v>
      </c>
      <c r="Q17" s="10">
        <v>65</v>
      </c>
      <c r="R17" s="11">
        <v>81.599999999999994</v>
      </c>
      <c r="S17" s="11">
        <v>3.95</v>
      </c>
      <c r="T17" s="14">
        <v>0.1009</v>
      </c>
      <c r="U17" s="14">
        <v>0.66279999999999994</v>
      </c>
      <c r="V17" s="14">
        <v>0.1009</v>
      </c>
      <c r="W17" s="14">
        <v>0.66279999999999994</v>
      </c>
      <c r="X17" s="14">
        <v>0.1009</v>
      </c>
      <c r="Y17" s="11">
        <v>77.650000000000006</v>
      </c>
      <c r="Z17" s="12">
        <v>6.556006788189901E-3</v>
      </c>
      <c r="AA17" s="9">
        <v>77.650000000000006</v>
      </c>
      <c r="AB17" s="9">
        <v>0.65560067881899009</v>
      </c>
      <c r="AC17" s="11">
        <v>103.15011224187565</v>
      </c>
      <c r="AD17" s="11">
        <v>103.15011224187565</v>
      </c>
      <c r="AE17" s="10">
        <v>0</v>
      </c>
      <c r="AF17" s="12">
        <v>0</v>
      </c>
      <c r="AG17" s="11">
        <v>102.58</v>
      </c>
      <c r="AH17" s="11">
        <v>0.1</v>
      </c>
      <c r="AI17" s="13" t="s">
        <v>69</v>
      </c>
    </row>
    <row r="18" spans="1:35" ht="18" customHeight="1" x14ac:dyDescent="0.25">
      <c r="A18" s="4">
        <v>17</v>
      </c>
      <c r="B18" s="4">
        <v>1</v>
      </c>
      <c r="C18" s="4">
        <v>17</v>
      </c>
      <c r="D18" s="108">
        <v>43775</v>
      </c>
      <c r="E18" s="108">
        <v>43782</v>
      </c>
      <c r="F18" s="108">
        <v>43783</v>
      </c>
      <c r="G18" s="5">
        <v>11966.05</v>
      </c>
      <c r="H18" s="5">
        <v>11840.45</v>
      </c>
      <c r="I18" s="5">
        <v>-125.6</v>
      </c>
      <c r="J18" s="6">
        <v>-1.0496362625929191E-2</v>
      </c>
      <c r="K18" s="7" t="s">
        <v>28</v>
      </c>
      <c r="L18" s="4">
        <v>12000</v>
      </c>
      <c r="M18" s="28">
        <f t="shared" si="0"/>
        <v>2.8371935601139153E-3</v>
      </c>
      <c r="N18" s="111">
        <f t="shared" si="1"/>
        <v>33.950000000000728</v>
      </c>
      <c r="O18" s="111">
        <f t="shared" si="2"/>
        <v>68.949999999999278</v>
      </c>
      <c r="P18" s="7" t="s">
        <v>67</v>
      </c>
      <c r="Q18" s="4">
        <v>65</v>
      </c>
      <c r="R18" s="5">
        <v>102.9</v>
      </c>
      <c r="S18" s="5">
        <v>160.25</v>
      </c>
      <c r="T18" s="8">
        <v>-0.60709999999999997</v>
      </c>
      <c r="U18" s="8">
        <v>0.40200000000000002</v>
      </c>
      <c r="V18" s="8">
        <v>-0.60709999999999997</v>
      </c>
      <c r="W18" s="8">
        <v>0.40200000000000002</v>
      </c>
      <c r="X18" s="8">
        <v>-0.60709999999999997</v>
      </c>
      <c r="Y18" s="5">
        <v>-57.35</v>
      </c>
      <c r="Z18" s="6">
        <v>-4.7927260875560446E-3</v>
      </c>
      <c r="AA18" s="15">
        <v>-57.35</v>
      </c>
      <c r="AB18" s="15">
        <v>-0.47927260875560446</v>
      </c>
      <c r="AC18" s="5">
        <v>102.65574200799966</v>
      </c>
      <c r="AD18" s="5">
        <v>103.15011224187565</v>
      </c>
      <c r="AE18" s="5">
        <v>-0.49437023387598344</v>
      </c>
      <c r="AF18" s="6">
        <v>-4.79272608755616E-3</v>
      </c>
      <c r="AG18" s="5">
        <v>102.52</v>
      </c>
      <c r="AH18" s="5">
        <v>-0.61</v>
      </c>
      <c r="AI18" s="7" t="s">
        <v>68</v>
      </c>
    </row>
    <row r="19" spans="1:35" ht="18" customHeight="1" x14ac:dyDescent="0.25">
      <c r="A19" s="10">
        <v>18</v>
      </c>
      <c r="B19" s="10">
        <v>1</v>
      </c>
      <c r="C19" s="10">
        <v>18</v>
      </c>
      <c r="D19" s="109">
        <v>43782</v>
      </c>
      <c r="E19" s="109">
        <v>43789</v>
      </c>
      <c r="F19" s="109">
        <v>43790</v>
      </c>
      <c r="G19" s="11">
        <v>11840.45</v>
      </c>
      <c r="H19" s="11">
        <v>11999.1</v>
      </c>
      <c r="I19" s="11">
        <v>158.65</v>
      </c>
      <c r="J19" s="12">
        <v>1.3398983991317897E-2</v>
      </c>
      <c r="K19" s="13" t="s">
        <v>28</v>
      </c>
      <c r="L19" s="10">
        <v>11800</v>
      </c>
      <c r="M19" s="28">
        <f t="shared" si="0"/>
        <v>-3.4162552943511892E-3</v>
      </c>
      <c r="N19" s="111">
        <f t="shared" si="1"/>
        <v>0</v>
      </c>
      <c r="O19" s="111">
        <f t="shared" si="2"/>
        <v>71.400000000000006</v>
      </c>
      <c r="P19" s="13" t="s">
        <v>67</v>
      </c>
      <c r="Q19" s="10">
        <v>65</v>
      </c>
      <c r="R19" s="11">
        <v>71.400000000000006</v>
      </c>
      <c r="S19" s="11">
        <v>2.65</v>
      </c>
      <c r="T19" s="14">
        <v>-6.88E-2</v>
      </c>
      <c r="U19" s="14">
        <v>0.5827</v>
      </c>
      <c r="V19" s="14">
        <v>-6.88E-2</v>
      </c>
      <c r="W19" s="14">
        <v>0.5827</v>
      </c>
      <c r="X19" s="14">
        <v>-6.88E-2</v>
      </c>
      <c r="Y19" s="11">
        <v>68.75</v>
      </c>
      <c r="Z19" s="12">
        <v>5.8063671566536742E-3</v>
      </c>
      <c r="AA19" s="9">
        <v>68.75</v>
      </c>
      <c r="AB19" s="9">
        <v>0.58063671566536745</v>
      </c>
      <c r="AC19" s="11">
        <v>103.25179893683683</v>
      </c>
      <c r="AD19" s="11">
        <v>103.25179893683683</v>
      </c>
      <c r="AE19" s="10">
        <v>0</v>
      </c>
      <c r="AF19" s="12">
        <v>0</v>
      </c>
      <c r="AG19" s="11">
        <v>102.59</v>
      </c>
      <c r="AH19" s="11">
        <v>-0.54</v>
      </c>
      <c r="AI19" s="13" t="s">
        <v>69</v>
      </c>
    </row>
    <row r="20" spans="1:35" ht="18" customHeight="1" x14ac:dyDescent="0.25">
      <c r="A20" s="4">
        <v>19</v>
      </c>
      <c r="B20" s="4">
        <v>1</v>
      </c>
      <c r="C20" s="4">
        <v>19</v>
      </c>
      <c r="D20" s="108">
        <v>43789</v>
      </c>
      <c r="E20" s="108">
        <v>43796</v>
      </c>
      <c r="F20" s="108">
        <v>43797</v>
      </c>
      <c r="G20" s="5">
        <v>11999.1</v>
      </c>
      <c r="H20" s="5">
        <v>12100.7</v>
      </c>
      <c r="I20" s="5">
        <v>101.6</v>
      </c>
      <c r="J20" s="6">
        <v>8.4673017142952375E-3</v>
      </c>
      <c r="K20" s="7" t="s">
        <v>28</v>
      </c>
      <c r="L20" s="4">
        <v>12000</v>
      </c>
      <c r="M20" s="28">
        <f t="shared" si="0"/>
        <v>7.5005625421953326E-5</v>
      </c>
      <c r="N20" s="111">
        <f t="shared" si="1"/>
        <v>0.8999999999996362</v>
      </c>
      <c r="O20" s="111">
        <f t="shared" si="2"/>
        <v>79.300000000000367</v>
      </c>
      <c r="P20" s="7" t="s">
        <v>67</v>
      </c>
      <c r="Q20" s="4">
        <v>65</v>
      </c>
      <c r="R20" s="5">
        <v>80.2</v>
      </c>
      <c r="S20" s="5">
        <v>6.5</v>
      </c>
      <c r="T20" s="8">
        <v>-0.56499999999999995</v>
      </c>
      <c r="U20" s="8">
        <v>0.63419999999999999</v>
      </c>
      <c r="V20" s="8">
        <v>-0.56499999999999995</v>
      </c>
      <c r="W20" s="8">
        <v>0.63419999999999999</v>
      </c>
      <c r="X20" s="8">
        <v>-0.56499999999999995</v>
      </c>
      <c r="Y20" s="5">
        <v>73.7</v>
      </c>
      <c r="Z20" s="6">
        <v>6.1421273262161329E-3</v>
      </c>
      <c r="AA20" s="9">
        <v>73.7</v>
      </c>
      <c r="AB20" s="9">
        <v>0.61421273262161324</v>
      </c>
      <c r="AC20" s="5">
        <v>103.88598463256776</v>
      </c>
      <c r="AD20" s="5">
        <v>103.88598463256776</v>
      </c>
      <c r="AE20" s="4">
        <v>0</v>
      </c>
      <c r="AF20" s="6">
        <v>0</v>
      </c>
      <c r="AG20" s="5">
        <v>102.67</v>
      </c>
      <c r="AH20" s="5">
        <v>-0.56000000000000005</v>
      </c>
      <c r="AI20" s="7" t="s">
        <v>68</v>
      </c>
    </row>
    <row r="21" spans="1:35" ht="18" customHeight="1" x14ac:dyDescent="0.25">
      <c r="A21" s="10">
        <v>20</v>
      </c>
      <c r="B21" s="10">
        <v>1</v>
      </c>
      <c r="C21" s="10">
        <v>20</v>
      </c>
      <c r="D21" s="109">
        <v>43796</v>
      </c>
      <c r="E21" s="109">
        <v>43803</v>
      </c>
      <c r="F21" s="109">
        <v>43804</v>
      </c>
      <c r="G21" s="11">
        <v>12100.7</v>
      </c>
      <c r="H21" s="11">
        <v>12043.2</v>
      </c>
      <c r="I21" s="11">
        <v>-57.5</v>
      </c>
      <c r="J21" s="12">
        <v>-4.7517912186898275E-3</v>
      </c>
      <c r="K21" s="13" t="s">
        <v>28</v>
      </c>
      <c r="L21" s="10">
        <v>12100</v>
      </c>
      <c r="M21" s="28">
        <f t="shared" si="0"/>
        <v>-5.7847893097151548E-5</v>
      </c>
      <c r="N21" s="111">
        <f t="shared" si="1"/>
        <v>0</v>
      </c>
      <c r="O21" s="111">
        <f t="shared" si="2"/>
        <v>74.95</v>
      </c>
      <c r="P21" s="13" t="s">
        <v>67</v>
      </c>
      <c r="Q21" s="10">
        <v>65</v>
      </c>
      <c r="R21" s="11">
        <v>74.95</v>
      </c>
      <c r="S21" s="11">
        <v>63.5</v>
      </c>
      <c r="T21" s="14">
        <v>-0.74050000000000005</v>
      </c>
      <c r="U21" s="14">
        <v>0.19009999999999999</v>
      </c>
      <c r="V21" s="14">
        <v>-0.74050000000000005</v>
      </c>
      <c r="W21" s="14">
        <v>0.19009999999999999</v>
      </c>
      <c r="X21" s="14">
        <v>-0.74050000000000005</v>
      </c>
      <c r="Y21" s="11">
        <v>11.45</v>
      </c>
      <c r="Z21" s="12">
        <v>9.462262513738873E-4</v>
      </c>
      <c r="AA21" s="9">
        <v>11.45</v>
      </c>
      <c r="AB21" s="9">
        <v>9.4622625137388727E-2</v>
      </c>
      <c r="AC21" s="11">
        <v>103.98428427837692</v>
      </c>
      <c r="AD21" s="11">
        <v>103.98428427837692</v>
      </c>
      <c r="AE21" s="10">
        <v>0</v>
      </c>
      <c r="AF21" s="12">
        <v>0</v>
      </c>
      <c r="AG21" s="11">
        <v>103.12</v>
      </c>
      <c r="AH21" s="11">
        <v>-0.74</v>
      </c>
      <c r="AI21" s="13" t="s">
        <v>68</v>
      </c>
    </row>
    <row r="22" spans="1:35" ht="18" customHeight="1" x14ac:dyDescent="0.25">
      <c r="A22" s="4">
        <v>21</v>
      </c>
      <c r="B22" s="4">
        <v>1</v>
      </c>
      <c r="C22" s="4">
        <v>21</v>
      </c>
      <c r="D22" s="108">
        <v>43803</v>
      </c>
      <c r="E22" s="108">
        <v>43810</v>
      </c>
      <c r="F22" s="108">
        <v>43811</v>
      </c>
      <c r="G22" s="5">
        <v>12043.2</v>
      </c>
      <c r="H22" s="5">
        <v>11910.15</v>
      </c>
      <c r="I22" s="5">
        <v>-133.05000000000001</v>
      </c>
      <c r="J22" s="6">
        <v>-1.1047728178557195E-2</v>
      </c>
      <c r="K22" s="7" t="s">
        <v>28</v>
      </c>
      <c r="L22" s="4">
        <v>12000</v>
      </c>
      <c r="M22" s="28">
        <f t="shared" si="0"/>
        <v>-3.5870864886409226E-3</v>
      </c>
      <c r="N22" s="111">
        <f t="shared" si="1"/>
        <v>0</v>
      </c>
      <c r="O22" s="111">
        <f t="shared" si="2"/>
        <v>49.9</v>
      </c>
      <c r="P22" s="7" t="s">
        <v>67</v>
      </c>
      <c r="Q22" s="4">
        <v>65</v>
      </c>
      <c r="R22" s="5">
        <v>49.9</v>
      </c>
      <c r="S22" s="5">
        <v>96.75</v>
      </c>
      <c r="T22" s="8">
        <v>-0.88060000000000005</v>
      </c>
      <c r="U22" s="8">
        <v>0.10249999999999999</v>
      </c>
      <c r="V22" s="8">
        <v>-0.88060000000000005</v>
      </c>
      <c r="W22" s="8">
        <v>0.10249999999999999</v>
      </c>
      <c r="X22" s="8">
        <v>-0.88060000000000005</v>
      </c>
      <c r="Y22" s="5">
        <v>-46.85</v>
      </c>
      <c r="Z22" s="6">
        <v>-3.8901620831672643E-3</v>
      </c>
      <c r="AA22" s="15">
        <v>-46.85</v>
      </c>
      <c r="AB22" s="15">
        <v>-0.38901620831672645</v>
      </c>
      <c r="AC22" s="5">
        <v>103.57976855843189</v>
      </c>
      <c r="AD22" s="5">
        <v>103.98428427837692</v>
      </c>
      <c r="AE22" s="5">
        <v>-0.40451571994502444</v>
      </c>
      <c r="AF22" s="6">
        <v>-3.8901620831672322E-3</v>
      </c>
      <c r="AG22" s="5">
        <v>103.07</v>
      </c>
      <c r="AH22" s="5">
        <v>-0.88</v>
      </c>
      <c r="AI22" s="7" t="s">
        <v>68</v>
      </c>
    </row>
    <row r="23" spans="1:35" ht="18" customHeight="1" x14ac:dyDescent="0.25">
      <c r="A23" s="10">
        <v>22</v>
      </c>
      <c r="B23" s="10">
        <v>1</v>
      </c>
      <c r="C23" s="10">
        <v>22</v>
      </c>
      <c r="D23" s="109">
        <v>43810</v>
      </c>
      <c r="E23" s="109">
        <v>43812</v>
      </c>
      <c r="F23" s="109">
        <v>43818</v>
      </c>
      <c r="G23" s="11">
        <v>11910.15</v>
      </c>
      <c r="H23" s="11">
        <v>12086.7</v>
      </c>
      <c r="I23" s="11">
        <v>176.55</v>
      </c>
      <c r="J23" s="12">
        <v>1.4823490888024081E-2</v>
      </c>
      <c r="K23" s="13" t="s">
        <v>28</v>
      </c>
      <c r="L23" s="10">
        <v>11900</v>
      </c>
      <c r="M23" s="28">
        <f t="shared" si="0"/>
        <v>-8.5221428781334652E-4</v>
      </c>
      <c r="N23" s="111">
        <f t="shared" si="1"/>
        <v>0</v>
      </c>
      <c r="O23" s="111">
        <f t="shared" si="2"/>
        <v>71</v>
      </c>
      <c r="P23" s="13" t="s">
        <v>67</v>
      </c>
      <c r="Q23" s="10">
        <v>65</v>
      </c>
      <c r="R23" s="10">
        <v>71</v>
      </c>
      <c r="S23" s="11">
        <v>14.55</v>
      </c>
      <c r="T23" s="14">
        <v>0.13009999999999999</v>
      </c>
      <c r="U23" s="14">
        <v>0.49030000000000001</v>
      </c>
      <c r="V23" s="14">
        <v>0.13009999999999999</v>
      </c>
      <c r="W23" s="14">
        <v>0.49030000000000001</v>
      </c>
      <c r="X23" s="14">
        <v>0.13009999999999999</v>
      </c>
      <c r="Y23" s="11">
        <v>56.45</v>
      </c>
      <c r="Z23" s="12">
        <v>4.7396548322229367E-3</v>
      </c>
      <c r="AA23" s="9">
        <v>56.45</v>
      </c>
      <c r="AB23" s="9">
        <v>0.47396548322229365</v>
      </c>
      <c r="AC23" s="11">
        <v>104.07070090900039</v>
      </c>
      <c r="AD23" s="11">
        <v>104.07070090900039</v>
      </c>
      <c r="AE23" s="10">
        <v>0</v>
      </c>
      <c r="AF23" s="12">
        <v>0</v>
      </c>
      <c r="AG23" s="11">
        <v>103.71</v>
      </c>
      <c r="AH23" s="11">
        <v>-0.26</v>
      </c>
      <c r="AI23" s="13" t="s">
        <v>71</v>
      </c>
    </row>
    <row r="24" spans="1:35" ht="18" customHeight="1" x14ac:dyDescent="0.25">
      <c r="A24" s="4">
        <v>23</v>
      </c>
      <c r="B24" s="4">
        <v>1</v>
      </c>
      <c r="C24" s="4">
        <v>23</v>
      </c>
      <c r="D24" s="108">
        <v>43812</v>
      </c>
      <c r="E24" s="108">
        <v>43817</v>
      </c>
      <c r="F24" s="108">
        <v>43818</v>
      </c>
      <c r="G24" s="5">
        <v>12086.7</v>
      </c>
      <c r="H24" s="5">
        <v>12221.65</v>
      </c>
      <c r="I24" s="5">
        <v>134.94999999999999</v>
      </c>
      <c r="J24" s="6">
        <v>1.1165165016092066E-2</v>
      </c>
      <c r="K24" s="7" t="s">
        <v>28</v>
      </c>
      <c r="L24" s="4">
        <v>12100</v>
      </c>
      <c r="M24" s="28">
        <f t="shared" si="0"/>
        <v>1.1003830656837188E-3</v>
      </c>
      <c r="N24" s="111">
        <f t="shared" si="1"/>
        <v>13.299999999999272</v>
      </c>
      <c r="O24" s="111">
        <f t="shared" si="2"/>
        <v>49.750000000000725</v>
      </c>
      <c r="P24" s="7" t="s">
        <v>67</v>
      </c>
      <c r="Q24" s="4">
        <v>65</v>
      </c>
      <c r="R24" s="5">
        <v>63.05</v>
      </c>
      <c r="S24" s="5">
        <v>5.0999999999999996</v>
      </c>
      <c r="T24" s="8">
        <v>-0.14560000000000001</v>
      </c>
      <c r="U24" s="8">
        <v>0.48859999999999998</v>
      </c>
      <c r="V24" s="8">
        <v>-0.14560000000000001</v>
      </c>
      <c r="W24" s="8">
        <v>0.48859999999999998</v>
      </c>
      <c r="X24" s="8">
        <v>-0.14560000000000001</v>
      </c>
      <c r="Y24" s="5">
        <v>57.95</v>
      </c>
      <c r="Z24" s="6">
        <v>4.79452621476499E-3</v>
      </c>
      <c r="AA24" s="9">
        <v>57.95</v>
      </c>
      <c r="AB24" s="9">
        <v>0.47945262147649897</v>
      </c>
      <c r="AC24" s="5">
        <v>104.56967061269756</v>
      </c>
      <c r="AD24" s="5">
        <v>104.56967061269756</v>
      </c>
      <c r="AE24" s="4">
        <v>0</v>
      </c>
      <c r="AF24" s="6">
        <v>0</v>
      </c>
      <c r="AG24" s="5">
        <v>103.92</v>
      </c>
      <c r="AH24" s="5">
        <v>-0.14000000000000001</v>
      </c>
      <c r="AI24" s="7" t="s">
        <v>68</v>
      </c>
    </row>
    <row r="25" spans="1:35" ht="18" customHeight="1" x14ac:dyDescent="0.25">
      <c r="A25" s="10">
        <v>24</v>
      </c>
      <c r="B25" s="10">
        <v>1</v>
      </c>
      <c r="C25" s="10">
        <v>24</v>
      </c>
      <c r="D25" s="109">
        <v>43817</v>
      </c>
      <c r="E25" s="109">
        <v>43823</v>
      </c>
      <c r="F25" s="109">
        <v>43825</v>
      </c>
      <c r="G25" s="11">
        <v>12221.65</v>
      </c>
      <c r="H25" s="11">
        <v>12214.55</v>
      </c>
      <c r="I25" s="11">
        <v>-7.1</v>
      </c>
      <c r="J25" s="12">
        <v>-5.8093628928990767E-4</v>
      </c>
      <c r="K25" s="13" t="s">
        <v>28</v>
      </c>
      <c r="L25" s="10">
        <v>12200</v>
      </c>
      <c r="M25" s="28">
        <f t="shared" si="0"/>
        <v>-1.7714465722713513E-3</v>
      </c>
      <c r="N25" s="111">
        <f t="shared" si="1"/>
        <v>0</v>
      </c>
      <c r="O25" s="111">
        <f t="shared" si="2"/>
        <v>56.5</v>
      </c>
      <c r="P25" s="13" t="s">
        <v>67</v>
      </c>
      <c r="Q25" s="10">
        <v>65</v>
      </c>
      <c r="R25" s="11">
        <v>56.5</v>
      </c>
      <c r="S25" s="11">
        <v>15.05</v>
      </c>
      <c r="T25" s="14">
        <v>-8.6300000000000002E-2</v>
      </c>
      <c r="U25" s="14">
        <v>0.39850000000000002</v>
      </c>
      <c r="V25" s="14">
        <v>-8.6300000000000002E-2</v>
      </c>
      <c r="W25" s="14">
        <v>0.39850000000000002</v>
      </c>
      <c r="X25" s="14">
        <v>-8.6300000000000002E-2</v>
      </c>
      <c r="Y25" s="11">
        <v>41.45</v>
      </c>
      <c r="Z25" s="12">
        <v>3.3915224212769965E-3</v>
      </c>
      <c r="AA25" s="9">
        <v>41.45</v>
      </c>
      <c r="AB25" s="9">
        <v>0.33915224212769962</v>
      </c>
      <c r="AC25" s="11">
        <v>104.92432099516608</v>
      </c>
      <c r="AD25" s="11">
        <v>104.92432099516608</v>
      </c>
      <c r="AE25" s="10">
        <v>0</v>
      </c>
      <c r="AF25" s="12">
        <v>0</v>
      </c>
      <c r="AG25" s="11">
        <v>104.48</v>
      </c>
      <c r="AH25" s="11">
        <v>-0.09</v>
      </c>
      <c r="AI25" s="13" t="s">
        <v>68</v>
      </c>
    </row>
    <row r="26" spans="1:35" ht="18" customHeight="1" x14ac:dyDescent="0.25">
      <c r="A26" s="4">
        <v>25</v>
      </c>
      <c r="B26" s="4">
        <v>1</v>
      </c>
      <c r="C26" s="4">
        <v>25</v>
      </c>
      <c r="D26" s="108">
        <v>43823</v>
      </c>
      <c r="E26" s="108">
        <v>43831</v>
      </c>
      <c r="F26" s="108">
        <v>43832</v>
      </c>
      <c r="G26" s="5">
        <v>12214.55</v>
      </c>
      <c r="H26" s="5">
        <v>12182.5</v>
      </c>
      <c r="I26" s="5">
        <v>-32.049999999999997</v>
      </c>
      <c r="J26" s="6">
        <v>-2.6239198333135481E-3</v>
      </c>
      <c r="K26" s="7" t="s">
        <v>28</v>
      </c>
      <c r="L26" s="4">
        <v>12200</v>
      </c>
      <c r="M26" s="28">
        <f t="shared" si="0"/>
        <v>-1.1912022956227508E-3</v>
      </c>
      <c r="N26" s="111">
        <f t="shared" si="1"/>
        <v>0</v>
      </c>
      <c r="O26" s="111">
        <f t="shared" si="2"/>
        <v>47.8</v>
      </c>
      <c r="P26" s="7" t="s">
        <v>67</v>
      </c>
      <c r="Q26" s="4">
        <v>65</v>
      </c>
      <c r="R26" s="5">
        <v>47.8</v>
      </c>
      <c r="S26" s="5">
        <v>30.7</v>
      </c>
      <c r="T26" s="8">
        <v>-0.33929999999999999</v>
      </c>
      <c r="U26" s="8">
        <v>0.26569999999999999</v>
      </c>
      <c r="V26" s="8">
        <v>-0.33929999999999999</v>
      </c>
      <c r="W26" s="8">
        <v>0.26569999999999999</v>
      </c>
      <c r="X26" s="8">
        <v>-0.33929999999999999</v>
      </c>
      <c r="Y26" s="5">
        <v>17.100000000000001</v>
      </c>
      <c r="Z26" s="6">
        <v>1.3999697082577747E-3</v>
      </c>
      <c r="AA26" s="9">
        <v>17.100000000000001</v>
      </c>
      <c r="AB26" s="9">
        <v>0.13999697082577747</v>
      </c>
      <c r="AC26" s="5">
        <v>105.07121186621885</v>
      </c>
      <c r="AD26" s="5">
        <v>105.07121186621885</v>
      </c>
      <c r="AE26" s="4">
        <v>0</v>
      </c>
      <c r="AF26" s="6">
        <v>0</v>
      </c>
      <c r="AG26" s="5">
        <v>104.57</v>
      </c>
      <c r="AH26" s="5">
        <v>-0.34</v>
      </c>
      <c r="AI26" s="7" t="s">
        <v>68</v>
      </c>
    </row>
    <row r="27" spans="1:35" ht="18" customHeight="1" x14ac:dyDescent="0.25">
      <c r="A27" s="10">
        <v>26</v>
      </c>
      <c r="B27" s="10">
        <v>1</v>
      </c>
      <c r="C27" s="10">
        <v>26</v>
      </c>
      <c r="D27" s="109">
        <v>43831</v>
      </c>
      <c r="E27" s="109">
        <v>43838</v>
      </c>
      <c r="F27" s="109">
        <v>43839</v>
      </c>
      <c r="G27" s="11">
        <v>12182.5</v>
      </c>
      <c r="H27" s="11">
        <v>12025.35</v>
      </c>
      <c r="I27" s="11">
        <v>-157.15</v>
      </c>
      <c r="J27" s="12">
        <v>-1.2899651138928792E-2</v>
      </c>
      <c r="K27" s="13" t="s">
        <v>28</v>
      </c>
      <c r="L27" s="10">
        <v>12200</v>
      </c>
      <c r="M27" s="28">
        <f t="shared" si="0"/>
        <v>1.4364867638005929E-3</v>
      </c>
      <c r="N27" s="111">
        <f t="shared" si="1"/>
        <v>17.5</v>
      </c>
      <c r="O27" s="111">
        <f t="shared" si="2"/>
        <v>46.95</v>
      </c>
      <c r="P27" s="13" t="s">
        <v>67</v>
      </c>
      <c r="Q27" s="10">
        <v>65</v>
      </c>
      <c r="R27" s="11">
        <v>64.45</v>
      </c>
      <c r="S27" s="11">
        <v>184.7</v>
      </c>
      <c r="T27" s="14">
        <v>-1.7163999999999999</v>
      </c>
      <c r="U27" s="14">
        <v>0.35170000000000001</v>
      </c>
      <c r="V27" s="14">
        <v>-1.7163999999999999</v>
      </c>
      <c r="W27" s="14">
        <v>0.35170000000000001</v>
      </c>
      <c r="X27" s="14">
        <v>-1.7163999999999999</v>
      </c>
      <c r="Y27" s="11">
        <v>-120.25</v>
      </c>
      <c r="Z27" s="12">
        <v>-9.870716191257952E-3</v>
      </c>
      <c r="AA27" s="15">
        <v>-120.25</v>
      </c>
      <c r="AB27" s="15">
        <v>-0.98707161912579522</v>
      </c>
      <c r="AC27" s="11">
        <v>104.03408375401587</v>
      </c>
      <c r="AD27" s="11">
        <v>105.07121186621885</v>
      </c>
      <c r="AE27" s="11">
        <v>-1.0371281122029785</v>
      </c>
      <c r="AF27" s="12">
        <v>-9.8707161912579278E-3</v>
      </c>
      <c r="AG27" s="11">
        <v>103.27</v>
      </c>
      <c r="AH27" s="11">
        <v>-1.71</v>
      </c>
      <c r="AI27" s="13" t="s">
        <v>68</v>
      </c>
    </row>
    <row r="28" spans="1:35" ht="18" customHeight="1" x14ac:dyDescent="0.25">
      <c r="A28" s="4">
        <v>27</v>
      </c>
      <c r="B28" s="4">
        <v>1</v>
      </c>
      <c r="C28" s="4">
        <v>27</v>
      </c>
      <c r="D28" s="108">
        <v>43838</v>
      </c>
      <c r="E28" s="108">
        <v>43839</v>
      </c>
      <c r="F28" s="108">
        <v>43846</v>
      </c>
      <c r="G28" s="5">
        <v>12025.35</v>
      </c>
      <c r="H28" s="5">
        <v>12215.9</v>
      </c>
      <c r="I28" s="5">
        <v>190.55</v>
      </c>
      <c r="J28" s="6">
        <v>1.5845692640962635E-2</v>
      </c>
      <c r="K28" s="7" t="s">
        <v>28</v>
      </c>
      <c r="L28" s="4">
        <v>11900</v>
      </c>
      <c r="M28" s="28">
        <f t="shared" si="0"/>
        <v>-1.042381302831108E-2</v>
      </c>
      <c r="N28" s="111">
        <f t="shared" si="1"/>
        <v>0</v>
      </c>
      <c r="O28" s="111">
        <f t="shared" si="2"/>
        <v>68.5</v>
      </c>
      <c r="P28" s="7" t="s">
        <v>67</v>
      </c>
      <c r="Q28" s="4">
        <v>65</v>
      </c>
      <c r="R28" s="5">
        <v>68.5</v>
      </c>
      <c r="S28" s="5">
        <v>13.4</v>
      </c>
      <c r="T28" s="8">
        <v>0.2079</v>
      </c>
      <c r="U28" s="8">
        <v>0.46729999999999999</v>
      </c>
      <c r="V28" s="8">
        <v>0.2079</v>
      </c>
      <c r="W28" s="8">
        <v>0.46729999999999999</v>
      </c>
      <c r="X28" s="8">
        <v>0.2079</v>
      </c>
      <c r="Y28" s="5">
        <v>55.1</v>
      </c>
      <c r="Z28" s="6">
        <v>4.5819872186672319E-3</v>
      </c>
      <c r="AA28" s="9">
        <v>55.1</v>
      </c>
      <c r="AB28" s="9">
        <v>0.45819872186672317</v>
      </c>
      <c r="AC28" s="5">
        <v>104.51076659608252</v>
      </c>
      <c r="AD28" s="5">
        <v>105.07121186621885</v>
      </c>
      <c r="AE28" s="5">
        <v>-0.56044527013632717</v>
      </c>
      <c r="AF28" s="6">
        <v>-5.3339564680181858E-3</v>
      </c>
      <c r="AG28" s="5">
        <v>104.25</v>
      </c>
      <c r="AH28" s="5">
        <v>-0.78</v>
      </c>
      <c r="AI28" s="7" t="s">
        <v>71</v>
      </c>
    </row>
    <row r="29" spans="1:35" ht="18" customHeight="1" x14ac:dyDescent="0.25">
      <c r="A29" s="10">
        <v>28</v>
      </c>
      <c r="B29" s="10">
        <v>1</v>
      </c>
      <c r="C29" s="10">
        <v>28</v>
      </c>
      <c r="D29" s="109">
        <v>43839</v>
      </c>
      <c r="E29" s="109">
        <v>43844</v>
      </c>
      <c r="F29" s="109">
        <v>43846</v>
      </c>
      <c r="G29" s="11">
        <v>12215.9</v>
      </c>
      <c r="H29" s="11">
        <v>12362.3</v>
      </c>
      <c r="I29" s="11">
        <v>146.4</v>
      </c>
      <c r="J29" s="12">
        <v>1.1984381011632381E-2</v>
      </c>
      <c r="K29" s="13" t="s">
        <v>28</v>
      </c>
      <c r="L29" s="10">
        <v>12200</v>
      </c>
      <c r="M29" s="28">
        <f t="shared" si="0"/>
        <v>-1.3015823639682678E-3</v>
      </c>
      <c r="N29" s="111">
        <f t="shared" si="1"/>
        <v>0</v>
      </c>
      <c r="O29" s="111">
        <f t="shared" si="2"/>
        <v>59.75</v>
      </c>
      <c r="P29" s="13" t="s">
        <v>67</v>
      </c>
      <c r="Q29" s="10">
        <v>65</v>
      </c>
      <c r="R29" s="11">
        <v>59.75</v>
      </c>
      <c r="S29" s="11">
        <v>9.4</v>
      </c>
      <c r="T29" s="14">
        <v>-3.7699999999999997E-2</v>
      </c>
      <c r="U29" s="14">
        <v>0.4249</v>
      </c>
      <c r="V29" s="14">
        <v>-3.7699999999999997E-2</v>
      </c>
      <c r="W29" s="14">
        <v>0.4249</v>
      </c>
      <c r="X29" s="14">
        <v>-3.7699999999999997E-2</v>
      </c>
      <c r="Y29" s="11">
        <v>50.35</v>
      </c>
      <c r="Z29" s="12">
        <v>4.1216774858995244E-3</v>
      </c>
      <c r="AA29" s="9">
        <v>50.35</v>
      </c>
      <c r="AB29" s="9">
        <v>0.41216774858995242</v>
      </c>
      <c r="AC29" s="11">
        <v>104.94152626979569</v>
      </c>
      <c r="AD29" s="11">
        <v>105.07121186621885</v>
      </c>
      <c r="AE29" s="11">
        <v>-0.12968559642315824</v>
      </c>
      <c r="AF29" s="12">
        <v>-1.2342638304037026E-3</v>
      </c>
      <c r="AG29" s="11">
        <v>104.47</v>
      </c>
      <c r="AH29" s="11">
        <v>-0.56999999999999995</v>
      </c>
      <c r="AI29" s="13" t="s">
        <v>71</v>
      </c>
    </row>
    <row r="30" spans="1:35" ht="18" customHeight="1" x14ac:dyDescent="0.25">
      <c r="A30" s="4">
        <v>29</v>
      </c>
      <c r="B30" s="4">
        <v>1</v>
      </c>
      <c r="C30" s="4">
        <v>29</v>
      </c>
      <c r="D30" s="108">
        <v>43844</v>
      </c>
      <c r="E30" s="108">
        <v>43845</v>
      </c>
      <c r="F30" s="108">
        <v>43846</v>
      </c>
      <c r="G30" s="5">
        <v>12362.3</v>
      </c>
      <c r="H30" s="5">
        <v>12343.3</v>
      </c>
      <c r="I30" s="4">
        <v>-19</v>
      </c>
      <c r="J30" s="6">
        <v>-1.5369308300235394E-3</v>
      </c>
      <c r="K30" s="7" t="s">
        <v>28</v>
      </c>
      <c r="L30" s="4">
        <v>12400</v>
      </c>
      <c r="M30" s="28">
        <f t="shared" si="0"/>
        <v>3.049594331151928E-3</v>
      </c>
      <c r="N30" s="111">
        <f t="shared" si="1"/>
        <v>37.700000000000728</v>
      </c>
      <c r="O30" s="111">
        <f t="shared" si="2"/>
        <v>27.699999999999278</v>
      </c>
      <c r="P30" s="7" t="s">
        <v>67</v>
      </c>
      <c r="Q30" s="4">
        <v>65</v>
      </c>
      <c r="R30" s="5">
        <v>65.400000000000006</v>
      </c>
      <c r="S30" s="5">
        <v>67.650000000000006</v>
      </c>
      <c r="T30" s="8">
        <v>-0.4667</v>
      </c>
      <c r="U30" s="8">
        <v>7.4399999999999994E-2</v>
      </c>
      <c r="V30" s="8">
        <v>-0.4667</v>
      </c>
      <c r="W30" s="8">
        <v>7.4399999999999994E-2</v>
      </c>
      <c r="X30" s="8">
        <v>-0.4667</v>
      </c>
      <c r="Y30" s="5">
        <v>-2.25</v>
      </c>
      <c r="Z30" s="6">
        <v>-1.8200496671331388E-4</v>
      </c>
      <c r="AA30" s="15">
        <v>-2.25</v>
      </c>
      <c r="AB30" s="15">
        <v>-1.8200496671331386E-2</v>
      </c>
      <c r="AC30" s="5">
        <v>104.92242639080011</v>
      </c>
      <c r="AD30" s="5">
        <v>105.07121186621885</v>
      </c>
      <c r="AE30" s="5">
        <v>-0.14878547541873388</v>
      </c>
      <c r="AF30" s="6">
        <v>-1.4160441549696211E-3</v>
      </c>
      <c r="AG30" s="5">
        <v>104.45</v>
      </c>
      <c r="AH30" s="5">
        <v>-0.59</v>
      </c>
      <c r="AI30" s="7" t="s">
        <v>68</v>
      </c>
    </row>
    <row r="31" spans="1:35" ht="18" customHeight="1" x14ac:dyDescent="0.25">
      <c r="A31" s="10">
        <v>30</v>
      </c>
      <c r="B31" s="10">
        <v>1</v>
      </c>
      <c r="C31" s="10">
        <v>30</v>
      </c>
      <c r="D31" s="109">
        <v>43845</v>
      </c>
      <c r="E31" s="109">
        <v>43852</v>
      </c>
      <c r="F31" s="109">
        <v>43853</v>
      </c>
      <c r="G31" s="11">
        <v>12343.3</v>
      </c>
      <c r="H31" s="11">
        <v>12106.9</v>
      </c>
      <c r="I31" s="11">
        <v>-236.4</v>
      </c>
      <c r="J31" s="12">
        <v>-1.9152090607860137E-2</v>
      </c>
      <c r="K31" s="13" t="s">
        <v>28</v>
      </c>
      <c r="L31" s="10">
        <v>12300</v>
      </c>
      <c r="M31" s="28">
        <f t="shared" si="0"/>
        <v>-3.5079759869726113E-3</v>
      </c>
      <c r="N31" s="111">
        <f t="shared" si="1"/>
        <v>0</v>
      </c>
      <c r="O31" s="111">
        <f t="shared" si="2"/>
        <v>52.45</v>
      </c>
      <c r="P31" s="13" t="s">
        <v>67</v>
      </c>
      <c r="Q31" s="10">
        <v>65</v>
      </c>
      <c r="R31" s="11">
        <v>52.45</v>
      </c>
      <c r="S31" s="11">
        <v>182.95</v>
      </c>
      <c r="T31" s="14">
        <v>-1.3213999999999999</v>
      </c>
      <c r="U31" s="14">
        <v>0.3216</v>
      </c>
      <c r="V31" s="14">
        <v>-1.3213999999999999</v>
      </c>
      <c r="W31" s="14">
        <v>0.3216</v>
      </c>
      <c r="X31" s="14">
        <v>-1.3213999999999999</v>
      </c>
      <c r="Y31" s="11">
        <v>-130.5</v>
      </c>
      <c r="Z31" s="12">
        <v>-1.0572537327943094E-2</v>
      </c>
      <c r="AA31" s="15">
        <v>-130.5</v>
      </c>
      <c r="AB31" s="15">
        <v>-1.0572537327943095</v>
      </c>
      <c r="AC31" s="11">
        <v>103.81313012124502</v>
      </c>
      <c r="AD31" s="11">
        <v>105.07121186621885</v>
      </c>
      <c r="AE31" s="11">
        <v>-1.258081744973822</v>
      </c>
      <c r="AF31" s="12">
        <v>-1.1973610303226211E-2</v>
      </c>
      <c r="AG31" s="11">
        <v>103.54</v>
      </c>
      <c r="AH31" s="11">
        <v>-1.46</v>
      </c>
      <c r="AI31" s="13" t="s">
        <v>68</v>
      </c>
    </row>
    <row r="32" spans="1:35" ht="18" customHeight="1" x14ac:dyDescent="0.25">
      <c r="A32" s="4">
        <v>31</v>
      </c>
      <c r="B32" s="4">
        <v>1</v>
      </c>
      <c r="C32" s="4">
        <v>31</v>
      </c>
      <c r="D32" s="108">
        <v>43852</v>
      </c>
      <c r="E32" s="108">
        <v>43854</v>
      </c>
      <c r="F32" s="108">
        <v>43860</v>
      </c>
      <c r="G32" s="5">
        <v>12106.9</v>
      </c>
      <c r="H32" s="5">
        <v>12248.25</v>
      </c>
      <c r="I32" s="5">
        <v>141.35</v>
      </c>
      <c r="J32" s="6">
        <v>1.1675160445696256E-2</v>
      </c>
      <c r="K32" s="7" t="s">
        <v>28</v>
      </c>
      <c r="L32" s="4">
        <v>12100</v>
      </c>
      <c r="M32" s="28">
        <f t="shared" si="0"/>
        <v>-5.6992293650726111E-4</v>
      </c>
      <c r="N32" s="111">
        <f t="shared" si="1"/>
        <v>0</v>
      </c>
      <c r="O32" s="111">
        <f t="shared" si="2"/>
        <v>67.75</v>
      </c>
      <c r="P32" s="7" t="s">
        <v>67</v>
      </c>
      <c r="Q32" s="4">
        <v>65</v>
      </c>
      <c r="R32" s="5">
        <v>67.75</v>
      </c>
      <c r="S32" s="5">
        <v>16.600000000000001</v>
      </c>
      <c r="T32" s="8">
        <v>-9.5799999999999996E-2</v>
      </c>
      <c r="U32" s="8">
        <v>0.43690000000000001</v>
      </c>
      <c r="V32" s="8">
        <v>-9.5799999999999996E-2</v>
      </c>
      <c r="W32" s="8">
        <v>0.43690000000000001</v>
      </c>
      <c r="X32" s="8">
        <v>-9.5799999999999996E-2</v>
      </c>
      <c r="Y32" s="5">
        <v>51.15</v>
      </c>
      <c r="Z32" s="6">
        <v>4.2248635075865827E-3</v>
      </c>
      <c r="AA32" s="9">
        <v>51.15</v>
      </c>
      <c r="AB32" s="9">
        <v>0.42248635075865826</v>
      </c>
      <c r="AC32" s="5">
        <v>104.25172642630261</v>
      </c>
      <c r="AD32" s="5">
        <v>105.07121186621885</v>
      </c>
      <c r="AE32" s="5">
        <v>-0.81948543991623524</v>
      </c>
      <c r="AF32" s="6">
        <v>-7.7993336648637789E-3</v>
      </c>
      <c r="AG32" s="5">
        <v>103.71</v>
      </c>
      <c r="AH32" s="5">
        <v>-1.3</v>
      </c>
      <c r="AI32" s="7" t="s">
        <v>71</v>
      </c>
    </row>
    <row r="33" spans="1:35" ht="18" customHeight="1" x14ac:dyDescent="0.25">
      <c r="A33" s="10">
        <v>32</v>
      </c>
      <c r="B33" s="10">
        <v>1</v>
      </c>
      <c r="C33" s="10">
        <v>32</v>
      </c>
      <c r="D33" s="109">
        <v>43854</v>
      </c>
      <c r="E33" s="109">
        <v>43859</v>
      </c>
      <c r="F33" s="109">
        <v>43860</v>
      </c>
      <c r="G33" s="11">
        <v>12248.25</v>
      </c>
      <c r="H33" s="11">
        <v>12129.5</v>
      </c>
      <c r="I33" s="11">
        <v>-118.75</v>
      </c>
      <c r="J33" s="12">
        <v>-9.6952625885330553E-3</v>
      </c>
      <c r="K33" s="13" t="s">
        <v>28</v>
      </c>
      <c r="L33" s="10">
        <v>12200</v>
      </c>
      <c r="M33" s="28">
        <f t="shared" si="0"/>
        <v>-3.9393382728144521E-3</v>
      </c>
      <c r="N33" s="111">
        <f t="shared" si="1"/>
        <v>0</v>
      </c>
      <c r="O33" s="111">
        <f t="shared" si="2"/>
        <v>35.75</v>
      </c>
      <c r="P33" s="13" t="s">
        <v>67</v>
      </c>
      <c r="Q33" s="10">
        <v>65</v>
      </c>
      <c r="R33" s="11">
        <v>35.75</v>
      </c>
      <c r="S33" s="11">
        <v>87.75</v>
      </c>
      <c r="T33" s="14">
        <v>-1.1206</v>
      </c>
      <c r="U33" s="14">
        <v>-0.1041</v>
      </c>
      <c r="V33" s="14">
        <v>-1.1206</v>
      </c>
      <c r="W33" s="14">
        <v>-0.1041</v>
      </c>
      <c r="X33" s="14">
        <v>-1.1206</v>
      </c>
      <c r="Y33" s="10">
        <v>-52</v>
      </c>
      <c r="Z33" s="12">
        <v>-4.2455044598207906E-3</v>
      </c>
      <c r="AA33" s="16">
        <v>-52</v>
      </c>
      <c r="AB33" s="15">
        <v>-0.42455044598207908</v>
      </c>
      <c r="AC33" s="11">
        <v>103.80912525681573</v>
      </c>
      <c r="AD33" s="11">
        <v>105.07121186621885</v>
      </c>
      <c r="AE33" s="11">
        <v>-1.2620866094031129</v>
      </c>
      <c r="AF33" s="12">
        <v>-1.2011726018826694E-2</v>
      </c>
      <c r="AG33" s="11">
        <v>103.08</v>
      </c>
      <c r="AH33" s="11">
        <v>-1.9</v>
      </c>
      <c r="AI33" s="13" t="s">
        <v>68</v>
      </c>
    </row>
    <row r="34" spans="1:35" ht="18" customHeight="1" x14ac:dyDescent="0.25">
      <c r="A34" s="4">
        <v>33</v>
      </c>
      <c r="B34" s="4">
        <v>1</v>
      </c>
      <c r="C34" s="4">
        <v>33</v>
      </c>
      <c r="D34" s="108">
        <v>43859</v>
      </c>
      <c r="E34" s="108">
        <v>43866</v>
      </c>
      <c r="F34" s="108">
        <v>43867</v>
      </c>
      <c r="G34" s="5">
        <v>12129.5</v>
      </c>
      <c r="H34" s="5">
        <v>12089.15</v>
      </c>
      <c r="I34" s="5">
        <v>-40.35</v>
      </c>
      <c r="J34" s="6">
        <v>-3.3266004369512346E-3</v>
      </c>
      <c r="K34" s="7" t="s">
        <v>28</v>
      </c>
      <c r="L34" s="4">
        <v>12300</v>
      </c>
      <c r="M34" s="28">
        <f t="shared" si="0"/>
        <v>1.4056638773238816E-2</v>
      </c>
      <c r="N34" s="111">
        <f t="shared" si="1"/>
        <v>170.5</v>
      </c>
      <c r="O34" s="111">
        <f t="shared" si="2"/>
        <v>79.050000000000011</v>
      </c>
      <c r="P34" s="7" t="s">
        <v>67</v>
      </c>
      <c r="Q34" s="4">
        <v>65</v>
      </c>
      <c r="R34" s="5">
        <v>249.55</v>
      </c>
      <c r="S34" s="5">
        <v>213.45</v>
      </c>
      <c r="T34" s="8">
        <v>-3.6789999999999998</v>
      </c>
      <c r="U34" s="8">
        <v>0.39329999999999998</v>
      </c>
      <c r="V34" s="8">
        <v>-3.6789999999999998</v>
      </c>
      <c r="W34" s="8">
        <v>0.39329999999999998</v>
      </c>
      <c r="X34" s="8">
        <v>-3.6789999999999998</v>
      </c>
      <c r="Y34" s="5">
        <v>36.1</v>
      </c>
      <c r="Z34" s="6">
        <v>2.9762150129848718E-3</v>
      </c>
      <c r="AA34" s="9">
        <v>36.1</v>
      </c>
      <c r="AB34" s="9">
        <v>0.29762150129848719</v>
      </c>
      <c r="AC34" s="5">
        <v>104.11808353388989</v>
      </c>
      <c r="AD34" s="5">
        <v>105.07121186621885</v>
      </c>
      <c r="AE34" s="5">
        <v>-0.95312833232895855</v>
      </c>
      <c r="AF34" s="6">
        <v>-9.0712604851509882E-3</v>
      </c>
      <c r="AG34" s="5">
        <v>99.99</v>
      </c>
      <c r="AH34" s="5">
        <v>-4.84</v>
      </c>
      <c r="AI34" s="7" t="s">
        <v>68</v>
      </c>
    </row>
    <row r="35" spans="1:35" ht="18" customHeight="1" x14ac:dyDescent="0.25">
      <c r="A35" s="10">
        <v>34</v>
      </c>
      <c r="B35" s="10">
        <v>1</v>
      </c>
      <c r="C35" s="10">
        <v>34</v>
      </c>
      <c r="D35" s="109">
        <v>43866</v>
      </c>
      <c r="E35" s="109">
        <v>43873</v>
      </c>
      <c r="F35" s="109">
        <v>43874</v>
      </c>
      <c r="G35" s="11">
        <v>12089.15</v>
      </c>
      <c r="H35" s="11">
        <v>12201.2</v>
      </c>
      <c r="I35" s="11">
        <v>112.05</v>
      </c>
      <c r="J35" s="12">
        <v>9.2686417159188201E-3</v>
      </c>
      <c r="K35" s="13" t="s">
        <v>28</v>
      </c>
      <c r="L35" s="10">
        <v>12100</v>
      </c>
      <c r="M35" s="28">
        <f t="shared" si="0"/>
        <v>8.9749899703450708E-4</v>
      </c>
      <c r="N35" s="111">
        <f t="shared" si="1"/>
        <v>10.850000000000364</v>
      </c>
      <c r="O35" s="111">
        <f t="shared" si="2"/>
        <v>88.949999999999633</v>
      </c>
      <c r="P35" s="13" t="s">
        <v>67</v>
      </c>
      <c r="Q35" s="10">
        <v>65</v>
      </c>
      <c r="R35" s="11">
        <v>99.8</v>
      </c>
      <c r="S35" s="11">
        <v>4.8</v>
      </c>
      <c r="T35" s="14">
        <v>-0.39369999999999999</v>
      </c>
      <c r="U35" s="14">
        <v>0.79910000000000003</v>
      </c>
      <c r="V35" s="14">
        <v>-0.39369999999999999</v>
      </c>
      <c r="W35" s="14">
        <v>0.79910000000000003</v>
      </c>
      <c r="X35" s="14">
        <v>-0.39369999999999999</v>
      </c>
      <c r="Y35" s="10">
        <v>95</v>
      </c>
      <c r="Z35" s="12">
        <v>7.858286149150271E-3</v>
      </c>
      <c r="AA35" s="17">
        <v>95</v>
      </c>
      <c r="AB35" s="9">
        <v>0.78582861491502709</v>
      </c>
      <c r="AC35" s="11">
        <v>104.93627322760032</v>
      </c>
      <c r="AD35" s="11">
        <v>105.07121186621885</v>
      </c>
      <c r="AE35" s="11">
        <v>-0.13493863861852162</v>
      </c>
      <c r="AF35" s="12">
        <v>-1.2842588966265208E-3</v>
      </c>
      <c r="AG35" s="11">
        <v>103.71</v>
      </c>
      <c r="AH35" s="11">
        <v>-1.3</v>
      </c>
      <c r="AI35" s="13" t="s">
        <v>68</v>
      </c>
    </row>
    <row r="36" spans="1:35" ht="18" customHeight="1" x14ac:dyDescent="0.25">
      <c r="A36" s="4">
        <v>35</v>
      </c>
      <c r="B36" s="4">
        <v>1</v>
      </c>
      <c r="C36" s="4">
        <v>35</v>
      </c>
      <c r="D36" s="108">
        <v>43873</v>
      </c>
      <c r="E36" s="108">
        <v>43880</v>
      </c>
      <c r="F36" s="108">
        <v>43881</v>
      </c>
      <c r="G36" s="5">
        <v>12201.2</v>
      </c>
      <c r="H36" s="5">
        <v>12125.9</v>
      </c>
      <c r="I36" s="5">
        <v>-75.3</v>
      </c>
      <c r="J36" s="6">
        <v>-6.1715241123823884E-3</v>
      </c>
      <c r="K36" s="7" t="s">
        <v>28</v>
      </c>
      <c r="L36" s="4">
        <v>12200</v>
      </c>
      <c r="M36" s="28">
        <f t="shared" si="0"/>
        <v>-9.8350981870720666E-5</v>
      </c>
      <c r="N36" s="111">
        <f t="shared" si="1"/>
        <v>0</v>
      </c>
      <c r="O36" s="111">
        <f t="shared" si="2"/>
        <v>70.05</v>
      </c>
      <c r="P36" s="7" t="s">
        <v>67</v>
      </c>
      <c r="Q36" s="4">
        <v>65</v>
      </c>
      <c r="R36" s="5">
        <v>70.05</v>
      </c>
      <c r="S36" s="5">
        <v>79.25</v>
      </c>
      <c r="T36" s="8">
        <v>-1.7781</v>
      </c>
      <c r="U36" s="8">
        <v>0.21229999999999999</v>
      </c>
      <c r="V36" s="8">
        <v>-1.7781</v>
      </c>
      <c r="W36" s="8">
        <v>0.21229999999999999</v>
      </c>
      <c r="X36" s="8">
        <v>-1.7781</v>
      </c>
      <c r="Y36" s="5">
        <v>-9.1999999999999993</v>
      </c>
      <c r="Z36" s="6">
        <v>-7.540241943415401E-4</v>
      </c>
      <c r="AA36" s="15">
        <v>-9.1999999999999993</v>
      </c>
      <c r="AB36" s="15">
        <v>-7.5402419434154017E-2</v>
      </c>
      <c r="AC36" s="5">
        <v>104.85714873872267</v>
      </c>
      <c r="AD36" s="5">
        <v>105.07121186621885</v>
      </c>
      <c r="AE36" s="5">
        <v>-0.21406312749617484</v>
      </c>
      <c r="AF36" s="6">
        <v>-2.0373147286882839E-3</v>
      </c>
      <c r="AG36" s="5">
        <v>103.07</v>
      </c>
      <c r="AH36" s="5">
        <v>-1.9</v>
      </c>
      <c r="AI36" s="7" t="s">
        <v>68</v>
      </c>
    </row>
    <row r="37" spans="1:35" ht="18" customHeight="1" x14ac:dyDescent="0.25">
      <c r="A37" s="10">
        <v>36</v>
      </c>
      <c r="B37" s="10">
        <v>1</v>
      </c>
      <c r="C37" s="10">
        <v>36</v>
      </c>
      <c r="D37" s="109">
        <v>43880</v>
      </c>
      <c r="E37" s="109">
        <v>43887</v>
      </c>
      <c r="F37" s="109">
        <v>43888</v>
      </c>
      <c r="G37" s="11">
        <v>12125.9</v>
      </c>
      <c r="H37" s="11">
        <v>11678.5</v>
      </c>
      <c r="I37" s="11">
        <v>-447.4</v>
      </c>
      <c r="J37" s="12">
        <v>-3.6896230382899416E-2</v>
      </c>
      <c r="K37" s="13" t="s">
        <v>28</v>
      </c>
      <c r="L37" s="10">
        <v>12100</v>
      </c>
      <c r="M37" s="28">
        <f t="shared" si="0"/>
        <v>-2.1359239314194811E-3</v>
      </c>
      <c r="N37" s="111">
        <f t="shared" si="1"/>
        <v>0</v>
      </c>
      <c r="O37" s="111">
        <f t="shared" si="2"/>
        <v>62.35</v>
      </c>
      <c r="P37" s="13" t="s">
        <v>67</v>
      </c>
      <c r="Q37" s="10">
        <v>65</v>
      </c>
      <c r="R37" s="11">
        <v>62.35</v>
      </c>
      <c r="S37" s="11">
        <v>404.55</v>
      </c>
      <c r="T37" s="14">
        <v>-3.3201999999999998</v>
      </c>
      <c r="U37" s="14">
        <v>0.13150000000000001</v>
      </c>
      <c r="V37" s="14">
        <v>-3.3201999999999998</v>
      </c>
      <c r="W37" s="14">
        <v>0.13150000000000001</v>
      </c>
      <c r="X37" s="14">
        <v>-3.3201999999999998</v>
      </c>
      <c r="Y37" s="11">
        <v>-342.2</v>
      </c>
      <c r="Z37" s="12">
        <v>-2.8220585688484977E-2</v>
      </c>
      <c r="AA37" s="15">
        <v>-342.2</v>
      </c>
      <c r="AB37" s="15">
        <v>-2.8220585688484978</v>
      </c>
      <c r="AC37" s="11">
        <v>101.89801858769134</v>
      </c>
      <c r="AD37" s="11">
        <v>105.07121186621885</v>
      </c>
      <c r="AE37" s="11">
        <v>-3.1731932785275063</v>
      </c>
      <c r="AF37" s="12">
        <v>-3.0200406202297844E-2</v>
      </c>
      <c r="AG37" s="11">
        <v>101.38</v>
      </c>
      <c r="AH37" s="11">
        <v>-3.51</v>
      </c>
      <c r="AI37" s="13" t="s">
        <v>68</v>
      </c>
    </row>
    <row r="38" spans="1:35" ht="18" customHeight="1" x14ac:dyDescent="0.25">
      <c r="A38" s="4">
        <v>37</v>
      </c>
      <c r="B38" s="4">
        <v>1</v>
      </c>
      <c r="C38" s="4">
        <v>37</v>
      </c>
      <c r="D38" s="108">
        <v>43887</v>
      </c>
      <c r="E38" s="108">
        <v>43889</v>
      </c>
      <c r="F38" s="108">
        <v>43895</v>
      </c>
      <c r="G38" s="5">
        <v>11678.5</v>
      </c>
      <c r="H38" s="5">
        <v>11201.75</v>
      </c>
      <c r="I38" s="5">
        <v>-476.75</v>
      </c>
      <c r="J38" s="6">
        <v>-4.0822879650640062E-2</v>
      </c>
      <c r="K38" s="7" t="s">
        <v>28</v>
      </c>
      <c r="L38" s="4">
        <v>11600</v>
      </c>
      <c r="M38" s="28">
        <f t="shared" si="0"/>
        <v>-6.7217536498693775E-3</v>
      </c>
      <c r="N38" s="111">
        <f t="shared" si="1"/>
        <v>0</v>
      </c>
      <c r="O38" s="111">
        <f t="shared" si="2"/>
        <v>86.55</v>
      </c>
      <c r="P38" s="7" t="s">
        <v>67</v>
      </c>
      <c r="Q38" s="4">
        <v>65</v>
      </c>
      <c r="R38" s="5">
        <v>86.55</v>
      </c>
      <c r="S38" s="5">
        <v>435.45</v>
      </c>
      <c r="T38" s="8">
        <v>-3.2204000000000002</v>
      </c>
      <c r="U38" s="8">
        <v>-4.02E-2</v>
      </c>
      <c r="V38" s="8">
        <v>-3.2204000000000002</v>
      </c>
      <c r="W38" s="8">
        <v>-4.02E-2</v>
      </c>
      <c r="X38" s="8">
        <v>-3.2204000000000002</v>
      </c>
      <c r="Y38" s="5">
        <v>-348.9</v>
      </c>
      <c r="Z38" s="6">
        <v>-2.987541208203108E-2</v>
      </c>
      <c r="AA38" s="15">
        <v>-348.9</v>
      </c>
      <c r="AB38" s="15">
        <v>-2.9875412082031079</v>
      </c>
      <c r="AC38" s="5">
        <v>98.853773292041609</v>
      </c>
      <c r="AD38" s="5">
        <v>105.07121186621885</v>
      </c>
      <c r="AE38" s="5">
        <v>-6.2174385741772369</v>
      </c>
      <c r="AF38" s="6">
        <v>-5.9173568703990445E-2</v>
      </c>
      <c r="AG38" s="5">
        <v>98.62</v>
      </c>
      <c r="AH38" s="5">
        <v>-6.14</v>
      </c>
      <c r="AI38" s="7" t="s">
        <v>70</v>
      </c>
    </row>
    <row r="39" spans="1:35" ht="18" customHeight="1" x14ac:dyDescent="0.25">
      <c r="A39" s="10">
        <v>38</v>
      </c>
      <c r="B39" s="10">
        <v>1</v>
      </c>
      <c r="C39" s="10">
        <v>38</v>
      </c>
      <c r="D39" s="109">
        <v>44771</v>
      </c>
      <c r="E39" s="109">
        <v>44774</v>
      </c>
      <c r="F39" s="109">
        <v>44777</v>
      </c>
      <c r="G39" s="11">
        <v>17158.25</v>
      </c>
      <c r="H39" s="11">
        <v>17340.05</v>
      </c>
      <c r="I39" s="11">
        <v>181.8</v>
      </c>
      <c r="J39" s="12">
        <v>1.0595486136406686E-2</v>
      </c>
      <c r="K39" s="13" t="s">
        <v>28</v>
      </c>
      <c r="L39" s="10">
        <v>17200</v>
      </c>
      <c r="M39" s="28">
        <f t="shared" si="0"/>
        <v>2.4332318272550779E-3</v>
      </c>
      <c r="N39" s="111">
        <f t="shared" si="1"/>
        <v>41.75</v>
      </c>
      <c r="O39" s="111">
        <f t="shared" si="2"/>
        <v>94.15</v>
      </c>
      <c r="P39" s="13" t="s">
        <v>67</v>
      </c>
      <c r="Q39" s="10">
        <v>65</v>
      </c>
      <c r="R39" s="11">
        <v>135.9</v>
      </c>
      <c r="S39" s="11">
        <v>53.15</v>
      </c>
      <c r="T39" s="14">
        <v>-6.4000000000000003E-3</v>
      </c>
      <c r="U39" s="14">
        <v>0.51319999999999999</v>
      </c>
      <c r="V39" s="14">
        <v>-6.4000000000000003E-3</v>
      </c>
      <c r="W39" s="14">
        <v>0.51319999999999999</v>
      </c>
      <c r="X39" s="14">
        <v>-6.4000000000000003E-3</v>
      </c>
      <c r="Y39" s="11">
        <v>82.75</v>
      </c>
      <c r="Z39" s="12">
        <v>4.8227529031224046E-3</v>
      </c>
      <c r="AA39" s="9">
        <v>82.75</v>
      </c>
      <c r="AB39" s="9">
        <v>0.48227529031224048</v>
      </c>
      <c r="AC39" s="11">
        <v>100.48227529031224</v>
      </c>
      <c r="AD39" s="11">
        <v>100.48227529031224</v>
      </c>
      <c r="AE39" s="10">
        <v>0</v>
      </c>
      <c r="AF39" s="12">
        <v>0</v>
      </c>
      <c r="AG39" s="11">
        <v>99.99</v>
      </c>
      <c r="AH39" s="11">
        <v>-0.01</v>
      </c>
      <c r="AI39" s="13" t="s">
        <v>71</v>
      </c>
    </row>
    <row r="40" spans="1:35" ht="18" customHeight="1" x14ac:dyDescent="0.25">
      <c r="A40" s="4">
        <v>39</v>
      </c>
      <c r="B40" s="4">
        <v>1</v>
      </c>
      <c r="C40" s="4">
        <v>39</v>
      </c>
      <c r="D40" s="108">
        <v>44774</v>
      </c>
      <c r="E40" s="108">
        <v>44776</v>
      </c>
      <c r="F40" s="108">
        <v>44777</v>
      </c>
      <c r="G40" s="5">
        <v>17340.05</v>
      </c>
      <c r="H40" s="5">
        <v>17388.150000000001</v>
      </c>
      <c r="I40" s="5">
        <v>48.1</v>
      </c>
      <c r="J40" s="6">
        <v>2.7739251040221915E-3</v>
      </c>
      <c r="K40" s="7" t="s">
        <v>28</v>
      </c>
      <c r="L40" s="4">
        <v>17300</v>
      </c>
      <c r="M40" s="28">
        <f t="shared" si="0"/>
        <v>-2.3096819213324071E-3</v>
      </c>
      <c r="N40" s="111">
        <f t="shared" si="1"/>
        <v>0</v>
      </c>
      <c r="O40" s="111">
        <f t="shared" si="2"/>
        <v>86.85</v>
      </c>
      <c r="P40" s="7" t="s">
        <v>67</v>
      </c>
      <c r="Q40" s="4">
        <v>65</v>
      </c>
      <c r="R40" s="5">
        <v>86.85</v>
      </c>
      <c r="S40" s="5">
        <v>38.65</v>
      </c>
      <c r="T40" s="8">
        <v>-0.36249999999999999</v>
      </c>
      <c r="U40" s="8">
        <v>0.33939999999999998</v>
      </c>
      <c r="V40" s="8">
        <v>-0.36249999999999999</v>
      </c>
      <c r="W40" s="8">
        <v>0.33939999999999998</v>
      </c>
      <c r="X40" s="8">
        <v>-0.36249999999999999</v>
      </c>
      <c r="Y40" s="5">
        <v>48.2</v>
      </c>
      <c r="Z40" s="6">
        <v>2.7796921000804498E-3</v>
      </c>
      <c r="AA40" s="9">
        <v>48.2</v>
      </c>
      <c r="AB40" s="9">
        <v>0.27796921000804498</v>
      </c>
      <c r="AC40" s="5">
        <v>100.76158507713484</v>
      </c>
      <c r="AD40" s="5">
        <v>100.76158507713484</v>
      </c>
      <c r="AE40" s="4">
        <v>0</v>
      </c>
      <c r="AF40" s="6">
        <v>0</v>
      </c>
      <c r="AG40" s="5">
        <v>100.12</v>
      </c>
      <c r="AH40" s="5">
        <v>-0.36</v>
      </c>
      <c r="AI40" s="7" t="s">
        <v>68</v>
      </c>
    </row>
    <row r="41" spans="1:35" ht="18" customHeight="1" x14ac:dyDescent="0.25">
      <c r="A41" s="10">
        <v>40</v>
      </c>
      <c r="B41" s="10">
        <v>1</v>
      </c>
      <c r="C41" s="10">
        <v>40</v>
      </c>
      <c r="D41" s="109">
        <v>44776</v>
      </c>
      <c r="E41" s="109">
        <v>44783</v>
      </c>
      <c r="F41" s="109">
        <v>44784</v>
      </c>
      <c r="G41" s="11">
        <v>17388.150000000001</v>
      </c>
      <c r="H41" s="11">
        <v>17534.75</v>
      </c>
      <c r="I41" s="11">
        <v>146.6</v>
      </c>
      <c r="J41" s="12">
        <v>8.4310291779171442E-3</v>
      </c>
      <c r="K41" s="13" t="s">
        <v>28</v>
      </c>
      <c r="L41" s="10">
        <v>17600</v>
      </c>
      <c r="M41" s="28">
        <f t="shared" si="0"/>
        <v>1.2183584797692548E-2</v>
      </c>
      <c r="N41" s="111">
        <f t="shared" si="1"/>
        <v>211.84999999999854</v>
      </c>
      <c r="O41" s="111">
        <f t="shared" si="2"/>
        <v>89.900000000001455</v>
      </c>
      <c r="P41" s="13" t="s">
        <v>67</v>
      </c>
      <c r="Q41" s="10">
        <v>65</v>
      </c>
      <c r="R41" s="11">
        <v>301.75</v>
      </c>
      <c r="S41" s="11">
        <v>111.8</v>
      </c>
      <c r="T41" s="14">
        <v>-1.1148</v>
      </c>
      <c r="U41" s="14">
        <v>1.1646000000000001</v>
      </c>
      <c r="V41" s="14">
        <v>-1.1148</v>
      </c>
      <c r="W41" s="14">
        <v>1.1646000000000001</v>
      </c>
      <c r="X41" s="14">
        <v>-1.1148</v>
      </c>
      <c r="Y41" s="11">
        <v>189.95</v>
      </c>
      <c r="Z41" s="12">
        <v>1.0924106359791005E-2</v>
      </c>
      <c r="AA41" s="9">
        <v>189.95</v>
      </c>
      <c r="AB41" s="9">
        <v>1.0924106359791006</v>
      </c>
      <c r="AC41" s="11">
        <v>101.86231534949859</v>
      </c>
      <c r="AD41" s="11">
        <v>101.86231534949859</v>
      </c>
      <c r="AE41" s="10">
        <v>0</v>
      </c>
      <c r="AF41" s="12">
        <v>0</v>
      </c>
      <c r="AG41" s="11">
        <v>99.64</v>
      </c>
      <c r="AH41" s="11">
        <v>-1.1100000000000001</v>
      </c>
      <c r="AI41" s="13" t="s">
        <v>68</v>
      </c>
    </row>
    <row r="42" spans="1:35" ht="18" customHeight="1" x14ac:dyDescent="0.25">
      <c r="A42" s="4">
        <v>41</v>
      </c>
      <c r="B42" s="4">
        <v>1</v>
      </c>
      <c r="C42" s="4">
        <v>41</v>
      </c>
      <c r="D42" s="108">
        <v>44783</v>
      </c>
      <c r="E42" s="108">
        <v>44789</v>
      </c>
      <c r="F42" s="108">
        <v>44791</v>
      </c>
      <c r="G42" s="5">
        <v>17534.75</v>
      </c>
      <c r="H42" s="5">
        <v>17825.25</v>
      </c>
      <c r="I42" s="5">
        <v>290.5</v>
      </c>
      <c r="J42" s="6">
        <v>1.6567102467956486E-2</v>
      </c>
      <c r="K42" s="7" t="s">
        <v>28</v>
      </c>
      <c r="L42" s="4">
        <v>17300</v>
      </c>
      <c r="M42" s="28">
        <f t="shared" si="0"/>
        <v>-1.3387701564037124E-2</v>
      </c>
      <c r="N42" s="111">
        <f t="shared" si="1"/>
        <v>0</v>
      </c>
      <c r="O42" s="111">
        <f t="shared" si="2"/>
        <v>82.85</v>
      </c>
      <c r="P42" s="7" t="s">
        <v>67</v>
      </c>
      <c r="Q42" s="4">
        <v>65</v>
      </c>
      <c r="R42" s="5">
        <v>82.85</v>
      </c>
      <c r="S42" s="5">
        <v>3.85</v>
      </c>
      <c r="T42" s="8">
        <v>5.62E-2</v>
      </c>
      <c r="U42" s="8">
        <v>0.45250000000000001</v>
      </c>
      <c r="V42" s="8">
        <v>5.62E-2</v>
      </c>
      <c r="W42" s="8">
        <v>0.45250000000000001</v>
      </c>
      <c r="X42" s="8">
        <v>5.62E-2</v>
      </c>
      <c r="Y42" s="4">
        <v>79</v>
      </c>
      <c r="Z42" s="6">
        <v>4.5053393974821424E-3</v>
      </c>
      <c r="AA42" s="17">
        <v>79</v>
      </c>
      <c r="AB42" s="9">
        <v>0.45053393974821426</v>
      </c>
      <c r="AC42" s="5">
        <v>102.32123965196143</v>
      </c>
      <c r="AD42" s="5">
        <v>102.32123965196143</v>
      </c>
      <c r="AE42" s="4">
        <v>0</v>
      </c>
      <c r="AF42" s="6">
        <v>0</v>
      </c>
      <c r="AG42" s="5">
        <v>101.92</v>
      </c>
      <c r="AH42" s="5">
        <v>0.06</v>
      </c>
      <c r="AI42" s="7" t="s">
        <v>71</v>
      </c>
    </row>
    <row r="43" spans="1:35" ht="18" customHeight="1" x14ac:dyDescent="0.25">
      <c r="A43" s="10">
        <v>42</v>
      </c>
      <c r="B43" s="10">
        <v>1</v>
      </c>
      <c r="C43" s="10">
        <v>42</v>
      </c>
      <c r="D43" s="109">
        <v>44789</v>
      </c>
      <c r="E43" s="109">
        <v>44790</v>
      </c>
      <c r="F43" s="109">
        <v>44791</v>
      </c>
      <c r="G43" s="11">
        <v>17825.25</v>
      </c>
      <c r="H43" s="11">
        <v>17944.25</v>
      </c>
      <c r="I43" s="10">
        <v>119</v>
      </c>
      <c r="J43" s="12">
        <v>6.675923198833116E-3</v>
      </c>
      <c r="K43" s="13" t="s">
        <v>28</v>
      </c>
      <c r="L43" s="10">
        <v>17800</v>
      </c>
      <c r="M43" s="28">
        <f t="shared" si="0"/>
        <v>-1.4165299224414563E-3</v>
      </c>
      <c r="N43" s="111">
        <f t="shared" si="1"/>
        <v>0</v>
      </c>
      <c r="O43" s="111">
        <f t="shared" si="2"/>
        <v>64.900000000000006</v>
      </c>
      <c r="P43" s="13" t="s">
        <v>67</v>
      </c>
      <c r="Q43" s="10">
        <v>65</v>
      </c>
      <c r="R43" s="11">
        <v>64.900000000000006</v>
      </c>
      <c r="S43" s="11">
        <v>18.350000000000001</v>
      </c>
      <c r="T43" s="14">
        <v>3.73E-2</v>
      </c>
      <c r="U43" s="14">
        <v>0.27800000000000002</v>
      </c>
      <c r="V43" s="14">
        <v>3.73E-2</v>
      </c>
      <c r="W43" s="14">
        <v>0.27800000000000002</v>
      </c>
      <c r="X43" s="14">
        <v>3.73E-2</v>
      </c>
      <c r="Y43" s="11">
        <v>46.55</v>
      </c>
      <c r="Z43" s="12">
        <v>2.6114640748376599E-3</v>
      </c>
      <c r="AA43" s="9">
        <v>46.55</v>
      </c>
      <c r="AB43" s="9">
        <v>0.261146407483766</v>
      </c>
      <c r="AC43" s="11">
        <v>102.58844789340537</v>
      </c>
      <c r="AD43" s="11">
        <v>102.58844789340537</v>
      </c>
      <c r="AE43" s="10">
        <v>0</v>
      </c>
      <c r="AF43" s="12">
        <v>0</v>
      </c>
      <c r="AG43" s="11">
        <v>102.36</v>
      </c>
      <c r="AH43" s="11">
        <v>0.04</v>
      </c>
      <c r="AI43" s="13" t="s">
        <v>68</v>
      </c>
    </row>
    <row r="44" spans="1:35" ht="18" customHeight="1" x14ac:dyDescent="0.25">
      <c r="A44" s="4">
        <v>43</v>
      </c>
      <c r="B44" s="4">
        <v>1</v>
      </c>
      <c r="C44" s="4">
        <v>43</v>
      </c>
      <c r="D44" s="108">
        <v>44790</v>
      </c>
      <c r="E44" s="108">
        <v>44797</v>
      </c>
      <c r="F44" s="108">
        <v>44798</v>
      </c>
      <c r="G44" s="5">
        <v>17944.25</v>
      </c>
      <c r="H44" s="5">
        <v>17604.95</v>
      </c>
      <c r="I44" s="5">
        <v>-339.3</v>
      </c>
      <c r="J44" s="6">
        <v>-1.8908564024687574E-2</v>
      </c>
      <c r="K44" s="7" t="s">
        <v>28</v>
      </c>
      <c r="L44" s="4">
        <v>17800</v>
      </c>
      <c r="M44" s="28">
        <f t="shared" si="0"/>
        <v>-8.0387867979994088E-3</v>
      </c>
      <c r="N44" s="111">
        <f t="shared" si="1"/>
        <v>0</v>
      </c>
      <c r="O44" s="111">
        <f t="shared" si="2"/>
        <v>81.75</v>
      </c>
      <c r="P44" s="7" t="s">
        <v>67</v>
      </c>
      <c r="Q44" s="4">
        <v>65</v>
      </c>
      <c r="R44" s="5">
        <v>81.75</v>
      </c>
      <c r="S44" s="5">
        <v>196.45</v>
      </c>
      <c r="T44" s="8">
        <v>-1.9036999999999999</v>
      </c>
      <c r="U44" s="8">
        <v>0.14910000000000001</v>
      </c>
      <c r="V44" s="8">
        <v>-1.9036999999999999</v>
      </c>
      <c r="W44" s="8">
        <v>0.14910000000000001</v>
      </c>
      <c r="X44" s="8">
        <v>-1.9036999999999999</v>
      </c>
      <c r="Y44" s="5">
        <v>-114.7</v>
      </c>
      <c r="Z44" s="6">
        <v>-6.392019727767948E-3</v>
      </c>
      <c r="AA44" s="15">
        <v>-114.7</v>
      </c>
      <c r="AB44" s="15">
        <v>-0.6392019727767948</v>
      </c>
      <c r="AC44" s="5">
        <v>101.93270051062963</v>
      </c>
      <c r="AD44" s="5">
        <v>102.58844789340537</v>
      </c>
      <c r="AE44" s="5">
        <v>-0.6557473827757434</v>
      </c>
      <c r="AF44" s="6">
        <v>-6.3920197277679679E-3</v>
      </c>
      <c r="AG44" s="5">
        <v>100.64</v>
      </c>
      <c r="AH44" s="5">
        <v>-1.9</v>
      </c>
      <c r="AI44" s="7" t="s">
        <v>68</v>
      </c>
    </row>
    <row r="45" spans="1:35" ht="18" customHeight="1" x14ac:dyDescent="0.25">
      <c r="A45" s="10">
        <v>44</v>
      </c>
      <c r="B45" s="10">
        <v>1</v>
      </c>
      <c r="C45" s="10">
        <v>44</v>
      </c>
      <c r="D45" s="109">
        <v>44797</v>
      </c>
      <c r="E45" s="109">
        <v>44803</v>
      </c>
      <c r="F45" s="109">
        <v>44805</v>
      </c>
      <c r="G45" s="11">
        <v>17604.95</v>
      </c>
      <c r="H45" s="11">
        <v>17759.3</v>
      </c>
      <c r="I45" s="11">
        <v>154.35</v>
      </c>
      <c r="J45" s="12">
        <v>8.7674205266132527E-3</v>
      </c>
      <c r="K45" s="13" t="s">
        <v>28</v>
      </c>
      <c r="L45" s="10">
        <v>17700</v>
      </c>
      <c r="M45" s="28">
        <f t="shared" si="0"/>
        <v>5.3990496990903303E-3</v>
      </c>
      <c r="N45" s="111">
        <f t="shared" si="1"/>
        <v>95.049999999999272</v>
      </c>
      <c r="O45" s="111">
        <f t="shared" si="2"/>
        <v>91.150000000000716</v>
      </c>
      <c r="P45" s="13" t="s">
        <v>67</v>
      </c>
      <c r="Q45" s="10">
        <v>65</v>
      </c>
      <c r="R45" s="11">
        <v>186.2</v>
      </c>
      <c r="S45" s="11">
        <v>55.25</v>
      </c>
      <c r="T45" s="14">
        <v>-1.9074</v>
      </c>
      <c r="U45" s="14">
        <v>0.80179999999999996</v>
      </c>
      <c r="V45" s="14">
        <v>-1.9074</v>
      </c>
      <c r="W45" s="14">
        <v>0.80179999999999996</v>
      </c>
      <c r="X45" s="14">
        <v>-1.9074</v>
      </c>
      <c r="Y45" s="11">
        <v>130.94999999999999</v>
      </c>
      <c r="Z45" s="12">
        <v>7.4382489015873366E-3</v>
      </c>
      <c r="AA45" s="9">
        <v>130.94999999999999</v>
      </c>
      <c r="AB45" s="9">
        <v>0.74382489015873365</v>
      </c>
      <c r="AC45" s="11">
        <v>102.69090130823865</v>
      </c>
      <c r="AD45" s="11">
        <v>102.69090130823865</v>
      </c>
      <c r="AE45" s="10">
        <v>0</v>
      </c>
      <c r="AF45" s="12">
        <v>0</v>
      </c>
      <c r="AG45" s="11">
        <v>99.99</v>
      </c>
      <c r="AH45" s="11">
        <v>-2.5299999999999998</v>
      </c>
      <c r="AI45" s="13" t="s">
        <v>68</v>
      </c>
    </row>
    <row r="46" spans="1:35" ht="18" customHeight="1" x14ac:dyDescent="0.25">
      <c r="A46" s="4">
        <v>45</v>
      </c>
      <c r="B46" s="4">
        <v>1</v>
      </c>
      <c r="C46" s="4">
        <v>45</v>
      </c>
      <c r="D46" s="108">
        <v>44803</v>
      </c>
      <c r="E46" s="108">
        <v>44811</v>
      </c>
      <c r="F46" s="108">
        <v>44812</v>
      </c>
      <c r="G46" s="5">
        <v>17759.3</v>
      </c>
      <c r="H46" s="5">
        <v>17624.400000000001</v>
      </c>
      <c r="I46" s="5">
        <v>-134.9</v>
      </c>
      <c r="J46" s="6">
        <v>-7.5960201134053712E-3</v>
      </c>
      <c r="K46" s="7" t="s">
        <v>28</v>
      </c>
      <c r="L46" s="4">
        <v>17900</v>
      </c>
      <c r="M46" s="28">
        <f t="shared" si="0"/>
        <v>7.9226095623139425E-3</v>
      </c>
      <c r="N46" s="111">
        <f t="shared" si="1"/>
        <v>140.70000000000073</v>
      </c>
      <c r="O46" s="111">
        <f t="shared" si="2"/>
        <v>92.449999999999278</v>
      </c>
      <c r="P46" s="7" t="s">
        <v>67</v>
      </c>
      <c r="Q46" s="4">
        <v>65</v>
      </c>
      <c r="R46" s="5">
        <v>233.15</v>
      </c>
      <c r="S46" s="5">
        <v>280.8</v>
      </c>
      <c r="T46" s="8">
        <v>-1.4809000000000001</v>
      </c>
      <c r="U46" s="8">
        <v>0.24299999999999999</v>
      </c>
      <c r="V46" s="8">
        <v>-1.4809000000000001</v>
      </c>
      <c r="W46" s="8">
        <v>0.24299999999999999</v>
      </c>
      <c r="X46" s="8">
        <v>-1.4809000000000001</v>
      </c>
      <c r="Y46" s="5">
        <v>-47.65</v>
      </c>
      <c r="Z46" s="6">
        <v>-2.6831012483600142E-3</v>
      </c>
      <c r="AA46" s="15">
        <v>-47.65</v>
      </c>
      <c r="AB46" s="15">
        <v>-0.26831012483600142</v>
      </c>
      <c r="AC46" s="5">
        <v>102.4153712227433</v>
      </c>
      <c r="AD46" s="5">
        <v>102.69090130823865</v>
      </c>
      <c r="AE46" s="5">
        <v>-0.27553008549534752</v>
      </c>
      <c r="AF46" s="6">
        <v>-2.6831012483599886E-3</v>
      </c>
      <c r="AG46" s="5">
        <v>101.17</v>
      </c>
      <c r="AH46" s="5">
        <v>-1.48</v>
      </c>
      <c r="AI46" s="7" t="s">
        <v>68</v>
      </c>
    </row>
    <row r="47" spans="1:35" ht="18" customHeight="1" x14ac:dyDescent="0.25">
      <c r="A47" s="10">
        <v>46</v>
      </c>
      <c r="B47" s="10">
        <v>1</v>
      </c>
      <c r="C47" s="10">
        <v>46</v>
      </c>
      <c r="D47" s="109">
        <v>44811</v>
      </c>
      <c r="E47" s="109">
        <v>44813</v>
      </c>
      <c r="F47" s="109">
        <v>44819</v>
      </c>
      <c r="G47" s="11">
        <v>17624.400000000001</v>
      </c>
      <c r="H47" s="11">
        <v>17833.349999999999</v>
      </c>
      <c r="I47" s="11">
        <v>208.95</v>
      </c>
      <c r="J47" s="12">
        <v>1.1855722748008441E-2</v>
      </c>
      <c r="K47" s="13" t="s">
        <v>28</v>
      </c>
      <c r="L47" s="10">
        <v>17300</v>
      </c>
      <c r="M47" s="28">
        <f t="shared" si="0"/>
        <v>-1.840630035632429E-2</v>
      </c>
      <c r="N47" s="111">
        <f t="shared" si="1"/>
        <v>0</v>
      </c>
      <c r="O47" s="111">
        <f t="shared" si="2"/>
        <v>70.45</v>
      </c>
      <c r="P47" s="13" t="s">
        <v>67</v>
      </c>
      <c r="Q47" s="10">
        <v>65</v>
      </c>
      <c r="R47" s="11">
        <v>70.45</v>
      </c>
      <c r="S47" s="11">
        <v>14.5</v>
      </c>
      <c r="T47" s="14">
        <v>3.6600000000000001E-2</v>
      </c>
      <c r="U47" s="14">
        <v>0.33700000000000002</v>
      </c>
      <c r="V47" s="14">
        <v>3.6600000000000001E-2</v>
      </c>
      <c r="W47" s="14">
        <v>0.33700000000000002</v>
      </c>
      <c r="X47" s="14">
        <v>3.6600000000000001E-2</v>
      </c>
      <c r="Y47" s="11">
        <v>55.95</v>
      </c>
      <c r="Z47" s="12">
        <v>3.1745761557840264E-3</v>
      </c>
      <c r="AA47" s="9">
        <v>55.95</v>
      </c>
      <c r="AB47" s="9">
        <v>0.31745761557840263</v>
      </c>
      <c r="AC47" s="11">
        <v>102.74049661821279</v>
      </c>
      <c r="AD47" s="11">
        <v>102.74049661821279</v>
      </c>
      <c r="AE47" s="10">
        <v>0</v>
      </c>
      <c r="AF47" s="12">
        <v>0</v>
      </c>
      <c r="AG47" s="11">
        <v>102.45</v>
      </c>
      <c r="AH47" s="11">
        <v>-0.23</v>
      </c>
      <c r="AI47" s="13" t="s">
        <v>71</v>
      </c>
    </row>
    <row r="48" spans="1:35" ht="18" customHeight="1" x14ac:dyDescent="0.25">
      <c r="A48" s="4">
        <v>47</v>
      </c>
      <c r="B48" s="4">
        <v>1</v>
      </c>
      <c r="C48" s="4">
        <v>47</v>
      </c>
      <c r="D48" s="108">
        <v>44813</v>
      </c>
      <c r="E48" s="108">
        <v>44817</v>
      </c>
      <c r="F48" s="108">
        <v>44819</v>
      </c>
      <c r="G48" s="5">
        <v>17833.349999999999</v>
      </c>
      <c r="H48" s="5">
        <v>18070.05</v>
      </c>
      <c r="I48" s="5">
        <v>236.7</v>
      </c>
      <c r="J48" s="6">
        <v>1.3272884791696457E-2</v>
      </c>
      <c r="K48" s="7" t="s">
        <v>28</v>
      </c>
      <c r="L48" s="4">
        <v>17700</v>
      </c>
      <c r="M48" s="28">
        <f t="shared" si="0"/>
        <v>-7.4775631050810754E-3</v>
      </c>
      <c r="N48" s="111">
        <f t="shared" si="1"/>
        <v>0</v>
      </c>
      <c r="O48" s="111">
        <f t="shared" si="2"/>
        <v>75.849999999999994</v>
      </c>
      <c r="P48" s="7" t="s">
        <v>67</v>
      </c>
      <c r="Q48" s="4">
        <v>65</v>
      </c>
      <c r="R48" s="5">
        <v>75.849999999999994</v>
      </c>
      <c r="S48" s="5">
        <v>13.25</v>
      </c>
      <c r="T48" s="8">
        <v>8.3299999999999999E-2</v>
      </c>
      <c r="U48" s="8">
        <v>0.35970000000000002</v>
      </c>
      <c r="V48" s="8">
        <v>8.3299999999999999E-2</v>
      </c>
      <c r="W48" s="8">
        <v>0.35970000000000002</v>
      </c>
      <c r="X48" s="8">
        <v>8.3299999999999999E-2</v>
      </c>
      <c r="Y48" s="5">
        <v>62.6</v>
      </c>
      <c r="Z48" s="6">
        <v>3.5102770931989785E-3</v>
      </c>
      <c r="AA48" s="9">
        <v>62.6</v>
      </c>
      <c r="AB48" s="9">
        <v>0.35102770931989785</v>
      </c>
      <c r="AC48" s="5">
        <v>103.10114423003559</v>
      </c>
      <c r="AD48" s="5">
        <v>103.10114423003559</v>
      </c>
      <c r="AE48" s="4">
        <v>0</v>
      </c>
      <c r="AF48" s="6">
        <v>0</v>
      </c>
      <c r="AG48" s="5">
        <v>102.83</v>
      </c>
      <c r="AH48" s="5">
        <v>0.09</v>
      </c>
      <c r="AI48" s="7" t="s">
        <v>71</v>
      </c>
    </row>
    <row r="49" spans="1:35" ht="18" customHeight="1" x14ac:dyDescent="0.25">
      <c r="A49" s="10">
        <v>48</v>
      </c>
      <c r="B49" s="10">
        <v>1</v>
      </c>
      <c r="C49" s="10">
        <v>48</v>
      </c>
      <c r="D49" s="109">
        <v>44817</v>
      </c>
      <c r="E49" s="109">
        <v>44818</v>
      </c>
      <c r="F49" s="109">
        <v>44819</v>
      </c>
      <c r="G49" s="11">
        <v>18070.05</v>
      </c>
      <c r="H49" s="11">
        <v>18003.75</v>
      </c>
      <c r="I49" s="11">
        <v>-66.3</v>
      </c>
      <c r="J49" s="12">
        <v>-3.6690545958644274E-3</v>
      </c>
      <c r="K49" s="13" t="s">
        <v>28</v>
      </c>
      <c r="L49" s="10">
        <v>18100</v>
      </c>
      <c r="M49" s="28">
        <f t="shared" si="0"/>
        <v>1.657438689987023E-3</v>
      </c>
      <c r="N49" s="111">
        <f t="shared" si="1"/>
        <v>29.950000000000728</v>
      </c>
      <c r="O49" s="111">
        <f t="shared" si="2"/>
        <v>74.449999999999278</v>
      </c>
      <c r="P49" s="13" t="s">
        <v>67</v>
      </c>
      <c r="Q49" s="10">
        <v>65</v>
      </c>
      <c r="R49" s="11">
        <v>104.4</v>
      </c>
      <c r="S49" s="11">
        <v>127.85</v>
      </c>
      <c r="T49" s="14">
        <v>-1.2761</v>
      </c>
      <c r="U49" s="14">
        <v>0.1217</v>
      </c>
      <c r="V49" s="14">
        <v>-1.2761</v>
      </c>
      <c r="W49" s="14">
        <v>0.1217</v>
      </c>
      <c r="X49" s="14">
        <v>-1.2761</v>
      </c>
      <c r="Y49" s="11">
        <v>-23.45</v>
      </c>
      <c r="Z49" s="12">
        <v>-1.2977274550983534E-3</v>
      </c>
      <c r="AA49" s="15">
        <v>-23.45</v>
      </c>
      <c r="AB49" s="15">
        <v>-0.12977274550983534</v>
      </c>
      <c r="AC49" s="11">
        <v>102.96734704451622</v>
      </c>
      <c r="AD49" s="11">
        <v>103.10114423003559</v>
      </c>
      <c r="AE49" s="11">
        <v>-0.13379718551937003</v>
      </c>
      <c r="AF49" s="12">
        <v>-1.2977274550983308E-3</v>
      </c>
      <c r="AG49" s="11">
        <v>101.79</v>
      </c>
      <c r="AH49" s="11">
        <v>-1.27</v>
      </c>
      <c r="AI49" s="13" t="s">
        <v>68</v>
      </c>
    </row>
    <row r="50" spans="1:35" ht="18" customHeight="1" x14ac:dyDescent="0.25">
      <c r="A50" s="4">
        <v>49</v>
      </c>
      <c r="B50" s="4">
        <v>1</v>
      </c>
      <c r="C50" s="4">
        <v>49</v>
      </c>
      <c r="D50" s="108">
        <v>44818</v>
      </c>
      <c r="E50" s="108">
        <v>44825</v>
      </c>
      <c r="F50" s="108">
        <v>44826</v>
      </c>
      <c r="G50" s="5">
        <v>18003.75</v>
      </c>
      <c r="H50" s="5">
        <v>17718.349999999999</v>
      </c>
      <c r="I50" s="5">
        <v>-285.39999999999998</v>
      </c>
      <c r="J50" s="6">
        <v>-1.5852253002846629E-2</v>
      </c>
      <c r="K50" s="7" t="s">
        <v>28</v>
      </c>
      <c r="L50" s="4">
        <v>17700</v>
      </c>
      <c r="M50" s="28">
        <f t="shared" si="0"/>
        <v>-1.6871485107269324E-2</v>
      </c>
      <c r="N50" s="111">
        <f t="shared" si="1"/>
        <v>0</v>
      </c>
      <c r="O50" s="111">
        <f t="shared" si="2"/>
        <v>84.3</v>
      </c>
      <c r="P50" s="7" t="s">
        <v>67</v>
      </c>
      <c r="Q50" s="4">
        <v>65</v>
      </c>
      <c r="R50" s="5">
        <v>84.3</v>
      </c>
      <c r="S50" s="5">
        <v>110.3</v>
      </c>
      <c r="T50" s="8">
        <v>-1.3674999999999999</v>
      </c>
      <c r="U50" s="8">
        <v>0.21940000000000001</v>
      </c>
      <c r="V50" s="8">
        <v>-1.3674999999999999</v>
      </c>
      <c r="W50" s="8">
        <v>0.21940000000000001</v>
      </c>
      <c r="X50" s="8">
        <v>-1.3674999999999999</v>
      </c>
      <c r="Y50" s="4">
        <v>-26</v>
      </c>
      <c r="Z50" s="6">
        <v>-1.4441435811983615E-3</v>
      </c>
      <c r="AA50" s="16">
        <v>-26</v>
      </c>
      <c r="AB50" s="15">
        <v>-0.14441435811983616</v>
      </c>
      <c r="AC50" s="5">
        <v>102.81864741120886</v>
      </c>
      <c r="AD50" s="5">
        <v>103.10114423003559</v>
      </c>
      <c r="AE50" s="5">
        <v>-0.28249681882672917</v>
      </c>
      <c r="AF50" s="6">
        <v>-2.7399969315222376E-3</v>
      </c>
      <c r="AG50" s="5">
        <v>101.56</v>
      </c>
      <c r="AH50" s="5">
        <v>-1.49</v>
      </c>
      <c r="AI50" s="7" t="s">
        <v>68</v>
      </c>
    </row>
    <row r="51" spans="1:35" ht="18" customHeight="1" x14ac:dyDescent="0.25">
      <c r="A51" s="10">
        <v>50</v>
      </c>
      <c r="B51" s="10">
        <v>1</v>
      </c>
      <c r="C51" s="10">
        <v>50</v>
      </c>
      <c r="D51" s="109">
        <v>44825</v>
      </c>
      <c r="E51" s="109">
        <v>44832</v>
      </c>
      <c r="F51" s="109">
        <v>44833</v>
      </c>
      <c r="G51" s="11">
        <v>17718.349999999999</v>
      </c>
      <c r="H51" s="11">
        <v>16858.599999999999</v>
      </c>
      <c r="I51" s="11">
        <v>-859.75</v>
      </c>
      <c r="J51" s="12">
        <v>-4.8523141263153741E-2</v>
      </c>
      <c r="K51" s="13" t="s">
        <v>28</v>
      </c>
      <c r="L51" s="10">
        <v>18000</v>
      </c>
      <c r="M51" s="28">
        <f t="shared" si="0"/>
        <v>1.5895949679287424E-2</v>
      </c>
      <c r="N51" s="111">
        <f t="shared" si="1"/>
        <v>281.65000000000146</v>
      </c>
      <c r="O51" s="111">
        <f t="shared" si="2"/>
        <v>83.299999999998533</v>
      </c>
      <c r="P51" s="13" t="s">
        <v>67</v>
      </c>
      <c r="Q51" s="10">
        <v>65</v>
      </c>
      <c r="R51" s="11">
        <v>364.95</v>
      </c>
      <c r="S51" s="11">
        <v>1145.8499999999999</v>
      </c>
      <c r="T51" s="14">
        <v>-4.5292000000000003</v>
      </c>
      <c r="U51" s="14">
        <v>0.20880000000000001</v>
      </c>
      <c r="V51" s="14">
        <v>-4.5292000000000003</v>
      </c>
      <c r="W51" s="14">
        <v>0.20880000000000001</v>
      </c>
      <c r="X51" s="14">
        <v>-4.5292000000000003</v>
      </c>
      <c r="Y51" s="11">
        <v>-780.9</v>
      </c>
      <c r="Z51" s="12">
        <v>-4.407295261691975E-2</v>
      </c>
      <c r="AA51" s="15">
        <v>-780.9</v>
      </c>
      <c r="AB51" s="15">
        <v>-4.4072952616919752</v>
      </c>
      <c r="AC51" s="11">
        <v>98.28712603571887</v>
      </c>
      <c r="AD51" s="11">
        <v>103.10114423003559</v>
      </c>
      <c r="AE51" s="11">
        <v>-4.8140181943167164</v>
      </c>
      <c r="AF51" s="12">
        <v>-4.6692189793508511E-2</v>
      </c>
      <c r="AG51" s="11">
        <v>98.16</v>
      </c>
      <c r="AH51" s="11">
        <v>-4.79</v>
      </c>
      <c r="AI51" s="13" t="s">
        <v>68</v>
      </c>
    </row>
    <row r="52" spans="1:35" ht="18" customHeight="1" x14ac:dyDescent="0.25">
      <c r="A52" s="4">
        <v>51</v>
      </c>
      <c r="B52" s="4">
        <v>1</v>
      </c>
      <c r="C52" s="4">
        <v>51</v>
      </c>
      <c r="D52" s="108">
        <v>44832</v>
      </c>
      <c r="E52" s="108">
        <v>44834</v>
      </c>
      <c r="F52" s="108">
        <v>44840</v>
      </c>
      <c r="G52" s="5">
        <v>16858.599999999999</v>
      </c>
      <c r="H52" s="5">
        <v>17094.349999999999</v>
      </c>
      <c r="I52" s="5">
        <v>235.75</v>
      </c>
      <c r="J52" s="6">
        <v>1.3983960708481133E-2</v>
      </c>
      <c r="K52" s="7" t="s">
        <v>28</v>
      </c>
      <c r="L52" s="4">
        <v>17100</v>
      </c>
      <c r="M52" s="28">
        <f t="shared" si="0"/>
        <v>1.4319101230232834E-2</v>
      </c>
      <c r="N52" s="111">
        <f t="shared" si="1"/>
        <v>241.40000000000146</v>
      </c>
      <c r="O52" s="111">
        <f t="shared" si="2"/>
        <v>105.89999999999856</v>
      </c>
      <c r="P52" s="7" t="s">
        <v>67</v>
      </c>
      <c r="Q52" s="4">
        <v>65</v>
      </c>
      <c r="R52" s="5">
        <v>347.3</v>
      </c>
      <c r="S52" s="5">
        <v>158.94999999999999</v>
      </c>
      <c r="T52" s="8">
        <v>-0.33900000000000002</v>
      </c>
      <c r="U52" s="8">
        <v>1.3572</v>
      </c>
      <c r="V52" s="8">
        <v>-0.33900000000000002</v>
      </c>
      <c r="W52" s="8">
        <v>1.3572</v>
      </c>
      <c r="X52" s="8">
        <v>-0.33900000000000002</v>
      </c>
      <c r="Y52" s="5">
        <v>188.35</v>
      </c>
      <c r="Z52" s="6">
        <v>1.1172339340158733E-2</v>
      </c>
      <c r="AA52" s="9">
        <v>188.35</v>
      </c>
      <c r="AB52" s="9">
        <v>1.1172339340158732</v>
      </c>
      <c r="AC52" s="5">
        <v>99.38522316055888</v>
      </c>
      <c r="AD52" s="5">
        <v>103.10114423003559</v>
      </c>
      <c r="AE52" s="5">
        <v>-3.7159210694767069</v>
      </c>
      <c r="AF52" s="6">
        <v>-3.6041511442257874E-2</v>
      </c>
      <c r="AG52" s="5">
        <v>97.95</v>
      </c>
      <c r="AH52" s="4">
        <v>-5</v>
      </c>
      <c r="AI52" s="7" t="s">
        <v>71</v>
      </c>
    </row>
    <row r="53" spans="1:35" ht="18" customHeight="1" x14ac:dyDescent="0.25">
      <c r="A53" s="10">
        <v>52</v>
      </c>
      <c r="B53" s="10">
        <v>1</v>
      </c>
      <c r="C53" s="10">
        <v>52</v>
      </c>
      <c r="D53" s="109">
        <v>44834</v>
      </c>
      <c r="E53" s="109">
        <v>44838</v>
      </c>
      <c r="F53" s="109">
        <v>44840</v>
      </c>
      <c r="G53" s="11">
        <v>17094.349999999999</v>
      </c>
      <c r="H53" s="11">
        <v>17274.3</v>
      </c>
      <c r="I53" s="11">
        <v>179.95</v>
      </c>
      <c r="J53" s="12">
        <v>1.0526869989206961E-2</v>
      </c>
      <c r="K53" s="13" t="s">
        <v>28</v>
      </c>
      <c r="L53" s="10">
        <v>17300</v>
      </c>
      <c r="M53" s="28">
        <f t="shared" si="0"/>
        <v>1.2030290710088432E-2</v>
      </c>
      <c r="N53" s="111">
        <f t="shared" si="1"/>
        <v>205.65000000000146</v>
      </c>
      <c r="O53" s="111">
        <f t="shared" si="2"/>
        <v>70.299999999998533</v>
      </c>
      <c r="P53" s="13" t="s">
        <v>67</v>
      </c>
      <c r="Q53" s="10">
        <v>65</v>
      </c>
      <c r="R53" s="11">
        <v>275.95</v>
      </c>
      <c r="S53" s="11">
        <v>97.65</v>
      </c>
      <c r="T53" s="14">
        <v>-1.0658000000000001</v>
      </c>
      <c r="U53" s="14">
        <v>1.1059000000000001</v>
      </c>
      <c r="V53" s="14">
        <v>-1.0658000000000001</v>
      </c>
      <c r="W53" s="14">
        <v>1.1059000000000001</v>
      </c>
      <c r="X53" s="14">
        <v>-1.0658000000000001</v>
      </c>
      <c r="Y53" s="11">
        <v>178.3</v>
      </c>
      <c r="Z53" s="12">
        <v>1.0430346868994729E-2</v>
      </c>
      <c r="AA53" s="9">
        <v>178.3</v>
      </c>
      <c r="AB53" s="9">
        <v>1.0430346868994729</v>
      </c>
      <c r="AC53" s="11">
        <v>100.42184551177597</v>
      </c>
      <c r="AD53" s="11">
        <v>103.10114423003559</v>
      </c>
      <c r="AE53" s="11">
        <v>-2.6792987182596164</v>
      </c>
      <c r="AF53" s="12">
        <v>-2.5987090039288611E-2</v>
      </c>
      <c r="AG53" s="11">
        <v>98.33</v>
      </c>
      <c r="AH53" s="11">
        <v>-4.63</v>
      </c>
      <c r="AI53" s="13" t="s">
        <v>68</v>
      </c>
    </row>
    <row r="54" spans="1:35" ht="18" customHeight="1" x14ac:dyDescent="0.25">
      <c r="A54" s="4">
        <v>53</v>
      </c>
      <c r="B54" s="4">
        <v>1</v>
      </c>
      <c r="C54" s="4">
        <v>53</v>
      </c>
      <c r="D54" s="108">
        <v>44838</v>
      </c>
      <c r="E54" s="108">
        <v>44846</v>
      </c>
      <c r="F54" s="108">
        <v>44847</v>
      </c>
      <c r="G54" s="5">
        <v>17274.3</v>
      </c>
      <c r="H54" s="5">
        <v>17123.599999999999</v>
      </c>
      <c r="I54" s="5">
        <v>-150.69999999999999</v>
      </c>
      <c r="J54" s="6">
        <v>-8.7239425041825136E-3</v>
      </c>
      <c r="K54" s="7" t="s">
        <v>28</v>
      </c>
      <c r="L54" s="4">
        <v>17500</v>
      </c>
      <c r="M54" s="28">
        <f t="shared" si="0"/>
        <v>1.3065652443224884E-2</v>
      </c>
      <c r="N54" s="111">
        <f t="shared" si="1"/>
        <v>225.70000000000073</v>
      </c>
      <c r="O54" s="111">
        <f t="shared" si="2"/>
        <v>85.499999999999261</v>
      </c>
      <c r="P54" s="7" t="s">
        <v>67</v>
      </c>
      <c r="Q54" s="4">
        <v>65</v>
      </c>
      <c r="R54" s="5">
        <v>311.2</v>
      </c>
      <c r="S54" s="5">
        <v>375.45</v>
      </c>
      <c r="T54" s="8">
        <v>-1.3902000000000001</v>
      </c>
      <c r="U54" s="8">
        <v>0.58499999999999996</v>
      </c>
      <c r="V54" s="8">
        <v>-1.3902000000000001</v>
      </c>
      <c r="W54" s="8">
        <v>0.58499999999999996</v>
      </c>
      <c r="X54" s="8">
        <v>-1.3902000000000001</v>
      </c>
      <c r="Y54" s="5">
        <v>-64.25</v>
      </c>
      <c r="Z54" s="6">
        <v>-3.7193981811129832E-3</v>
      </c>
      <c r="AA54" s="15">
        <v>-64.25</v>
      </c>
      <c r="AB54" s="15">
        <v>-0.37193981811129834</v>
      </c>
      <c r="AC54" s="5">
        <v>100.04833668223546</v>
      </c>
      <c r="AD54" s="5">
        <v>103.10114423003559</v>
      </c>
      <c r="AE54" s="5">
        <v>-3.0528075478001284</v>
      </c>
      <c r="AF54" s="6">
        <v>-2.9609831884977081E-2</v>
      </c>
      <c r="AG54" s="5">
        <v>99.03</v>
      </c>
      <c r="AH54" s="5">
        <v>-3.95</v>
      </c>
      <c r="AI54" s="7" t="s">
        <v>68</v>
      </c>
    </row>
    <row r="55" spans="1:35" ht="18" customHeight="1" x14ac:dyDescent="0.25">
      <c r="A55" s="10">
        <v>54</v>
      </c>
      <c r="B55" s="10">
        <v>1</v>
      </c>
      <c r="C55" s="10">
        <v>54</v>
      </c>
      <c r="D55" s="109">
        <v>44846</v>
      </c>
      <c r="E55" s="109">
        <v>44851</v>
      </c>
      <c r="F55" s="109">
        <v>44854</v>
      </c>
      <c r="G55" s="11">
        <v>17123.599999999999</v>
      </c>
      <c r="H55" s="11">
        <v>17311.8</v>
      </c>
      <c r="I55" s="11">
        <v>188.2</v>
      </c>
      <c r="J55" s="12">
        <v>1.0990679530005373E-2</v>
      </c>
      <c r="K55" s="13" t="s">
        <v>28</v>
      </c>
      <c r="L55" s="10">
        <v>16800</v>
      </c>
      <c r="M55" s="28">
        <f t="shared" si="0"/>
        <v>-1.8897895302389611E-2</v>
      </c>
      <c r="N55" s="111">
        <f t="shared" si="1"/>
        <v>0</v>
      </c>
      <c r="O55" s="111">
        <f t="shared" si="2"/>
        <v>84.9</v>
      </c>
      <c r="P55" s="13" t="s">
        <v>67</v>
      </c>
      <c r="Q55" s="10">
        <v>65</v>
      </c>
      <c r="R55" s="11">
        <v>84.9</v>
      </c>
      <c r="S55" s="11">
        <v>14.25</v>
      </c>
      <c r="T55" s="14">
        <v>-0.30859999999999999</v>
      </c>
      <c r="U55" s="14">
        <v>0.42509999999999998</v>
      </c>
      <c r="V55" s="14">
        <v>-0.30859999999999999</v>
      </c>
      <c r="W55" s="14">
        <v>0.42509999999999998</v>
      </c>
      <c r="X55" s="14">
        <v>-0.30859999999999999</v>
      </c>
      <c r="Y55" s="11">
        <v>70.650000000000006</v>
      </c>
      <c r="Z55" s="12">
        <v>4.1258847438622728E-3</v>
      </c>
      <c r="AA55" s="9">
        <v>70.650000000000006</v>
      </c>
      <c r="AB55" s="9">
        <v>0.41258847438622726</v>
      </c>
      <c r="AC55" s="11">
        <v>100.4611245882015</v>
      </c>
      <c r="AD55" s="11">
        <v>103.10114423003559</v>
      </c>
      <c r="AE55" s="11">
        <v>-2.6400196418340869</v>
      </c>
      <c r="AF55" s="12">
        <v>-2.5606113894757265E-2</v>
      </c>
      <c r="AG55" s="11">
        <v>99.74</v>
      </c>
      <c r="AH55" s="11">
        <v>-3.26</v>
      </c>
      <c r="AI55" s="13" t="s">
        <v>71</v>
      </c>
    </row>
    <row r="56" spans="1:35" ht="18" customHeight="1" x14ac:dyDescent="0.25">
      <c r="A56" s="4">
        <v>55</v>
      </c>
      <c r="B56" s="4">
        <v>1</v>
      </c>
      <c r="C56" s="4">
        <v>55</v>
      </c>
      <c r="D56" s="108">
        <v>44851</v>
      </c>
      <c r="E56" s="108">
        <v>44852</v>
      </c>
      <c r="F56" s="108">
        <v>44854</v>
      </c>
      <c r="G56" s="5">
        <v>17311.8</v>
      </c>
      <c r="H56" s="5">
        <v>17486.95</v>
      </c>
      <c r="I56" s="5">
        <v>175.15</v>
      </c>
      <c r="J56" s="6">
        <v>1.0117376587067781E-2</v>
      </c>
      <c r="K56" s="7" t="s">
        <v>28</v>
      </c>
      <c r="L56" s="4">
        <v>17200</v>
      </c>
      <c r="M56" s="28">
        <f t="shared" si="0"/>
        <v>-6.4580228514654614E-3</v>
      </c>
      <c r="N56" s="111">
        <f t="shared" si="1"/>
        <v>0</v>
      </c>
      <c r="O56" s="111">
        <f t="shared" si="2"/>
        <v>80.95</v>
      </c>
      <c r="P56" s="7" t="s">
        <v>67</v>
      </c>
      <c r="Q56" s="4">
        <v>65</v>
      </c>
      <c r="R56" s="5">
        <v>80.95</v>
      </c>
      <c r="S56" s="5">
        <v>19.05</v>
      </c>
      <c r="T56" s="8">
        <v>0.23649999999999999</v>
      </c>
      <c r="U56" s="8">
        <v>0.37169999999999997</v>
      </c>
      <c r="V56" s="8">
        <v>0.23649999999999999</v>
      </c>
      <c r="W56" s="8">
        <v>0.37169999999999997</v>
      </c>
      <c r="X56" s="8">
        <v>0.23649999999999999</v>
      </c>
      <c r="Y56" s="5">
        <v>61.9</v>
      </c>
      <c r="Z56" s="6">
        <v>3.575595836365947E-3</v>
      </c>
      <c r="AA56" s="9">
        <v>61.9</v>
      </c>
      <c r="AB56" s="9">
        <v>0.35755958363659468</v>
      </c>
      <c r="AC56" s="5">
        <v>100.82033296699571</v>
      </c>
      <c r="AD56" s="5">
        <v>103.10114423003559</v>
      </c>
      <c r="AE56" s="5">
        <v>-2.2808112630398796</v>
      </c>
      <c r="AF56" s="6">
        <v>-2.2122075172618987E-2</v>
      </c>
      <c r="AG56" s="5">
        <v>100.7</v>
      </c>
      <c r="AH56" s="5">
        <v>-2.33</v>
      </c>
      <c r="AI56" s="7" t="s">
        <v>71</v>
      </c>
    </row>
    <row r="57" spans="1:35" ht="18" customHeight="1" x14ac:dyDescent="0.25">
      <c r="A57" s="10">
        <v>56</v>
      </c>
      <c r="B57" s="10">
        <v>1</v>
      </c>
      <c r="C57" s="10">
        <v>56</v>
      </c>
      <c r="D57" s="109">
        <v>44852</v>
      </c>
      <c r="E57" s="109">
        <v>44853</v>
      </c>
      <c r="F57" s="109">
        <v>44854</v>
      </c>
      <c r="G57" s="11">
        <v>17486.95</v>
      </c>
      <c r="H57" s="11">
        <v>17512.25</v>
      </c>
      <c r="I57" s="11">
        <v>25.3</v>
      </c>
      <c r="J57" s="12">
        <v>1.4467931800571283E-3</v>
      </c>
      <c r="K57" s="13" t="s">
        <v>28</v>
      </c>
      <c r="L57" s="10">
        <v>17500</v>
      </c>
      <c r="M57" s="28">
        <f t="shared" si="0"/>
        <v>7.4627079050371137E-4</v>
      </c>
      <c r="N57" s="111">
        <f t="shared" si="1"/>
        <v>13.049999999999272</v>
      </c>
      <c r="O57" s="111">
        <f t="shared" si="2"/>
        <v>81.800000000000722</v>
      </c>
      <c r="P57" s="13" t="s">
        <v>67</v>
      </c>
      <c r="Q57" s="10">
        <v>65</v>
      </c>
      <c r="R57" s="11">
        <v>94.85</v>
      </c>
      <c r="S57" s="11">
        <v>64.2</v>
      </c>
      <c r="T57" s="14">
        <v>3.6600000000000001E-2</v>
      </c>
      <c r="U57" s="14">
        <v>0.33650000000000002</v>
      </c>
      <c r="V57" s="14">
        <v>3.6600000000000001E-2</v>
      </c>
      <c r="W57" s="14">
        <v>0.33650000000000002</v>
      </c>
      <c r="X57" s="14">
        <v>3.6600000000000001E-2</v>
      </c>
      <c r="Y57" s="11">
        <v>30.65</v>
      </c>
      <c r="Z57" s="12">
        <v>1.7527356114130821E-3</v>
      </c>
      <c r="AA57" s="9">
        <v>30.65</v>
      </c>
      <c r="AB57" s="9">
        <v>0.17527356114130821</v>
      </c>
      <c r="AC57" s="11">
        <v>100.99704435494148</v>
      </c>
      <c r="AD57" s="11">
        <v>103.10114423003559</v>
      </c>
      <c r="AE57" s="11">
        <v>-2.1040998750941071</v>
      </c>
      <c r="AF57" s="12">
        <v>-2.0408113710159364E-2</v>
      </c>
      <c r="AG57" s="11">
        <v>100.86</v>
      </c>
      <c r="AH57" s="11">
        <v>-2.17</v>
      </c>
      <c r="AI57" s="13" t="s">
        <v>68</v>
      </c>
    </row>
    <row r="58" spans="1:35" ht="18" customHeight="1" x14ac:dyDescent="0.25">
      <c r="A58" s="4">
        <v>57</v>
      </c>
      <c r="B58" s="4">
        <v>1</v>
      </c>
      <c r="C58" s="4">
        <v>57</v>
      </c>
      <c r="D58" s="108">
        <v>44853</v>
      </c>
      <c r="E58" s="108">
        <v>44858</v>
      </c>
      <c r="F58" s="108">
        <v>44861</v>
      </c>
      <c r="G58" s="5">
        <v>17512.25</v>
      </c>
      <c r="H58" s="5">
        <v>17730.75</v>
      </c>
      <c r="I58" s="5">
        <v>218.5</v>
      </c>
      <c r="J58" s="6">
        <v>1.2476980399434682E-2</v>
      </c>
      <c r="K58" s="7" t="s">
        <v>28</v>
      </c>
      <c r="L58" s="4">
        <v>17700</v>
      </c>
      <c r="M58" s="28">
        <f t="shared" si="0"/>
        <v>1.0721066681894209E-2</v>
      </c>
      <c r="N58" s="111">
        <f t="shared" si="1"/>
        <v>187.75</v>
      </c>
      <c r="O58" s="111">
        <f t="shared" si="2"/>
        <v>88.25</v>
      </c>
      <c r="P58" s="7" t="s">
        <v>67</v>
      </c>
      <c r="Q58" s="4">
        <v>65</v>
      </c>
      <c r="R58" s="4">
        <v>276</v>
      </c>
      <c r="S58" s="4">
        <v>71</v>
      </c>
      <c r="T58" s="8">
        <v>-0.41539999999999999</v>
      </c>
      <c r="U58" s="8">
        <v>1.3582000000000001</v>
      </c>
      <c r="V58" s="8">
        <v>-0.41539999999999999</v>
      </c>
      <c r="W58" s="8">
        <v>1.3582000000000001</v>
      </c>
      <c r="X58" s="8">
        <v>-0.41539999999999999</v>
      </c>
      <c r="Y58" s="4">
        <v>205</v>
      </c>
      <c r="Z58" s="6">
        <v>1.1706091450270524E-2</v>
      </c>
      <c r="AA58" s="17">
        <v>205</v>
      </c>
      <c r="AB58" s="9">
        <v>1.1706091450270524</v>
      </c>
      <c r="AC58" s="5">
        <v>102.17932499236744</v>
      </c>
      <c r="AD58" s="5">
        <v>103.10114423003559</v>
      </c>
      <c r="AE58" s="5">
        <v>-0.92181923766814577</v>
      </c>
      <c r="AF58" s="6">
        <v>-8.9409215053076006E-3</v>
      </c>
      <c r="AG58" s="5">
        <v>100.58</v>
      </c>
      <c r="AH58" s="5">
        <v>-2.4500000000000002</v>
      </c>
      <c r="AI58" s="7" t="s">
        <v>71</v>
      </c>
    </row>
    <row r="59" spans="1:35" ht="18" customHeight="1" x14ac:dyDescent="0.25">
      <c r="A59" s="10">
        <v>58</v>
      </c>
      <c r="B59" s="10">
        <v>1</v>
      </c>
      <c r="C59" s="10">
        <v>58</v>
      </c>
      <c r="D59" s="109">
        <v>44858</v>
      </c>
      <c r="E59" s="109">
        <v>44859</v>
      </c>
      <c r="F59" s="109">
        <v>44861</v>
      </c>
      <c r="G59" s="11">
        <v>17730.75</v>
      </c>
      <c r="H59" s="11">
        <v>17656.349999999999</v>
      </c>
      <c r="I59" s="11">
        <v>-74.400000000000006</v>
      </c>
      <c r="J59" s="12">
        <v>-4.196099995770061E-3</v>
      </c>
      <c r="K59" s="13" t="s">
        <v>28</v>
      </c>
      <c r="L59" s="10">
        <v>17700</v>
      </c>
      <c r="M59" s="28">
        <f t="shared" si="0"/>
        <v>-1.7342751998646877E-3</v>
      </c>
      <c r="N59" s="111">
        <f t="shared" si="1"/>
        <v>0</v>
      </c>
      <c r="O59" s="111">
        <f t="shared" si="2"/>
        <v>71</v>
      </c>
      <c r="P59" s="13" t="s">
        <v>67</v>
      </c>
      <c r="Q59" s="10">
        <v>65</v>
      </c>
      <c r="R59" s="10">
        <v>71</v>
      </c>
      <c r="S59" s="11">
        <v>90.6</v>
      </c>
      <c r="T59" s="14">
        <v>-0.1825</v>
      </c>
      <c r="U59" s="14">
        <v>0.19120000000000001</v>
      </c>
      <c r="V59" s="14">
        <v>-0.1825</v>
      </c>
      <c r="W59" s="14">
        <v>0.19120000000000001</v>
      </c>
      <c r="X59" s="14">
        <v>-0.1825</v>
      </c>
      <c r="Y59" s="11">
        <v>-19.600000000000001</v>
      </c>
      <c r="Z59" s="12">
        <v>-1.1054241924340483E-3</v>
      </c>
      <c r="AA59" s="15">
        <v>-19.600000000000001</v>
      </c>
      <c r="AB59" s="15">
        <v>-0.11054241924340483</v>
      </c>
      <c r="AC59" s="11">
        <v>102.0663734945543</v>
      </c>
      <c r="AD59" s="11">
        <v>103.10114423003559</v>
      </c>
      <c r="AE59" s="11">
        <v>-1.0347707354812883</v>
      </c>
      <c r="AF59" s="12">
        <v>-1.0036462186807014E-2</v>
      </c>
      <c r="AG59" s="11">
        <v>101.99</v>
      </c>
      <c r="AH59" s="11">
        <v>-1.08</v>
      </c>
      <c r="AI59" s="13" t="s">
        <v>68</v>
      </c>
    </row>
    <row r="60" spans="1:35" ht="18" customHeight="1" x14ac:dyDescent="0.25">
      <c r="A60" s="4">
        <v>59</v>
      </c>
      <c r="B60" s="4">
        <v>1</v>
      </c>
      <c r="C60" s="4">
        <v>59</v>
      </c>
      <c r="D60" s="108">
        <v>44859</v>
      </c>
      <c r="E60" s="108">
        <v>44865</v>
      </c>
      <c r="F60" s="108">
        <v>44868</v>
      </c>
      <c r="G60" s="5">
        <v>17656.349999999999</v>
      </c>
      <c r="H60" s="5">
        <v>18012.2</v>
      </c>
      <c r="I60" s="5">
        <v>355.85</v>
      </c>
      <c r="J60" s="6">
        <v>2.0154222135379058E-2</v>
      </c>
      <c r="K60" s="7" t="s">
        <v>28</v>
      </c>
      <c r="L60" s="4">
        <v>17800</v>
      </c>
      <c r="M60" s="28">
        <f t="shared" si="0"/>
        <v>8.1358831242017704E-3</v>
      </c>
      <c r="N60" s="111">
        <f t="shared" si="1"/>
        <v>143.65000000000146</v>
      </c>
      <c r="O60" s="111">
        <f t="shared" si="2"/>
        <v>91.049999999998533</v>
      </c>
      <c r="P60" s="7" t="s">
        <v>67</v>
      </c>
      <c r="Q60" s="4">
        <v>65</v>
      </c>
      <c r="R60" s="5">
        <v>234.7</v>
      </c>
      <c r="S60" s="5">
        <v>38.9</v>
      </c>
      <c r="T60" s="8">
        <v>3.5400000000000001E-2</v>
      </c>
      <c r="U60" s="8">
        <v>1.1231</v>
      </c>
      <c r="V60" s="8">
        <v>3.5400000000000001E-2</v>
      </c>
      <c r="W60" s="8">
        <v>1.1231</v>
      </c>
      <c r="X60" s="8">
        <v>3.5400000000000001E-2</v>
      </c>
      <c r="Y60" s="5">
        <v>195.8</v>
      </c>
      <c r="Z60" s="6">
        <v>1.1089494714366221E-2</v>
      </c>
      <c r="AA60" s="9">
        <v>195.8</v>
      </c>
      <c r="AB60" s="9">
        <v>1.1089494714366221</v>
      </c>
      <c r="AC60" s="5">
        <v>103.19823800393669</v>
      </c>
      <c r="AD60" s="5">
        <v>103.19823800393669</v>
      </c>
      <c r="AE60" s="4">
        <v>0</v>
      </c>
      <c r="AF60" s="6">
        <v>0</v>
      </c>
      <c r="AG60" s="5">
        <v>102.1</v>
      </c>
      <c r="AH60" s="5">
        <v>-0.97</v>
      </c>
      <c r="AI60" s="7" t="s">
        <v>71</v>
      </c>
    </row>
    <row r="61" spans="1:35" ht="18" customHeight="1" x14ac:dyDescent="0.25">
      <c r="A61" s="10">
        <v>60</v>
      </c>
      <c r="B61" s="10">
        <v>1</v>
      </c>
      <c r="C61" s="10">
        <v>60</v>
      </c>
      <c r="D61" s="109">
        <v>44865</v>
      </c>
      <c r="E61" s="109">
        <v>44867</v>
      </c>
      <c r="F61" s="109">
        <v>44868</v>
      </c>
      <c r="G61" s="11">
        <v>18012.2</v>
      </c>
      <c r="H61" s="11">
        <v>18082.849999999999</v>
      </c>
      <c r="I61" s="11">
        <v>70.650000000000006</v>
      </c>
      <c r="J61" s="12">
        <v>3.9223415240781248E-3</v>
      </c>
      <c r="K61" s="13" t="s">
        <v>28</v>
      </c>
      <c r="L61" s="10">
        <v>18100</v>
      </c>
      <c r="M61" s="28">
        <f t="shared" si="0"/>
        <v>4.8744739676440663E-3</v>
      </c>
      <c r="N61" s="111">
        <f t="shared" si="1"/>
        <v>87.799999999999272</v>
      </c>
      <c r="O61" s="111">
        <f t="shared" si="2"/>
        <v>65.500000000000739</v>
      </c>
      <c r="P61" s="13" t="s">
        <v>67</v>
      </c>
      <c r="Q61" s="10">
        <v>65</v>
      </c>
      <c r="R61" s="11">
        <v>153.30000000000001</v>
      </c>
      <c r="S61" s="11">
        <v>86.2</v>
      </c>
      <c r="T61" s="14">
        <v>0.23119999999999999</v>
      </c>
      <c r="U61" s="14">
        <v>0.57909999999999995</v>
      </c>
      <c r="V61" s="14">
        <v>0.23119999999999999</v>
      </c>
      <c r="W61" s="14">
        <v>0.57909999999999995</v>
      </c>
      <c r="X61" s="14">
        <v>0.23119999999999999</v>
      </c>
      <c r="Y61" s="11">
        <v>67.099999999999994</v>
      </c>
      <c r="Z61" s="12">
        <v>3.7252528841562934E-3</v>
      </c>
      <c r="AA61" s="9">
        <v>67.099999999999994</v>
      </c>
      <c r="AB61" s="9">
        <v>0.37252528841562932</v>
      </c>
      <c r="AC61" s="11">
        <v>103.5826775377007</v>
      </c>
      <c r="AD61" s="11">
        <v>103.5826775377007</v>
      </c>
      <c r="AE61" s="10">
        <v>0</v>
      </c>
      <c r="AF61" s="12">
        <v>0</v>
      </c>
      <c r="AG61" s="11">
        <v>103.44</v>
      </c>
      <c r="AH61" s="11">
        <v>0.23</v>
      </c>
      <c r="AI61" s="13" t="s">
        <v>68</v>
      </c>
    </row>
    <row r="62" spans="1:35" ht="18" customHeight="1" x14ac:dyDescent="0.25">
      <c r="A62" s="4">
        <v>61</v>
      </c>
      <c r="B62" s="4">
        <v>1</v>
      </c>
      <c r="C62" s="4">
        <v>61</v>
      </c>
      <c r="D62" s="108">
        <v>44867</v>
      </c>
      <c r="E62" s="108">
        <v>44874</v>
      </c>
      <c r="F62" s="108">
        <v>44875</v>
      </c>
      <c r="G62" s="5">
        <v>18082.849999999999</v>
      </c>
      <c r="H62" s="4">
        <v>18157</v>
      </c>
      <c r="I62" s="5">
        <v>74.150000000000006</v>
      </c>
      <c r="J62" s="6">
        <v>4.1005704299930607E-3</v>
      </c>
      <c r="K62" s="7" t="s">
        <v>28</v>
      </c>
      <c r="L62" s="4">
        <v>18300</v>
      </c>
      <c r="M62" s="28">
        <f t="shared" si="0"/>
        <v>1.2008615898489561E-2</v>
      </c>
      <c r="N62" s="111">
        <f t="shared" si="1"/>
        <v>217.15000000000146</v>
      </c>
      <c r="O62" s="111">
        <f t="shared" si="2"/>
        <v>64.049999999998533</v>
      </c>
      <c r="P62" s="7" t="s">
        <v>67</v>
      </c>
      <c r="Q62" s="4">
        <v>65</v>
      </c>
      <c r="R62" s="5">
        <v>281.2</v>
      </c>
      <c r="S62" s="5">
        <v>146.1</v>
      </c>
      <c r="T62" s="8">
        <v>-0.37630000000000002</v>
      </c>
      <c r="U62" s="8">
        <v>1.1898</v>
      </c>
      <c r="V62" s="8">
        <v>-0.37630000000000002</v>
      </c>
      <c r="W62" s="8">
        <v>1.1898</v>
      </c>
      <c r="X62" s="8">
        <v>-0.37630000000000002</v>
      </c>
      <c r="Y62" s="5">
        <v>135.1</v>
      </c>
      <c r="Z62" s="6">
        <v>7.4711674321249139E-3</v>
      </c>
      <c r="AA62" s="9">
        <v>135.1</v>
      </c>
      <c r="AB62" s="9">
        <v>0.74711674321249144</v>
      </c>
      <c r="AC62" s="5">
        <v>104.35656106465267</v>
      </c>
      <c r="AD62" s="5">
        <v>104.35656106465267</v>
      </c>
      <c r="AE62" s="4">
        <v>0</v>
      </c>
      <c r="AF62" s="6">
        <v>0</v>
      </c>
      <c r="AG62" s="5">
        <v>103.19</v>
      </c>
      <c r="AH62" s="5">
        <v>-0.38</v>
      </c>
      <c r="AI62" s="7" t="s">
        <v>68</v>
      </c>
    </row>
    <row r="63" spans="1:35" ht="18" customHeight="1" x14ac:dyDescent="0.25">
      <c r="A63" s="10">
        <v>62</v>
      </c>
      <c r="B63" s="10">
        <v>1</v>
      </c>
      <c r="C63" s="10">
        <v>62</v>
      </c>
      <c r="D63" s="109">
        <v>44874</v>
      </c>
      <c r="E63" s="109">
        <v>44876</v>
      </c>
      <c r="F63" s="109">
        <v>44882</v>
      </c>
      <c r="G63" s="10">
        <v>18157</v>
      </c>
      <c r="H63" s="11">
        <v>18349.7</v>
      </c>
      <c r="I63" s="11">
        <v>192.7</v>
      </c>
      <c r="J63" s="12">
        <v>1.0612986726882193E-2</v>
      </c>
      <c r="K63" s="13" t="s">
        <v>28</v>
      </c>
      <c r="L63" s="10">
        <v>18300</v>
      </c>
      <c r="M63" s="28">
        <f t="shared" si="0"/>
        <v>7.8757503992950006E-3</v>
      </c>
      <c r="N63" s="111">
        <f t="shared" si="1"/>
        <v>143</v>
      </c>
      <c r="O63" s="111">
        <f t="shared" si="2"/>
        <v>67.800000000000011</v>
      </c>
      <c r="P63" s="13" t="s">
        <v>67</v>
      </c>
      <c r="Q63" s="10">
        <v>65</v>
      </c>
      <c r="R63" s="11">
        <v>210.8</v>
      </c>
      <c r="S63" s="11">
        <v>76.25</v>
      </c>
      <c r="T63" s="14">
        <v>-0.67410000000000003</v>
      </c>
      <c r="U63" s="14">
        <v>0.7964</v>
      </c>
      <c r="V63" s="14">
        <v>-0.67410000000000003</v>
      </c>
      <c r="W63" s="14">
        <v>0.7964</v>
      </c>
      <c r="X63" s="14">
        <v>-0.67410000000000003</v>
      </c>
      <c r="Y63" s="11">
        <v>134.55000000000001</v>
      </c>
      <c r="Z63" s="12">
        <v>7.4103651484276039E-3</v>
      </c>
      <c r="AA63" s="9">
        <v>134.55000000000001</v>
      </c>
      <c r="AB63" s="9">
        <v>0.74103651484276034</v>
      </c>
      <c r="AC63" s="11">
        <v>105.12988128777593</v>
      </c>
      <c r="AD63" s="11">
        <v>105.12988128777593</v>
      </c>
      <c r="AE63" s="10">
        <v>0</v>
      </c>
      <c r="AF63" s="12">
        <v>0</v>
      </c>
      <c r="AG63" s="11">
        <v>103.65</v>
      </c>
      <c r="AH63" s="11">
        <v>-0.68</v>
      </c>
      <c r="AI63" s="13" t="s">
        <v>71</v>
      </c>
    </row>
    <row r="64" spans="1:35" ht="18" customHeight="1" x14ac:dyDescent="0.25">
      <c r="A64" s="4">
        <v>63</v>
      </c>
      <c r="B64" s="4">
        <v>1</v>
      </c>
      <c r="C64" s="4">
        <v>63</v>
      </c>
      <c r="D64" s="108">
        <v>44876</v>
      </c>
      <c r="E64" s="108">
        <v>44881</v>
      </c>
      <c r="F64" s="108">
        <v>44882</v>
      </c>
      <c r="G64" s="5">
        <v>18349.7</v>
      </c>
      <c r="H64" s="5">
        <v>18409.650000000001</v>
      </c>
      <c r="I64" s="5">
        <v>59.95</v>
      </c>
      <c r="J64" s="6">
        <v>3.2670833855594369E-3</v>
      </c>
      <c r="K64" s="7" t="s">
        <v>28</v>
      </c>
      <c r="L64" s="4">
        <v>18300</v>
      </c>
      <c r="M64" s="28">
        <f t="shared" si="0"/>
        <v>-2.7084911469942297E-3</v>
      </c>
      <c r="N64" s="111">
        <f t="shared" si="1"/>
        <v>0</v>
      </c>
      <c r="O64" s="111">
        <f t="shared" si="2"/>
        <v>76.25</v>
      </c>
      <c r="P64" s="7" t="s">
        <v>67</v>
      </c>
      <c r="Q64" s="4">
        <v>65</v>
      </c>
      <c r="R64" s="5">
        <v>76.25</v>
      </c>
      <c r="S64" s="5">
        <v>20.100000000000001</v>
      </c>
      <c r="T64" s="8">
        <v>-6.2700000000000006E-2</v>
      </c>
      <c r="U64" s="8">
        <v>0.32340000000000002</v>
      </c>
      <c r="V64" s="8">
        <v>-6.2700000000000006E-2</v>
      </c>
      <c r="W64" s="8">
        <v>0.32340000000000002</v>
      </c>
      <c r="X64" s="8">
        <v>-6.2700000000000006E-2</v>
      </c>
      <c r="Y64" s="5">
        <v>56.15</v>
      </c>
      <c r="Z64" s="6">
        <v>3.0599955312620914E-3</v>
      </c>
      <c r="AA64" s="9">
        <v>56.15</v>
      </c>
      <c r="AB64" s="9">
        <v>0.30599955312620913</v>
      </c>
      <c r="AC64" s="5">
        <v>105.45157825471863</v>
      </c>
      <c r="AD64" s="5">
        <v>105.45157825471863</v>
      </c>
      <c r="AE64" s="4">
        <v>0</v>
      </c>
      <c r="AF64" s="6">
        <v>0</v>
      </c>
      <c r="AG64" s="5">
        <v>105.06</v>
      </c>
      <c r="AH64" s="5">
        <v>-7.0000000000000007E-2</v>
      </c>
      <c r="AI64" s="7" t="s">
        <v>68</v>
      </c>
    </row>
    <row r="65" spans="1:35" ht="18" customHeight="1" x14ac:dyDescent="0.25">
      <c r="A65" s="10">
        <v>64</v>
      </c>
      <c r="B65" s="10">
        <v>1</v>
      </c>
      <c r="C65" s="10">
        <v>64</v>
      </c>
      <c r="D65" s="109">
        <v>44881</v>
      </c>
      <c r="E65" s="109">
        <v>44888</v>
      </c>
      <c r="F65" s="109">
        <v>44889</v>
      </c>
      <c r="G65" s="11">
        <v>18409.650000000001</v>
      </c>
      <c r="H65" s="11">
        <v>18267.25</v>
      </c>
      <c r="I65" s="11">
        <v>-142.4</v>
      </c>
      <c r="J65" s="12">
        <v>-7.73507372492144E-3</v>
      </c>
      <c r="K65" s="13" t="s">
        <v>28</v>
      </c>
      <c r="L65" s="10">
        <v>18300</v>
      </c>
      <c r="M65" s="28">
        <f t="shared" si="0"/>
        <v>-5.9561154068654698E-3</v>
      </c>
      <c r="N65" s="111">
        <f t="shared" si="1"/>
        <v>0</v>
      </c>
      <c r="O65" s="111">
        <f t="shared" si="2"/>
        <v>81</v>
      </c>
      <c r="P65" s="13" t="s">
        <v>67</v>
      </c>
      <c r="Q65" s="10">
        <v>65</v>
      </c>
      <c r="R65" s="10">
        <v>81</v>
      </c>
      <c r="S65" s="11">
        <v>49.15</v>
      </c>
      <c r="T65" s="14">
        <v>-0.51060000000000005</v>
      </c>
      <c r="U65" s="14">
        <v>0.29659999999999997</v>
      </c>
      <c r="V65" s="14">
        <v>-0.51060000000000005</v>
      </c>
      <c r="W65" s="14">
        <v>0.29659999999999997</v>
      </c>
      <c r="X65" s="14">
        <v>-0.51060000000000005</v>
      </c>
      <c r="Y65" s="11">
        <v>31.85</v>
      </c>
      <c r="Z65" s="12">
        <v>1.7300709138957013E-3</v>
      </c>
      <c r="AA65" s="9">
        <v>31.85</v>
      </c>
      <c r="AB65" s="9">
        <v>0.17300709138957013</v>
      </c>
      <c r="AC65" s="11">
        <v>105.63401696308151</v>
      </c>
      <c r="AD65" s="11">
        <v>105.63401696308151</v>
      </c>
      <c r="AE65" s="10">
        <v>0</v>
      </c>
      <c r="AF65" s="12">
        <v>0</v>
      </c>
      <c r="AG65" s="11">
        <v>104.91</v>
      </c>
      <c r="AH65" s="11">
        <v>-0.51</v>
      </c>
      <c r="AI65" s="13" t="s">
        <v>68</v>
      </c>
    </row>
    <row r="66" spans="1:35" ht="18" customHeight="1" x14ac:dyDescent="0.25">
      <c r="A66" s="4">
        <v>65</v>
      </c>
      <c r="B66" s="4">
        <v>1</v>
      </c>
      <c r="C66" s="4">
        <v>65</v>
      </c>
      <c r="D66" s="108">
        <v>44888</v>
      </c>
      <c r="E66" s="108">
        <v>44889</v>
      </c>
      <c r="F66" s="108">
        <v>44896</v>
      </c>
      <c r="G66" s="5">
        <v>18267.25</v>
      </c>
      <c r="H66" s="5">
        <v>18484.099999999999</v>
      </c>
      <c r="I66" s="5">
        <v>216.85</v>
      </c>
      <c r="J66" s="6">
        <v>1.1870971273727573E-2</v>
      </c>
      <c r="K66" s="7" t="s">
        <v>28</v>
      </c>
      <c r="L66" s="4">
        <v>18300</v>
      </c>
      <c r="M66" s="28">
        <f t="shared" si="0"/>
        <v>1.7928259590249684E-3</v>
      </c>
      <c r="N66" s="111">
        <f t="shared" si="1"/>
        <v>32.75</v>
      </c>
      <c r="O66" s="111">
        <f t="shared" si="2"/>
        <v>71.599999999999994</v>
      </c>
      <c r="P66" s="7" t="s">
        <v>67</v>
      </c>
      <c r="Q66" s="4">
        <v>65</v>
      </c>
      <c r="R66" s="5">
        <v>104.35</v>
      </c>
      <c r="S66" s="5">
        <v>38.6</v>
      </c>
      <c r="T66" s="8">
        <v>5.3900000000000003E-2</v>
      </c>
      <c r="U66" s="8">
        <v>0.40260000000000001</v>
      </c>
      <c r="V66" s="8">
        <v>5.3900000000000003E-2</v>
      </c>
      <c r="W66" s="8">
        <v>0.40260000000000001</v>
      </c>
      <c r="X66" s="8">
        <v>5.3900000000000003E-2</v>
      </c>
      <c r="Y66" s="5">
        <v>65.75</v>
      </c>
      <c r="Z66" s="6">
        <v>3.5993376123937648E-3</v>
      </c>
      <c r="AA66" s="9">
        <v>65.75</v>
      </c>
      <c r="AB66" s="9">
        <v>0.35993376123937648</v>
      </c>
      <c r="AC66" s="5">
        <v>106.01422945348496</v>
      </c>
      <c r="AD66" s="5">
        <v>106.01422945348496</v>
      </c>
      <c r="AE66" s="4">
        <v>0</v>
      </c>
      <c r="AF66" s="6">
        <v>0</v>
      </c>
      <c r="AG66" s="5">
        <v>105.69</v>
      </c>
      <c r="AH66" s="5">
        <v>0.05</v>
      </c>
      <c r="AI66" s="7" t="s">
        <v>71</v>
      </c>
    </row>
    <row r="67" spans="1:35" ht="18" customHeight="1" x14ac:dyDescent="0.25">
      <c r="A67" s="10">
        <v>66</v>
      </c>
      <c r="B67" s="10">
        <v>1</v>
      </c>
      <c r="C67" s="10">
        <v>66</v>
      </c>
      <c r="D67" s="109">
        <v>44889</v>
      </c>
      <c r="E67" s="109">
        <v>44895</v>
      </c>
      <c r="F67" s="109">
        <v>44896</v>
      </c>
      <c r="G67" s="11">
        <v>18484.099999999999</v>
      </c>
      <c r="H67" s="11">
        <v>18758.349999999999</v>
      </c>
      <c r="I67" s="11">
        <v>274.25</v>
      </c>
      <c r="J67" s="12">
        <v>1.4837076189806375E-2</v>
      </c>
      <c r="K67" s="13" t="s">
        <v>28</v>
      </c>
      <c r="L67" s="10">
        <v>18500</v>
      </c>
      <c r="M67" s="28">
        <f t="shared" si="0"/>
        <v>8.6019876542553497E-4</v>
      </c>
      <c r="N67" s="111">
        <f t="shared" si="1"/>
        <v>15.900000000001455</v>
      </c>
      <c r="O67" s="111">
        <f t="shared" si="2"/>
        <v>77.349999999998545</v>
      </c>
      <c r="P67" s="13" t="s">
        <v>67</v>
      </c>
      <c r="Q67" s="10">
        <v>65</v>
      </c>
      <c r="R67" s="11">
        <v>93.25</v>
      </c>
      <c r="S67" s="11">
        <v>6.6</v>
      </c>
      <c r="T67" s="14">
        <v>-9.06E-2</v>
      </c>
      <c r="U67" s="14">
        <v>0.47689999999999999</v>
      </c>
      <c r="V67" s="14">
        <v>-9.06E-2</v>
      </c>
      <c r="W67" s="14">
        <v>0.47689999999999999</v>
      </c>
      <c r="X67" s="14">
        <v>-9.06E-2</v>
      </c>
      <c r="Y67" s="11">
        <v>86.65</v>
      </c>
      <c r="Z67" s="12">
        <v>4.6878127688121151E-3</v>
      </c>
      <c r="AA67" s="9">
        <v>86.65</v>
      </c>
      <c r="AB67" s="9">
        <v>0.46878127688121152</v>
      </c>
      <c r="AC67" s="11">
        <v>106.51120431199278</v>
      </c>
      <c r="AD67" s="11">
        <v>106.51120431199278</v>
      </c>
      <c r="AE67" s="10">
        <v>0</v>
      </c>
      <c r="AF67" s="12">
        <v>0</v>
      </c>
      <c r="AG67" s="11">
        <v>105.92</v>
      </c>
      <c r="AH67" s="11">
        <v>-0.09</v>
      </c>
      <c r="AI67" s="13" t="s">
        <v>68</v>
      </c>
    </row>
    <row r="68" spans="1:35" ht="18" customHeight="1" x14ac:dyDescent="0.25">
      <c r="A68" s="4">
        <v>67</v>
      </c>
      <c r="B68" s="4">
        <v>1</v>
      </c>
      <c r="C68" s="4">
        <v>67</v>
      </c>
      <c r="D68" s="108">
        <v>44895</v>
      </c>
      <c r="E68" s="108">
        <v>44902</v>
      </c>
      <c r="F68" s="108">
        <v>44903</v>
      </c>
      <c r="G68" s="5">
        <v>18758.349999999999</v>
      </c>
      <c r="H68" s="5">
        <v>18560.5</v>
      </c>
      <c r="I68" s="5">
        <v>-197.85</v>
      </c>
      <c r="J68" s="6">
        <v>-1.0547302934426536E-2</v>
      </c>
      <c r="K68" s="7" t="s">
        <v>28</v>
      </c>
      <c r="L68" s="4">
        <v>18800</v>
      </c>
      <c r="M68" s="28">
        <f t="shared" ref="M68:M131" si="3">L68/G68-1</f>
        <v>2.220344539898278E-3</v>
      </c>
      <c r="N68" s="111">
        <f t="shared" ref="N68:N131" si="4">IF(L68&gt;G68,L68-G68,0)</f>
        <v>41.650000000001455</v>
      </c>
      <c r="O68" s="111">
        <f t="shared" ref="O68:O131" si="5">R68-N68</f>
        <v>92.399999999998556</v>
      </c>
      <c r="P68" s="7" t="s">
        <v>67</v>
      </c>
      <c r="Q68" s="4">
        <v>65</v>
      </c>
      <c r="R68" s="5">
        <v>134.05000000000001</v>
      </c>
      <c r="S68" s="5">
        <v>215.55</v>
      </c>
      <c r="T68" s="8">
        <v>-0.57569999999999999</v>
      </c>
      <c r="U68" s="8">
        <v>0.28599999999999998</v>
      </c>
      <c r="V68" s="8">
        <v>-0.57569999999999999</v>
      </c>
      <c r="W68" s="8">
        <v>0.28599999999999998</v>
      </c>
      <c r="X68" s="8">
        <v>-0.57569999999999999</v>
      </c>
      <c r="Y68" s="5">
        <v>-81.5</v>
      </c>
      <c r="Z68" s="6">
        <v>-4.3447318127660482E-3</v>
      </c>
      <c r="AA68" s="15">
        <v>-81.5</v>
      </c>
      <c r="AB68" s="15">
        <v>-0.43447318127660484</v>
      </c>
      <c r="AC68" s="5">
        <v>106.04844169420244</v>
      </c>
      <c r="AD68" s="5">
        <v>106.51120431199278</v>
      </c>
      <c r="AE68" s="5">
        <v>-0.46276261779034655</v>
      </c>
      <c r="AF68" s="6">
        <v>-4.3447318127661158E-3</v>
      </c>
      <c r="AG68" s="5">
        <v>105.9</v>
      </c>
      <c r="AH68" s="5">
        <v>-0.56999999999999995</v>
      </c>
      <c r="AI68" s="7" t="s">
        <v>68</v>
      </c>
    </row>
    <row r="69" spans="1:35" ht="18" customHeight="1" x14ac:dyDescent="0.25">
      <c r="A69" s="10">
        <v>68</v>
      </c>
      <c r="B69" s="10">
        <v>1</v>
      </c>
      <c r="C69" s="10">
        <v>68</v>
      </c>
      <c r="D69" s="109">
        <v>44902</v>
      </c>
      <c r="E69" s="109">
        <v>44909</v>
      </c>
      <c r="F69" s="109">
        <v>44910</v>
      </c>
      <c r="G69" s="11">
        <v>18560.5</v>
      </c>
      <c r="H69" s="11">
        <v>18660.3</v>
      </c>
      <c r="I69" s="11">
        <v>99.8</v>
      </c>
      <c r="J69" s="12">
        <v>5.377010317609978E-3</v>
      </c>
      <c r="K69" s="13" t="s">
        <v>28</v>
      </c>
      <c r="L69" s="10">
        <v>18600</v>
      </c>
      <c r="M69" s="28">
        <f t="shared" si="3"/>
        <v>2.1281754263084984E-3</v>
      </c>
      <c r="N69" s="111">
        <f t="shared" si="4"/>
        <v>39.5</v>
      </c>
      <c r="O69" s="111">
        <f t="shared" si="5"/>
        <v>91.35</v>
      </c>
      <c r="P69" s="13" t="s">
        <v>67</v>
      </c>
      <c r="Q69" s="10">
        <v>65</v>
      </c>
      <c r="R69" s="11">
        <v>130.85</v>
      </c>
      <c r="S69" s="11">
        <v>30.6</v>
      </c>
      <c r="T69" s="14">
        <v>-0.56540000000000001</v>
      </c>
      <c r="U69" s="14">
        <v>0.58299999999999996</v>
      </c>
      <c r="V69" s="14">
        <v>-0.56540000000000001</v>
      </c>
      <c r="W69" s="14">
        <v>0.58299999999999996</v>
      </c>
      <c r="X69" s="14">
        <v>-0.56540000000000001</v>
      </c>
      <c r="Y69" s="11">
        <v>100.25</v>
      </c>
      <c r="Z69" s="12">
        <v>5.4012553541122272E-3</v>
      </c>
      <c r="AA69" s="9">
        <v>100.25</v>
      </c>
      <c r="AB69" s="9">
        <v>0.54012553541122277</v>
      </c>
      <c r="AC69" s="11">
        <v>106.62123640769852</v>
      </c>
      <c r="AD69" s="11">
        <v>106.62123640769852</v>
      </c>
      <c r="AE69" s="10">
        <v>0</v>
      </c>
      <c r="AF69" s="12">
        <v>0</v>
      </c>
      <c r="AG69" s="11">
        <v>105.45</v>
      </c>
      <c r="AH69" s="10">
        <v>-1</v>
      </c>
      <c r="AI69" s="13" t="s">
        <v>68</v>
      </c>
    </row>
    <row r="70" spans="1:35" ht="18" customHeight="1" x14ac:dyDescent="0.25">
      <c r="A70" s="4">
        <v>69</v>
      </c>
      <c r="B70" s="4">
        <v>1</v>
      </c>
      <c r="C70" s="4">
        <v>69</v>
      </c>
      <c r="D70" s="108">
        <v>44909</v>
      </c>
      <c r="E70" s="108">
        <v>44916</v>
      </c>
      <c r="F70" s="108">
        <v>44917</v>
      </c>
      <c r="G70" s="5">
        <v>18660.3</v>
      </c>
      <c r="H70" s="5">
        <v>18199.099999999999</v>
      </c>
      <c r="I70" s="5">
        <v>-461.2</v>
      </c>
      <c r="J70" s="6">
        <v>-2.4715572632808689E-2</v>
      </c>
      <c r="K70" s="7" t="s">
        <v>28</v>
      </c>
      <c r="L70" s="4">
        <v>18700</v>
      </c>
      <c r="M70" s="28">
        <f t="shared" si="3"/>
        <v>2.1275113476204588E-3</v>
      </c>
      <c r="N70" s="111">
        <f t="shared" si="4"/>
        <v>39.700000000000728</v>
      </c>
      <c r="O70" s="111">
        <f t="shared" si="5"/>
        <v>77.049999999999272</v>
      </c>
      <c r="P70" s="7" t="s">
        <v>67</v>
      </c>
      <c r="Q70" s="4">
        <v>65</v>
      </c>
      <c r="R70" s="5">
        <v>116.75</v>
      </c>
      <c r="S70" s="4">
        <v>468</v>
      </c>
      <c r="T70" s="8">
        <v>-2.1074000000000002</v>
      </c>
      <c r="U70" s="8">
        <v>-5.8999999999999999E-3</v>
      </c>
      <c r="V70" s="8">
        <v>-2.1074000000000002</v>
      </c>
      <c r="W70" s="8">
        <v>-5.8999999999999999E-3</v>
      </c>
      <c r="X70" s="8">
        <v>-2.1074000000000002</v>
      </c>
      <c r="Y70" s="5">
        <v>-351.25</v>
      </c>
      <c r="Z70" s="6">
        <v>-1.8823384404323618E-2</v>
      </c>
      <c r="AA70" s="15">
        <v>-351.25</v>
      </c>
      <c r="AB70" s="15">
        <v>-1.8823384404323618</v>
      </c>
      <c r="AC70" s="5">
        <v>104.61426388913215</v>
      </c>
      <c r="AD70" s="5">
        <v>106.62123640769852</v>
      </c>
      <c r="AE70" s="5">
        <v>-2.0069725185663714</v>
      </c>
      <c r="AF70" s="6">
        <v>-1.8823384404323594E-2</v>
      </c>
      <c r="AG70" s="5">
        <v>104.37</v>
      </c>
      <c r="AH70" s="5">
        <v>-2.11</v>
      </c>
      <c r="AI70" s="7" t="s">
        <v>68</v>
      </c>
    </row>
    <row r="71" spans="1:35" ht="18" customHeight="1" x14ac:dyDescent="0.25">
      <c r="A71" s="10">
        <v>70</v>
      </c>
      <c r="B71" s="10">
        <v>1</v>
      </c>
      <c r="C71" s="10">
        <v>70</v>
      </c>
      <c r="D71" s="109">
        <v>44916</v>
      </c>
      <c r="E71" s="109">
        <v>44918</v>
      </c>
      <c r="F71" s="109">
        <v>44924</v>
      </c>
      <c r="G71" s="11">
        <v>18199.099999999999</v>
      </c>
      <c r="H71" s="11">
        <v>17806.8</v>
      </c>
      <c r="I71" s="11">
        <v>-392.3</v>
      </c>
      <c r="J71" s="12">
        <v>-2.1556011011533541E-2</v>
      </c>
      <c r="K71" s="13" t="s">
        <v>28</v>
      </c>
      <c r="L71" s="10">
        <v>18300</v>
      </c>
      <c r="M71" s="28">
        <f t="shared" si="3"/>
        <v>5.5442302091861517E-3</v>
      </c>
      <c r="N71" s="111">
        <f t="shared" si="4"/>
        <v>100.90000000000146</v>
      </c>
      <c r="O71" s="111">
        <f t="shared" si="5"/>
        <v>70.049999999998533</v>
      </c>
      <c r="P71" s="13" t="s">
        <v>67</v>
      </c>
      <c r="Q71" s="10">
        <v>65</v>
      </c>
      <c r="R71" s="11">
        <v>170.95</v>
      </c>
      <c r="S71" s="11">
        <v>450.9</v>
      </c>
      <c r="T71" s="14">
        <v>-1.7212000000000001</v>
      </c>
      <c r="U71" s="14">
        <v>0.3</v>
      </c>
      <c r="V71" s="14">
        <v>-1.7212000000000001</v>
      </c>
      <c r="W71" s="14">
        <v>0.3</v>
      </c>
      <c r="X71" s="14">
        <v>-1.7212000000000001</v>
      </c>
      <c r="Y71" s="11">
        <v>-279.95</v>
      </c>
      <c r="Z71" s="12">
        <v>-1.5382628811314846E-2</v>
      </c>
      <c r="AA71" s="15">
        <v>-279.95</v>
      </c>
      <c r="AB71" s="15">
        <v>-1.5382628811314847</v>
      </c>
      <c r="AC71" s="11">
        <v>103.00502149935669</v>
      </c>
      <c r="AD71" s="11">
        <v>106.62123640769852</v>
      </c>
      <c r="AE71" s="11">
        <v>-3.6162149083418313</v>
      </c>
      <c r="AF71" s="12">
        <v>-3.391646008037405E-2</v>
      </c>
      <c r="AG71" s="11">
        <v>102.81</v>
      </c>
      <c r="AH71" s="11">
        <v>-3.57</v>
      </c>
      <c r="AI71" s="13" t="s">
        <v>70</v>
      </c>
    </row>
    <row r="72" spans="1:35" ht="18" customHeight="1" x14ac:dyDescent="0.25">
      <c r="A72" s="4">
        <v>71</v>
      </c>
      <c r="B72" s="4">
        <v>1</v>
      </c>
      <c r="C72" s="4">
        <v>71</v>
      </c>
      <c r="D72" s="108">
        <v>45044</v>
      </c>
      <c r="E72" s="108">
        <v>45049</v>
      </c>
      <c r="F72" s="108">
        <v>45050</v>
      </c>
      <c r="G72" s="4">
        <v>18065</v>
      </c>
      <c r="H72" s="5">
        <v>18089.849999999999</v>
      </c>
      <c r="I72" s="5">
        <v>24.85</v>
      </c>
      <c r="J72" s="6">
        <v>1.3755881538887352E-3</v>
      </c>
      <c r="K72" s="7" t="s">
        <v>28</v>
      </c>
      <c r="L72" s="4">
        <v>18100</v>
      </c>
      <c r="M72" s="28">
        <f t="shared" si="3"/>
        <v>1.9374481040685954E-3</v>
      </c>
      <c r="N72" s="111">
        <f t="shared" si="4"/>
        <v>35</v>
      </c>
      <c r="O72" s="111">
        <f t="shared" si="5"/>
        <v>51.45</v>
      </c>
      <c r="P72" s="7" t="s">
        <v>67</v>
      </c>
      <c r="Q72" s="4">
        <v>65</v>
      </c>
      <c r="R72" s="5">
        <v>86.45</v>
      </c>
      <c r="S72" s="5">
        <v>51.75</v>
      </c>
      <c r="T72" s="8">
        <v>-3.5200000000000002E-2</v>
      </c>
      <c r="U72" s="8">
        <v>0.33410000000000001</v>
      </c>
      <c r="V72" s="8">
        <v>-3.5200000000000002E-2</v>
      </c>
      <c r="W72" s="8">
        <v>0.33410000000000001</v>
      </c>
      <c r="X72" s="8">
        <v>-3.5200000000000002E-2</v>
      </c>
      <c r="Y72" s="5">
        <v>34.700000000000003</v>
      </c>
      <c r="Z72" s="6">
        <v>1.9208414060337671E-3</v>
      </c>
      <c r="AA72" s="9">
        <v>34.700000000000003</v>
      </c>
      <c r="AB72" s="9">
        <v>0.19208414060337672</v>
      </c>
      <c r="AC72" s="5">
        <v>100.19208414060337</v>
      </c>
      <c r="AD72" s="5">
        <v>100.19208414060337</v>
      </c>
      <c r="AE72" s="4">
        <v>0</v>
      </c>
      <c r="AF72" s="6">
        <v>0</v>
      </c>
      <c r="AG72" s="5">
        <v>99.96</v>
      </c>
      <c r="AH72" s="5">
        <v>-0.04</v>
      </c>
      <c r="AI72" s="7" t="s">
        <v>68</v>
      </c>
    </row>
    <row r="73" spans="1:35" ht="18" customHeight="1" x14ac:dyDescent="0.25">
      <c r="A73" s="10">
        <v>72</v>
      </c>
      <c r="B73" s="10">
        <v>1</v>
      </c>
      <c r="C73" s="10">
        <v>72</v>
      </c>
      <c r="D73" s="109">
        <v>45049</v>
      </c>
      <c r="E73" s="109">
        <v>45056</v>
      </c>
      <c r="F73" s="109">
        <v>45057</v>
      </c>
      <c r="G73" s="11">
        <v>18089.849999999999</v>
      </c>
      <c r="H73" s="11">
        <v>18315.099999999999</v>
      </c>
      <c r="I73" s="11">
        <v>225.25</v>
      </c>
      <c r="J73" s="12">
        <v>1.2451733983421644E-2</v>
      </c>
      <c r="K73" s="13" t="s">
        <v>28</v>
      </c>
      <c r="L73" s="10">
        <v>18100</v>
      </c>
      <c r="M73" s="28">
        <f t="shared" si="3"/>
        <v>5.6108812400323949E-4</v>
      </c>
      <c r="N73" s="111">
        <f t="shared" si="4"/>
        <v>10.150000000001455</v>
      </c>
      <c r="O73" s="111">
        <f t="shared" si="5"/>
        <v>85.549999999998548</v>
      </c>
      <c r="P73" s="13" t="s">
        <v>67</v>
      </c>
      <c r="Q73" s="10">
        <v>65</v>
      </c>
      <c r="R73" s="11">
        <v>95.7</v>
      </c>
      <c r="S73" s="11">
        <v>5.4</v>
      </c>
      <c r="T73" s="14">
        <v>-0.17269999999999999</v>
      </c>
      <c r="U73" s="14">
        <v>0.50249999999999995</v>
      </c>
      <c r="V73" s="14">
        <v>-0.17269999999999999</v>
      </c>
      <c r="W73" s="14">
        <v>0.50249999999999995</v>
      </c>
      <c r="X73" s="14">
        <v>-0.17269999999999999</v>
      </c>
      <c r="Y73" s="11">
        <v>90.3</v>
      </c>
      <c r="Z73" s="12">
        <v>4.9917495169943364E-3</v>
      </c>
      <c r="AA73" s="9">
        <v>90.3</v>
      </c>
      <c r="AB73" s="9">
        <v>0.49917495169943366</v>
      </c>
      <c r="AC73" s="11">
        <v>100.69221792821889</v>
      </c>
      <c r="AD73" s="11">
        <v>100.69221792821889</v>
      </c>
      <c r="AE73" s="10">
        <v>0</v>
      </c>
      <c r="AF73" s="12">
        <v>0</v>
      </c>
      <c r="AG73" s="11">
        <v>100.02</v>
      </c>
      <c r="AH73" s="11">
        <v>-0.17</v>
      </c>
      <c r="AI73" s="13" t="s">
        <v>69</v>
      </c>
    </row>
    <row r="74" spans="1:35" ht="18" customHeight="1" x14ac:dyDescent="0.25">
      <c r="A74" s="4">
        <v>73</v>
      </c>
      <c r="B74" s="4">
        <v>1</v>
      </c>
      <c r="C74" s="4">
        <v>73</v>
      </c>
      <c r="D74" s="108">
        <v>45056</v>
      </c>
      <c r="E74" s="108">
        <v>45063</v>
      </c>
      <c r="F74" s="108">
        <v>45064</v>
      </c>
      <c r="G74" s="5">
        <v>18315.099999999999</v>
      </c>
      <c r="H74" s="5">
        <v>18181.75</v>
      </c>
      <c r="I74" s="5">
        <v>-133.35</v>
      </c>
      <c r="J74" s="6">
        <v>-7.2808775272862284E-3</v>
      </c>
      <c r="K74" s="7" t="s">
        <v>28</v>
      </c>
      <c r="L74" s="4">
        <v>18200</v>
      </c>
      <c r="M74" s="28">
        <f t="shared" si="3"/>
        <v>-6.2844319714333574E-3</v>
      </c>
      <c r="N74" s="111">
        <f t="shared" si="4"/>
        <v>0</v>
      </c>
      <c r="O74" s="111">
        <f t="shared" si="5"/>
        <v>61.2</v>
      </c>
      <c r="P74" s="7" t="s">
        <v>67</v>
      </c>
      <c r="Q74" s="4">
        <v>65</v>
      </c>
      <c r="R74" s="5">
        <v>61.2</v>
      </c>
      <c r="S74" s="5">
        <v>47.7</v>
      </c>
      <c r="T74" s="8">
        <v>-0.2064</v>
      </c>
      <c r="U74" s="8">
        <v>0.25850000000000001</v>
      </c>
      <c r="V74" s="8">
        <v>-0.2064</v>
      </c>
      <c r="W74" s="8">
        <v>0.25850000000000001</v>
      </c>
      <c r="X74" s="8">
        <v>-0.2064</v>
      </c>
      <c r="Y74" s="5">
        <v>13.5</v>
      </c>
      <c r="Z74" s="6">
        <v>7.3709671254866213E-4</v>
      </c>
      <c r="AA74" s="9">
        <v>13.5</v>
      </c>
      <c r="AB74" s="9">
        <v>7.3709671254866216E-2</v>
      </c>
      <c r="AC74" s="5">
        <v>100.76643783103302</v>
      </c>
      <c r="AD74" s="5">
        <v>100.76643783103302</v>
      </c>
      <c r="AE74" s="4">
        <v>0</v>
      </c>
      <c r="AF74" s="6">
        <v>0</v>
      </c>
      <c r="AG74" s="5">
        <v>100.48</v>
      </c>
      <c r="AH74" s="5">
        <v>-0.21</v>
      </c>
      <c r="AI74" s="7" t="s">
        <v>68</v>
      </c>
    </row>
    <row r="75" spans="1:35" ht="18" customHeight="1" x14ac:dyDescent="0.25">
      <c r="A75" s="10">
        <v>74</v>
      </c>
      <c r="B75" s="10">
        <v>1</v>
      </c>
      <c r="C75" s="10">
        <v>74</v>
      </c>
      <c r="D75" s="109">
        <v>45063</v>
      </c>
      <c r="E75" s="109">
        <v>45070</v>
      </c>
      <c r="F75" s="109">
        <v>45071</v>
      </c>
      <c r="G75" s="11">
        <v>18181.75</v>
      </c>
      <c r="H75" s="11">
        <v>18285.400000000001</v>
      </c>
      <c r="I75" s="11">
        <v>103.65</v>
      </c>
      <c r="J75" s="12">
        <v>5.7007713778926671E-3</v>
      </c>
      <c r="K75" s="13" t="s">
        <v>28</v>
      </c>
      <c r="L75" s="10">
        <v>18200</v>
      </c>
      <c r="M75" s="28">
        <f t="shared" si="3"/>
        <v>1.0037537640765759E-3</v>
      </c>
      <c r="N75" s="111">
        <f t="shared" si="4"/>
        <v>18.25</v>
      </c>
      <c r="O75" s="111">
        <f t="shared" si="5"/>
        <v>85.25</v>
      </c>
      <c r="P75" s="13" t="s">
        <v>67</v>
      </c>
      <c r="Q75" s="10">
        <v>65</v>
      </c>
      <c r="R75" s="11">
        <v>103.5</v>
      </c>
      <c r="S75" s="11">
        <v>13.5</v>
      </c>
      <c r="T75" s="14">
        <v>-0.33829999999999999</v>
      </c>
      <c r="U75" s="14">
        <v>0.52439999999999998</v>
      </c>
      <c r="V75" s="14">
        <v>-0.33829999999999999</v>
      </c>
      <c r="W75" s="14">
        <v>0.52439999999999998</v>
      </c>
      <c r="X75" s="14">
        <v>-0.33829999999999999</v>
      </c>
      <c r="Y75" s="10">
        <v>90</v>
      </c>
      <c r="Z75" s="12">
        <v>4.9500185625696094E-3</v>
      </c>
      <c r="AA75" s="17">
        <v>90</v>
      </c>
      <c r="AB75" s="9">
        <v>0.49500185625696091</v>
      </c>
      <c r="AC75" s="11">
        <v>101.26523356878066</v>
      </c>
      <c r="AD75" s="11">
        <v>101.26523356878066</v>
      </c>
      <c r="AE75" s="10">
        <v>0</v>
      </c>
      <c r="AF75" s="12">
        <v>0</v>
      </c>
      <c r="AG75" s="11">
        <v>100.43</v>
      </c>
      <c r="AH75" s="11">
        <v>-0.33</v>
      </c>
      <c r="AI75" s="13" t="s">
        <v>68</v>
      </c>
    </row>
    <row r="76" spans="1:35" ht="18" customHeight="1" x14ac:dyDescent="0.25">
      <c r="A76" s="4">
        <v>75</v>
      </c>
      <c r="B76" s="4">
        <v>1</v>
      </c>
      <c r="C76" s="4">
        <v>75</v>
      </c>
      <c r="D76" s="108">
        <v>45070</v>
      </c>
      <c r="E76" s="108">
        <v>45072</v>
      </c>
      <c r="F76" s="108">
        <v>45078</v>
      </c>
      <c r="G76" s="5">
        <v>18285.400000000001</v>
      </c>
      <c r="H76" s="5">
        <v>18499.349999999999</v>
      </c>
      <c r="I76" s="5">
        <v>213.95</v>
      </c>
      <c r="J76" s="6">
        <v>1.1700591728920339E-2</v>
      </c>
      <c r="K76" s="7" t="s">
        <v>28</v>
      </c>
      <c r="L76" s="4">
        <v>18300</v>
      </c>
      <c r="M76" s="28">
        <f t="shared" si="3"/>
        <v>7.9845122338029206E-4</v>
      </c>
      <c r="N76" s="111">
        <f t="shared" si="4"/>
        <v>14.599999999998545</v>
      </c>
      <c r="O76" s="111">
        <f t="shared" si="5"/>
        <v>90.050000000001461</v>
      </c>
      <c r="P76" s="7" t="s">
        <v>67</v>
      </c>
      <c r="Q76" s="4">
        <v>65</v>
      </c>
      <c r="R76" s="5">
        <v>104.65</v>
      </c>
      <c r="S76" s="5">
        <v>30.1</v>
      </c>
      <c r="T76" s="8">
        <v>-0.2412</v>
      </c>
      <c r="U76" s="8">
        <v>0.42849999999999999</v>
      </c>
      <c r="V76" s="8">
        <v>-0.2412</v>
      </c>
      <c r="W76" s="8">
        <v>0.42849999999999999</v>
      </c>
      <c r="X76" s="8">
        <v>-0.2412</v>
      </c>
      <c r="Y76" s="5">
        <v>74.55</v>
      </c>
      <c r="Z76" s="6">
        <v>4.0770231988362295E-3</v>
      </c>
      <c r="AA76" s="9">
        <v>74.55</v>
      </c>
      <c r="AB76" s="9">
        <v>0.40770231988362293</v>
      </c>
      <c r="AC76" s="5">
        <v>101.67809427527615</v>
      </c>
      <c r="AD76" s="5">
        <v>101.67809427527615</v>
      </c>
      <c r="AE76" s="4">
        <v>0</v>
      </c>
      <c r="AF76" s="6">
        <v>0</v>
      </c>
      <c r="AG76" s="5">
        <v>101.02</v>
      </c>
      <c r="AH76" s="5">
        <v>-0.24</v>
      </c>
      <c r="AI76" s="7" t="s">
        <v>71</v>
      </c>
    </row>
    <row r="77" spans="1:35" ht="18" customHeight="1" x14ac:dyDescent="0.25">
      <c r="A77" s="10">
        <v>76</v>
      </c>
      <c r="B77" s="10">
        <v>1</v>
      </c>
      <c r="C77" s="10">
        <v>76</v>
      </c>
      <c r="D77" s="109">
        <v>45072</v>
      </c>
      <c r="E77" s="109">
        <v>45077</v>
      </c>
      <c r="F77" s="109">
        <v>45078</v>
      </c>
      <c r="G77" s="11">
        <v>18499.349999999999</v>
      </c>
      <c r="H77" s="11">
        <v>18534.400000000001</v>
      </c>
      <c r="I77" s="11">
        <v>35.049999999999997</v>
      </c>
      <c r="J77" s="12">
        <v>1.894661163770619E-3</v>
      </c>
      <c r="K77" s="13" t="s">
        <v>28</v>
      </c>
      <c r="L77" s="10">
        <v>18500</v>
      </c>
      <c r="M77" s="28">
        <f t="shared" si="3"/>
        <v>3.5136369656241229E-5</v>
      </c>
      <c r="N77" s="111">
        <f t="shared" si="4"/>
        <v>0.65000000000145519</v>
      </c>
      <c r="O77" s="111">
        <f t="shared" si="5"/>
        <v>85.199999999998539</v>
      </c>
      <c r="P77" s="13" t="s">
        <v>67</v>
      </c>
      <c r="Q77" s="10">
        <v>65</v>
      </c>
      <c r="R77" s="11">
        <v>85.85</v>
      </c>
      <c r="S77" s="11">
        <v>27.45</v>
      </c>
      <c r="T77" s="14">
        <v>0.13969999999999999</v>
      </c>
      <c r="U77" s="14">
        <v>0.38379999999999997</v>
      </c>
      <c r="V77" s="14">
        <v>0.13969999999999999</v>
      </c>
      <c r="W77" s="14">
        <v>0.38379999999999997</v>
      </c>
      <c r="X77" s="14">
        <v>0.13969999999999999</v>
      </c>
      <c r="Y77" s="11">
        <v>58.4</v>
      </c>
      <c r="Z77" s="12">
        <v>3.1568676737290771E-3</v>
      </c>
      <c r="AA77" s="9">
        <v>58.4</v>
      </c>
      <c r="AB77" s="9">
        <v>0.31568676737290774</v>
      </c>
      <c r="AC77" s="11">
        <v>101.99907856422014</v>
      </c>
      <c r="AD77" s="11">
        <v>101.99907856422014</v>
      </c>
      <c r="AE77" s="10">
        <v>0</v>
      </c>
      <c r="AF77" s="12">
        <v>0</v>
      </c>
      <c r="AG77" s="11">
        <v>101.82</v>
      </c>
      <c r="AH77" s="11">
        <v>0.14000000000000001</v>
      </c>
      <c r="AI77" s="13" t="s">
        <v>68</v>
      </c>
    </row>
    <row r="78" spans="1:35" ht="18" customHeight="1" x14ac:dyDescent="0.25">
      <c r="A78" s="4">
        <v>77</v>
      </c>
      <c r="B78" s="4">
        <v>1</v>
      </c>
      <c r="C78" s="4">
        <v>77</v>
      </c>
      <c r="D78" s="108">
        <v>45077</v>
      </c>
      <c r="E78" s="108">
        <v>45084</v>
      </c>
      <c r="F78" s="108">
        <v>45085</v>
      </c>
      <c r="G78" s="5">
        <v>18534.400000000001</v>
      </c>
      <c r="H78" s="5">
        <v>18726.400000000001</v>
      </c>
      <c r="I78" s="4">
        <v>192</v>
      </c>
      <c r="J78" s="6">
        <v>1.0359116022099447E-2</v>
      </c>
      <c r="K78" s="7" t="s">
        <v>28</v>
      </c>
      <c r="L78" s="4">
        <v>18500</v>
      </c>
      <c r="M78" s="28">
        <f t="shared" si="3"/>
        <v>-1.8560082872929318E-3</v>
      </c>
      <c r="N78" s="111">
        <f t="shared" si="4"/>
        <v>0</v>
      </c>
      <c r="O78" s="111">
        <f t="shared" si="5"/>
        <v>77.45</v>
      </c>
      <c r="P78" s="7" t="s">
        <v>67</v>
      </c>
      <c r="Q78" s="4">
        <v>65</v>
      </c>
      <c r="R78" s="5">
        <v>77.45</v>
      </c>
      <c r="S78" s="5">
        <v>4.6500000000000004</v>
      </c>
      <c r="T78" s="8">
        <v>-0.15190000000000001</v>
      </c>
      <c r="U78" s="8">
        <v>0.39550000000000002</v>
      </c>
      <c r="V78" s="8">
        <v>-0.15190000000000001</v>
      </c>
      <c r="W78" s="8">
        <v>0.39550000000000002</v>
      </c>
      <c r="X78" s="8">
        <v>-0.15190000000000001</v>
      </c>
      <c r="Y78" s="5">
        <v>72.8</v>
      </c>
      <c r="Z78" s="6">
        <v>3.9278314917127067E-3</v>
      </c>
      <c r="AA78" s="9">
        <v>72.8</v>
      </c>
      <c r="AB78" s="9">
        <v>0.39278314917127066</v>
      </c>
      <c r="AC78" s="5">
        <v>102.39971375713036</v>
      </c>
      <c r="AD78" s="5">
        <v>102.39971375713036</v>
      </c>
      <c r="AE78" s="4">
        <v>0</v>
      </c>
      <c r="AF78" s="6">
        <v>0</v>
      </c>
      <c r="AG78" s="5">
        <v>101.84</v>
      </c>
      <c r="AH78" s="5">
        <v>-0.16</v>
      </c>
      <c r="AI78" s="7" t="s">
        <v>69</v>
      </c>
    </row>
    <row r="79" spans="1:35" ht="18" customHeight="1" x14ac:dyDescent="0.25">
      <c r="A79" s="10">
        <v>78</v>
      </c>
      <c r="B79" s="10">
        <v>1</v>
      </c>
      <c r="C79" s="10">
        <v>78</v>
      </c>
      <c r="D79" s="109">
        <v>45084</v>
      </c>
      <c r="E79" s="109">
        <v>45091</v>
      </c>
      <c r="F79" s="109">
        <v>45092</v>
      </c>
      <c r="G79" s="11">
        <v>18726.400000000001</v>
      </c>
      <c r="H79" s="11">
        <v>18755.900000000001</v>
      </c>
      <c r="I79" s="11">
        <v>29.5</v>
      </c>
      <c r="J79" s="12">
        <v>1.5753161312371837E-3</v>
      </c>
      <c r="K79" s="13" t="s">
        <v>28</v>
      </c>
      <c r="L79" s="10">
        <v>18700</v>
      </c>
      <c r="M79" s="28">
        <f t="shared" si="3"/>
        <v>-1.4097744360902498E-3</v>
      </c>
      <c r="N79" s="111">
        <f t="shared" si="4"/>
        <v>0</v>
      </c>
      <c r="O79" s="111">
        <f t="shared" si="5"/>
        <v>82.05</v>
      </c>
      <c r="P79" s="13" t="s">
        <v>67</v>
      </c>
      <c r="Q79" s="10">
        <v>65</v>
      </c>
      <c r="R79" s="11">
        <v>82.05</v>
      </c>
      <c r="S79" s="11">
        <v>21.2</v>
      </c>
      <c r="T79" s="14">
        <v>-0.4</v>
      </c>
      <c r="U79" s="14">
        <v>0.34310000000000002</v>
      </c>
      <c r="V79" s="14">
        <v>-0.4</v>
      </c>
      <c r="W79" s="14">
        <v>0.34310000000000002</v>
      </c>
      <c r="X79" s="14">
        <v>-0.4</v>
      </c>
      <c r="Y79" s="11">
        <v>60.85</v>
      </c>
      <c r="Z79" s="12">
        <v>3.2494232740943266E-3</v>
      </c>
      <c r="AA79" s="9">
        <v>60.85</v>
      </c>
      <c r="AB79" s="9">
        <v>0.32494232740943269</v>
      </c>
      <c r="AC79" s="11">
        <v>102.73245377027337</v>
      </c>
      <c r="AD79" s="11">
        <v>102.73245377027337</v>
      </c>
      <c r="AE79" s="10">
        <v>0</v>
      </c>
      <c r="AF79" s="12">
        <v>0</v>
      </c>
      <c r="AG79" s="11">
        <v>101.99</v>
      </c>
      <c r="AH79" s="11">
        <v>-0.4</v>
      </c>
      <c r="AI79" s="13" t="s">
        <v>68</v>
      </c>
    </row>
    <row r="80" spans="1:35" ht="18" customHeight="1" x14ac:dyDescent="0.25">
      <c r="A80" s="4">
        <v>79</v>
      </c>
      <c r="B80" s="4">
        <v>1</v>
      </c>
      <c r="C80" s="4">
        <v>79</v>
      </c>
      <c r="D80" s="108">
        <v>45091</v>
      </c>
      <c r="E80" s="108">
        <v>45098</v>
      </c>
      <c r="F80" s="108">
        <v>45099</v>
      </c>
      <c r="G80" s="5">
        <v>18755.900000000001</v>
      </c>
      <c r="H80" s="5">
        <v>18856.849999999999</v>
      </c>
      <c r="I80" s="5">
        <v>100.95</v>
      </c>
      <c r="J80" s="6">
        <v>5.3823063675963291E-3</v>
      </c>
      <c r="K80" s="7" t="s">
        <v>28</v>
      </c>
      <c r="L80" s="4">
        <v>18800</v>
      </c>
      <c r="M80" s="28">
        <f t="shared" si="3"/>
        <v>2.351260136810307E-3</v>
      </c>
      <c r="N80" s="111">
        <f t="shared" si="4"/>
        <v>44.099999999998545</v>
      </c>
      <c r="O80" s="111">
        <f t="shared" si="5"/>
        <v>65.850000000001458</v>
      </c>
      <c r="P80" s="7" t="s">
        <v>67</v>
      </c>
      <c r="Q80" s="4">
        <v>65</v>
      </c>
      <c r="R80" s="5">
        <v>109.95</v>
      </c>
      <c r="S80" s="5">
        <v>18.55</v>
      </c>
      <c r="T80" s="8">
        <v>-0.18690000000000001</v>
      </c>
      <c r="U80" s="8">
        <v>0.50090000000000001</v>
      </c>
      <c r="V80" s="8">
        <v>-0.18690000000000001</v>
      </c>
      <c r="W80" s="8">
        <v>0.50090000000000001</v>
      </c>
      <c r="X80" s="8">
        <v>-0.18690000000000001</v>
      </c>
      <c r="Y80" s="5">
        <v>91.4</v>
      </c>
      <c r="Z80" s="6">
        <v>4.8731332540693862E-3</v>
      </c>
      <c r="AA80" s="9">
        <v>91.4</v>
      </c>
      <c r="AB80" s="9">
        <v>0.48731332540693861</v>
      </c>
      <c r="AC80" s="5">
        <v>103.23308270701344</v>
      </c>
      <c r="AD80" s="5">
        <v>103.23308270701344</v>
      </c>
      <c r="AE80" s="4">
        <v>0</v>
      </c>
      <c r="AF80" s="6">
        <v>0</v>
      </c>
      <c r="AG80" s="5">
        <v>102.54</v>
      </c>
      <c r="AH80" s="5">
        <v>-0.19</v>
      </c>
      <c r="AI80" s="7" t="s">
        <v>68</v>
      </c>
    </row>
    <row r="81" spans="1:35" ht="18" customHeight="1" x14ac:dyDescent="0.25">
      <c r="A81" s="10">
        <v>80</v>
      </c>
      <c r="B81" s="10">
        <v>1</v>
      </c>
      <c r="C81" s="10">
        <v>80</v>
      </c>
      <c r="D81" s="109">
        <v>45098</v>
      </c>
      <c r="E81" s="109">
        <v>45104</v>
      </c>
      <c r="F81" s="109">
        <v>45105</v>
      </c>
      <c r="G81" s="11">
        <v>18856.849999999999</v>
      </c>
      <c r="H81" s="11">
        <v>18817.400000000001</v>
      </c>
      <c r="I81" s="11">
        <v>-39.450000000000003</v>
      </c>
      <c r="J81" s="12">
        <v>-2.0920779451499062E-3</v>
      </c>
      <c r="K81" s="13" t="s">
        <v>28</v>
      </c>
      <c r="L81" s="10">
        <v>18900</v>
      </c>
      <c r="M81" s="28">
        <f t="shared" si="3"/>
        <v>2.2882931136432028E-3</v>
      </c>
      <c r="N81" s="111">
        <f t="shared" si="4"/>
        <v>43.150000000001455</v>
      </c>
      <c r="O81" s="111">
        <f t="shared" si="5"/>
        <v>58.949999999998539</v>
      </c>
      <c r="P81" s="13" t="s">
        <v>67</v>
      </c>
      <c r="Q81" s="10">
        <v>65</v>
      </c>
      <c r="R81" s="11">
        <v>102.1</v>
      </c>
      <c r="S81" s="11">
        <v>99.7</v>
      </c>
      <c r="T81" s="14">
        <v>-0.75460000000000005</v>
      </c>
      <c r="U81" s="14">
        <v>7.9500000000000001E-2</v>
      </c>
      <c r="V81" s="14">
        <v>-0.75460000000000005</v>
      </c>
      <c r="W81" s="14">
        <v>7.9500000000000001E-2</v>
      </c>
      <c r="X81" s="14">
        <v>-0.75460000000000005</v>
      </c>
      <c r="Y81" s="11">
        <v>2.4</v>
      </c>
      <c r="Z81" s="12">
        <v>1.2727470388744673E-4</v>
      </c>
      <c r="AA81" s="9">
        <v>2.4</v>
      </c>
      <c r="AB81" s="9">
        <v>1.2727470388744673E-2</v>
      </c>
      <c r="AC81" s="11">
        <v>103.24622166704636</v>
      </c>
      <c r="AD81" s="11">
        <v>103.24622166704636</v>
      </c>
      <c r="AE81" s="10">
        <v>0</v>
      </c>
      <c r="AF81" s="12">
        <v>0</v>
      </c>
      <c r="AG81" s="11">
        <v>102.45</v>
      </c>
      <c r="AH81" s="11">
        <v>-0.76</v>
      </c>
      <c r="AI81" s="13" t="s">
        <v>68</v>
      </c>
    </row>
    <row r="82" spans="1:35" ht="18" customHeight="1" x14ac:dyDescent="0.25">
      <c r="A82" s="4">
        <v>81</v>
      </c>
      <c r="B82" s="4">
        <v>1</v>
      </c>
      <c r="C82" s="4">
        <v>81</v>
      </c>
      <c r="D82" s="108">
        <v>45104</v>
      </c>
      <c r="E82" s="108">
        <v>45107</v>
      </c>
      <c r="F82" s="108">
        <v>45113</v>
      </c>
      <c r="G82" s="5">
        <v>18817.400000000001</v>
      </c>
      <c r="H82" s="5">
        <v>19189.05</v>
      </c>
      <c r="I82" s="5">
        <v>371.65</v>
      </c>
      <c r="J82" s="6">
        <v>1.9750337453633336E-2</v>
      </c>
      <c r="K82" s="7" t="s">
        <v>28</v>
      </c>
      <c r="L82" s="4">
        <v>18800</v>
      </c>
      <c r="M82" s="28">
        <f t="shared" si="3"/>
        <v>-9.2467609765434222E-4</v>
      </c>
      <c r="N82" s="111">
        <f t="shared" si="4"/>
        <v>0</v>
      </c>
      <c r="O82" s="111">
        <f t="shared" si="5"/>
        <v>79.349999999999994</v>
      </c>
      <c r="P82" s="7" t="s">
        <v>67</v>
      </c>
      <c r="Q82" s="4">
        <v>65</v>
      </c>
      <c r="R82" s="5">
        <v>79.349999999999994</v>
      </c>
      <c r="S82" s="5">
        <v>12.2</v>
      </c>
      <c r="T82" s="8">
        <v>5.5500000000000001E-2</v>
      </c>
      <c r="U82" s="8">
        <v>0.3619</v>
      </c>
      <c r="V82" s="8">
        <v>5.5500000000000001E-2</v>
      </c>
      <c r="W82" s="8">
        <v>0.3619</v>
      </c>
      <c r="X82" s="8">
        <v>5.5500000000000001E-2</v>
      </c>
      <c r="Y82" s="5">
        <v>67.150000000000006</v>
      </c>
      <c r="Z82" s="6">
        <v>3.5685057446831125E-3</v>
      </c>
      <c r="AA82" s="9">
        <v>67.150000000000006</v>
      </c>
      <c r="AB82" s="9">
        <v>0.35685057446831125</v>
      </c>
      <c r="AC82" s="5">
        <v>103.61465640218204</v>
      </c>
      <c r="AD82" s="5">
        <v>103.61465640218204</v>
      </c>
      <c r="AE82" s="4">
        <v>0</v>
      </c>
      <c r="AF82" s="6">
        <v>0</v>
      </c>
      <c r="AG82" s="5">
        <v>103.3</v>
      </c>
      <c r="AH82" s="5">
        <v>0.05</v>
      </c>
      <c r="AI82" s="7" t="s">
        <v>71</v>
      </c>
    </row>
    <row r="83" spans="1:35" ht="18" customHeight="1" x14ac:dyDescent="0.25">
      <c r="A83" s="10">
        <v>82</v>
      </c>
      <c r="B83" s="10">
        <v>1</v>
      </c>
      <c r="C83" s="10">
        <v>82</v>
      </c>
      <c r="D83" s="109">
        <v>45107</v>
      </c>
      <c r="E83" s="109">
        <v>45111</v>
      </c>
      <c r="F83" s="109">
        <v>45113</v>
      </c>
      <c r="G83" s="11">
        <v>19189.05</v>
      </c>
      <c r="H83" s="10">
        <v>19389</v>
      </c>
      <c r="I83" s="11">
        <v>199.95</v>
      </c>
      <c r="J83" s="12">
        <v>1.0420005159192352E-2</v>
      </c>
      <c r="K83" s="13" t="s">
        <v>28</v>
      </c>
      <c r="L83" s="10">
        <v>19200</v>
      </c>
      <c r="M83" s="28">
        <f t="shared" si="3"/>
        <v>5.7063794195122419E-4</v>
      </c>
      <c r="N83" s="111">
        <f t="shared" si="4"/>
        <v>10.950000000000728</v>
      </c>
      <c r="O83" s="111">
        <f t="shared" si="5"/>
        <v>79.049999999999272</v>
      </c>
      <c r="P83" s="13" t="s">
        <v>67</v>
      </c>
      <c r="Q83" s="10">
        <v>65</v>
      </c>
      <c r="R83" s="10">
        <v>90</v>
      </c>
      <c r="S83" s="11">
        <v>14.45</v>
      </c>
      <c r="T83" s="14">
        <v>2.6100000000000002E-2</v>
      </c>
      <c r="U83" s="14">
        <v>0.4007</v>
      </c>
      <c r="V83" s="14">
        <v>2.6100000000000002E-2</v>
      </c>
      <c r="W83" s="14">
        <v>0.4007</v>
      </c>
      <c r="X83" s="14">
        <v>2.6100000000000002E-2</v>
      </c>
      <c r="Y83" s="11">
        <v>75.55</v>
      </c>
      <c r="Z83" s="12">
        <v>3.9371412341934597E-3</v>
      </c>
      <c r="AA83" s="9">
        <v>75.55</v>
      </c>
      <c r="AB83" s="9">
        <v>0.39371412341934597</v>
      </c>
      <c r="AC83" s="11">
        <v>104.02260193836986</v>
      </c>
      <c r="AD83" s="11">
        <v>104.02260193836986</v>
      </c>
      <c r="AE83" s="10">
        <v>0</v>
      </c>
      <c r="AF83" s="12">
        <v>0</v>
      </c>
      <c r="AG83" s="11">
        <v>103.64</v>
      </c>
      <c r="AH83" s="11">
        <v>0.02</v>
      </c>
      <c r="AI83" s="13" t="s">
        <v>71</v>
      </c>
    </row>
    <row r="84" spans="1:35" ht="18" customHeight="1" x14ac:dyDescent="0.25">
      <c r="A84" s="4">
        <v>83</v>
      </c>
      <c r="B84" s="4">
        <v>1</v>
      </c>
      <c r="C84" s="4">
        <v>83</v>
      </c>
      <c r="D84" s="108">
        <v>45111</v>
      </c>
      <c r="E84" s="108">
        <v>45112</v>
      </c>
      <c r="F84" s="108">
        <v>45113</v>
      </c>
      <c r="G84" s="4">
        <v>19389</v>
      </c>
      <c r="H84" s="5">
        <v>19398.5</v>
      </c>
      <c r="I84" s="5">
        <v>9.5</v>
      </c>
      <c r="J84" s="6">
        <v>4.8996853886224153E-4</v>
      </c>
      <c r="K84" s="7" t="s">
        <v>28</v>
      </c>
      <c r="L84" s="4">
        <v>19400</v>
      </c>
      <c r="M84" s="28">
        <f t="shared" si="3"/>
        <v>5.6733199236691512E-4</v>
      </c>
      <c r="N84" s="111">
        <f t="shared" si="4"/>
        <v>11</v>
      </c>
      <c r="O84" s="111">
        <f t="shared" si="5"/>
        <v>55.400000000000006</v>
      </c>
      <c r="P84" s="7" t="s">
        <v>67</v>
      </c>
      <c r="Q84" s="4">
        <v>65</v>
      </c>
      <c r="R84" s="5">
        <v>66.400000000000006</v>
      </c>
      <c r="S84" s="4">
        <v>51</v>
      </c>
      <c r="T84" s="8">
        <v>-0.14230000000000001</v>
      </c>
      <c r="U84" s="8">
        <v>0.1346</v>
      </c>
      <c r="V84" s="8">
        <v>-0.14230000000000001</v>
      </c>
      <c r="W84" s="8">
        <v>0.1346</v>
      </c>
      <c r="X84" s="8">
        <v>-0.14230000000000001</v>
      </c>
      <c r="Y84" s="5">
        <v>15.4</v>
      </c>
      <c r="Z84" s="6">
        <v>7.9426478931352831E-4</v>
      </c>
      <c r="AA84" s="9">
        <v>15.4</v>
      </c>
      <c r="AB84" s="9">
        <v>7.9426478931352837E-2</v>
      </c>
      <c r="AC84" s="5">
        <v>104.10522342838229</v>
      </c>
      <c r="AD84" s="5">
        <v>104.10522342838229</v>
      </c>
      <c r="AE84" s="4">
        <v>0</v>
      </c>
      <c r="AF84" s="6">
        <v>0</v>
      </c>
      <c r="AG84" s="5">
        <v>103.87</v>
      </c>
      <c r="AH84" s="5">
        <v>-0.15</v>
      </c>
      <c r="AI84" s="7" t="s">
        <v>68</v>
      </c>
    </row>
    <row r="85" spans="1:35" ht="18" customHeight="1" x14ac:dyDescent="0.25">
      <c r="A85" s="10">
        <v>84</v>
      </c>
      <c r="B85" s="10">
        <v>1</v>
      </c>
      <c r="C85" s="10">
        <v>84</v>
      </c>
      <c r="D85" s="109">
        <v>45112</v>
      </c>
      <c r="E85" s="109">
        <v>45119</v>
      </c>
      <c r="F85" s="109">
        <v>45120</v>
      </c>
      <c r="G85" s="11">
        <v>19398.5</v>
      </c>
      <c r="H85" s="11">
        <v>19384.3</v>
      </c>
      <c r="I85" s="11">
        <v>-14.2</v>
      </c>
      <c r="J85" s="12">
        <v>-7.3201536201252676E-4</v>
      </c>
      <c r="K85" s="13" t="s">
        <v>28</v>
      </c>
      <c r="L85" s="10">
        <v>19300</v>
      </c>
      <c r="M85" s="28">
        <f t="shared" si="3"/>
        <v>-5.0777121942418013E-3</v>
      </c>
      <c r="N85" s="111">
        <f t="shared" si="4"/>
        <v>0</v>
      </c>
      <c r="O85" s="111">
        <f t="shared" si="5"/>
        <v>75.2</v>
      </c>
      <c r="P85" s="13" t="s">
        <v>67</v>
      </c>
      <c r="Q85" s="10">
        <v>65</v>
      </c>
      <c r="R85" s="11">
        <v>75.2</v>
      </c>
      <c r="S85" s="11">
        <v>12.85</v>
      </c>
      <c r="T85" s="14">
        <v>-8.6300000000000002E-2</v>
      </c>
      <c r="U85" s="14">
        <v>0.35439999999999999</v>
      </c>
      <c r="V85" s="14">
        <v>-8.6300000000000002E-2</v>
      </c>
      <c r="W85" s="14">
        <v>0.35439999999999999</v>
      </c>
      <c r="X85" s="14">
        <v>-8.6300000000000002E-2</v>
      </c>
      <c r="Y85" s="11">
        <v>62.35</v>
      </c>
      <c r="Z85" s="12">
        <v>3.2141660437662706E-3</v>
      </c>
      <c r="AA85" s="9">
        <v>62.35</v>
      </c>
      <c r="AB85" s="9">
        <v>0.32141660437662706</v>
      </c>
      <c r="AC85" s="11">
        <v>104.4398349025045</v>
      </c>
      <c r="AD85" s="11">
        <v>104.4398349025045</v>
      </c>
      <c r="AE85" s="10">
        <v>0</v>
      </c>
      <c r="AF85" s="12">
        <v>0</v>
      </c>
      <c r="AG85" s="11">
        <v>104.02</v>
      </c>
      <c r="AH85" s="11">
        <v>-0.08</v>
      </c>
      <c r="AI85" s="13" t="s">
        <v>68</v>
      </c>
    </row>
    <row r="86" spans="1:35" ht="18" customHeight="1" x14ac:dyDescent="0.25">
      <c r="A86" s="4">
        <v>85</v>
      </c>
      <c r="B86" s="4">
        <v>1</v>
      </c>
      <c r="C86" s="4">
        <v>85</v>
      </c>
      <c r="D86" s="108">
        <v>45119</v>
      </c>
      <c r="E86" s="108">
        <v>45124</v>
      </c>
      <c r="F86" s="108">
        <v>45127</v>
      </c>
      <c r="G86" s="5">
        <v>19384.3</v>
      </c>
      <c r="H86" s="5">
        <v>19711.45</v>
      </c>
      <c r="I86" s="5">
        <v>327.14999999999998</v>
      </c>
      <c r="J86" s="6">
        <v>1.6877060301377918E-2</v>
      </c>
      <c r="K86" s="7" t="s">
        <v>28</v>
      </c>
      <c r="L86" s="4">
        <v>19400</v>
      </c>
      <c r="M86" s="28">
        <f t="shared" si="3"/>
        <v>8.099338124152311E-4</v>
      </c>
      <c r="N86" s="111">
        <f t="shared" si="4"/>
        <v>15.700000000000728</v>
      </c>
      <c r="O86" s="111">
        <f t="shared" si="5"/>
        <v>71.449999999999278</v>
      </c>
      <c r="P86" s="7" t="s">
        <v>67</v>
      </c>
      <c r="Q86" s="4">
        <v>65</v>
      </c>
      <c r="R86" s="5">
        <v>87.15</v>
      </c>
      <c r="S86" s="5">
        <v>17.25</v>
      </c>
      <c r="T86" s="8">
        <v>1.11E-2</v>
      </c>
      <c r="U86" s="8">
        <v>0.37090000000000001</v>
      </c>
      <c r="V86" s="8">
        <v>1.11E-2</v>
      </c>
      <c r="W86" s="8">
        <v>0.37090000000000001</v>
      </c>
      <c r="X86" s="8">
        <v>1.11E-2</v>
      </c>
      <c r="Y86" s="5">
        <v>69.900000000000006</v>
      </c>
      <c r="Z86" s="6">
        <v>3.6060110501797849E-3</v>
      </c>
      <c r="AA86" s="9">
        <v>69.900000000000006</v>
      </c>
      <c r="AB86" s="9">
        <v>0.36060110501797848</v>
      </c>
      <c r="AC86" s="5">
        <v>104.81644610124189</v>
      </c>
      <c r="AD86" s="5">
        <v>104.81644610124189</v>
      </c>
      <c r="AE86" s="4">
        <v>0</v>
      </c>
      <c r="AF86" s="6">
        <v>0</v>
      </c>
      <c r="AG86" s="5">
        <v>104.45</v>
      </c>
      <c r="AH86" s="5">
        <v>0.01</v>
      </c>
      <c r="AI86" s="7" t="s">
        <v>71</v>
      </c>
    </row>
    <row r="87" spans="1:35" ht="18" customHeight="1" x14ac:dyDescent="0.25">
      <c r="A87" s="10">
        <v>86</v>
      </c>
      <c r="B87" s="10">
        <v>1</v>
      </c>
      <c r="C87" s="10">
        <v>86</v>
      </c>
      <c r="D87" s="109">
        <v>45124</v>
      </c>
      <c r="E87" s="109">
        <v>45126</v>
      </c>
      <c r="F87" s="109">
        <v>45127</v>
      </c>
      <c r="G87" s="11">
        <v>19711.45</v>
      </c>
      <c r="H87" s="11">
        <v>19833.150000000001</v>
      </c>
      <c r="I87" s="11">
        <v>121.7</v>
      </c>
      <c r="J87" s="12">
        <v>6.1740764885383874E-3</v>
      </c>
      <c r="K87" s="13" t="s">
        <v>28</v>
      </c>
      <c r="L87" s="10">
        <v>19700</v>
      </c>
      <c r="M87" s="28">
        <f t="shared" si="3"/>
        <v>-5.8088065565953251E-4</v>
      </c>
      <c r="N87" s="111">
        <f t="shared" si="4"/>
        <v>0</v>
      </c>
      <c r="O87" s="111">
        <f t="shared" si="5"/>
        <v>78.25</v>
      </c>
      <c r="P87" s="13" t="s">
        <v>67</v>
      </c>
      <c r="Q87" s="10">
        <v>65</v>
      </c>
      <c r="R87" s="11">
        <v>78.25</v>
      </c>
      <c r="S87" s="11">
        <v>13.1</v>
      </c>
      <c r="T87" s="14">
        <v>-3.8600000000000002E-2</v>
      </c>
      <c r="U87" s="14">
        <v>0.34620000000000001</v>
      </c>
      <c r="V87" s="14">
        <v>-3.8600000000000002E-2</v>
      </c>
      <c r="W87" s="14">
        <v>0.34620000000000001</v>
      </c>
      <c r="X87" s="14">
        <v>-3.8600000000000002E-2</v>
      </c>
      <c r="Y87" s="11">
        <v>65.150000000000006</v>
      </c>
      <c r="Z87" s="12">
        <v>3.3051855647352173E-3</v>
      </c>
      <c r="AA87" s="9">
        <v>65.150000000000006</v>
      </c>
      <c r="AB87" s="9">
        <v>0.33051855647352174</v>
      </c>
      <c r="AC87" s="11">
        <v>105.16288390584256</v>
      </c>
      <c r="AD87" s="11">
        <v>105.16288390584256</v>
      </c>
      <c r="AE87" s="10">
        <v>0</v>
      </c>
      <c r="AF87" s="12">
        <v>0</v>
      </c>
      <c r="AG87" s="11">
        <v>104.78</v>
      </c>
      <c r="AH87" s="11">
        <v>-0.03</v>
      </c>
      <c r="AI87" s="13" t="s">
        <v>68</v>
      </c>
    </row>
    <row r="88" spans="1:35" ht="18" customHeight="1" x14ac:dyDescent="0.25">
      <c r="A88" s="4">
        <v>87</v>
      </c>
      <c r="B88" s="4">
        <v>1</v>
      </c>
      <c r="C88" s="4">
        <v>87</v>
      </c>
      <c r="D88" s="108">
        <v>45126</v>
      </c>
      <c r="E88" s="108">
        <v>45133</v>
      </c>
      <c r="F88" s="108">
        <v>45134</v>
      </c>
      <c r="G88" s="5">
        <v>19833.150000000001</v>
      </c>
      <c r="H88" s="5">
        <v>19778.3</v>
      </c>
      <c r="I88" s="5">
        <v>-54.85</v>
      </c>
      <c r="J88" s="6">
        <v>-2.7655717825963095E-3</v>
      </c>
      <c r="K88" s="7" t="s">
        <v>28</v>
      </c>
      <c r="L88" s="4">
        <v>19900</v>
      </c>
      <c r="M88" s="28">
        <f t="shared" si="3"/>
        <v>3.3706193922800054E-3</v>
      </c>
      <c r="N88" s="111">
        <f t="shared" si="4"/>
        <v>66.849999999998545</v>
      </c>
      <c r="O88" s="111">
        <f t="shared" si="5"/>
        <v>76.00000000000145</v>
      </c>
      <c r="P88" s="7" t="s">
        <v>67</v>
      </c>
      <c r="Q88" s="4">
        <v>65</v>
      </c>
      <c r="R88" s="5">
        <v>142.85</v>
      </c>
      <c r="S88" s="5">
        <v>142.35</v>
      </c>
      <c r="T88" s="8">
        <v>-0.6915</v>
      </c>
      <c r="U88" s="8">
        <v>0.32090000000000002</v>
      </c>
      <c r="V88" s="8">
        <v>-0.6915</v>
      </c>
      <c r="W88" s="8">
        <v>0.32090000000000002</v>
      </c>
      <c r="X88" s="8">
        <v>-0.6915</v>
      </c>
      <c r="Y88" s="5">
        <v>0.5</v>
      </c>
      <c r="Z88" s="6">
        <v>2.5210317070157789E-5</v>
      </c>
      <c r="AA88" s="9">
        <v>0.5</v>
      </c>
      <c r="AB88" s="9">
        <v>2.5210317070157788E-3</v>
      </c>
      <c r="AC88" s="5">
        <v>105.16553509548984</v>
      </c>
      <c r="AD88" s="5">
        <v>105.16553509548984</v>
      </c>
      <c r="AE88" s="4">
        <v>0</v>
      </c>
      <c r="AF88" s="6">
        <v>0</v>
      </c>
      <c r="AG88" s="5">
        <v>104.44</v>
      </c>
      <c r="AH88" s="5">
        <v>-0.69</v>
      </c>
      <c r="AI88" s="7" t="s">
        <v>68</v>
      </c>
    </row>
    <row r="89" spans="1:35" ht="18" customHeight="1" x14ac:dyDescent="0.25">
      <c r="A89" s="10">
        <v>88</v>
      </c>
      <c r="B89" s="10">
        <v>1</v>
      </c>
      <c r="C89" s="10">
        <v>88</v>
      </c>
      <c r="D89" s="109">
        <v>45133</v>
      </c>
      <c r="E89" s="109">
        <v>45140</v>
      </c>
      <c r="F89" s="109">
        <v>45141</v>
      </c>
      <c r="G89" s="11">
        <v>19778.3</v>
      </c>
      <c r="H89" s="11">
        <v>19526.55</v>
      </c>
      <c r="I89" s="11">
        <v>-251.75</v>
      </c>
      <c r="J89" s="12">
        <v>-1.2728596492115097E-2</v>
      </c>
      <c r="K89" s="13" t="s">
        <v>28</v>
      </c>
      <c r="L89" s="10">
        <v>19700</v>
      </c>
      <c r="M89" s="28">
        <f t="shared" si="3"/>
        <v>-3.9588842317084261E-3</v>
      </c>
      <c r="N89" s="111">
        <f t="shared" si="4"/>
        <v>0</v>
      </c>
      <c r="O89" s="111">
        <f t="shared" si="5"/>
        <v>79.45</v>
      </c>
      <c r="P89" s="13" t="s">
        <v>67</v>
      </c>
      <c r="Q89" s="10">
        <v>65</v>
      </c>
      <c r="R89" s="11">
        <v>79.45</v>
      </c>
      <c r="S89" s="11">
        <v>190.1</v>
      </c>
      <c r="T89" s="14">
        <v>-1.0064</v>
      </c>
      <c r="U89" s="14">
        <v>0.2263</v>
      </c>
      <c r="V89" s="14">
        <v>-1.0064</v>
      </c>
      <c r="W89" s="14">
        <v>0.2263</v>
      </c>
      <c r="X89" s="14">
        <v>-1.0064</v>
      </c>
      <c r="Y89" s="11">
        <v>-110.65</v>
      </c>
      <c r="Z89" s="12">
        <v>-5.59451520100312E-3</v>
      </c>
      <c r="AA89" s="15">
        <v>-110.65</v>
      </c>
      <c r="AB89" s="15">
        <v>-0.55945152010031196</v>
      </c>
      <c r="AC89" s="11">
        <v>104.57718491077651</v>
      </c>
      <c r="AD89" s="11">
        <v>105.16553509548984</v>
      </c>
      <c r="AE89" s="11">
        <v>-0.58835018471333456</v>
      </c>
      <c r="AF89" s="12">
        <v>-5.5945152010030202E-3</v>
      </c>
      <c r="AG89" s="11">
        <v>104.11</v>
      </c>
      <c r="AH89" s="10">
        <v>-1</v>
      </c>
      <c r="AI89" s="13" t="s">
        <v>68</v>
      </c>
    </row>
    <row r="90" spans="1:35" ht="18" customHeight="1" x14ac:dyDescent="0.25">
      <c r="A90" s="4">
        <v>89</v>
      </c>
      <c r="B90" s="4">
        <v>1</v>
      </c>
      <c r="C90" s="4">
        <v>89</v>
      </c>
      <c r="D90" s="108">
        <v>45140</v>
      </c>
      <c r="E90" s="108">
        <v>45147</v>
      </c>
      <c r="F90" s="108">
        <v>45148</v>
      </c>
      <c r="G90" s="5">
        <v>19526.55</v>
      </c>
      <c r="H90" s="5">
        <v>19632.55</v>
      </c>
      <c r="I90" s="4">
        <v>106</v>
      </c>
      <c r="J90" s="6">
        <v>5.428506315759825E-3</v>
      </c>
      <c r="K90" s="7" t="s">
        <v>28</v>
      </c>
      <c r="L90" s="4">
        <v>19400</v>
      </c>
      <c r="M90" s="28">
        <f t="shared" si="3"/>
        <v>-6.4809195684849552E-3</v>
      </c>
      <c r="N90" s="111">
        <f t="shared" si="4"/>
        <v>0</v>
      </c>
      <c r="O90" s="111">
        <f t="shared" si="5"/>
        <v>69.8</v>
      </c>
      <c r="P90" s="7" t="s">
        <v>67</v>
      </c>
      <c r="Q90" s="4">
        <v>65</v>
      </c>
      <c r="R90" s="5">
        <v>69.8</v>
      </c>
      <c r="S90" s="5">
        <v>4.9000000000000004</v>
      </c>
      <c r="T90" s="8">
        <v>-0.45169999999999999</v>
      </c>
      <c r="U90" s="8">
        <v>0.3357</v>
      </c>
      <c r="V90" s="8">
        <v>-0.45169999999999999</v>
      </c>
      <c r="W90" s="8">
        <v>0.3357</v>
      </c>
      <c r="X90" s="8">
        <v>-0.45169999999999999</v>
      </c>
      <c r="Y90" s="5">
        <v>64.900000000000006</v>
      </c>
      <c r="Z90" s="6">
        <v>3.3236798103095534E-3</v>
      </c>
      <c r="AA90" s="9">
        <v>64.900000000000006</v>
      </c>
      <c r="AB90" s="9">
        <v>0.33236798103095533</v>
      </c>
      <c r="AC90" s="5">
        <v>104.92476598888346</v>
      </c>
      <c r="AD90" s="5">
        <v>105.16553509548984</v>
      </c>
      <c r="AE90" s="5">
        <v>-0.24076910660637907</v>
      </c>
      <c r="AF90" s="6">
        <v>-2.2894297679155228E-3</v>
      </c>
      <c r="AG90" s="5">
        <v>104.1</v>
      </c>
      <c r="AH90" s="5">
        <v>-1.01</v>
      </c>
      <c r="AI90" s="7" t="s">
        <v>68</v>
      </c>
    </row>
    <row r="91" spans="1:35" ht="18" customHeight="1" x14ac:dyDescent="0.25">
      <c r="A91" s="10">
        <v>90</v>
      </c>
      <c r="B91" s="10">
        <v>1</v>
      </c>
      <c r="C91" s="10">
        <v>90</v>
      </c>
      <c r="D91" s="109">
        <v>45147</v>
      </c>
      <c r="E91" s="109">
        <v>45154</v>
      </c>
      <c r="F91" s="109">
        <v>45155</v>
      </c>
      <c r="G91" s="11">
        <v>19632.55</v>
      </c>
      <c r="H91" s="10">
        <v>19465</v>
      </c>
      <c r="I91" s="11">
        <v>-167.55</v>
      </c>
      <c r="J91" s="12">
        <v>-8.5342963598717438E-3</v>
      </c>
      <c r="K91" s="13" t="s">
        <v>28</v>
      </c>
      <c r="L91" s="10">
        <v>19600</v>
      </c>
      <c r="M91" s="28">
        <f t="shared" si="3"/>
        <v>-1.6579608863850348E-3</v>
      </c>
      <c r="N91" s="111">
        <f t="shared" si="4"/>
        <v>0</v>
      </c>
      <c r="O91" s="111">
        <f t="shared" si="5"/>
        <v>81.2</v>
      </c>
      <c r="P91" s="13" t="s">
        <v>67</v>
      </c>
      <c r="Q91" s="10">
        <v>65</v>
      </c>
      <c r="R91" s="11">
        <v>81.2</v>
      </c>
      <c r="S91" s="11">
        <v>148.85</v>
      </c>
      <c r="T91" s="14">
        <v>-1.2431000000000001</v>
      </c>
      <c r="U91" s="14">
        <v>3.8E-3</v>
      </c>
      <c r="V91" s="14">
        <v>-1.2431000000000001</v>
      </c>
      <c r="W91" s="14">
        <v>3.8E-3</v>
      </c>
      <c r="X91" s="14">
        <v>-1.2431000000000001</v>
      </c>
      <c r="Y91" s="11">
        <v>-67.650000000000006</v>
      </c>
      <c r="Z91" s="12">
        <v>-3.4458081094916357E-3</v>
      </c>
      <c r="AA91" s="15">
        <v>-67.650000000000006</v>
      </c>
      <c r="AB91" s="15">
        <v>-0.34458081094916354</v>
      </c>
      <c r="AC91" s="11">
        <v>104.56321537935246</v>
      </c>
      <c r="AD91" s="11">
        <v>105.16553509548984</v>
      </c>
      <c r="AE91" s="11">
        <v>-0.60231971613738722</v>
      </c>
      <c r="AF91" s="12">
        <v>-5.7273489417467762E-3</v>
      </c>
      <c r="AG91" s="11">
        <v>103.62</v>
      </c>
      <c r="AH91" s="11">
        <v>-1.47</v>
      </c>
      <c r="AI91" s="13" t="s">
        <v>68</v>
      </c>
    </row>
    <row r="92" spans="1:35" ht="18" customHeight="1" x14ac:dyDescent="0.25">
      <c r="A92" s="4">
        <v>91</v>
      </c>
      <c r="B92" s="4">
        <v>1</v>
      </c>
      <c r="C92" s="4">
        <v>91</v>
      </c>
      <c r="D92" s="108">
        <v>45154</v>
      </c>
      <c r="E92" s="108">
        <v>45161</v>
      </c>
      <c r="F92" s="108">
        <v>45162</v>
      </c>
      <c r="G92" s="4">
        <v>19465</v>
      </c>
      <c r="H92" s="4">
        <v>19444</v>
      </c>
      <c r="I92" s="4">
        <v>-21</v>
      </c>
      <c r="J92" s="6">
        <v>-1.0788594913948113E-3</v>
      </c>
      <c r="K92" s="7" t="s">
        <v>28</v>
      </c>
      <c r="L92" s="4">
        <v>19500</v>
      </c>
      <c r="M92" s="28">
        <f t="shared" si="3"/>
        <v>1.7980991523247614E-3</v>
      </c>
      <c r="N92" s="111">
        <f t="shared" si="4"/>
        <v>35</v>
      </c>
      <c r="O92" s="111">
        <f t="shared" si="5"/>
        <v>89.65</v>
      </c>
      <c r="P92" s="7" t="s">
        <v>67</v>
      </c>
      <c r="Q92" s="4">
        <v>65</v>
      </c>
      <c r="R92" s="5">
        <v>124.65</v>
      </c>
      <c r="S92" s="5">
        <v>84.55</v>
      </c>
      <c r="T92" s="8">
        <v>-0.68020000000000003</v>
      </c>
      <c r="U92" s="8">
        <v>0.2964</v>
      </c>
      <c r="V92" s="8">
        <v>-0.68020000000000003</v>
      </c>
      <c r="W92" s="8">
        <v>0.2964</v>
      </c>
      <c r="X92" s="8">
        <v>-0.68020000000000003</v>
      </c>
      <c r="Y92" s="5">
        <v>40.1</v>
      </c>
      <c r="Z92" s="6">
        <v>2.0601078859491394E-3</v>
      </c>
      <c r="AA92" s="9">
        <v>40.1</v>
      </c>
      <c r="AB92" s="9">
        <v>0.20601078859491395</v>
      </c>
      <c r="AC92" s="5">
        <v>104.77862688393567</v>
      </c>
      <c r="AD92" s="5">
        <v>105.16553509548984</v>
      </c>
      <c r="AE92" s="5">
        <v>-0.38690821155417154</v>
      </c>
      <c r="AF92" s="6">
        <v>-3.6790400125179851E-3</v>
      </c>
      <c r="AG92" s="5">
        <v>103.85</v>
      </c>
      <c r="AH92" s="5">
        <v>-1.25</v>
      </c>
      <c r="AI92" s="7" t="s">
        <v>68</v>
      </c>
    </row>
    <row r="93" spans="1:35" ht="18" customHeight="1" x14ac:dyDescent="0.25">
      <c r="A93" s="10">
        <v>92</v>
      </c>
      <c r="B93" s="10">
        <v>1</v>
      </c>
      <c r="C93" s="10">
        <v>92</v>
      </c>
      <c r="D93" s="109">
        <v>45161</v>
      </c>
      <c r="E93" s="109">
        <v>45168</v>
      </c>
      <c r="F93" s="109">
        <v>45169</v>
      </c>
      <c r="G93" s="10">
        <v>19444</v>
      </c>
      <c r="H93" s="11">
        <v>19347.45</v>
      </c>
      <c r="I93" s="11">
        <v>-96.55</v>
      </c>
      <c r="J93" s="12">
        <v>-4.9655420695330181E-3</v>
      </c>
      <c r="K93" s="13" t="s">
        <v>28</v>
      </c>
      <c r="L93" s="10">
        <v>19400</v>
      </c>
      <c r="M93" s="28">
        <f t="shared" si="3"/>
        <v>-2.262908866488389E-3</v>
      </c>
      <c r="N93" s="111">
        <f t="shared" si="4"/>
        <v>0</v>
      </c>
      <c r="O93" s="111">
        <f t="shared" si="5"/>
        <v>88.45</v>
      </c>
      <c r="P93" s="13" t="s">
        <v>67</v>
      </c>
      <c r="Q93" s="10">
        <v>65</v>
      </c>
      <c r="R93" s="11">
        <v>88.45</v>
      </c>
      <c r="S93" s="11">
        <v>74.150000000000006</v>
      </c>
      <c r="T93" s="14">
        <v>-0.63980000000000004</v>
      </c>
      <c r="U93" s="14">
        <v>0.3155</v>
      </c>
      <c r="V93" s="14">
        <v>-0.63980000000000004</v>
      </c>
      <c r="W93" s="14">
        <v>0.3155</v>
      </c>
      <c r="X93" s="14">
        <v>-0.63980000000000004</v>
      </c>
      <c r="Y93" s="11">
        <v>14.3</v>
      </c>
      <c r="Z93" s="12">
        <v>7.3544538160872253E-4</v>
      </c>
      <c r="AA93" s="9">
        <v>14.3</v>
      </c>
      <c r="AB93" s="9">
        <v>7.3544538160872253E-2</v>
      </c>
      <c r="AC93" s="11">
        <v>104.85568584116875</v>
      </c>
      <c r="AD93" s="11">
        <v>105.16553509548984</v>
      </c>
      <c r="AE93" s="11">
        <v>-0.30984925432109378</v>
      </c>
      <c r="AF93" s="12">
        <v>-2.9463003638953772E-3</v>
      </c>
      <c r="AG93" s="11">
        <v>104.11</v>
      </c>
      <c r="AH93" s="10">
        <v>-1</v>
      </c>
      <c r="AI93" s="13" t="s">
        <v>68</v>
      </c>
    </row>
    <row r="94" spans="1:35" ht="18" customHeight="1" x14ac:dyDescent="0.25">
      <c r="A94" s="4">
        <v>93</v>
      </c>
      <c r="B94" s="4">
        <v>1</v>
      </c>
      <c r="C94" s="4">
        <v>93</v>
      </c>
      <c r="D94" s="108">
        <v>45168</v>
      </c>
      <c r="E94" s="108">
        <v>45174</v>
      </c>
      <c r="F94" s="108">
        <v>45176</v>
      </c>
      <c r="G94" s="5">
        <v>19347.45</v>
      </c>
      <c r="H94" s="5">
        <v>19574.900000000001</v>
      </c>
      <c r="I94" s="5">
        <v>227.45</v>
      </c>
      <c r="J94" s="6">
        <v>1.1756071213519093E-2</v>
      </c>
      <c r="K94" s="7" t="s">
        <v>28</v>
      </c>
      <c r="L94" s="4">
        <v>19300</v>
      </c>
      <c r="M94" s="28">
        <f t="shared" si="3"/>
        <v>-2.4525195826841095E-3</v>
      </c>
      <c r="N94" s="111">
        <f t="shared" si="4"/>
        <v>0</v>
      </c>
      <c r="O94" s="111">
        <f t="shared" si="5"/>
        <v>73.150000000000006</v>
      </c>
      <c r="P94" s="7" t="s">
        <v>67</v>
      </c>
      <c r="Q94" s="4">
        <v>65</v>
      </c>
      <c r="R94" s="5">
        <v>73.150000000000006</v>
      </c>
      <c r="S94" s="5">
        <v>4.8499999999999996</v>
      </c>
      <c r="T94" s="8">
        <v>-0.1129</v>
      </c>
      <c r="U94" s="8">
        <v>0.35770000000000002</v>
      </c>
      <c r="V94" s="8">
        <v>-0.1129</v>
      </c>
      <c r="W94" s="8">
        <v>0.35770000000000002</v>
      </c>
      <c r="X94" s="8">
        <v>-0.1129</v>
      </c>
      <c r="Y94" s="5">
        <v>68.3</v>
      </c>
      <c r="Z94" s="6">
        <v>3.5301809799224183E-3</v>
      </c>
      <c r="AA94" s="9">
        <v>68.3</v>
      </c>
      <c r="AB94" s="9">
        <v>0.35301809799224182</v>
      </c>
      <c r="AC94" s="5">
        <v>105.22584538896196</v>
      </c>
      <c r="AD94" s="5">
        <v>105.22584538896196</v>
      </c>
      <c r="AE94" s="4">
        <v>0</v>
      </c>
      <c r="AF94" s="6">
        <v>0</v>
      </c>
      <c r="AG94" s="5">
        <v>104.74</v>
      </c>
      <c r="AH94" s="5">
        <v>-0.4</v>
      </c>
      <c r="AI94" s="7" t="s">
        <v>71</v>
      </c>
    </row>
    <row r="95" spans="1:35" ht="18" customHeight="1" x14ac:dyDescent="0.25">
      <c r="A95" s="10">
        <v>94</v>
      </c>
      <c r="B95" s="10">
        <v>1</v>
      </c>
      <c r="C95" s="10">
        <v>94</v>
      </c>
      <c r="D95" s="109">
        <v>45174</v>
      </c>
      <c r="E95" s="109">
        <v>45175</v>
      </c>
      <c r="F95" s="109">
        <v>45176</v>
      </c>
      <c r="G95" s="11">
        <v>19574.900000000001</v>
      </c>
      <c r="H95" s="11">
        <v>19611.05</v>
      </c>
      <c r="I95" s="11">
        <v>36.15</v>
      </c>
      <c r="J95" s="12">
        <v>1.8467527292604302E-3</v>
      </c>
      <c r="K95" s="13" t="s">
        <v>28</v>
      </c>
      <c r="L95" s="10">
        <v>19600</v>
      </c>
      <c r="M95" s="28">
        <f t="shared" si="3"/>
        <v>1.2822543154753507E-3</v>
      </c>
      <c r="N95" s="111">
        <f t="shared" si="4"/>
        <v>25.099999999998545</v>
      </c>
      <c r="O95" s="111">
        <f t="shared" si="5"/>
        <v>34.300000000001454</v>
      </c>
      <c r="P95" s="13" t="s">
        <v>67</v>
      </c>
      <c r="Q95" s="10">
        <v>65</v>
      </c>
      <c r="R95" s="11">
        <v>59.4</v>
      </c>
      <c r="S95" s="11">
        <v>37.9</v>
      </c>
      <c r="T95" s="14">
        <v>-0.33639999999999998</v>
      </c>
      <c r="U95" s="14">
        <v>0.14299999999999999</v>
      </c>
      <c r="V95" s="14">
        <v>-0.33639999999999998</v>
      </c>
      <c r="W95" s="14">
        <v>0.14299999999999999</v>
      </c>
      <c r="X95" s="14">
        <v>-0.33639999999999998</v>
      </c>
      <c r="Y95" s="11">
        <v>21.5</v>
      </c>
      <c r="Z95" s="12">
        <v>1.0983453299889144E-3</v>
      </c>
      <c r="AA95" s="9">
        <v>21.5</v>
      </c>
      <c r="AB95" s="9">
        <v>0.10983453299889144</v>
      </c>
      <c r="AC95" s="11">
        <v>105.34141970483905</v>
      </c>
      <c r="AD95" s="11">
        <v>105.34141970483905</v>
      </c>
      <c r="AE95" s="10">
        <v>0</v>
      </c>
      <c r="AF95" s="12">
        <v>0</v>
      </c>
      <c r="AG95" s="11">
        <v>104.87</v>
      </c>
      <c r="AH95" s="11">
        <v>-0.34</v>
      </c>
      <c r="AI95" s="13" t="s">
        <v>68</v>
      </c>
    </row>
    <row r="96" spans="1:35" ht="18" customHeight="1" x14ac:dyDescent="0.25">
      <c r="A96" s="4">
        <v>95</v>
      </c>
      <c r="B96" s="4">
        <v>1</v>
      </c>
      <c r="C96" s="4">
        <v>95</v>
      </c>
      <c r="D96" s="108">
        <v>45175</v>
      </c>
      <c r="E96" s="108">
        <v>45177</v>
      </c>
      <c r="F96" s="108">
        <v>45183</v>
      </c>
      <c r="G96" s="5">
        <v>19611.05</v>
      </c>
      <c r="H96" s="5">
        <v>19819.95</v>
      </c>
      <c r="I96" s="5">
        <v>208.9</v>
      </c>
      <c r="J96" s="6">
        <v>1.0652157839585336E-2</v>
      </c>
      <c r="K96" s="7" t="s">
        <v>28</v>
      </c>
      <c r="L96" s="4">
        <v>19600</v>
      </c>
      <c r="M96" s="28">
        <f t="shared" si="3"/>
        <v>-5.6345784646916197E-4</v>
      </c>
      <c r="N96" s="111">
        <f t="shared" si="4"/>
        <v>0</v>
      </c>
      <c r="O96" s="111">
        <f t="shared" si="5"/>
        <v>87.5</v>
      </c>
      <c r="P96" s="7" t="s">
        <v>67</v>
      </c>
      <c r="Q96" s="4">
        <v>65</v>
      </c>
      <c r="R96" s="5">
        <v>87.5</v>
      </c>
      <c r="S96" s="5">
        <v>22.9</v>
      </c>
      <c r="T96" s="8">
        <v>-0.13919999999999999</v>
      </c>
      <c r="U96" s="8">
        <v>0.34620000000000001</v>
      </c>
      <c r="V96" s="8">
        <v>-0.13919999999999999</v>
      </c>
      <c r="W96" s="8">
        <v>0.34620000000000001</v>
      </c>
      <c r="X96" s="8">
        <v>-0.13919999999999999</v>
      </c>
      <c r="Y96" s="5">
        <v>64.599999999999994</v>
      </c>
      <c r="Z96" s="6">
        <v>3.2940612562815351E-3</v>
      </c>
      <c r="AA96" s="9">
        <v>64.599999999999994</v>
      </c>
      <c r="AB96" s="9">
        <v>0.32940612562815352</v>
      </c>
      <c r="AC96" s="5">
        <v>105.68842079417045</v>
      </c>
      <c r="AD96" s="5">
        <v>105.68842079417045</v>
      </c>
      <c r="AE96" s="4">
        <v>0</v>
      </c>
      <c r="AF96" s="6">
        <v>0</v>
      </c>
      <c r="AG96" s="5">
        <v>105.19</v>
      </c>
      <c r="AH96" s="5">
        <v>-0.14000000000000001</v>
      </c>
      <c r="AI96" s="7" t="s">
        <v>71</v>
      </c>
    </row>
    <row r="97" spans="1:35" ht="18" customHeight="1" x14ac:dyDescent="0.25">
      <c r="A97" s="10">
        <v>96</v>
      </c>
      <c r="B97" s="10">
        <v>1</v>
      </c>
      <c r="C97" s="10">
        <v>96</v>
      </c>
      <c r="D97" s="109">
        <v>45177</v>
      </c>
      <c r="E97" s="109">
        <v>45182</v>
      </c>
      <c r="F97" s="109">
        <v>45183</v>
      </c>
      <c r="G97" s="11">
        <v>19819.95</v>
      </c>
      <c r="H97" s="10">
        <v>20070</v>
      </c>
      <c r="I97" s="11">
        <v>250.05</v>
      </c>
      <c r="J97" s="12">
        <v>1.2616076226226606E-2</v>
      </c>
      <c r="K97" s="13" t="s">
        <v>28</v>
      </c>
      <c r="L97" s="10">
        <v>19800</v>
      </c>
      <c r="M97" s="28">
        <f t="shared" si="3"/>
        <v>-1.0065615705387998E-3</v>
      </c>
      <c r="N97" s="111">
        <f t="shared" si="4"/>
        <v>0</v>
      </c>
      <c r="O97" s="111">
        <f t="shared" si="5"/>
        <v>74.25</v>
      </c>
      <c r="P97" s="13" t="s">
        <v>67</v>
      </c>
      <c r="Q97" s="10">
        <v>65</v>
      </c>
      <c r="R97" s="11">
        <v>74.25</v>
      </c>
      <c r="S97" s="11">
        <v>3.9</v>
      </c>
      <c r="T97" s="14">
        <v>6.6900000000000001E-2</v>
      </c>
      <c r="U97" s="14">
        <v>0.36020000000000002</v>
      </c>
      <c r="V97" s="14">
        <v>6.6900000000000001E-2</v>
      </c>
      <c r="W97" s="14">
        <v>0.36020000000000002</v>
      </c>
      <c r="X97" s="14">
        <v>6.6900000000000001E-2</v>
      </c>
      <c r="Y97" s="11">
        <v>70.349999999999994</v>
      </c>
      <c r="Z97" s="12">
        <v>3.5494539592683125E-3</v>
      </c>
      <c r="AA97" s="9">
        <v>70.349999999999994</v>
      </c>
      <c r="AB97" s="9">
        <v>0.35494539592683128</v>
      </c>
      <c r="AC97" s="11">
        <v>106.06355697780715</v>
      </c>
      <c r="AD97" s="11">
        <v>106.06355697780715</v>
      </c>
      <c r="AE97" s="10">
        <v>0</v>
      </c>
      <c r="AF97" s="12">
        <v>0</v>
      </c>
      <c r="AG97" s="11">
        <v>105.76</v>
      </c>
      <c r="AH97" s="11">
        <v>7.0000000000000007E-2</v>
      </c>
      <c r="AI97" s="13" t="s">
        <v>68</v>
      </c>
    </row>
    <row r="98" spans="1:35" ht="18" customHeight="1" x14ac:dyDescent="0.25">
      <c r="A98" s="4">
        <v>97</v>
      </c>
      <c r="B98" s="4">
        <v>1</v>
      </c>
      <c r="C98" s="4">
        <v>97</v>
      </c>
      <c r="D98" s="108">
        <v>45182</v>
      </c>
      <c r="E98" s="108">
        <v>45189</v>
      </c>
      <c r="F98" s="108">
        <v>45190</v>
      </c>
      <c r="G98" s="4">
        <v>20070</v>
      </c>
      <c r="H98" s="5">
        <v>19901.400000000001</v>
      </c>
      <c r="I98" s="5">
        <v>-168.6</v>
      </c>
      <c r="J98" s="6">
        <v>-8.4005979073243642E-3</v>
      </c>
      <c r="K98" s="7" t="s">
        <v>28</v>
      </c>
      <c r="L98" s="4">
        <v>20100</v>
      </c>
      <c r="M98" s="28">
        <f t="shared" si="3"/>
        <v>1.494768310911887E-3</v>
      </c>
      <c r="N98" s="111">
        <f t="shared" si="4"/>
        <v>30</v>
      </c>
      <c r="O98" s="111">
        <f t="shared" si="5"/>
        <v>89.2</v>
      </c>
      <c r="P98" s="7" t="s">
        <v>67</v>
      </c>
      <c r="Q98" s="4">
        <v>65</v>
      </c>
      <c r="R98" s="5">
        <v>119.2</v>
      </c>
      <c r="S98" s="5">
        <v>185.75</v>
      </c>
      <c r="T98" s="8">
        <v>-0.55110000000000003</v>
      </c>
      <c r="U98" s="8">
        <v>0.4118</v>
      </c>
      <c r="V98" s="8">
        <v>-0.55110000000000003</v>
      </c>
      <c r="W98" s="8">
        <v>0.4118</v>
      </c>
      <c r="X98" s="8">
        <v>-0.55110000000000003</v>
      </c>
      <c r="Y98" s="5">
        <v>-66.55</v>
      </c>
      <c r="Z98" s="6">
        <v>-3.3158943697060286E-3</v>
      </c>
      <c r="AA98" s="15">
        <v>-66.55</v>
      </c>
      <c r="AB98" s="15">
        <v>-0.33158943697060284</v>
      </c>
      <c r="AC98" s="5">
        <v>105.71186142639344</v>
      </c>
      <c r="AD98" s="5">
        <v>106.06355697780715</v>
      </c>
      <c r="AE98" s="5">
        <v>-0.35169555141371234</v>
      </c>
      <c r="AF98" s="6">
        <v>-3.315894369706095E-3</v>
      </c>
      <c r="AG98" s="5">
        <v>105.48</v>
      </c>
      <c r="AH98" s="5">
        <v>-0.55000000000000004</v>
      </c>
      <c r="AI98" s="7" t="s">
        <v>68</v>
      </c>
    </row>
    <row r="99" spans="1:35" ht="18" customHeight="1" x14ac:dyDescent="0.25">
      <c r="A99" s="10">
        <v>98</v>
      </c>
      <c r="B99" s="10">
        <v>1</v>
      </c>
      <c r="C99" s="10">
        <v>98</v>
      </c>
      <c r="D99" s="109">
        <v>45189</v>
      </c>
      <c r="E99" s="109">
        <v>45196</v>
      </c>
      <c r="F99" s="109">
        <v>45197</v>
      </c>
      <c r="G99" s="11">
        <v>19901.400000000001</v>
      </c>
      <c r="H99" s="11">
        <v>19716.45</v>
      </c>
      <c r="I99" s="11">
        <v>-184.95</v>
      </c>
      <c r="J99" s="12">
        <v>-9.2933160481172162E-3</v>
      </c>
      <c r="K99" s="13" t="s">
        <v>28</v>
      </c>
      <c r="L99" s="10">
        <v>19900</v>
      </c>
      <c r="M99" s="28">
        <f t="shared" si="3"/>
        <v>-7.0346809772248164E-5</v>
      </c>
      <c r="N99" s="111">
        <f t="shared" si="4"/>
        <v>0</v>
      </c>
      <c r="O99" s="111">
        <f t="shared" si="5"/>
        <v>88.15</v>
      </c>
      <c r="P99" s="13" t="s">
        <v>67</v>
      </c>
      <c r="Q99" s="10">
        <v>65</v>
      </c>
      <c r="R99" s="11">
        <v>88.15</v>
      </c>
      <c r="S99" s="11">
        <v>185.35</v>
      </c>
      <c r="T99" s="14">
        <v>-1.3676999999999999</v>
      </c>
      <c r="U99" s="14">
        <v>2.9999999999999997E-4</v>
      </c>
      <c r="V99" s="14">
        <v>-1.3676999999999999</v>
      </c>
      <c r="W99" s="14">
        <v>2.9999999999999997E-4</v>
      </c>
      <c r="X99" s="14">
        <v>-1.3676999999999999</v>
      </c>
      <c r="Y99" s="11">
        <v>-97.2</v>
      </c>
      <c r="Z99" s="12">
        <v>-4.8840785070397054E-3</v>
      </c>
      <c r="AA99" s="15">
        <v>-97.2</v>
      </c>
      <c r="AB99" s="15">
        <v>-0.48840785070397053</v>
      </c>
      <c r="AC99" s="11">
        <v>105.19555639606163</v>
      </c>
      <c r="AD99" s="11">
        <v>106.06355697780715</v>
      </c>
      <c r="AE99" s="11">
        <v>-0.86800058174551964</v>
      </c>
      <c r="AF99" s="12">
        <v>-8.1837777883230992E-3</v>
      </c>
      <c r="AG99" s="11">
        <v>104.27</v>
      </c>
      <c r="AH99" s="11">
        <v>-1.69</v>
      </c>
      <c r="AI99" s="13" t="s">
        <v>68</v>
      </c>
    </row>
    <row r="100" spans="1:35" ht="18" customHeight="1" x14ac:dyDescent="0.25">
      <c r="A100" s="4">
        <v>99</v>
      </c>
      <c r="B100" s="4">
        <v>1</v>
      </c>
      <c r="C100" s="4">
        <v>99</v>
      </c>
      <c r="D100" s="108">
        <v>45196</v>
      </c>
      <c r="E100" s="108">
        <v>45203</v>
      </c>
      <c r="F100" s="108">
        <v>45204</v>
      </c>
      <c r="G100" s="5">
        <v>19716.45</v>
      </c>
      <c r="H100" s="5">
        <v>19436.099999999999</v>
      </c>
      <c r="I100" s="5">
        <v>-280.35000000000002</v>
      </c>
      <c r="J100" s="6">
        <v>-1.4219091164991669E-2</v>
      </c>
      <c r="K100" s="7" t="s">
        <v>28</v>
      </c>
      <c r="L100" s="4">
        <v>19700</v>
      </c>
      <c r="M100" s="28">
        <f t="shared" si="3"/>
        <v>-8.3432869507449325E-4</v>
      </c>
      <c r="N100" s="111">
        <f t="shared" si="4"/>
        <v>0</v>
      </c>
      <c r="O100" s="111">
        <f t="shared" si="5"/>
        <v>77.849999999999994</v>
      </c>
      <c r="P100" s="7" t="s">
        <v>67</v>
      </c>
      <c r="Q100" s="4">
        <v>65</v>
      </c>
      <c r="R100" s="5">
        <v>77.849999999999994</v>
      </c>
      <c r="S100" s="5">
        <v>261.60000000000002</v>
      </c>
      <c r="T100" s="8">
        <v>-1.4234</v>
      </c>
      <c r="U100" s="8">
        <v>9.0499999999999997E-2</v>
      </c>
      <c r="V100" s="8">
        <v>-1.4234</v>
      </c>
      <c r="W100" s="8">
        <v>9.0499999999999997E-2</v>
      </c>
      <c r="X100" s="8">
        <v>-1.4234</v>
      </c>
      <c r="Y100" s="5">
        <v>-183.75</v>
      </c>
      <c r="Z100" s="6">
        <v>-9.319629040724876E-3</v>
      </c>
      <c r="AA100" s="15">
        <v>-183.75</v>
      </c>
      <c r="AB100" s="15">
        <v>-0.93196290407248761</v>
      </c>
      <c r="AC100" s="5">
        <v>104.21517283371769</v>
      </c>
      <c r="AD100" s="5">
        <v>106.06355697780715</v>
      </c>
      <c r="AE100" s="5">
        <v>-1.8483841440894651</v>
      </c>
      <c r="AF100" s="6">
        <v>-1.7427137055909061E-2</v>
      </c>
      <c r="AG100" s="5">
        <v>103.7</v>
      </c>
      <c r="AH100" s="5">
        <v>-2.23</v>
      </c>
      <c r="AI100" s="7" t="s">
        <v>68</v>
      </c>
    </row>
    <row r="101" spans="1:35" ht="18" customHeight="1" x14ac:dyDescent="0.25">
      <c r="A101" s="10">
        <v>100</v>
      </c>
      <c r="B101" s="10">
        <v>1</v>
      </c>
      <c r="C101" s="10">
        <v>100</v>
      </c>
      <c r="D101" s="109">
        <v>45203</v>
      </c>
      <c r="E101" s="109">
        <v>45205</v>
      </c>
      <c r="F101" s="109">
        <v>45211</v>
      </c>
      <c r="G101" s="11">
        <v>19436.099999999999</v>
      </c>
      <c r="H101" s="11">
        <v>19653.5</v>
      </c>
      <c r="I101" s="11">
        <v>217.4</v>
      </c>
      <c r="J101" s="12">
        <v>1.1185371550876977E-2</v>
      </c>
      <c r="K101" s="13" t="s">
        <v>28</v>
      </c>
      <c r="L101" s="10">
        <v>19500</v>
      </c>
      <c r="M101" s="28">
        <f t="shared" si="3"/>
        <v>3.2876966058006385E-3</v>
      </c>
      <c r="N101" s="111">
        <f t="shared" si="4"/>
        <v>63.900000000001455</v>
      </c>
      <c r="O101" s="111">
        <f t="shared" si="5"/>
        <v>84.049999999998533</v>
      </c>
      <c r="P101" s="13" t="s">
        <v>67</v>
      </c>
      <c r="Q101" s="10">
        <v>65</v>
      </c>
      <c r="R101" s="11">
        <v>147.94999999999999</v>
      </c>
      <c r="S101" s="11">
        <v>33.1</v>
      </c>
      <c r="T101" s="14">
        <v>0.1469</v>
      </c>
      <c r="U101" s="14">
        <v>0.60629999999999995</v>
      </c>
      <c r="V101" s="14">
        <v>0.1469</v>
      </c>
      <c r="W101" s="14">
        <v>0.60629999999999995</v>
      </c>
      <c r="X101" s="14">
        <v>0.1469</v>
      </c>
      <c r="Y101" s="11">
        <v>114.85</v>
      </c>
      <c r="Z101" s="12">
        <v>5.9091072797526258E-3</v>
      </c>
      <c r="AA101" s="9">
        <v>114.85</v>
      </c>
      <c r="AB101" s="9">
        <v>0.59091072797526256</v>
      </c>
      <c r="AC101" s="11">
        <v>104.83099147017008</v>
      </c>
      <c r="AD101" s="11">
        <v>106.06355697780715</v>
      </c>
      <c r="AE101" s="11">
        <v>-1.2325655076370765</v>
      </c>
      <c r="AF101" s="12">
        <v>-1.1621008598598855E-2</v>
      </c>
      <c r="AG101" s="11">
        <v>104.37</v>
      </c>
      <c r="AH101" s="11">
        <v>-1.6</v>
      </c>
      <c r="AI101" s="13" t="s">
        <v>71</v>
      </c>
    </row>
    <row r="102" spans="1:35" ht="18" customHeight="1" x14ac:dyDescent="0.25">
      <c r="A102" s="4">
        <v>101</v>
      </c>
      <c r="B102" s="4">
        <v>1</v>
      </c>
      <c r="C102" s="4">
        <v>101</v>
      </c>
      <c r="D102" s="108">
        <v>45205</v>
      </c>
      <c r="E102" s="108">
        <v>45210</v>
      </c>
      <c r="F102" s="108">
        <v>45211</v>
      </c>
      <c r="G102" s="5">
        <v>19653.5</v>
      </c>
      <c r="H102" s="5">
        <v>19811.349999999999</v>
      </c>
      <c r="I102" s="5">
        <v>157.85</v>
      </c>
      <c r="J102" s="6">
        <v>8.0316483069173428E-3</v>
      </c>
      <c r="K102" s="7" t="s">
        <v>28</v>
      </c>
      <c r="L102" s="4">
        <v>19700</v>
      </c>
      <c r="M102" s="28">
        <f t="shared" si="3"/>
        <v>2.3659907904445276E-3</v>
      </c>
      <c r="N102" s="111">
        <f t="shared" si="4"/>
        <v>46.5</v>
      </c>
      <c r="O102" s="111">
        <f t="shared" si="5"/>
        <v>57.849999999999994</v>
      </c>
      <c r="P102" s="7" t="s">
        <v>67</v>
      </c>
      <c r="Q102" s="4">
        <v>65</v>
      </c>
      <c r="R102" s="5">
        <v>104.35</v>
      </c>
      <c r="S102" s="5">
        <v>15.85</v>
      </c>
      <c r="T102" s="8">
        <v>-0.65790000000000004</v>
      </c>
      <c r="U102" s="8">
        <v>0.46889999999999998</v>
      </c>
      <c r="V102" s="8">
        <v>-0.65790000000000004</v>
      </c>
      <c r="W102" s="8">
        <v>0.46889999999999998</v>
      </c>
      <c r="X102" s="8">
        <v>-0.65790000000000004</v>
      </c>
      <c r="Y102" s="5">
        <v>88.5</v>
      </c>
      <c r="Z102" s="6">
        <v>4.5030147302007276E-3</v>
      </c>
      <c r="AA102" s="9">
        <v>88.5</v>
      </c>
      <c r="AB102" s="9">
        <v>0.45030147302007278</v>
      </c>
      <c r="AC102" s="5">
        <v>105.3030469689418</v>
      </c>
      <c r="AD102" s="5">
        <v>106.06355697780715</v>
      </c>
      <c r="AE102" s="5">
        <v>-0.76051000886535292</v>
      </c>
      <c r="AF102" s="6">
        <v>-7.1703234412973989E-3</v>
      </c>
      <c r="AG102" s="5">
        <v>104.14</v>
      </c>
      <c r="AH102" s="5">
        <v>-1.81</v>
      </c>
      <c r="AI102" s="7" t="s">
        <v>68</v>
      </c>
    </row>
    <row r="103" spans="1:35" ht="18" customHeight="1" x14ac:dyDescent="0.25">
      <c r="A103" s="10">
        <v>102</v>
      </c>
      <c r="B103" s="10">
        <v>1</v>
      </c>
      <c r="C103" s="10">
        <v>102</v>
      </c>
      <c r="D103" s="109">
        <v>45210</v>
      </c>
      <c r="E103" s="109">
        <v>45217</v>
      </c>
      <c r="F103" s="109">
        <v>45218</v>
      </c>
      <c r="G103" s="11">
        <v>19811.349999999999</v>
      </c>
      <c r="H103" s="11">
        <v>19671.099999999999</v>
      </c>
      <c r="I103" s="11">
        <v>-140.25</v>
      </c>
      <c r="J103" s="12">
        <v>-7.0792752639269917E-3</v>
      </c>
      <c r="K103" s="13" t="s">
        <v>28</v>
      </c>
      <c r="L103" s="10">
        <v>19700</v>
      </c>
      <c r="M103" s="28">
        <f t="shared" si="3"/>
        <v>-5.620515512572255E-3</v>
      </c>
      <c r="N103" s="111">
        <f t="shared" si="4"/>
        <v>0</v>
      </c>
      <c r="O103" s="111">
        <f t="shared" si="5"/>
        <v>69.099999999999994</v>
      </c>
      <c r="P103" s="13" t="s">
        <v>67</v>
      </c>
      <c r="Q103" s="10">
        <v>65</v>
      </c>
      <c r="R103" s="11">
        <v>69.099999999999994</v>
      </c>
      <c r="S103" s="10">
        <v>59</v>
      </c>
      <c r="T103" s="14">
        <v>-0.3024</v>
      </c>
      <c r="U103" s="14">
        <v>0.27529999999999999</v>
      </c>
      <c r="V103" s="14">
        <v>-0.3024</v>
      </c>
      <c r="W103" s="14">
        <v>0.27529999999999999</v>
      </c>
      <c r="X103" s="14">
        <v>-0.3024</v>
      </c>
      <c r="Y103" s="11">
        <v>10.1</v>
      </c>
      <c r="Z103" s="12">
        <v>5.0980877123467101E-4</v>
      </c>
      <c r="AA103" s="9">
        <v>10.1</v>
      </c>
      <c r="AB103" s="9">
        <v>5.0980877123467098E-2</v>
      </c>
      <c r="AC103" s="11">
        <v>105.35673138592431</v>
      </c>
      <c r="AD103" s="11">
        <v>106.06355697780715</v>
      </c>
      <c r="AE103" s="11">
        <v>-0.70682559188284699</v>
      </c>
      <c r="AF103" s="12">
        <v>-6.6641701638456641E-3</v>
      </c>
      <c r="AG103" s="11">
        <v>104.98</v>
      </c>
      <c r="AH103" s="11">
        <v>-1.02</v>
      </c>
      <c r="AI103" s="13" t="s">
        <v>68</v>
      </c>
    </row>
    <row r="104" spans="1:35" ht="18" customHeight="1" x14ac:dyDescent="0.25">
      <c r="A104" s="4">
        <v>103</v>
      </c>
      <c r="B104" s="4">
        <v>1</v>
      </c>
      <c r="C104" s="4">
        <v>103</v>
      </c>
      <c r="D104" s="108">
        <v>45217</v>
      </c>
      <c r="E104" s="108">
        <v>45224</v>
      </c>
      <c r="F104" s="108">
        <v>45225</v>
      </c>
      <c r="G104" s="5">
        <v>19671.099999999999</v>
      </c>
      <c r="H104" s="5">
        <v>19122.150000000001</v>
      </c>
      <c r="I104" s="5">
        <v>-548.95000000000005</v>
      </c>
      <c r="J104" s="6">
        <v>-2.790642109490573E-2</v>
      </c>
      <c r="K104" s="7" t="s">
        <v>28</v>
      </c>
      <c r="L104" s="4">
        <v>19600</v>
      </c>
      <c r="M104" s="28">
        <f t="shared" si="3"/>
        <v>-3.6144394568681237E-3</v>
      </c>
      <c r="N104" s="111">
        <f t="shared" si="4"/>
        <v>0</v>
      </c>
      <c r="O104" s="111">
        <f t="shared" si="5"/>
        <v>88.3</v>
      </c>
      <c r="P104" s="7" t="s">
        <v>67</v>
      </c>
      <c r="Q104" s="4">
        <v>65</v>
      </c>
      <c r="R104" s="5">
        <v>88.3</v>
      </c>
      <c r="S104" s="5">
        <v>476.95</v>
      </c>
      <c r="T104" s="8">
        <v>-2.2686000000000002</v>
      </c>
      <c r="U104" s="8">
        <v>5.74E-2</v>
      </c>
      <c r="V104" s="8">
        <v>-2.2686000000000002</v>
      </c>
      <c r="W104" s="8">
        <v>5.74E-2</v>
      </c>
      <c r="X104" s="8">
        <v>-2.2686000000000002</v>
      </c>
      <c r="Y104" s="5">
        <v>-388.65</v>
      </c>
      <c r="Z104" s="6">
        <v>-1.9757410617606538E-2</v>
      </c>
      <c r="AA104" s="15">
        <v>-388.65</v>
      </c>
      <c r="AB104" s="15">
        <v>-1.9757410617606539</v>
      </c>
      <c r="AC104" s="5">
        <v>103.27515518260373</v>
      </c>
      <c r="AD104" s="5">
        <v>106.06355697780715</v>
      </c>
      <c r="AE104" s="5">
        <v>-2.788401795203427</v>
      </c>
      <c r="AF104" s="6">
        <v>-2.6289914035099494E-2</v>
      </c>
      <c r="AG104" s="5">
        <v>102.97</v>
      </c>
      <c r="AH104" s="5">
        <v>-2.92</v>
      </c>
      <c r="AI104" s="7" t="s">
        <v>68</v>
      </c>
    </row>
    <row r="105" spans="1:35" ht="18" customHeight="1" x14ac:dyDescent="0.25">
      <c r="A105" s="10">
        <v>104</v>
      </c>
      <c r="B105" s="10">
        <v>1</v>
      </c>
      <c r="C105" s="10">
        <v>104</v>
      </c>
      <c r="D105" s="109">
        <v>45224</v>
      </c>
      <c r="E105" s="109">
        <v>45231</v>
      </c>
      <c r="F105" s="109">
        <v>45232</v>
      </c>
      <c r="G105" s="11">
        <v>19122.150000000001</v>
      </c>
      <c r="H105" s="11">
        <v>18989.150000000001</v>
      </c>
      <c r="I105" s="10">
        <v>-133</v>
      </c>
      <c r="J105" s="12">
        <v>-6.9552848398323408E-3</v>
      </c>
      <c r="K105" s="13" t="s">
        <v>28</v>
      </c>
      <c r="L105" s="10">
        <v>19000</v>
      </c>
      <c r="M105" s="28">
        <f t="shared" si="3"/>
        <v>-6.3878800239514089E-3</v>
      </c>
      <c r="N105" s="111">
        <f t="shared" si="4"/>
        <v>0</v>
      </c>
      <c r="O105" s="111">
        <f t="shared" si="5"/>
        <v>87.5</v>
      </c>
      <c r="P105" s="13" t="s">
        <v>67</v>
      </c>
      <c r="Q105" s="10">
        <v>65</v>
      </c>
      <c r="R105" s="11">
        <v>87.5</v>
      </c>
      <c r="S105" s="11">
        <v>65.45</v>
      </c>
      <c r="T105" s="14">
        <v>-0.67279999999999995</v>
      </c>
      <c r="U105" s="14">
        <v>0.371</v>
      </c>
      <c r="V105" s="14">
        <v>-0.67279999999999995</v>
      </c>
      <c r="W105" s="14">
        <v>0.371</v>
      </c>
      <c r="X105" s="14">
        <v>-0.67279999999999995</v>
      </c>
      <c r="Y105" s="11">
        <v>22.05</v>
      </c>
      <c r="Z105" s="12">
        <v>1.1531130129195722E-3</v>
      </c>
      <c r="AA105" s="9">
        <v>22.05</v>
      </c>
      <c r="AB105" s="9">
        <v>0.11531130129195721</v>
      </c>
      <c r="AC105" s="11">
        <v>103.39424310795609</v>
      </c>
      <c r="AD105" s="11">
        <v>106.06355697780715</v>
      </c>
      <c r="AE105" s="11">
        <v>-2.6693138698510666</v>
      </c>
      <c r="AF105" s="12">
        <v>-2.516711626416222E-2</v>
      </c>
      <c r="AG105" s="11">
        <v>102.58</v>
      </c>
      <c r="AH105" s="11">
        <v>-3.28</v>
      </c>
      <c r="AI105" s="13" t="s">
        <v>68</v>
      </c>
    </row>
    <row r="106" spans="1:35" ht="18" customHeight="1" x14ac:dyDescent="0.25">
      <c r="A106" s="4">
        <v>105</v>
      </c>
      <c r="B106" s="4">
        <v>1</v>
      </c>
      <c r="C106" s="4">
        <v>105</v>
      </c>
      <c r="D106" s="108">
        <v>45231</v>
      </c>
      <c r="E106" s="108">
        <v>45233</v>
      </c>
      <c r="F106" s="108">
        <v>45239</v>
      </c>
      <c r="G106" s="5">
        <v>18989.150000000001</v>
      </c>
      <c r="H106" s="5">
        <v>19230.599999999999</v>
      </c>
      <c r="I106" s="5">
        <v>241.45</v>
      </c>
      <c r="J106" s="6">
        <v>1.2715155759999788E-2</v>
      </c>
      <c r="K106" s="7" t="s">
        <v>28</v>
      </c>
      <c r="L106" s="4">
        <v>19100</v>
      </c>
      <c r="M106" s="28">
        <f t="shared" si="3"/>
        <v>5.8375440712195026E-3</v>
      </c>
      <c r="N106" s="111">
        <f t="shared" si="4"/>
        <v>110.84999999999854</v>
      </c>
      <c r="O106" s="111">
        <f t="shared" si="5"/>
        <v>66.350000000001444</v>
      </c>
      <c r="P106" s="7" t="s">
        <v>67</v>
      </c>
      <c r="Q106" s="4">
        <v>65</v>
      </c>
      <c r="R106" s="5">
        <v>177.2</v>
      </c>
      <c r="S106" s="5">
        <v>40.299999999999997</v>
      </c>
      <c r="T106" s="8">
        <v>0.30649999999999999</v>
      </c>
      <c r="U106" s="8">
        <v>0.78439999999999999</v>
      </c>
      <c r="V106" s="8">
        <v>0.30649999999999999</v>
      </c>
      <c r="W106" s="8">
        <v>0.78439999999999999</v>
      </c>
      <c r="X106" s="8">
        <v>0.30649999999999999</v>
      </c>
      <c r="Y106" s="5">
        <v>136.9</v>
      </c>
      <c r="Z106" s="6">
        <v>7.2093800933691081E-3</v>
      </c>
      <c r="AA106" s="9">
        <v>136.9</v>
      </c>
      <c r="AB106" s="9">
        <v>0.72093800933691077</v>
      </c>
      <c r="AC106" s="5">
        <v>104.13965150598754</v>
      </c>
      <c r="AD106" s="5">
        <v>106.06355697780715</v>
      </c>
      <c r="AE106" s="5">
        <v>-1.9239054718196087</v>
      </c>
      <c r="AF106" s="6">
        <v>-1.8139175477795533E-2</v>
      </c>
      <c r="AG106" s="5">
        <v>103.71</v>
      </c>
      <c r="AH106" s="5">
        <v>-2.2200000000000002</v>
      </c>
      <c r="AI106" s="7" t="s">
        <v>71</v>
      </c>
    </row>
    <row r="107" spans="1:35" ht="18" customHeight="1" x14ac:dyDescent="0.25">
      <c r="A107" s="10">
        <v>106</v>
      </c>
      <c r="B107" s="10">
        <v>1</v>
      </c>
      <c r="C107" s="10">
        <v>106</v>
      </c>
      <c r="D107" s="109">
        <v>45233</v>
      </c>
      <c r="E107" s="109">
        <v>45238</v>
      </c>
      <c r="F107" s="109">
        <v>45239</v>
      </c>
      <c r="G107" s="11">
        <v>19230.599999999999</v>
      </c>
      <c r="H107" s="11">
        <v>19443.5</v>
      </c>
      <c r="I107" s="11">
        <v>212.9</v>
      </c>
      <c r="J107" s="12">
        <v>1.1070897423897332E-2</v>
      </c>
      <c r="K107" s="13" t="s">
        <v>28</v>
      </c>
      <c r="L107" s="10">
        <v>19200</v>
      </c>
      <c r="M107" s="28">
        <f t="shared" si="3"/>
        <v>-1.591214002683139E-3</v>
      </c>
      <c r="N107" s="111">
        <f t="shared" si="4"/>
        <v>0</v>
      </c>
      <c r="O107" s="111">
        <f t="shared" si="5"/>
        <v>70.650000000000006</v>
      </c>
      <c r="P107" s="13" t="s">
        <v>67</v>
      </c>
      <c r="Q107" s="10">
        <v>65</v>
      </c>
      <c r="R107" s="11">
        <v>70.650000000000006</v>
      </c>
      <c r="S107" s="11">
        <v>2.35</v>
      </c>
      <c r="T107" s="14">
        <v>0.15959999999999999</v>
      </c>
      <c r="U107" s="14">
        <v>0.35749999999999998</v>
      </c>
      <c r="V107" s="14">
        <v>0.15959999999999999</v>
      </c>
      <c r="W107" s="14">
        <v>0.35749999999999998</v>
      </c>
      <c r="X107" s="14">
        <v>0.15959999999999999</v>
      </c>
      <c r="Y107" s="11">
        <v>68.3</v>
      </c>
      <c r="Z107" s="12">
        <v>3.5516312543550383E-3</v>
      </c>
      <c r="AA107" s="9">
        <v>68.3</v>
      </c>
      <c r="AB107" s="9">
        <v>0.35516312543550382</v>
      </c>
      <c r="AC107" s="11">
        <v>104.50951714709386</v>
      </c>
      <c r="AD107" s="11">
        <v>106.06355697780715</v>
      </c>
      <c r="AE107" s="11">
        <v>-1.5540398307132932</v>
      </c>
      <c r="AF107" s="12">
        <v>-1.4651967885995584E-2</v>
      </c>
      <c r="AG107" s="11">
        <v>104.31</v>
      </c>
      <c r="AH107" s="11">
        <v>-1.65</v>
      </c>
      <c r="AI107" s="13" t="s">
        <v>68</v>
      </c>
    </row>
    <row r="108" spans="1:35" ht="18" customHeight="1" x14ac:dyDescent="0.25">
      <c r="A108" s="4">
        <v>107</v>
      </c>
      <c r="B108" s="4">
        <v>1</v>
      </c>
      <c r="C108" s="4">
        <v>107</v>
      </c>
      <c r="D108" s="108">
        <v>45238</v>
      </c>
      <c r="E108" s="108">
        <v>45245</v>
      </c>
      <c r="F108" s="108">
        <v>45246</v>
      </c>
      <c r="G108" s="5">
        <v>19443.5</v>
      </c>
      <c r="H108" s="5">
        <v>19675.45</v>
      </c>
      <c r="I108" s="5">
        <v>231.95</v>
      </c>
      <c r="J108" s="6">
        <v>1.1929436572633527E-2</v>
      </c>
      <c r="K108" s="7" t="s">
        <v>28</v>
      </c>
      <c r="L108" s="4">
        <v>19400</v>
      </c>
      <c r="M108" s="28">
        <f t="shared" si="3"/>
        <v>-2.2372515236454005E-3</v>
      </c>
      <c r="N108" s="111">
        <f t="shared" si="4"/>
        <v>0</v>
      </c>
      <c r="O108" s="111">
        <f t="shared" si="5"/>
        <v>82.45</v>
      </c>
      <c r="P108" s="7" t="s">
        <v>67</v>
      </c>
      <c r="Q108" s="4">
        <v>65</v>
      </c>
      <c r="R108" s="5">
        <v>82.45</v>
      </c>
      <c r="S108" s="5">
        <v>2.25</v>
      </c>
      <c r="T108" s="8">
        <v>-0.19309999999999999</v>
      </c>
      <c r="U108" s="8">
        <v>0.4148</v>
      </c>
      <c r="V108" s="8">
        <v>-0.19309999999999999</v>
      </c>
      <c r="W108" s="8">
        <v>0.4148</v>
      </c>
      <c r="X108" s="8">
        <v>-0.19309999999999999</v>
      </c>
      <c r="Y108" s="5">
        <v>80.2</v>
      </c>
      <c r="Z108" s="6">
        <v>4.1247717746290538E-3</v>
      </c>
      <c r="AA108" s="9">
        <v>80.2</v>
      </c>
      <c r="AB108" s="9">
        <v>0.41247717746290535</v>
      </c>
      <c r="AC108" s="5">
        <v>104.94059505360231</v>
      </c>
      <c r="AD108" s="5">
        <v>106.06355697780715</v>
      </c>
      <c r="AE108" s="5">
        <v>-1.1229619242048443</v>
      </c>
      <c r="AF108" s="6">
        <v>-1.0587632134945409E-2</v>
      </c>
      <c r="AG108" s="5">
        <v>104.31</v>
      </c>
      <c r="AH108" s="5">
        <v>-1.65</v>
      </c>
      <c r="AI108" s="7" t="s">
        <v>69</v>
      </c>
    </row>
    <row r="109" spans="1:35" ht="18" customHeight="1" x14ac:dyDescent="0.25">
      <c r="A109" s="10">
        <v>108</v>
      </c>
      <c r="B109" s="10">
        <v>1</v>
      </c>
      <c r="C109" s="10">
        <v>108</v>
      </c>
      <c r="D109" s="109">
        <v>45245</v>
      </c>
      <c r="E109" s="109">
        <v>45252</v>
      </c>
      <c r="F109" s="109">
        <v>45253</v>
      </c>
      <c r="G109" s="11">
        <v>19675.45</v>
      </c>
      <c r="H109" s="11">
        <v>19811.849999999999</v>
      </c>
      <c r="I109" s="11">
        <v>136.4</v>
      </c>
      <c r="J109" s="12">
        <v>6.9324970966356553E-3</v>
      </c>
      <c r="K109" s="13" t="s">
        <v>28</v>
      </c>
      <c r="L109" s="10">
        <v>19700</v>
      </c>
      <c r="M109" s="28">
        <f t="shared" si="3"/>
        <v>1.2477478278767329E-3</v>
      </c>
      <c r="N109" s="111">
        <f t="shared" si="4"/>
        <v>24.549999999999272</v>
      </c>
      <c r="O109" s="111">
        <f t="shared" si="5"/>
        <v>82.050000000000722</v>
      </c>
      <c r="P109" s="13" t="s">
        <v>67</v>
      </c>
      <c r="Q109" s="10">
        <v>65</v>
      </c>
      <c r="R109" s="11">
        <v>106.6</v>
      </c>
      <c r="S109" s="11">
        <v>7.35</v>
      </c>
      <c r="T109" s="14">
        <v>-5.2600000000000001E-2</v>
      </c>
      <c r="U109" s="14">
        <v>0.51229999999999998</v>
      </c>
      <c r="V109" s="14">
        <v>-5.2600000000000001E-2</v>
      </c>
      <c r="W109" s="14">
        <v>0.51229999999999998</v>
      </c>
      <c r="X109" s="14">
        <v>-5.2600000000000001E-2</v>
      </c>
      <c r="Y109" s="11">
        <v>99.25</v>
      </c>
      <c r="Z109" s="12">
        <v>5.0443573082191258E-3</v>
      </c>
      <c r="AA109" s="9">
        <v>99.25</v>
      </c>
      <c r="AB109" s="9">
        <v>0.50443573082191262</v>
      </c>
      <c r="AC109" s="11">
        <v>105.46995291118981</v>
      </c>
      <c r="AD109" s="11">
        <v>106.06355697780715</v>
      </c>
      <c r="AE109" s="11">
        <v>-0.59360406661734544</v>
      </c>
      <c r="AF109" s="12">
        <v>-5.5966826262629655E-3</v>
      </c>
      <c r="AG109" s="11">
        <v>104.89</v>
      </c>
      <c r="AH109" s="11">
        <v>-1.1100000000000001</v>
      </c>
      <c r="AI109" s="13" t="s">
        <v>68</v>
      </c>
    </row>
    <row r="110" spans="1:35" ht="18" customHeight="1" x14ac:dyDescent="0.25">
      <c r="A110" s="4">
        <v>109</v>
      </c>
      <c r="B110" s="4">
        <v>1</v>
      </c>
      <c r="C110" s="4">
        <v>109</v>
      </c>
      <c r="D110" s="108">
        <v>45252</v>
      </c>
      <c r="E110" s="108">
        <v>45259</v>
      </c>
      <c r="F110" s="108">
        <v>45260</v>
      </c>
      <c r="G110" s="5">
        <v>19811.849999999999</v>
      </c>
      <c r="H110" s="5">
        <v>20096.599999999999</v>
      </c>
      <c r="I110" s="5">
        <v>284.75</v>
      </c>
      <c r="J110" s="6">
        <v>1.4372711281379579E-2</v>
      </c>
      <c r="K110" s="7" t="s">
        <v>28</v>
      </c>
      <c r="L110" s="4">
        <v>19800</v>
      </c>
      <c r="M110" s="28">
        <f t="shared" si="3"/>
        <v>-5.9812687861049429E-4</v>
      </c>
      <c r="N110" s="111">
        <f t="shared" si="4"/>
        <v>0</v>
      </c>
      <c r="O110" s="111">
        <f t="shared" si="5"/>
        <v>66.55</v>
      </c>
      <c r="P110" s="7" t="s">
        <v>67</v>
      </c>
      <c r="Q110" s="4">
        <v>65</v>
      </c>
      <c r="R110" s="5">
        <v>66.55</v>
      </c>
      <c r="S110" s="5">
        <v>4.1500000000000004</v>
      </c>
      <c r="T110" s="8">
        <v>-9.4600000000000004E-2</v>
      </c>
      <c r="U110" s="8">
        <v>0.318</v>
      </c>
      <c r="V110" s="8">
        <v>-9.4600000000000004E-2</v>
      </c>
      <c r="W110" s="8">
        <v>0.318</v>
      </c>
      <c r="X110" s="8">
        <v>-9.4600000000000004E-2</v>
      </c>
      <c r="Y110" s="5">
        <v>62.4</v>
      </c>
      <c r="Z110" s="6">
        <v>3.1496301455946822E-3</v>
      </c>
      <c r="AA110" s="9">
        <v>62.4</v>
      </c>
      <c r="AB110" s="9">
        <v>0.31496301455946824</v>
      </c>
      <c r="AC110" s="5">
        <v>105.80214425433334</v>
      </c>
      <c r="AD110" s="5">
        <v>106.06355697780715</v>
      </c>
      <c r="AE110" s="5">
        <v>-0.26141272347381062</v>
      </c>
      <c r="AF110" s="6">
        <v>-2.4646799609832895E-3</v>
      </c>
      <c r="AG110" s="5">
        <v>105.37</v>
      </c>
      <c r="AH110" s="5">
        <v>-0.65</v>
      </c>
      <c r="AI110" s="7" t="s">
        <v>69</v>
      </c>
    </row>
    <row r="111" spans="1:35" ht="18" customHeight="1" x14ac:dyDescent="0.25">
      <c r="A111" s="10">
        <v>110</v>
      </c>
      <c r="B111" s="10">
        <v>1</v>
      </c>
      <c r="C111" s="10">
        <v>110</v>
      </c>
      <c r="D111" s="109">
        <v>45259</v>
      </c>
      <c r="E111" s="109">
        <v>45264</v>
      </c>
      <c r="F111" s="109">
        <v>45267</v>
      </c>
      <c r="G111" s="11">
        <v>20096.599999999999</v>
      </c>
      <c r="H111" s="11">
        <v>20686.8</v>
      </c>
      <c r="I111" s="11">
        <v>590.20000000000005</v>
      </c>
      <c r="J111" s="12">
        <v>2.9368151826677152E-2</v>
      </c>
      <c r="K111" s="13" t="s">
        <v>28</v>
      </c>
      <c r="L111" s="10">
        <v>20100</v>
      </c>
      <c r="M111" s="28">
        <f t="shared" si="3"/>
        <v>1.6918284684974694E-4</v>
      </c>
      <c r="N111" s="111">
        <f t="shared" si="4"/>
        <v>3.4000000000014552</v>
      </c>
      <c r="O111" s="111">
        <f t="shared" si="5"/>
        <v>98.299999999998548</v>
      </c>
      <c r="P111" s="13" t="s">
        <v>67</v>
      </c>
      <c r="Q111" s="10">
        <v>65</v>
      </c>
      <c r="R111" s="11">
        <v>101.7</v>
      </c>
      <c r="S111" s="11">
        <v>9.85</v>
      </c>
      <c r="T111" s="14">
        <v>-0.2291</v>
      </c>
      <c r="U111" s="14">
        <v>0.47839999999999999</v>
      </c>
      <c r="V111" s="14">
        <v>-0.2291</v>
      </c>
      <c r="W111" s="14">
        <v>0.47839999999999999</v>
      </c>
      <c r="X111" s="14">
        <v>-0.2291</v>
      </c>
      <c r="Y111" s="11">
        <v>91.85</v>
      </c>
      <c r="Z111" s="12">
        <v>4.5704248479842358E-3</v>
      </c>
      <c r="AA111" s="9">
        <v>91.85</v>
      </c>
      <c r="AB111" s="9">
        <v>0.45704248479842358</v>
      </c>
      <c r="AC111" s="11">
        <v>106.28570500340336</v>
      </c>
      <c r="AD111" s="11">
        <v>106.28570500340336</v>
      </c>
      <c r="AE111" s="10">
        <v>0</v>
      </c>
      <c r="AF111" s="12">
        <v>0</v>
      </c>
      <c r="AG111" s="11">
        <v>105.56</v>
      </c>
      <c r="AH111" s="11">
        <v>-0.47</v>
      </c>
      <c r="AI111" s="13" t="s">
        <v>71</v>
      </c>
    </row>
    <row r="112" spans="1:35" ht="18" customHeight="1" x14ac:dyDescent="0.25">
      <c r="A112" s="4">
        <v>111</v>
      </c>
      <c r="B112" s="4">
        <v>1</v>
      </c>
      <c r="C112" s="4">
        <v>111</v>
      </c>
      <c r="D112" s="108">
        <v>45264</v>
      </c>
      <c r="E112" s="108">
        <v>45266</v>
      </c>
      <c r="F112" s="108">
        <v>45267</v>
      </c>
      <c r="G112" s="5">
        <v>20686.8</v>
      </c>
      <c r="H112" s="5">
        <v>20937.7</v>
      </c>
      <c r="I112" s="5">
        <v>250.9</v>
      </c>
      <c r="J112" s="6">
        <v>1.2128507067308622E-2</v>
      </c>
      <c r="K112" s="7" t="s">
        <v>28</v>
      </c>
      <c r="L112" s="4">
        <v>20700</v>
      </c>
      <c r="M112" s="28">
        <f t="shared" si="3"/>
        <v>6.3808805615184205E-4</v>
      </c>
      <c r="N112" s="111">
        <f t="shared" si="4"/>
        <v>13.200000000000728</v>
      </c>
      <c r="O112" s="111">
        <f t="shared" si="5"/>
        <v>86.699999999999278</v>
      </c>
      <c r="P112" s="7" t="s">
        <v>67</v>
      </c>
      <c r="Q112" s="4">
        <v>65</v>
      </c>
      <c r="R112" s="5">
        <v>99.9</v>
      </c>
      <c r="S112" s="5">
        <v>5.35</v>
      </c>
      <c r="T112" s="8">
        <v>3.0499999999999999E-2</v>
      </c>
      <c r="U112" s="8">
        <v>0.46239999999999998</v>
      </c>
      <c r="V112" s="8">
        <v>3.0499999999999999E-2</v>
      </c>
      <c r="W112" s="8">
        <v>0.46239999999999998</v>
      </c>
      <c r="X112" s="8">
        <v>3.0499999999999999E-2</v>
      </c>
      <c r="Y112" s="5">
        <v>94.55</v>
      </c>
      <c r="Z112" s="6">
        <v>4.5705474022081716E-3</v>
      </c>
      <c r="AA112" s="9">
        <v>94.55</v>
      </c>
      <c r="AB112" s="9">
        <v>0.45705474022081716</v>
      </c>
      <c r="AC112" s="5">
        <v>106.77148885629853</v>
      </c>
      <c r="AD112" s="5">
        <v>106.77148885629853</v>
      </c>
      <c r="AE112" s="4">
        <v>0</v>
      </c>
      <c r="AF112" s="6">
        <v>0</v>
      </c>
      <c r="AG112" s="5">
        <v>106.32</v>
      </c>
      <c r="AH112" s="5">
        <v>0.03</v>
      </c>
      <c r="AI112" s="7" t="s">
        <v>68</v>
      </c>
    </row>
    <row r="113" spans="1:35" ht="18" customHeight="1" x14ac:dyDescent="0.25">
      <c r="A113" s="10">
        <v>112</v>
      </c>
      <c r="B113" s="10">
        <v>1</v>
      </c>
      <c r="C113" s="10">
        <v>112</v>
      </c>
      <c r="D113" s="109">
        <v>45266</v>
      </c>
      <c r="E113" s="109">
        <v>45273</v>
      </c>
      <c r="F113" s="109">
        <v>45274</v>
      </c>
      <c r="G113" s="11">
        <v>20937.7</v>
      </c>
      <c r="H113" s="11">
        <v>20926.349999999999</v>
      </c>
      <c r="I113" s="11">
        <v>-11.35</v>
      </c>
      <c r="J113" s="12">
        <v>-5.4208437411941131E-4</v>
      </c>
      <c r="K113" s="13" t="s">
        <v>28</v>
      </c>
      <c r="L113" s="10">
        <v>20800</v>
      </c>
      <c r="M113" s="28">
        <f t="shared" si="3"/>
        <v>-6.5766535961447881E-3</v>
      </c>
      <c r="N113" s="111">
        <f t="shared" si="4"/>
        <v>0</v>
      </c>
      <c r="O113" s="111">
        <f t="shared" si="5"/>
        <v>69.400000000000006</v>
      </c>
      <c r="P113" s="13" t="s">
        <v>67</v>
      </c>
      <c r="Q113" s="10">
        <v>65</v>
      </c>
      <c r="R113" s="11">
        <v>69.400000000000006</v>
      </c>
      <c r="S113" s="11">
        <v>12.2</v>
      </c>
      <c r="T113" s="14">
        <v>-9.8400000000000001E-2</v>
      </c>
      <c r="U113" s="14">
        <v>0.28939999999999999</v>
      </c>
      <c r="V113" s="14">
        <v>-9.8400000000000001E-2</v>
      </c>
      <c r="W113" s="14">
        <v>0.28939999999999999</v>
      </c>
      <c r="X113" s="14">
        <v>-9.8400000000000001E-2</v>
      </c>
      <c r="Y113" s="11">
        <v>57.2</v>
      </c>
      <c r="Z113" s="12">
        <v>2.7319142026106021E-3</v>
      </c>
      <c r="AA113" s="9">
        <v>57.2</v>
      </c>
      <c r="AB113" s="9">
        <v>0.27319142026106019</v>
      </c>
      <c r="AC113" s="11">
        <v>107.06317940313893</v>
      </c>
      <c r="AD113" s="11">
        <v>107.06317940313893</v>
      </c>
      <c r="AE113" s="10">
        <v>0</v>
      </c>
      <c r="AF113" s="12">
        <v>0</v>
      </c>
      <c r="AG113" s="11">
        <v>106.67</v>
      </c>
      <c r="AH113" s="11">
        <v>-0.1</v>
      </c>
      <c r="AI113" s="13" t="s">
        <v>68</v>
      </c>
    </row>
    <row r="114" spans="1:35" ht="18" customHeight="1" x14ac:dyDescent="0.25">
      <c r="A114" s="4">
        <v>113</v>
      </c>
      <c r="B114" s="4">
        <v>1</v>
      </c>
      <c r="C114" s="4">
        <v>113</v>
      </c>
      <c r="D114" s="108">
        <v>45273</v>
      </c>
      <c r="E114" s="108">
        <v>45274</v>
      </c>
      <c r="F114" s="108">
        <v>45281</v>
      </c>
      <c r="G114" s="5">
        <v>20926.349999999999</v>
      </c>
      <c r="H114" s="5">
        <v>21182.7</v>
      </c>
      <c r="I114" s="5">
        <v>256.35000000000002</v>
      </c>
      <c r="J114" s="6">
        <v>1.2250105727945869E-2</v>
      </c>
      <c r="K114" s="7" t="s">
        <v>28</v>
      </c>
      <c r="L114" s="4">
        <v>20900</v>
      </c>
      <c r="M114" s="28">
        <f t="shared" si="3"/>
        <v>-1.2591780219673998E-3</v>
      </c>
      <c r="N114" s="111">
        <f t="shared" si="4"/>
        <v>0</v>
      </c>
      <c r="O114" s="111">
        <f t="shared" si="5"/>
        <v>82.75</v>
      </c>
      <c r="P114" s="7" t="s">
        <v>67</v>
      </c>
      <c r="Q114" s="4">
        <v>65</v>
      </c>
      <c r="R114" s="5">
        <v>82.75</v>
      </c>
      <c r="S114" s="5">
        <v>19.600000000000001</v>
      </c>
      <c r="T114" s="8">
        <v>0.19450000000000001</v>
      </c>
      <c r="U114" s="8">
        <v>0.3503</v>
      </c>
      <c r="V114" s="8">
        <v>0.19450000000000001</v>
      </c>
      <c r="W114" s="8">
        <v>0.3503</v>
      </c>
      <c r="X114" s="8">
        <v>0.19450000000000001</v>
      </c>
      <c r="Y114" s="5">
        <v>63.15</v>
      </c>
      <c r="Z114" s="6">
        <v>3.0177264549240551E-3</v>
      </c>
      <c r="AA114" s="9">
        <v>63.15</v>
      </c>
      <c r="AB114" s="9">
        <v>0.30177264549240551</v>
      </c>
      <c r="AC114" s="5">
        <v>107.38626679197206</v>
      </c>
      <c r="AD114" s="5">
        <v>107.38626679197206</v>
      </c>
      <c r="AE114" s="4">
        <v>0</v>
      </c>
      <c r="AF114" s="6">
        <v>0</v>
      </c>
      <c r="AG114" s="5">
        <v>107.27</v>
      </c>
      <c r="AH114" s="5">
        <v>0.19</v>
      </c>
      <c r="AI114" s="7" t="s">
        <v>71</v>
      </c>
    </row>
    <row r="115" spans="1:35" ht="18" customHeight="1" x14ac:dyDescent="0.25">
      <c r="A115" s="10">
        <v>114</v>
      </c>
      <c r="B115" s="10">
        <v>1</v>
      </c>
      <c r="C115" s="10">
        <v>114</v>
      </c>
      <c r="D115" s="109">
        <v>45274</v>
      </c>
      <c r="E115" s="109">
        <v>45275</v>
      </c>
      <c r="F115" s="109">
        <v>45281</v>
      </c>
      <c r="G115" s="11">
        <v>21182.7</v>
      </c>
      <c r="H115" s="11">
        <v>21456.65</v>
      </c>
      <c r="I115" s="11">
        <v>273.95</v>
      </c>
      <c r="J115" s="12">
        <v>1.2932723401643793E-2</v>
      </c>
      <c r="K115" s="13" t="s">
        <v>28</v>
      </c>
      <c r="L115" s="10">
        <v>21200</v>
      </c>
      <c r="M115" s="28">
        <f t="shared" si="3"/>
        <v>8.167041972930722E-4</v>
      </c>
      <c r="N115" s="111">
        <f t="shared" si="4"/>
        <v>17.299999999999272</v>
      </c>
      <c r="O115" s="111">
        <f t="shared" si="5"/>
        <v>65.000000000000725</v>
      </c>
      <c r="P115" s="13" t="s">
        <v>67</v>
      </c>
      <c r="Q115" s="10">
        <v>65</v>
      </c>
      <c r="R115" s="11">
        <v>82.3</v>
      </c>
      <c r="S115" s="11">
        <v>37.200000000000003</v>
      </c>
      <c r="T115" s="14">
        <v>6.0199999999999997E-2</v>
      </c>
      <c r="U115" s="14">
        <v>0.23180000000000001</v>
      </c>
      <c r="V115" s="14">
        <v>6.0199999999999997E-2</v>
      </c>
      <c r="W115" s="14">
        <v>0.23180000000000001</v>
      </c>
      <c r="X115" s="14">
        <v>6.0199999999999997E-2</v>
      </c>
      <c r="Y115" s="11">
        <v>45.1</v>
      </c>
      <c r="Z115" s="12">
        <v>2.1290959131744299E-3</v>
      </c>
      <c r="AA115" s="9">
        <v>45.1</v>
      </c>
      <c r="AB115" s="9">
        <v>0.212909591317443</v>
      </c>
      <c r="AC115" s="11">
        <v>107.6149024537299</v>
      </c>
      <c r="AD115" s="11">
        <v>107.6149024537299</v>
      </c>
      <c r="AE115" s="10">
        <v>0</v>
      </c>
      <c r="AF115" s="12">
        <v>0</v>
      </c>
      <c r="AG115" s="11">
        <v>107.45</v>
      </c>
      <c r="AH115" s="11">
        <v>0.06</v>
      </c>
      <c r="AI115" s="13" t="s">
        <v>71</v>
      </c>
    </row>
    <row r="116" spans="1:35" ht="18" customHeight="1" x14ac:dyDescent="0.25">
      <c r="A116" s="4">
        <v>115</v>
      </c>
      <c r="B116" s="4">
        <v>1</v>
      </c>
      <c r="C116" s="4">
        <v>115</v>
      </c>
      <c r="D116" s="108">
        <v>45275</v>
      </c>
      <c r="E116" s="108">
        <v>45280</v>
      </c>
      <c r="F116" s="108">
        <v>45281</v>
      </c>
      <c r="G116" s="5">
        <v>21456.65</v>
      </c>
      <c r="H116" s="5">
        <v>21150.15</v>
      </c>
      <c r="I116" s="5">
        <v>-306.5</v>
      </c>
      <c r="J116" s="6">
        <v>-1.4284615725194752E-2</v>
      </c>
      <c r="K116" s="7" t="s">
        <v>28</v>
      </c>
      <c r="L116" s="4">
        <v>21500</v>
      </c>
      <c r="M116" s="28">
        <f t="shared" si="3"/>
        <v>2.0203526645585779E-3</v>
      </c>
      <c r="N116" s="111">
        <f t="shared" si="4"/>
        <v>43.349999999998545</v>
      </c>
      <c r="O116" s="111">
        <f t="shared" si="5"/>
        <v>72.75000000000145</v>
      </c>
      <c r="P116" s="7" t="s">
        <v>67</v>
      </c>
      <c r="Q116" s="4">
        <v>65</v>
      </c>
      <c r="R116" s="5">
        <v>116.1</v>
      </c>
      <c r="S116" s="5">
        <v>354.7</v>
      </c>
      <c r="T116" s="8">
        <v>-1.4047000000000001</v>
      </c>
      <c r="U116" s="8">
        <v>0.42480000000000001</v>
      </c>
      <c r="V116" s="8">
        <v>-1.4047000000000001</v>
      </c>
      <c r="W116" s="8">
        <v>0.42480000000000001</v>
      </c>
      <c r="X116" s="8">
        <v>-1.4047000000000001</v>
      </c>
      <c r="Y116" s="5">
        <v>-238.6</v>
      </c>
      <c r="Z116" s="6">
        <v>-1.1120095634686682E-2</v>
      </c>
      <c r="AA116" s="15">
        <v>-238.6</v>
      </c>
      <c r="AB116" s="15">
        <v>-1.1120095634686682</v>
      </c>
      <c r="AC116" s="5">
        <v>106.41821444672695</v>
      </c>
      <c r="AD116" s="5">
        <v>107.6149024537299</v>
      </c>
      <c r="AE116" s="5">
        <v>-1.1966880070029475</v>
      </c>
      <c r="AF116" s="6">
        <v>-1.1120095634686614E-2</v>
      </c>
      <c r="AG116" s="5">
        <v>106.1</v>
      </c>
      <c r="AH116" s="5">
        <v>-1.41</v>
      </c>
      <c r="AI116" s="7" t="s">
        <v>68</v>
      </c>
    </row>
    <row r="117" spans="1:35" ht="18" customHeight="1" x14ac:dyDescent="0.25">
      <c r="A117" s="10">
        <v>116</v>
      </c>
      <c r="B117" s="10">
        <v>1</v>
      </c>
      <c r="C117" s="10">
        <v>116</v>
      </c>
      <c r="D117" s="109">
        <v>45280</v>
      </c>
      <c r="E117" s="109">
        <v>45286</v>
      </c>
      <c r="F117" s="109">
        <v>45288</v>
      </c>
      <c r="G117" s="11">
        <v>21150.15</v>
      </c>
      <c r="H117" s="11">
        <v>21441.35</v>
      </c>
      <c r="I117" s="11">
        <v>291.2</v>
      </c>
      <c r="J117" s="12">
        <v>1.376822386602459E-2</v>
      </c>
      <c r="K117" s="13" t="s">
        <v>28</v>
      </c>
      <c r="L117" s="10">
        <v>21200</v>
      </c>
      <c r="M117" s="28">
        <f t="shared" si="3"/>
        <v>2.3569572792627724E-3</v>
      </c>
      <c r="N117" s="111">
        <f t="shared" si="4"/>
        <v>49.849999999998545</v>
      </c>
      <c r="O117" s="111">
        <f t="shared" si="5"/>
        <v>90.400000000001455</v>
      </c>
      <c r="P117" s="13" t="s">
        <v>67</v>
      </c>
      <c r="Q117" s="10">
        <v>65</v>
      </c>
      <c r="R117" s="11">
        <v>140.25</v>
      </c>
      <c r="S117" s="11">
        <v>21.9</v>
      </c>
      <c r="T117" s="14">
        <v>-0.44469999999999998</v>
      </c>
      <c r="U117" s="14">
        <v>0.57920000000000005</v>
      </c>
      <c r="V117" s="14">
        <v>-0.44469999999999998</v>
      </c>
      <c r="W117" s="14">
        <v>0.57920000000000005</v>
      </c>
      <c r="X117" s="14">
        <v>-0.44469999999999998</v>
      </c>
      <c r="Y117" s="11">
        <v>118.35</v>
      </c>
      <c r="Z117" s="12">
        <v>5.5957049950000346E-3</v>
      </c>
      <c r="AA117" s="9">
        <v>118.35</v>
      </c>
      <c r="AB117" s="9">
        <v>0.55957049950000348</v>
      </c>
      <c r="AC117" s="11">
        <v>107.01369938086548</v>
      </c>
      <c r="AD117" s="11">
        <v>107.6149024537299</v>
      </c>
      <c r="AE117" s="11">
        <v>-0.60120307286442198</v>
      </c>
      <c r="AF117" s="12">
        <v>-5.5866154143745586E-3</v>
      </c>
      <c r="AG117" s="11">
        <v>105.94</v>
      </c>
      <c r="AH117" s="11">
        <v>-1.56</v>
      </c>
      <c r="AI117" s="13" t="s">
        <v>71</v>
      </c>
    </row>
    <row r="118" spans="1:35" ht="18" customHeight="1" x14ac:dyDescent="0.25">
      <c r="A118" s="4">
        <v>117</v>
      </c>
      <c r="B118" s="4">
        <v>1</v>
      </c>
      <c r="C118" s="4">
        <v>117</v>
      </c>
      <c r="D118" s="108">
        <v>45286</v>
      </c>
      <c r="E118" s="108">
        <v>45287</v>
      </c>
      <c r="F118" s="108">
        <v>45288</v>
      </c>
      <c r="G118" s="5">
        <v>21441.35</v>
      </c>
      <c r="H118" s="5">
        <v>21654.75</v>
      </c>
      <c r="I118" s="5">
        <v>213.4</v>
      </c>
      <c r="J118" s="6">
        <v>9.9527315211029171E-3</v>
      </c>
      <c r="K118" s="7" t="s">
        <v>28</v>
      </c>
      <c r="L118" s="4">
        <v>21400</v>
      </c>
      <c r="M118" s="28">
        <f t="shared" si="3"/>
        <v>-1.928516627917487E-3</v>
      </c>
      <c r="N118" s="111">
        <f t="shared" si="4"/>
        <v>0</v>
      </c>
      <c r="O118" s="111">
        <f t="shared" si="5"/>
        <v>61.1</v>
      </c>
      <c r="P118" s="7" t="s">
        <v>67</v>
      </c>
      <c r="Q118" s="4">
        <v>65</v>
      </c>
      <c r="R118" s="5">
        <v>61.1</v>
      </c>
      <c r="S118" s="5">
        <v>10.8</v>
      </c>
      <c r="T118" s="8">
        <v>7.4899999999999994E-2</v>
      </c>
      <c r="U118" s="8">
        <v>0.24</v>
      </c>
      <c r="V118" s="8">
        <v>7.4899999999999994E-2</v>
      </c>
      <c r="W118" s="8">
        <v>0.24</v>
      </c>
      <c r="X118" s="8">
        <v>7.4899999999999994E-2</v>
      </c>
      <c r="Y118" s="5">
        <v>50.3</v>
      </c>
      <c r="Z118" s="6">
        <v>2.3459343744680256E-3</v>
      </c>
      <c r="AA118" s="9">
        <v>50.3</v>
      </c>
      <c r="AB118" s="9">
        <v>0.23459343744680256</v>
      </c>
      <c r="AC118" s="5">
        <v>107.26474649678204</v>
      </c>
      <c r="AD118" s="5">
        <v>107.6149024537299</v>
      </c>
      <c r="AE118" s="5">
        <v>-0.35015595694785873</v>
      </c>
      <c r="AF118" s="6">
        <v>-3.2537868730440171E-3</v>
      </c>
      <c r="AG118" s="5">
        <v>107.09</v>
      </c>
      <c r="AH118" s="5">
        <v>-0.49</v>
      </c>
      <c r="AI118" s="7" t="s">
        <v>68</v>
      </c>
    </row>
    <row r="119" spans="1:35" ht="18" customHeight="1" x14ac:dyDescent="0.25">
      <c r="A119" s="10">
        <v>118</v>
      </c>
      <c r="B119" s="10">
        <v>1</v>
      </c>
      <c r="C119" s="10">
        <v>118</v>
      </c>
      <c r="D119" s="109">
        <v>45287</v>
      </c>
      <c r="E119" s="109">
        <v>45294</v>
      </c>
      <c r="F119" s="109">
        <v>45295</v>
      </c>
      <c r="G119" s="11">
        <v>21654.75</v>
      </c>
      <c r="H119" s="11">
        <v>21517.35</v>
      </c>
      <c r="I119" s="11">
        <v>-137.4</v>
      </c>
      <c r="J119" s="12">
        <v>-6.3450282270633464E-3</v>
      </c>
      <c r="K119" s="13" t="s">
        <v>28</v>
      </c>
      <c r="L119" s="10">
        <v>21700</v>
      </c>
      <c r="M119" s="28">
        <f t="shared" si="3"/>
        <v>2.0896108244150557E-3</v>
      </c>
      <c r="N119" s="111">
        <f t="shared" si="4"/>
        <v>45.25</v>
      </c>
      <c r="O119" s="111">
        <f t="shared" si="5"/>
        <v>100.5</v>
      </c>
      <c r="P119" s="13" t="s">
        <v>67</v>
      </c>
      <c r="Q119" s="10">
        <v>65</v>
      </c>
      <c r="R119" s="11">
        <v>145.75</v>
      </c>
      <c r="S119" s="11">
        <v>199.5</v>
      </c>
      <c r="T119" s="14">
        <v>-0.36499999999999999</v>
      </c>
      <c r="U119" s="14">
        <v>0.50609999999999999</v>
      </c>
      <c r="V119" s="14">
        <v>-0.36499999999999999</v>
      </c>
      <c r="W119" s="14">
        <v>0.50609999999999999</v>
      </c>
      <c r="X119" s="14">
        <v>-0.36499999999999999</v>
      </c>
      <c r="Y119" s="11">
        <v>-53.75</v>
      </c>
      <c r="Z119" s="12">
        <v>-2.4821344046918113E-3</v>
      </c>
      <c r="AA119" s="15">
        <v>-53.75</v>
      </c>
      <c r="AB119" s="15">
        <v>-0.24821344046918112</v>
      </c>
      <c r="AC119" s="11">
        <v>106.99850097909183</v>
      </c>
      <c r="AD119" s="11">
        <v>107.6149024537299</v>
      </c>
      <c r="AE119" s="11">
        <v>-0.61640147463806727</v>
      </c>
      <c r="AF119" s="12">
        <v>-5.7278449413927148E-3</v>
      </c>
      <c r="AG119" s="11">
        <v>106.87</v>
      </c>
      <c r="AH119" s="11">
        <v>-0.69</v>
      </c>
      <c r="AI119" s="13" t="s">
        <v>68</v>
      </c>
    </row>
    <row r="120" spans="1:35" ht="18" customHeight="1" x14ac:dyDescent="0.25">
      <c r="A120" s="4">
        <v>119</v>
      </c>
      <c r="B120" s="4">
        <v>1</v>
      </c>
      <c r="C120" s="4">
        <v>119</v>
      </c>
      <c r="D120" s="108">
        <v>45294</v>
      </c>
      <c r="E120" s="108">
        <v>45301</v>
      </c>
      <c r="F120" s="108">
        <v>45302</v>
      </c>
      <c r="G120" s="5">
        <v>21517.35</v>
      </c>
      <c r="H120" s="5">
        <v>21618.7</v>
      </c>
      <c r="I120" s="5">
        <v>101.35</v>
      </c>
      <c r="J120" s="6">
        <v>4.710152504839118E-3</v>
      </c>
      <c r="K120" s="7" t="s">
        <v>28</v>
      </c>
      <c r="L120" s="4">
        <v>21300</v>
      </c>
      <c r="M120" s="28">
        <f t="shared" si="3"/>
        <v>-1.0101150931689951E-2</v>
      </c>
      <c r="N120" s="111">
        <f t="shared" si="4"/>
        <v>0</v>
      </c>
      <c r="O120" s="111">
        <f t="shared" si="5"/>
        <v>73.599999999999994</v>
      </c>
      <c r="P120" s="7" t="s">
        <v>67</v>
      </c>
      <c r="Q120" s="4">
        <v>65</v>
      </c>
      <c r="R120" s="5">
        <v>73.599999999999994</v>
      </c>
      <c r="S120" s="5">
        <v>3.5</v>
      </c>
      <c r="T120" s="8">
        <v>5.7599999999999998E-2</v>
      </c>
      <c r="U120" s="8">
        <v>0.3337</v>
      </c>
      <c r="V120" s="8">
        <v>5.7599999999999998E-2</v>
      </c>
      <c r="W120" s="8">
        <v>0.3337</v>
      </c>
      <c r="X120" s="8">
        <v>5.7599999999999998E-2</v>
      </c>
      <c r="Y120" s="5">
        <v>70.099999999999994</v>
      </c>
      <c r="Z120" s="6">
        <v>3.2578361182952361E-3</v>
      </c>
      <c r="AA120" s="9">
        <v>70.099999999999994</v>
      </c>
      <c r="AB120" s="9">
        <v>0.32578361182952359</v>
      </c>
      <c r="AC120" s="5">
        <v>107.34708456018497</v>
      </c>
      <c r="AD120" s="5">
        <v>107.6149024537299</v>
      </c>
      <c r="AE120" s="5">
        <v>-0.26781789354492958</v>
      </c>
      <c r="AF120" s="6">
        <v>-2.488669203227504E-3</v>
      </c>
      <c r="AG120" s="5">
        <v>107.06</v>
      </c>
      <c r="AH120" s="5">
        <v>-0.52</v>
      </c>
      <c r="AI120" s="7" t="s">
        <v>68</v>
      </c>
    </row>
    <row r="121" spans="1:35" ht="18" customHeight="1" x14ac:dyDescent="0.25">
      <c r="A121" s="10">
        <v>120</v>
      </c>
      <c r="B121" s="10">
        <v>1</v>
      </c>
      <c r="C121" s="10">
        <v>120</v>
      </c>
      <c r="D121" s="109">
        <v>45301</v>
      </c>
      <c r="E121" s="109">
        <v>45303</v>
      </c>
      <c r="F121" s="109">
        <v>45309</v>
      </c>
      <c r="G121" s="11">
        <v>21618.7</v>
      </c>
      <c r="H121" s="11">
        <v>21894.55</v>
      </c>
      <c r="I121" s="11">
        <v>275.85000000000002</v>
      </c>
      <c r="J121" s="12">
        <v>1.2759786666173268E-2</v>
      </c>
      <c r="K121" s="13" t="s">
        <v>28</v>
      </c>
      <c r="L121" s="10">
        <v>21700</v>
      </c>
      <c r="M121" s="28">
        <f t="shared" si="3"/>
        <v>3.760633155555082E-3</v>
      </c>
      <c r="N121" s="111">
        <f t="shared" si="4"/>
        <v>81.299999999999272</v>
      </c>
      <c r="O121" s="111">
        <f t="shared" si="5"/>
        <v>75.750000000000739</v>
      </c>
      <c r="P121" s="13" t="s">
        <v>67</v>
      </c>
      <c r="Q121" s="10">
        <v>65</v>
      </c>
      <c r="R121" s="11">
        <v>157.05000000000001</v>
      </c>
      <c r="S121" s="11">
        <v>57.95</v>
      </c>
      <c r="T121" s="14">
        <v>-0.15909999999999999</v>
      </c>
      <c r="U121" s="14">
        <v>0.5141</v>
      </c>
      <c r="V121" s="14">
        <v>-0.15909999999999999</v>
      </c>
      <c r="W121" s="14">
        <v>0.5141</v>
      </c>
      <c r="X121" s="14">
        <v>-0.15909999999999999</v>
      </c>
      <c r="Y121" s="11">
        <v>99.1</v>
      </c>
      <c r="Z121" s="12">
        <v>4.5839944122449544E-3</v>
      </c>
      <c r="AA121" s="9">
        <v>99.1</v>
      </c>
      <c r="AB121" s="9">
        <v>0.45839944122449544</v>
      </c>
      <c r="AC121" s="11">
        <v>107.83916299597965</v>
      </c>
      <c r="AD121" s="11">
        <v>107.83916299597965</v>
      </c>
      <c r="AE121" s="10">
        <v>0</v>
      </c>
      <c r="AF121" s="12">
        <v>0</v>
      </c>
      <c r="AG121" s="11">
        <v>107.18</v>
      </c>
      <c r="AH121" s="11">
        <v>-0.4</v>
      </c>
      <c r="AI121" s="13" t="s">
        <v>71</v>
      </c>
    </row>
    <row r="122" spans="1:35" ht="18" customHeight="1" x14ac:dyDescent="0.25">
      <c r="A122" s="4">
        <v>121</v>
      </c>
      <c r="B122" s="4">
        <v>1</v>
      </c>
      <c r="C122" s="4">
        <v>121</v>
      </c>
      <c r="D122" s="108">
        <v>45303</v>
      </c>
      <c r="E122" s="108">
        <v>45308</v>
      </c>
      <c r="F122" s="108">
        <v>45309</v>
      </c>
      <c r="G122" s="5">
        <v>21894.55</v>
      </c>
      <c r="H122" s="5">
        <v>21571.95</v>
      </c>
      <c r="I122" s="5">
        <v>-322.60000000000002</v>
      </c>
      <c r="J122" s="6">
        <v>-1.4734260352462144E-2</v>
      </c>
      <c r="K122" s="7" t="s">
        <v>28</v>
      </c>
      <c r="L122" s="4">
        <v>22000</v>
      </c>
      <c r="M122" s="28">
        <f t="shared" si="3"/>
        <v>4.8162670618945302E-3</v>
      </c>
      <c r="N122" s="111">
        <f t="shared" si="4"/>
        <v>105.45000000000073</v>
      </c>
      <c r="O122" s="111">
        <f t="shared" si="5"/>
        <v>65.349999999999284</v>
      </c>
      <c r="P122" s="7" t="s">
        <v>67</v>
      </c>
      <c r="Q122" s="4">
        <v>65</v>
      </c>
      <c r="R122" s="5">
        <v>170.8</v>
      </c>
      <c r="S122" s="5">
        <v>431.8</v>
      </c>
      <c r="T122" s="8">
        <v>-1.3117000000000001</v>
      </c>
      <c r="U122" s="8">
        <v>0.53320000000000001</v>
      </c>
      <c r="V122" s="8">
        <v>-1.3117000000000001</v>
      </c>
      <c r="W122" s="8">
        <v>0.53320000000000001</v>
      </c>
      <c r="X122" s="8">
        <v>-1.3117000000000001</v>
      </c>
      <c r="Y122" s="4">
        <v>-261</v>
      </c>
      <c r="Z122" s="6">
        <v>-1.1920774804688838E-2</v>
      </c>
      <c r="AA122" s="16">
        <v>-261</v>
      </c>
      <c r="AB122" s="15">
        <v>-1.1920774804688838</v>
      </c>
      <c r="AC122" s="5">
        <v>106.55363661877844</v>
      </c>
      <c r="AD122" s="5">
        <v>107.83916299597965</v>
      </c>
      <c r="AE122" s="5">
        <v>-1.285526377201208</v>
      </c>
      <c r="AF122" s="6">
        <v>-1.1920774804688847E-2</v>
      </c>
      <c r="AG122" s="5">
        <v>106.42</v>
      </c>
      <c r="AH122" s="5">
        <v>-1.32</v>
      </c>
      <c r="AI122" s="7" t="s">
        <v>68</v>
      </c>
    </row>
    <row r="123" spans="1:35" ht="18" customHeight="1" x14ac:dyDescent="0.25">
      <c r="A123" s="10">
        <v>122</v>
      </c>
      <c r="B123" s="10">
        <v>1</v>
      </c>
      <c r="C123" s="10">
        <v>122</v>
      </c>
      <c r="D123" s="109">
        <v>45308</v>
      </c>
      <c r="E123" s="109">
        <v>45315</v>
      </c>
      <c r="F123" s="109">
        <v>45316</v>
      </c>
      <c r="G123" s="11">
        <v>21571.95</v>
      </c>
      <c r="H123" s="11">
        <v>21453.95</v>
      </c>
      <c r="I123" s="10">
        <v>-118</v>
      </c>
      <c r="J123" s="12">
        <v>-5.4700664520360926E-3</v>
      </c>
      <c r="K123" s="13" t="s">
        <v>28</v>
      </c>
      <c r="L123" s="10">
        <v>21900</v>
      </c>
      <c r="M123" s="28">
        <f t="shared" si="3"/>
        <v>1.5207248301613907E-2</v>
      </c>
      <c r="N123" s="111">
        <f t="shared" si="4"/>
        <v>328.04999999999927</v>
      </c>
      <c r="O123" s="111">
        <f t="shared" si="5"/>
        <v>63.450000000000728</v>
      </c>
      <c r="P123" s="13" t="s">
        <v>67</v>
      </c>
      <c r="Q123" s="10">
        <v>65</v>
      </c>
      <c r="R123" s="11">
        <v>391.5</v>
      </c>
      <c r="S123" s="11">
        <v>428.6</v>
      </c>
      <c r="T123" s="14">
        <v>-1.7065999999999999</v>
      </c>
      <c r="U123" s="14">
        <v>1.0365</v>
      </c>
      <c r="V123" s="14">
        <v>-1.7065999999999999</v>
      </c>
      <c r="W123" s="14">
        <v>1.0365</v>
      </c>
      <c r="X123" s="14">
        <v>-1.7065999999999999</v>
      </c>
      <c r="Y123" s="11">
        <v>-37.1</v>
      </c>
      <c r="Z123" s="12">
        <v>-1.7198259777164327E-3</v>
      </c>
      <c r="AA123" s="15">
        <v>-37.1</v>
      </c>
      <c r="AB123" s="15">
        <v>-0.17198259777164326</v>
      </c>
      <c r="AC123" s="11">
        <v>106.37038290650131</v>
      </c>
      <c r="AD123" s="11">
        <v>107.83916299597965</v>
      </c>
      <c r="AE123" s="11">
        <v>-1.4687800894783436</v>
      </c>
      <c r="AF123" s="12">
        <v>-1.3620099124221701E-2</v>
      </c>
      <c r="AG123" s="11">
        <v>104.74</v>
      </c>
      <c r="AH123" s="11">
        <v>-2.87</v>
      </c>
      <c r="AI123" s="13" t="s">
        <v>68</v>
      </c>
    </row>
    <row r="124" spans="1:35" ht="18" customHeight="1" x14ac:dyDescent="0.25">
      <c r="A124" s="4">
        <v>123</v>
      </c>
      <c r="B124" s="4">
        <v>1</v>
      </c>
      <c r="C124" s="4">
        <v>123</v>
      </c>
      <c r="D124" s="108">
        <v>45315</v>
      </c>
      <c r="E124" s="108">
        <v>45320</v>
      </c>
      <c r="F124" s="108">
        <v>45323</v>
      </c>
      <c r="G124" s="5">
        <v>21453.95</v>
      </c>
      <c r="H124" s="5">
        <v>21737.599999999999</v>
      </c>
      <c r="I124" s="5">
        <v>283.64999999999998</v>
      </c>
      <c r="J124" s="6">
        <v>1.3221341524521124E-2</v>
      </c>
      <c r="K124" s="7" t="s">
        <v>28</v>
      </c>
      <c r="L124" s="4">
        <v>21600</v>
      </c>
      <c r="M124" s="28">
        <f t="shared" si="3"/>
        <v>6.8076041940994259E-3</v>
      </c>
      <c r="N124" s="111">
        <f t="shared" si="4"/>
        <v>146.04999999999927</v>
      </c>
      <c r="O124" s="111">
        <f t="shared" si="5"/>
        <v>86.600000000000733</v>
      </c>
      <c r="P124" s="7" t="s">
        <v>67</v>
      </c>
      <c r="Q124" s="4">
        <v>65</v>
      </c>
      <c r="R124" s="5">
        <v>232.65</v>
      </c>
      <c r="S124" s="5">
        <v>106.5</v>
      </c>
      <c r="T124" s="8">
        <v>-0.65259999999999996</v>
      </c>
      <c r="U124" s="8">
        <v>0.68120000000000003</v>
      </c>
      <c r="V124" s="8">
        <v>-0.65259999999999996</v>
      </c>
      <c r="W124" s="8">
        <v>0.68120000000000003</v>
      </c>
      <c r="X124" s="8">
        <v>-0.65259999999999996</v>
      </c>
      <c r="Y124" s="5">
        <v>126.15</v>
      </c>
      <c r="Z124" s="6">
        <v>5.8800360772724835E-3</v>
      </c>
      <c r="AA124" s="9">
        <v>126.15</v>
      </c>
      <c r="AB124" s="9">
        <v>0.58800360772724836</v>
      </c>
      <c r="AC124" s="5">
        <v>106.99584459554481</v>
      </c>
      <c r="AD124" s="5">
        <v>107.83916299597965</v>
      </c>
      <c r="AE124" s="5">
        <v>-0.84331840043483908</v>
      </c>
      <c r="AF124" s="6">
        <v>-7.8201497211757738E-3</v>
      </c>
      <c r="AG124" s="5">
        <v>105.68</v>
      </c>
      <c r="AH124" s="4">
        <v>-2</v>
      </c>
      <c r="AI124" s="7" t="s">
        <v>71</v>
      </c>
    </row>
    <row r="125" spans="1:35" ht="18" customHeight="1" x14ac:dyDescent="0.25">
      <c r="A125" s="10">
        <v>124</v>
      </c>
      <c r="B125" s="10">
        <v>1</v>
      </c>
      <c r="C125" s="10">
        <v>124</v>
      </c>
      <c r="D125" s="109">
        <v>45320</v>
      </c>
      <c r="E125" s="109">
        <v>45322</v>
      </c>
      <c r="F125" s="109">
        <v>45323</v>
      </c>
      <c r="G125" s="11">
        <v>21737.599999999999</v>
      </c>
      <c r="H125" s="11">
        <v>21725.7</v>
      </c>
      <c r="I125" s="11">
        <v>-11.9</v>
      </c>
      <c r="J125" s="12">
        <v>-5.474385396731931E-4</v>
      </c>
      <c r="K125" s="13" t="s">
        <v>28</v>
      </c>
      <c r="L125" s="10">
        <v>21500</v>
      </c>
      <c r="M125" s="28">
        <f t="shared" si="3"/>
        <v>-1.0930369498012626E-2</v>
      </c>
      <c r="N125" s="111">
        <f t="shared" si="4"/>
        <v>0</v>
      </c>
      <c r="O125" s="111">
        <f t="shared" si="5"/>
        <v>77.55</v>
      </c>
      <c r="P125" s="13" t="s">
        <v>67</v>
      </c>
      <c r="Q125" s="10">
        <v>65</v>
      </c>
      <c r="R125" s="11">
        <v>77.55</v>
      </c>
      <c r="S125" s="11">
        <v>44.9</v>
      </c>
      <c r="T125" s="14">
        <v>-0.37790000000000001</v>
      </c>
      <c r="U125" s="14">
        <v>0.18609999999999999</v>
      </c>
      <c r="V125" s="14">
        <v>-0.37790000000000001</v>
      </c>
      <c r="W125" s="14">
        <v>0.18609999999999999</v>
      </c>
      <c r="X125" s="14">
        <v>-0.37790000000000001</v>
      </c>
      <c r="Y125" s="11">
        <v>32.65</v>
      </c>
      <c r="Z125" s="12">
        <v>1.5020057412041808E-3</v>
      </c>
      <c r="AA125" s="9">
        <v>32.65</v>
      </c>
      <c r="AB125" s="9">
        <v>0.15020057412041807</v>
      </c>
      <c r="AC125" s="11">
        <v>107.1565529684123</v>
      </c>
      <c r="AD125" s="11">
        <v>107.83916299597965</v>
      </c>
      <c r="AE125" s="11">
        <v>-0.68261002756734968</v>
      </c>
      <c r="AF125" s="12">
        <v>-6.3298898897499612E-3</v>
      </c>
      <c r="AG125" s="11">
        <v>106.59</v>
      </c>
      <c r="AH125" s="11">
        <v>-1.1599999999999999</v>
      </c>
      <c r="AI125" s="13" t="s">
        <v>68</v>
      </c>
    </row>
    <row r="126" spans="1:35" ht="18" customHeight="1" x14ac:dyDescent="0.25">
      <c r="A126" s="4">
        <v>125</v>
      </c>
      <c r="B126" s="4">
        <v>1</v>
      </c>
      <c r="C126" s="4">
        <v>125</v>
      </c>
      <c r="D126" s="108">
        <v>45322</v>
      </c>
      <c r="E126" s="108">
        <v>45329</v>
      </c>
      <c r="F126" s="108">
        <v>45330</v>
      </c>
      <c r="G126" s="5">
        <v>21725.7</v>
      </c>
      <c r="H126" s="5">
        <v>21930.5</v>
      </c>
      <c r="I126" s="5">
        <v>204.8</v>
      </c>
      <c r="J126" s="6">
        <v>9.426623768163972E-3</v>
      </c>
      <c r="K126" s="7" t="s">
        <v>28</v>
      </c>
      <c r="L126" s="4">
        <v>22100</v>
      </c>
      <c r="M126" s="28">
        <f t="shared" si="3"/>
        <v>1.7228443732537846E-2</v>
      </c>
      <c r="N126" s="111">
        <f t="shared" si="4"/>
        <v>374.29999999999927</v>
      </c>
      <c r="O126" s="111">
        <f t="shared" si="5"/>
        <v>85.750000000000739</v>
      </c>
      <c r="P126" s="7" t="s">
        <v>67</v>
      </c>
      <c r="Q126" s="4">
        <v>65</v>
      </c>
      <c r="R126" s="5">
        <v>460.05</v>
      </c>
      <c r="S126" s="5">
        <v>178.95</v>
      </c>
      <c r="T126" s="8">
        <v>-4.6899999999999997E-2</v>
      </c>
      <c r="U126" s="8">
        <v>1.5653999999999999</v>
      </c>
      <c r="V126" s="8">
        <v>-4.6899999999999997E-2</v>
      </c>
      <c r="W126" s="8">
        <v>1.5653999999999999</v>
      </c>
      <c r="X126" s="8">
        <v>-4.6899999999999997E-2</v>
      </c>
      <c r="Y126" s="5">
        <v>281.10000000000002</v>
      </c>
      <c r="Z126" s="6">
        <v>1.2938593463041468E-2</v>
      </c>
      <c r="AA126" s="9">
        <v>281.10000000000002</v>
      </c>
      <c r="AB126" s="9">
        <v>1.2938593463041468</v>
      </c>
      <c r="AC126" s="5">
        <v>108.54300804417146</v>
      </c>
      <c r="AD126" s="5">
        <v>108.54300804417146</v>
      </c>
      <c r="AE126" s="4">
        <v>0</v>
      </c>
      <c r="AF126" s="6">
        <v>0</v>
      </c>
      <c r="AG126" s="5">
        <v>107.11</v>
      </c>
      <c r="AH126" s="5">
        <v>-0.68</v>
      </c>
      <c r="AI126" s="7" t="s">
        <v>68</v>
      </c>
    </row>
    <row r="127" spans="1:35" ht="18" customHeight="1" x14ac:dyDescent="0.25">
      <c r="A127" s="10">
        <v>126</v>
      </c>
      <c r="B127" s="10">
        <v>1</v>
      </c>
      <c r="C127" s="10">
        <v>126</v>
      </c>
      <c r="D127" s="109">
        <v>45329</v>
      </c>
      <c r="E127" s="109">
        <v>45336</v>
      </c>
      <c r="F127" s="109">
        <v>45337</v>
      </c>
      <c r="G127" s="11">
        <v>21930.5</v>
      </c>
      <c r="H127" s="11">
        <v>21840.05</v>
      </c>
      <c r="I127" s="11">
        <v>-90.45</v>
      </c>
      <c r="J127" s="12">
        <v>-4.1243929686965641E-3</v>
      </c>
      <c r="K127" s="13" t="s">
        <v>28</v>
      </c>
      <c r="L127" s="10">
        <v>21600</v>
      </c>
      <c r="M127" s="28">
        <f t="shared" si="3"/>
        <v>-1.5070335833656356E-2</v>
      </c>
      <c r="N127" s="111">
        <f t="shared" si="4"/>
        <v>0</v>
      </c>
      <c r="O127" s="111">
        <f t="shared" si="5"/>
        <v>65.95</v>
      </c>
      <c r="P127" s="13" t="s">
        <v>67</v>
      </c>
      <c r="Q127" s="10">
        <v>65</v>
      </c>
      <c r="R127" s="11">
        <v>65.95</v>
      </c>
      <c r="S127" s="11">
        <v>13.9</v>
      </c>
      <c r="T127" s="14">
        <v>-0.48149999999999998</v>
      </c>
      <c r="U127" s="14">
        <v>0.25190000000000001</v>
      </c>
      <c r="V127" s="14">
        <v>-0.48149999999999998</v>
      </c>
      <c r="W127" s="14">
        <v>0.25190000000000001</v>
      </c>
      <c r="X127" s="14">
        <v>-0.48149999999999998</v>
      </c>
      <c r="Y127" s="11">
        <v>52.05</v>
      </c>
      <c r="Z127" s="12">
        <v>2.3734068990675086E-3</v>
      </c>
      <c r="AA127" s="9">
        <v>52.05</v>
      </c>
      <c r="AB127" s="9">
        <v>0.23734068990675086</v>
      </c>
      <c r="AC127" s="11">
        <v>108.80062476830904</v>
      </c>
      <c r="AD127" s="11">
        <v>108.80062476830904</v>
      </c>
      <c r="AE127" s="10">
        <v>0</v>
      </c>
      <c r="AF127" s="12">
        <v>0</v>
      </c>
      <c r="AG127" s="11">
        <v>108.02</v>
      </c>
      <c r="AH127" s="11">
        <v>-0.48</v>
      </c>
      <c r="AI127" s="13" t="s">
        <v>68</v>
      </c>
    </row>
    <row r="128" spans="1:35" ht="18" customHeight="1" x14ac:dyDescent="0.25">
      <c r="A128" s="4">
        <v>127</v>
      </c>
      <c r="B128" s="4">
        <v>1</v>
      </c>
      <c r="C128" s="4">
        <v>127</v>
      </c>
      <c r="D128" s="108">
        <v>45336</v>
      </c>
      <c r="E128" s="108">
        <v>45341</v>
      </c>
      <c r="F128" s="108">
        <v>45344</v>
      </c>
      <c r="G128" s="5">
        <v>21840.05</v>
      </c>
      <c r="H128" s="5">
        <v>22122.25</v>
      </c>
      <c r="I128" s="5">
        <v>282.2</v>
      </c>
      <c r="J128" s="6">
        <v>1.2921215839707326E-2</v>
      </c>
      <c r="K128" s="7" t="s">
        <v>28</v>
      </c>
      <c r="L128" s="4">
        <v>22000</v>
      </c>
      <c r="M128" s="28">
        <f t="shared" si="3"/>
        <v>7.323701182002873E-3</v>
      </c>
      <c r="N128" s="111">
        <f t="shared" si="4"/>
        <v>159.95000000000073</v>
      </c>
      <c r="O128" s="111">
        <f t="shared" si="5"/>
        <v>75.949999999999278</v>
      </c>
      <c r="P128" s="7" t="s">
        <v>67</v>
      </c>
      <c r="Q128" s="4">
        <v>65</v>
      </c>
      <c r="R128" s="5">
        <v>235.9</v>
      </c>
      <c r="S128" s="5">
        <v>84.95</v>
      </c>
      <c r="T128" s="8">
        <v>-0.17899999999999999</v>
      </c>
      <c r="U128" s="8">
        <v>0.79510000000000003</v>
      </c>
      <c r="V128" s="8">
        <v>-0.17899999999999999</v>
      </c>
      <c r="W128" s="8">
        <v>0.79510000000000003</v>
      </c>
      <c r="X128" s="8">
        <v>-0.17899999999999999</v>
      </c>
      <c r="Y128" s="5">
        <v>150.94999999999999</v>
      </c>
      <c r="Z128" s="6">
        <v>6.9116142133374232E-3</v>
      </c>
      <c r="AA128" s="9">
        <v>150.94999999999999</v>
      </c>
      <c r="AB128" s="9">
        <v>0.69116142133374237</v>
      </c>
      <c r="AC128" s="5">
        <v>109.55261271287767</v>
      </c>
      <c r="AD128" s="5">
        <v>109.55261271287767</v>
      </c>
      <c r="AE128" s="4">
        <v>0</v>
      </c>
      <c r="AF128" s="6">
        <v>0</v>
      </c>
      <c r="AG128" s="5">
        <v>108.61</v>
      </c>
      <c r="AH128" s="5">
        <v>-0.18</v>
      </c>
      <c r="AI128" s="7" t="s">
        <v>71</v>
      </c>
    </row>
    <row r="129" spans="1:35" ht="18" customHeight="1" x14ac:dyDescent="0.25">
      <c r="A129" s="10">
        <v>128</v>
      </c>
      <c r="B129" s="10">
        <v>1</v>
      </c>
      <c r="C129" s="10">
        <v>128</v>
      </c>
      <c r="D129" s="109">
        <v>45341</v>
      </c>
      <c r="E129" s="109">
        <v>45343</v>
      </c>
      <c r="F129" s="109">
        <v>45344</v>
      </c>
      <c r="G129" s="11">
        <v>22122.25</v>
      </c>
      <c r="H129" s="11">
        <v>22055.05</v>
      </c>
      <c r="I129" s="11">
        <v>-67.2</v>
      </c>
      <c r="J129" s="12">
        <v>-3.0376656985614033E-3</v>
      </c>
      <c r="K129" s="13" t="s">
        <v>28</v>
      </c>
      <c r="L129" s="10">
        <v>22000</v>
      </c>
      <c r="M129" s="28">
        <f t="shared" si="3"/>
        <v>-5.5261105900168417E-3</v>
      </c>
      <c r="N129" s="111">
        <f t="shared" si="4"/>
        <v>0</v>
      </c>
      <c r="O129" s="111">
        <f t="shared" si="5"/>
        <v>84.95</v>
      </c>
      <c r="P129" s="13" t="s">
        <v>67</v>
      </c>
      <c r="Q129" s="10">
        <v>65</v>
      </c>
      <c r="R129" s="11">
        <v>84.95</v>
      </c>
      <c r="S129" s="11">
        <v>68.5</v>
      </c>
      <c r="T129" s="14">
        <v>-0.14580000000000001</v>
      </c>
      <c r="U129" s="14">
        <v>0.31530000000000002</v>
      </c>
      <c r="V129" s="14">
        <v>-0.14580000000000001</v>
      </c>
      <c r="W129" s="14">
        <v>0.31530000000000002</v>
      </c>
      <c r="X129" s="14">
        <v>-0.14580000000000001</v>
      </c>
      <c r="Y129" s="11">
        <v>16.45</v>
      </c>
      <c r="Z129" s="12">
        <v>7.4359524912701014E-4</v>
      </c>
      <c r="AA129" s="9">
        <v>16.45</v>
      </c>
      <c r="AB129" s="9">
        <v>7.4359524912701008E-2</v>
      </c>
      <c r="AC129" s="11">
        <v>109.63407551522043</v>
      </c>
      <c r="AD129" s="11">
        <v>109.63407551522043</v>
      </c>
      <c r="AE129" s="10">
        <v>0</v>
      </c>
      <c r="AF129" s="12">
        <v>0</v>
      </c>
      <c r="AG129" s="11">
        <v>109.39</v>
      </c>
      <c r="AH129" s="11">
        <v>-0.15</v>
      </c>
      <c r="AI129" s="13" t="s">
        <v>68</v>
      </c>
    </row>
    <row r="130" spans="1:35" ht="18" customHeight="1" x14ac:dyDescent="0.25">
      <c r="A130" s="4">
        <v>129</v>
      </c>
      <c r="B130" s="4">
        <v>1</v>
      </c>
      <c r="C130" s="4">
        <v>129</v>
      </c>
      <c r="D130" s="108">
        <v>45343</v>
      </c>
      <c r="E130" s="108">
        <v>45350</v>
      </c>
      <c r="F130" s="108">
        <v>45351</v>
      </c>
      <c r="G130" s="5">
        <v>22055.05</v>
      </c>
      <c r="H130" s="5">
        <v>21951.15</v>
      </c>
      <c r="I130" s="5">
        <v>-103.9</v>
      </c>
      <c r="J130" s="6">
        <v>-4.7109392180022264E-3</v>
      </c>
      <c r="K130" s="7" t="s">
        <v>28</v>
      </c>
      <c r="L130" s="4">
        <v>22300</v>
      </c>
      <c r="M130" s="28">
        <f t="shared" si="3"/>
        <v>1.1106299917706064E-2</v>
      </c>
      <c r="N130" s="111">
        <f t="shared" si="4"/>
        <v>244.95000000000073</v>
      </c>
      <c r="O130" s="111">
        <f t="shared" si="5"/>
        <v>74.799999999999272</v>
      </c>
      <c r="P130" s="7" t="s">
        <v>67</v>
      </c>
      <c r="Q130" s="4">
        <v>65</v>
      </c>
      <c r="R130" s="5">
        <v>319.75</v>
      </c>
      <c r="S130" s="5">
        <v>387.65</v>
      </c>
      <c r="T130" s="8">
        <v>-0.4541</v>
      </c>
      <c r="U130" s="8">
        <v>0.89780000000000004</v>
      </c>
      <c r="V130" s="8">
        <v>-0.4541</v>
      </c>
      <c r="W130" s="8">
        <v>0.89780000000000004</v>
      </c>
      <c r="X130" s="8">
        <v>-0.4541</v>
      </c>
      <c r="Y130" s="5">
        <v>-67.900000000000006</v>
      </c>
      <c r="Z130" s="6">
        <v>-3.0786599894355266E-3</v>
      </c>
      <c r="AA130" s="15">
        <v>-67.900000000000006</v>
      </c>
      <c r="AB130" s="15">
        <v>-0.30786599894355265</v>
      </c>
      <c r="AC130" s="5">
        <v>109.29654947345297</v>
      </c>
      <c r="AD130" s="5">
        <v>109.63407551522043</v>
      </c>
      <c r="AE130" s="5">
        <v>-0.33752604176746104</v>
      </c>
      <c r="AF130" s="6">
        <v>-3.0786599894355154E-3</v>
      </c>
      <c r="AG130" s="5">
        <v>109.14</v>
      </c>
      <c r="AH130" s="5">
        <v>-0.45</v>
      </c>
      <c r="AI130" s="7" t="s">
        <v>68</v>
      </c>
    </row>
    <row r="131" spans="1:35" ht="18" customHeight="1" x14ac:dyDescent="0.25">
      <c r="A131" s="10">
        <v>130</v>
      </c>
      <c r="B131" s="10">
        <v>1</v>
      </c>
      <c r="C131" s="10">
        <v>130</v>
      </c>
      <c r="D131" s="109">
        <v>45350</v>
      </c>
      <c r="E131" s="109">
        <v>45352</v>
      </c>
      <c r="F131" s="109">
        <v>45358</v>
      </c>
      <c r="G131" s="11">
        <v>21951.15</v>
      </c>
      <c r="H131" s="11">
        <v>22338.75</v>
      </c>
      <c r="I131" s="11">
        <v>387.6</v>
      </c>
      <c r="J131" s="12">
        <v>1.7657389248399286E-2</v>
      </c>
      <c r="K131" s="13" t="s">
        <v>28</v>
      </c>
      <c r="L131" s="10">
        <v>22200</v>
      </c>
      <c r="M131" s="28">
        <f t="shared" si="3"/>
        <v>1.1336535899030276E-2</v>
      </c>
      <c r="N131" s="111">
        <f t="shared" si="4"/>
        <v>248.84999999999854</v>
      </c>
      <c r="O131" s="111">
        <f t="shared" si="5"/>
        <v>64.300000000001432</v>
      </c>
      <c r="P131" s="13" t="s">
        <v>67</v>
      </c>
      <c r="Q131" s="10">
        <v>65</v>
      </c>
      <c r="R131" s="11">
        <v>313.14999999999998</v>
      </c>
      <c r="S131" s="11">
        <v>97.5</v>
      </c>
      <c r="T131" s="14">
        <v>-0.17630000000000001</v>
      </c>
      <c r="U131" s="14">
        <v>1.0134000000000001</v>
      </c>
      <c r="V131" s="14">
        <v>-0.17630000000000001</v>
      </c>
      <c r="W131" s="14">
        <v>1.0134000000000001</v>
      </c>
      <c r="X131" s="14">
        <v>-0.17630000000000001</v>
      </c>
      <c r="Y131" s="11">
        <v>215.65</v>
      </c>
      <c r="Z131" s="12">
        <v>9.8240866651633282E-3</v>
      </c>
      <c r="AA131" s="9">
        <v>215.65</v>
      </c>
      <c r="AB131" s="9">
        <v>0.98240866651633285</v>
      </c>
      <c r="AC131" s="11">
        <v>110.37028824768348</v>
      </c>
      <c r="AD131" s="11">
        <v>110.37028824768348</v>
      </c>
      <c r="AE131" s="10">
        <v>0</v>
      </c>
      <c r="AF131" s="12">
        <v>0</v>
      </c>
      <c r="AG131" s="11">
        <v>109.1</v>
      </c>
      <c r="AH131" s="11">
        <v>-0.49</v>
      </c>
      <c r="AI131" s="13" t="s">
        <v>71</v>
      </c>
    </row>
    <row r="132" spans="1:35" ht="18" customHeight="1" x14ac:dyDescent="0.25">
      <c r="A132" s="4">
        <v>131</v>
      </c>
      <c r="B132" s="4">
        <v>1</v>
      </c>
      <c r="C132" s="4">
        <v>131</v>
      </c>
      <c r="D132" s="108">
        <v>45352</v>
      </c>
      <c r="E132" s="108">
        <v>45357</v>
      </c>
      <c r="F132" s="108">
        <v>45358</v>
      </c>
      <c r="G132" s="5">
        <v>22338.75</v>
      </c>
      <c r="H132" s="5">
        <v>22474.05</v>
      </c>
      <c r="I132" s="5">
        <v>135.30000000000001</v>
      </c>
      <c r="J132" s="6">
        <v>6.0567399697834482E-3</v>
      </c>
      <c r="K132" s="7" t="s">
        <v>28</v>
      </c>
      <c r="L132" s="4">
        <v>22100</v>
      </c>
      <c r="M132" s="28">
        <f t="shared" ref="M132:M195" si="6">L132/G132-1</f>
        <v>-1.0687706339880254E-2</v>
      </c>
      <c r="N132" s="111">
        <f t="shared" ref="N132:N195" si="7">IF(L132&gt;G132,L132-G132,0)</f>
        <v>0</v>
      </c>
      <c r="O132" s="111">
        <f t="shared" ref="O132:O195" si="8">R132-N132</f>
        <v>71.599999999999994</v>
      </c>
      <c r="P132" s="7" t="s">
        <v>67</v>
      </c>
      <c r="Q132" s="4">
        <v>65</v>
      </c>
      <c r="R132" s="5">
        <v>71.599999999999994</v>
      </c>
      <c r="S132" s="5">
        <v>5.7</v>
      </c>
      <c r="T132" s="8">
        <v>5.4000000000000003E-3</v>
      </c>
      <c r="U132" s="8">
        <v>0.30020000000000002</v>
      </c>
      <c r="V132" s="8">
        <v>5.4000000000000003E-3</v>
      </c>
      <c r="W132" s="8">
        <v>0.30020000000000002</v>
      </c>
      <c r="X132" s="8">
        <v>5.4000000000000003E-3</v>
      </c>
      <c r="Y132" s="5">
        <v>65.900000000000006</v>
      </c>
      <c r="Z132" s="6">
        <v>2.9500307761177328E-3</v>
      </c>
      <c r="AA132" s="9">
        <v>65.900000000000006</v>
      </c>
      <c r="AB132" s="9">
        <v>0.2950030776117733</v>
      </c>
      <c r="AC132" s="5">
        <v>110.69588399478312</v>
      </c>
      <c r="AD132" s="5">
        <v>110.69588399478312</v>
      </c>
      <c r="AE132" s="4">
        <v>0</v>
      </c>
      <c r="AF132" s="6">
        <v>0</v>
      </c>
      <c r="AG132" s="5">
        <v>110.38</v>
      </c>
      <c r="AH132" s="5">
        <v>0.01</v>
      </c>
      <c r="AI132" s="7" t="s">
        <v>68</v>
      </c>
    </row>
    <row r="133" spans="1:35" ht="18" customHeight="1" x14ac:dyDescent="0.25">
      <c r="A133" s="10">
        <v>132</v>
      </c>
      <c r="B133" s="10">
        <v>1</v>
      </c>
      <c r="C133" s="10">
        <v>132</v>
      </c>
      <c r="D133" s="109">
        <v>45357</v>
      </c>
      <c r="E133" s="109">
        <v>45364</v>
      </c>
      <c r="F133" s="109">
        <v>45365</v>
      </c>
      <c r="G133" s="11">
        <v>22474.05</v>
      </c>
      <c r="H133" s="11">
        <v>21997.7</v>
      </c>
      <c r="I133" s="11">
        <v>-476.35</v>
      </c>
      <c r="J133" s="12">
        <v>-2.119555665311771E-2</v>
      </c>
      <c r="K133" s="13" t="s">
        <v>28</v>
      </c>
      <c r="L133" s="10">
        <v>22600</v>
      </c>
      <c r="M133" s="28">
        <f t="shared" si="6"/>
        <v>5.6042413361188093E-3</v>
      </c>
      <c r="N133" s="111">
        <f t="shared" si="7"/>
        <v>125.95000000000073</v>
      </c>
      <c r="O133" s="111">
        <f t="shared" si="8"/>
        <v>65.849999999999284</v>
      </c>
      <c r="P133" s="13" t="s">
        <v>67</v>
      </c>
      <c r="Q133" s="10">
        <v>65</v>
      </c>
      <c r="R133" s="11">
        <v>191.8</v>
      </c>
      <c r="S133" s="11">
        <v>636.45000000000005</v>
      </c>
      <c r="T133" s="14">
        <v>-2.2553000000000001</v>
      </c>
      <c r="U133" s="14">
        <v>0.17710000000000001</v>
      </c>
      <c r="V133" s="14">
        <v>-2.2553000000000001</v>
      </c>
      <c r="W133" s="14">
        <v>0.17710000000000001</v>
      </c>
      <c r="X133" s="14">
        <v>-2.2553000000000001</v>
      </c>
      <c r="Y133" s="11">
        <v>-444.65</v>
      </c>
      <c r="Z133" s="12">
        <v>-1.9785040969473682E-2</v>
      </c>
      <c r="AA133" s="15">
        <v>-444.65</v>
      </c>
      <c r="AB133" s="15">
        <v>-1.9785040969473682</v>
      </c>
      <c r="AC133" s="11">
        <v>108.50576139479423</v>
      </c>
      <c r="AD133" s="11">
        <v>110.69588399478312</v>
      </c>
      <c r="AE133" s="11">
        <v>-2.1901225999888823</v>
      </c>
      <c r="AF133" s="12">
        <v>-1.9785040969473613E-2</v>
      </c>
      <c r="AG133" s="11">
        <v>108.2</v>
      </c>
      <c r="AH133" s="11">
        <v>-2.25</v>
      </c>
      <c r="AI133" s="13" t="s">
        <v>68</v>
      </c>
    </row>
    <row r="134" spans="1:35" ht="18" customHeight="1" x14ac:dyDescent="0.25">
      <c r="A134" s="4">
        <v>133</v>
      </c>
      <c r="B134" s="4">
        <v>1</v>
      </c>
      <c r="C134" s="4">
        <v>133</v>
      </c>
      <c r="D134" s="108">
        <v>45364</v>
      </c>
      <c r="E134" s="108">
        <v>45371</v>
      </c>
      <c r="F134" s="108">
        <v>45372</v>
      </c>
      <c r="G134" s="5">
        <v>21997.7</v>
      </c>
      <c r="H134" s="5">
        <v>21839.1</v>
      </c>
      <c r="I134" s="5">
        <v>-158.6</v>
      </c>
      <c r="J134" s="6">
        <v>-7.2098446655786737E-3</v>
      </c>
      <c r="K134" s="7" t="s">
        <v>28</v>
      </c>
      <c r="L134" s="4">
        <v>22200</v>
      </c>
      <c r="M134" s="28">
        <f t="shared" si="6"/>
        <v>9.1964159889441621E-3</v>
      </c>
      <c r="N134" s="111">
        <f t="shared" si="7"/>
        <v>202.29999999999927</v>
      </c>
      <c r="O134" s="111">
        <f t="shared" si="8"/>
        <v>65.100000000000705</v>
      </c>
      <c r="P134" s="7" t="s">
        <v>67</v>
      </c>
      <c r="Q134" s="4">
        <v>65</v>
      </c>
      <c r="R134" s="5">
        <v>267.39999999999998</v>
      </c>
      <c r="S134" s="5">
        <v>350.8</v>
      </c>
      <c r="T134" s="8">
        <v>-0.97850000000000004</v>
      </c>
      <c r="U134" s="8">
        <v>0.66210000000000002</v>
      </c>
      <c r="V134" s="8">
        <v>-0.97850000000000004</v>
      </c>
      <c r="W134" s="8">
        <v>0.66210000000000002</v>
      </c>
      <c r="X134" s="8">
        <v>-0.97850000000000004</v>
      </c>
      <c r="Y134" s="5">
        <v>-83.4</v>
      </c>
      <c r="Z134" s="6">
        <v>-3.7913054546611694E-3</v>
      </c>
      <c r="AA134" s="15">
        <v>-83.4</v>
      </c>
      <c r="AB134" s="15">
        <v>-0.37913054546611696</v>
      </c>
      <c r="AC134" s="5">
        <v>108.09438290975598</v>
      </c>
      <c r="AD134" s="5">
        <v>110.69588399478312</v>
      </c>
      <c r="AE134" s="5">
        <v>-2.6015010850271381</v>
      </c>
      <c r="AF134" s="6">
        <v>-2.3501335290386605E-2</v>
      </c>
      <c r="AG134" s="5">
        <v>107.44</v>
      </c>
      <c r="AH134" s="5">
        <v>-2.94</v>
      </c>
      <c r="AI134" s="7" t="s">
        <v>68</v>
      </c>
    </row>
    <row r="135" spans="1:35" ht="18" customHeight="1" x14ac:dyDescent="0.25">
      <c r="A135" s="10">
        <v>134</v>
      </c>
      <c r="B135" s="10">
        <v>1</v>
      </c>
      <c r="C135" s="10">
        <v>134</v>
      </c>
      <c r="D135" s="109">
        <v>45371</v>
      </c>
      <c r="E135" s="109">
        <v>45373</v>
      </c>
      <c r="F135" s="109">
        <v>45379</v>
      </c>
      <c r="G135" s="11">
        <v>21839.1</v>
      </c>
      <c r="H135" s="11">
        <v>22096.75</v>
      </c>
      <c r="I135" s="11">
        <v>257.64999999999998</v>
      </c>
      <c r="J135" s="12">
        <v>1.1797647338947118E-2</v>
      </c>
      <c r="K135" s="13" t="s">
        <v>28</v>
      </c>
      <c r="L135" s="10">
        <v>21700</v>
      </c>
      <c r="M135" s="28">
        <f t="shared" si="6"/>
        <v>-6.3693100906172528E-3</v>
      </c>
      <c r="N135" s="111">
        <f t="shared" si="7"/>
        <v>0</v>
      </c>
      <c r="O135" s="111">
        <f t="shared" si="8"/>
        <v>83.65</v>
      </c>
      <c r="P135" s="13" t="s">
        <v>67</v>
      </c>
      <c r="Q135" s="10">
        <v>65</v>
      </c>
      <c r="R135" s="11">
        <v>83.65</v>
      </c>
      <c r="S135" s="11">
        <v>17.350000000000001</v>
      </c>
      <c r="T135" s="14">
        <v>0.122</v>
      </c>
      <c r="U135" s="14">
        <v>0.32350000000000001</v>
      </c>
      <c r="V135" s="14">
        <v>0.122</v>
      </c>
      <c r="W135" s="14">
        <v>0.32350000000000001</v>
      </c>
      <c r="X135" s="14">
        <v>0.122</v>
      </c>
      <c r="Y135" s="11">
        <v>66.3</v>
      </c>
      <c r="Z135" s="12">
        <v>3.03583938898581E-3</v>
      </c>
      <c r="AA135" s="9">
        <v>66.3</v>
      </c>
      <c r="AB135" s="9">
        <v>0.30358393889858099</v>
      </c>
      <c r="AC135" s="11">
        <v>108.42254009512152</v>
      </c>
      <c r="AD135" s="11">
        <v>110.69588399478312</v>
      </c>
      <c r="AE135" s="11">
        <v>-2.2733438996615973</v>
      </c>
      <c r="AF135" s="12">
        <v>-2.0536842180769212E-2</v>
      </c>
      <c r="AG135" s="11">
        <v>108.23</v>
      </c>
      <c r="AH135" s="11">
        <v>-2.23</v>
      </c>
      <c r="AI135" s="13" t="s">
        <v>71</v>
      </c>
    </row>
    <row r="136" spans="1:35" ht="18" customHeight="1" x14ac:dyDescent="0.25">
      <c r="A136" s="4">
        <v>135</v>
      </c>
      <c r="B136" s="4">
        <v>1</v>
      </c>
      <c r="C136" s="4">
        <v>135</v>
      </c>
      <c r="D136" s="108">
        <v>45373</v>
      </c>
      <c r="E136" s="108">
        <v>45378</v>
      </c>
      <c r="F136" s="108">
        <v>45379</v>
      </c>
      <c r="G136" s="5">
        <v>22096.75</v>
      </c>
      <c r="H136" s="5">
        <v>22123.65</v>
      </c>
      <c r="I136" s="5">
        <v>26.9</v>
      </c>
      <c r="J136" s="6">
        <v>1.2173735956645206E-3</v>
      </c>
      <c r="K136" s="7" t="s">
        <v>28</v>
      </c>
      <c r="L136" s="4">
        <v>22100</v>
      </c>
      <c r="M136" s="28">
        <f t="shared" si="6"/>
        <v>1.4708045300770856E-4</v>
      </c>
      <c r="N136" s="111">
        <f t="shared" si="7"/>
        <v>3.25</v>
      </c>
      <c r="O136" s="111">
        <f t="shared" si="8"/>
        <v>86.85</v>
      </c>
      <c r="P136" s="7" t="s">
        <v>67</v>
      </c>
      <c r="Q136" s="4">
        <v>65</v>
      </c>
      <c r="R136" s="5">
        <v>90.1</v>
      </c>
      <c r="S136" s="5">
        <v>34.799999999999997</v>
      </c>
      <c r="T136" s="8">
        <v>-0.20319999999999999</v>
      </c>
      <c r="U136" s="8">
        <v>0.30819999999999997</v>
      </c>
      <c r="V136" s="8">
        <v>-0.20319999999999999</v>
      </c>
      <c r="W136" s="8">
        <v>0.30819999999999997</v>
      </c>
      <c r="X136" s="8">
        <v>-0.20319999999999999</v>
      </c>
      <c r="Y136" s="5">
        <v>55.3</v>
      </c>
      <c r="Z136" s="6">
        <v>2.5026304773326392E-3</v>
      </c>
      <c r="AA136" s="9">
        <v>55.3</v>
      </c>
      <c r="AB136" s="9">
        <v>0.25026304773326391</v>
      </c>
      <c r="AC136" s="5">
        <v>108.69388164839339</v>
      </c>
      <c r="AD136" s="5">
        <v>110.69588399478312</v>
      </c>
      <c r="AE136" s="5">
        <v>-2.0020023463897303</v>
      </c>
      <c r="AF136" s="6">
        <v>-1.8085607830586374E-2</v>
      </c>
      <c r="AG136" s="5">
        <v>108.2</v>
      </c>
      <c r="AH136" s="5">
        <v>-2.25</v>
      </c>
      <c r="AI136" s="7" t="s">
        <v>68</v>
      </c>
    </row>
    <row r="137" spans="1:35" ht="18" customHeight="1" x14ac:dyDescent="0.25">
      <c r="A137" s="10">
        <v>136</v>
      </c>
      <c r="B137" s="10">
        <v>1</v>
      </c>
      <c r="C137" s="10">
        <v>136</v>
      </c>
      <c r="D137" s="109">
        <v>45378</v>
      </c>
      <c r="E137" s="109">
        <v>45379</v>
      </c>
      <c r="F137" s="109">
        <v>45386</v>
      </c>
      <c r="G137" s="11">
        <v>22123.65</v>
      </c>
      <c r="H137" s="11">
        <v>22326.9</v>
      </c>
      <c r="I137" s="11">
        <v>203.25</v>
      </c>
      <c r="J137" s="12">
        <v>9.1870012407536724E-3</v>
      </c>
      <c r="K137" s="13" t="s">
        <v>28</v>
      </c>
      <c r="L137" s="10">
        <v>22000</v>
      </c>
      <c r="M137" s="28">
        <f t="shared" si="6"/>
        <v>-5.5890415912384084E-3</v>
      </c>
      <c r="N137" s="111">
        <f t="shared" si="7"/>
        <v>0</v>
      </c>
      <c r="O137" s="111">
        <f t="shared" si="8"/>
        <v>62.35</v>
      </c>
      <c r="P137" s="13" t="s">
        <v>67</v>
      </c>
      <c r="Q137" s="10">
        <v>65</v>
      </c>
      <c r="R137" s="11">
        <v>62.35</v>
      </c>
      <c r="S137" s="11">
        <v>32.200000000000003</v>
      </c>
      <c r="T137" s="14">
        <v>1.9699999999999999E-2</v>
      </c>
      <c r="U137" s="14">
        <v>0.16900000000000001</v>
      </c>
      <c r="V137" s="14">
        <v>1.9699999999999999E-2</v>
      </c>
      <c r="W137" s="14">
        <v>0.16900000000000001</v>
      </c>
      <c r="X137" s="14">
        <v>1.9699999999999999E-2</v>
      </c>
      <c r="Y137" s="11">
        <v>30.15</v>
      </c>
      <c r="Z137" s="12">
        <v>1.3627950180010982E-3</v>
      </c>
      <c r="AA137" s="9">
        <v>30.15</v>
      </c>
      <c r="AB137" s="9">
        <v>0.13627950180010981</v>
      </c>
      <c r="AC137" s="11">
        <v>108.84200912879102</v>
      </c>
      <c r="AD137" s="11">
        <v>110.69588399478312</v>
      </c>
      <c r="AE137" s="11">
        <v>-1.8538748659920969</v>
      </c>
      <c r="AF137" s="12">
        <v>-1.6747459788834303E-2</v>
      </c>
      <c r="AG137" s="11">
        <v>108.72</v>
      </c>
      <c r="AH137" s="11">
        <v>-1.78</v>
      </c>
      <c r="AI137" s="13" t="s">
        <v>70</v>
      </c>
    </row>
    <row r="138" spans="1:35" ht="18" customHeight="1" x14ac:dyDescent="0.25">
      <c r="A138" s="4">
        <v>137</v>
      </c>
      <c r="B138" s="4">
        <v>1</v>
      </c>
      <c r="C138" s="4">
        <v>137</v>
      </c>
      <c r="D138" s="108">
        <v>45412</v>
      </c>
      <c r="E138" s="108">
        <v>45420</v>
      </c>
      <c r="F138" s="108">
        <v>45421</v>
      </c>
      <c r="G138" s="5">
        <v>22604.85</v>
      </c>
      <c r="H138" s="5">
        <v>22302.5</v>
      </c>
      <c r="I138" s="5">
        <v>-302.35000000000002</v>
      </c>
      <c r="J138" s="6">
        <v>-1.3375448189216033E-2</v>
      </c>
      <c r="K138" s="7" t="s">
        <v>28</v>
      </c>
      <c r="L138" s="4">
        <v>22700</v>
      </c>
      <c r="M138" s="28">
        <f t="shared" si="6"/>
        <v>4.2092736735701575E-3</v>
      </c>
      <c r="N138" s="111">
        <f t="shared" si="7"/>
        <v>95.150000000001455</v>
      </c>
      <c r="O138" s="111">
        <f t="shared" si="8"/>
        <v>78.949999999998539</v>
      </c>
      <c r="P138" s="7" t="s">
        <v>67</v>
      </c>
      <c r="Q138" s="4">
        <v>65</v>
      </c>
      <c r="R138" s="5">
        <v>174.1</v>
      </c>
      <c r="S138" s="5">
        <v>395.05</v>
      </c>
      <c r="T138" s="8">
        <v>-1.5491999999999999</v>
      </c>
      <c r="U138" s="8">
        <v>0.39589999999999997</v>
      </c>
      <c r="V138" s="8">
        <v>-1.5491999999999999</v>
      </c>
      <c r="W138" s="8">
        <v>0.39589999999999997</v>
      </c>
      <c r="X138" s="8">
        <v>-1.5491999999999999</v>
      </c>
      <c r="Y138" s="5">
        <v>-220.95</v>
      </c>
      <c r="Z138" s="6">
        <v>-9.7744510580693965E-3</v>
      </c>
      <c r="AA138" s="15">
        <v>-220.95</v>
      </c>
      <c r="AB138" s="15">
        <v>-0.97744510580693966</v>
      </c>
      <c r="AC138" s="5">
        <v>99.022554894193064</v>
      </c>
      <c r="AD138" s="4">
        <v>100</v>
      </c>
      <c r="AE138" s="5">
        <v>-0.977445105806936</v>
      </c>
      <c r="AF138" s="6">
        <v>-9.7744510580693601E-3</v>
      </c>
      <c r="AG138" s="5">
        <v>98.45</v>
      </c>
      <c r="AH138" s="5">
        <v>-1.55</v>
      </c>
      <c r="AI138" s="7" t="s">
        <v>68</v>
      </c>
    </row>
    <row r="139" spans="1:35" ht="18" customHeight="1" x14ac:dyDescent="0.25">
      <c r="A139" s="10">
        <v>138</v>
      </c>
      <c r="B139" s="10">
        <v>1</v>
      </c>
      <c r="C139" s="10">
        <v>138</v>
      </c>
      <c r="D139" s="109">
        <v>45420</v>
      </c>
      <c r="E139" s="109">
        <v>45427</v>
      </c>
      <c r="F139" s="109">
        <v>45428</v>
      </c>
      <c r="G139" s="11">
        <v>22302.5</v>
      </c>
      <c r="H139" s="11">
        <v>22200.55</v>
      </c>
      <c r="I139" s="11">
        <v>-101.95</v>
      </c>
      <c r="J139" s="12">
        <v>-4.5712364084743865E-3</v>
      </c>
      <c r="K139" s="13" t="s">
        <v>28</v>
      </c>
      <c r="L139" s="10">
        <v>22100</v>
      </c>
      <c r="M139" s="28">
        <f t="shared" si="6"/>
        <v>-9.0796995852482354E-3</v>
      </c>
      <c r="N139" s="111">
        <f t="shared" si="7"/>
        <v>0</v>
      </c>
      <c r="O139" s="111">
        <f t="shared" si="8"/>
        <v>84.15</v>
      </c>
      <c r="P139" s="13" t="s">
        <v>67</v>
      </c>
      <c r="Q139" s="10">
        <v>65</v>
      </c>
      <c r="R139" s="11">
        <v>84.15</v>
      </c>
      <c r="S139" s="11">
        <v>30.55</v>
      </c>
      <c r="T139" s="14">
        <v>-1.0792999999999999</v>
      </c>
      <c r="U139" s="14">
        <v>0.27529999999999999</v>
      </c>
      <c r="V139" s="14">
        <v>-1.0792999999999999</v>
      </c>
      <c r="W139" s="14">
        <v>0.27529999999999999</v>
      </c>
      <c r="X139" s="14">
        <v>-1.0792999999999999</v>
      </c>
      <c r="Y139" s="11">
        <v>53.6</v>
      </c>
      <c r="Z139" s="12">
        <v>2.4033180136755969E-3</v>
      </c>
      <c r="AA139" s="9">
        <v>53.6</v>
      </c>
      <c r="AB139" s="9">
        <v>0.24033180136755969</v>
      </c>
      <c r="AC139" s="11">
        <v>99.260537584130461</v>
      </c>
      <c r="AD139" s="10">
        <v>100</v>
      </c>
      <c r="AE139" s="11">
        <v>-0.73946241586953931</v>
      </c>
      <c r="AF139" s="12">
        <v>-7.3946241586953934E-3</v>
      </c>
      <c r="AG139" s="11">
        <v>97.95</v>
      </c>
      <c r="AH139" s="11">
        <v>-2.0499999999999998</v>
      </c>
      <c r="AI139" s="13" t="s">
        <v>68</v>
      </c>
    </row>
    <row r="140" spans="1:35" ht="18" customHeight="1" x14ac:dyDescent="0.25">
      <c r="A140" s="4">
        <v>139</v>
      </c>
      <c r="B140" s="4">
        <v>1</v>
      </c>
      <c r="C140" s="4">
        <v>139</v>
      </c>
      <c r="D140" s="108">
        <v>45427</v>
      </c>
      <c r="E140" s="108">
        <v>45429</v>
      </c>
      <c r="F140" s="108">
        <v>45435</v>
      </c>
      <c r="G140" s="5">
        <v>22200.55</v>
      </c>
      <c r="H140" s="5">
        <v>22466.1</v>
      </c>
      <c r="I140" s="5">
        <v>265.55</v>
      </c>
      <c r="J140" s="6">
        <v>1.1961415370339925E-2</v>
      </c>
      <c r="K140" s="7" t="s">
        <v>28</v>
      </c>
      <c r="L140" s="4">
        <v>22300</v>
      </c>
      <c r="M140" s="28">
        <f t="shared" si="6"/>
        <v>4.4796187481841443E-3</v>
      </c>
      <c r="N140" s="111">
        <f t="shared" si="7"/>
        <v>99.450000000000728</v>
      </c>
      <c r="O140" s="111">
        <f t="shared" si="8"/>
        <v>96.549999999999272</v>
      </c>
      <c r="P140" s="7" t="s">
        <v>67</v>
      </c>
      <c r="Q140" s="4">
        <v>65</v>
      </c>
      <c r="R140" s="4">
        <v>196</v>
      </c>
      <c r="S140" s="5">
        <v>72.8</v>
      </c>
      <c r="T140" s="8">
        <v>-0.38779999999999998</v>
      </c>
      <c r="U140" s="8">
        <v>0.60519999999999996</v>
      </c>
      <c r="V140" s="8">
        <v>-0.38779999999999998</v>
      </c>
      <c r="W140" s="8">
        <v>0.60519999999999996</v>
      </c>
      <c r="X140" s="8">
        <v>-0.38779999999999998</v>
      </c>
      <c r="Y140" s="5">
        <v>123.2</v>
      </c>
      <c r="Z140" s="6">
        <v>5.549412064115529E-3</v>
      </c>
      <c r="AA140" s="9">
        <v>123.2</v>
      </c>
      <c r="AB140" s="9">
        <v>0.55494120641155287</v>
      </c>
      <c r="AC140" s="5">
        <v>99.811375208890425</v>
      </c>
      <c r="AD140" s="4">
        <v>100</v>
      </c>
      <c r="AE140" s="5">
        <v>-0.18862479110957509</v>
      </c>
      <c r="AF140" s="6">
        <v>-1.8862479110957509E-3</v>
      </c>
      <c r="AG140" s="5">
        <v>98.88</v>
      </c>
      <c r="AH140" s="5">
        <v>-1.1200000000000001</v>
      </c>
      <c r="AI140" s="7" t="s">
        <v>71</v>
      </c>
    </row>
    <row r="141" spans="1:35" ht="18" customHeight="1" x14ac:dyDescent="0.25">
      <c r="A141" s="10">
        <v>140</v>
      </c>
      <c r="B141" s="10">
        <v>1</v>
      </c>
      <c r="C141" s="10">
        <v>140</v>
      </c>
      <c r="D141" s="109">
        <v>45429</v>
      </c>
      <c r="E141" s="109">
        <v>45434</v>
      </c>
      <c r="F141" s="109">
        <v>45435</v>
      </c>
      <c r="G141" s="11">
        <v>22466.1</v>
      </c>
      <c r="H141" s="11">
        <v>22597.8</v>
      </c>
      <c r="I141" s="11">
        <v>131.69999999999999</v>
      </c>
      <c r="J141" s="12">
        <v>5.8621656629321509E-3</v>
      </c>
      <c r="K141" s="13" t="s">
        <v>28</v>
      </c>
      <c r="L141" s="10">
        <v>22600</v>
      </c>
      <c r="M141" s="28">
        <f t="shared" si="6"/>
        <v>5.9600909815233916E-3</v>
      </c>
      <c r="N141" s="111">
        <f t="shared" si="7"/>
        <v>133.90000000000146</v>
      </c>
      <c r="O141" s="111">
        <f t="shared" si="8"/>
        <v>74.099999999998545</v>
      </c>
      <c r="P141" s="13" t="s">
        <v>67</v>
      </c>
      <c r="Q141" s="10">
        <v>65</v>
      </c>
      <c r="R141" s="10">
        <v>208</v>
      </c>
      <c r="S141" s="11">
        <v>66.3</v>
      </c>
      <c r="T141" s="14">
        <v>0.03</v>
      </c>
      <c r="U141" s="14">
        <v>0.67810000000000004</v>
      </c>
      <c r="V141" s="14">
        <v>0.03</v>
      </c>
      <c r="W141" s="14">
        <v>0.67810000000000004</v>
      </c>
      <c r="X141" s="14">
        <v>0.03</v>
      </c>
      <c r="Y141" s="11">
        <v>141.69999999999999</v>
      </c>
      <c r="Z141" s="12">
        <v>6.3072807474372494E-3</v>
      </c>
      <c r="AA141" s="9">
        <v>141.69999999999999</v>
      </c>
      <c r="AB141" s="9">
        <v>0.63072807474372494</v>
      </c>
      <c r="AC141" s="11">
        <v>100.4409135741207</v>
      </c>
      <c r="AD141" s="11">
        <v>100.4409135741207</v>
      </c>
      <c r="AE141" s="10">
        <v>0</v>
      </c>
      <c r="AF141" s="12">
        <v>0</v>
      </c>
      <c r="AG141" s="11">
        <v>99.84</v>
      </c>
      <c r="AH141" s="11">
        <v>-0.16</v>
      </c>
      <c r="AI141" s="13" t="s">
        <v>68</v>
      </c>
    </row>
    <row r="142" spans="1:35" ht="18" customHeight="1" x14ac:dyDescent="0.25">
      <c r="A142" s="4">
        <v>141</v>
      </c>
      <c r="B142" s="4">
        <v>1</v>
      </c>
      <c r="C142" s="4">
        <v>141</v>
      </c>
      <c r="D142" s="108">
        <v>45434</v>
      </c>
      <c r="E142" s="108">
        <v>45435</v>
      </c>
      <c r="F142" s="108">
        <v>45442</v>
      </c>
      <c r="G142" s="5">
        <v>22597.8</v>
      </c>
      <c r="H142" s="5">
        <v>22967.65</v>
      </c>
      <c r="I142" s="5">
        <v>369.85</v>
      </c>
      <c r="J142" s="6">
        <v>1.6366637460283745E-2</v>
      </c>
      <c r="K142" s="7" t="s">
        <v>28</v>
      </c>
      <c r="L142" s="4">
        <v>22700</v>
      </c>
      <c r="M142" s="28">
        <f t="shared" si="6"/>
        <v>4.5225641434121222E-3</v>
      </c>
      <c r="N142" s="111">
        <f t="shared" si="7"/>
        <v>102.20000000000073</v>
      </c>
      <c r="O142" s="111">
        <f t="shared" si="8"/>
        <v>80.549999999999272</v>
      </c>
      <c r="P142" s="7" t="s">
        <v>67</v>
      </c>
      <c r="Q142" s="4">
        <v>65</v>
      </c>
      <c r="R142" s="5">
        <v>182.75</v>
      </c>
      <c r="S142" s="5">
        <v>68.25</v>
      </c>
      <c r="T142" s="8">
        <v>-1.17E-2</v>
      </c>
      <c r="U142" s="8">
        <v>0.53059999999999996</v>
      </c>
      <c r="V142" s="8">
        <v>-1.17E-2</v>
      </c>
      <c r="W142" s="8">
        <v>0.53059999999999996</v>
      </c>
      <c r="X142" s="8">
        <v>-1.17E-2</v>
      </c>
      <c r="Y142" s="5">
        <v>114.5</v>
      </c>
      <c r="Z142" s="6">
        <v>5.0668649160537753E-3</v>
      </c>
      <c r="AA142" s="9">
        <v>114.5</v>
      </c>
      <c r="AB142" s="9">
        <v>0.50668649160537749</v>
      </c>
      <c r="AC142" s="5">
        <v>100.94983411524579</v>
      </c>
      <c r="AD142" s="5">
        <v>100.94983411524579</v>
      </c>
      <c r="AE142" s="4">
        <v>0</v>
      </c>
      <c r="AF142" s="6">
        <v>0</v>
      </c>
      <c r="AG142" s="5">
        <v>100.43</v>
      </c>
      <c r="AH142" s="5">
        <v>-0.01</v>
      </c>
      <c r="AI142" s="7" t="s">
        <v>71</v>
      </c>
    </row>
    <row r="143" spans="1:35" ht="18" customHeight="1" x14ac:dyDescent="0.25">
      <c r="A143" s="10">
        <v>142</v>
      </c>
      <c r="B143" s="10">
        <v>1</v>
      </c>
      <c r="C143" s="10">
        <v>142</v>
      </c>
      <c r="D143" s="109">
        <v>45435</v>
      </c>
      <c r="E143" s="109">
        <v>45441</v>
      </c>
      <c r="F143" s="109">
        <v>45442</v>
      </c>
      <c r="G143" s="11">
        <v>22967.65</v>
      </c>
      <c r="H143" s="11">
        <v>22704.7</v>
      </c>
      <c r="I143" s="11">
        <v>-262.95</v>
      </c>
      <c r="J143" s="12">
        <v>-1.1448711557342608E-2</v>
      </c>
      <c r="K143" s="13" t="s">
        <v>28</v>
      </c>
      <c r="L143" s="10">
        <v>23100</v>
      </c>
      <c r="M143" s="28">
        <f t="shared" si="6"/>
        <v>5.7624528412789644E-3</v>
      </c>
      <c r="N143" s="111">
        <f t="shared" si="7"/>
        <v>132.34999999999854</v>
      </c>
      <c r="O143" s="111">
        <f t="shared" si="8"/>
        <v>82.50000000000145</v>
      </c>
      <c r="P143" s="13" t="s">
        <v>67</v>
      </c>
      <c r="Q143" s="10">
        <v>65</v>
      </c>
      <c r="R143" s="11">
        <v>214.85</v>
      </c>
      <c r="S143" s="11">
        <v>363.4</v>
      </c>
      <c r="T143" s="14">
        <v>-0.78349999999999997</v>
      </c>
      <c r="U143" s="14">
        <v>0.50009999999999999</v>
      </c>
      <c r="V143" s="14">
        <v>-0.78349999999999997</v>
      </c>
      <c r="W143" s="14">
        <v>0.50009999999999999</v>
      </c>
      <c r="X143" s="14">
        <v>-0.78349999999999997</v>
      </c>
      <c r="Y143" s="11">
        <v>-148.55000000000001</v>
      </c>
      <c r="Z143" s="12">
        <v>-6.4677927432715146E-3</v>
      </c>
      <c r="AA143" s="15">
        <v>-148.55000000000001</v>
      </c>
      <c r="AB143" s="15">
        <v>-0.64677927432715143</v>
      </c>
      <c r="AC143" s="11">
        <v>100.29691151072075</v>
      </c>
      <c r="AD143" s="11">
        <v>100.94983411524579</v>
      </c>
      <c r="AE143" s="11">
        <v>-0.65292260452504536</v>
      </c>
      <c r="AF143" s="12">
        <v>-6.4677927432714695E-3</v>
      </c>
      <c r="AG143" s="11">
        <v>100.16</v>
      </c>
      <c r="AH143" s="11">
        <v>-0.78</v>
      </c>
      <c r="AI143" s="13" t="s">
        <v>68</v>
      </c>
    </row>
    <row r="144" spans="1:35" ht="18" customHeight="1" x14ac:dyDescent="0.25">
      <c r="A144" s="4">
        <v>143</v>
      </c>
      <c r="B144" s="4">
        <v>1</v>
      </c>
      <c r="C144" s="4">
        <v>143</v>
      </c>
      <c r="D144" s="108">
        <v>45441</v>
      </c>
      <c r="E144" s="108">
        <v>45446</v>
      </c>
      <c r="F144" s="108">
        <v>45449</v>
      </c>
      <c r="G144" s="5">
        <v>22704.7</v>
      </c>
      <c r="H144" s="5">
        <v>23263.9</v>
      </c>
      <c r="I144" s="5">
        <v>559.20000000000005</v>
      </c>
      <c r="J144" s="6">
        <v>2.462926178280268E-2</v>
      </c>
      <c r="K144" s="7" t="s">
        <v>28</v>
      </c>
      <c r="L144" s="4">
        <v>23100</v>
      </c>
      <c r="M144" s="28">
        <f t="shared" si="6"/>
        <v>1.7410492100754515E-2</v>
      </c>
      <c r="N144" s="111">
        <f t="shared" si="7"/>
        <v>395.29999999999927</v>
      </c>
      <c r="O144" s="111">
        <f t="shared" si="8"/>
        <v>211.45000000000073</v>
      </c>
      <c r="P144" s="7" t="s">
        <v>67</v>
      </c>
      <c r="Q144" s="4">
        <v>65</v>
      </c>
      <c r="R144" s="5">
        <v>606.75</v>
      </c>
      <c r="S144" s="5">
        <v>248.8</v>
      </c>
      <c r="T144" s="8">
        <v>-0.83599999999999997</v>
      </c>
      <c r="U144" s="8">
        <v>1.7844</v>
      </c>
      <c r="V144" s="8">
        <v>-0.83599999999999997</v>
      </c>
      <c r="W144" s="8">
        <v>1.7844</v>
      </c>
      <c r="X144" s="8">
        <v>-0.83599999999999997</v>
      </c>
      <c r="Y144" s="5">
        <v>357.95</v>
      </c>
      <c r="Z144" s="6">
        <v>1.5765458253137014E-2</v>
      </c>
      <c r="AA144" s="9">
        <v>357.95</v>
      </c>
      <c r="AB144" s="9">
        <v>1.5765458253137015</v>
      </c>
      <c r="AC144" s="5">
        <v>101.8781382820616</v>
      </c>
      <c r="AD144" s="5">
        <v>101.8781382820616</v>
      </c>
      <c r="AE144" s="4">
        <v>0</v>
      </c>
      <c r="AF144" s="6">
        <v>0</v>
      </c>
      <c r="AG144" s="5">
        <v>99.46</v>
      </c>
      <c r="AH144" s="5">
        <v>-1.48</v>
      </c>
      <c r="AI144" s="7" t="s">
        <v>71</v>
      </c>
    </row>
    <row r="145" spans="1:35" ht="18" customHeight="1" x14ac:dyDescent="0.25">
      <c r="A145" s="10">
        <v>144</v>
      </c>
      <c r="B145" s="10">
        <v>1</v>
      </c>
      <c r="C145" s="10">
        <v>144</v>
      </c>
      <c r="D145" s="109">
        <v>45446</v>
      </c>
      <c r="E145" s="109">
        <v>45448</v>
      </c>
      <c r="F145" s="109">
        <v>45449</v>
      </c>
      <c r="G145" s="11">
        <v>23263.9</v>
      </c>
      <c r="H145" s="11">
        <v>22620.35</v>
      </c>
      <c r="I145" s="11">
        <v>-643.54999999999995</v>
      </c>
      <c r="J145" s="12">
        <v>-2.766303156392522E-2</v>
      </c>
      <c r="K145" s="13" t="s">
        <v>28</v>
      </c>
      <c r="L145" s="10">
        <v>23700</v>
      </c>
      <c r="M145" s="28">
        <f t="shared" si="6"/>
        <v>1.8745782091566632E-2</v>
      </c>
      <c r="N145" s="111">
        <f t="shared" si="7"/>
        <v>436.09999999999854</v>
      </c>
      <c r="O145" s="111">
        <f t="shared" si="8"/>
        <v>174.00000000000148</v>
      </c>
      <c r="P145" s="13" t="s">
        <v>67</v>
      </c>
      <c r="Q145" s="10">
        <v>65</v>
      </c>
      <c r="R145" s="11">
        <v>610.1</v>
      </c>
      <c r="S145" s="10">
        <v>1156</v>
      </c>
      <c r="T145" s="14">
        <v>-8.1290999999999993</v>
      </c>
      <c r="U145" s="14">
        <v>-0.81630000000000003</v>
      </c>
      <c r="V145" s="14">
        <v>-8.1290999999999993</v>
      </c>
      <c r="W145" s="14">
        <v>-0.81630000000000003</v>
      </c>
      <c r="X145" s="14">
        <v>-8.1290999999999993</v>
      </c>
      <c r="Y145" s="11">
        <v>-545.9</v>
      </c>
      <c r="Z145" s="12">
        <v>-2.3465541031383385E-2</v>
      </c>
      <c r="AA145" s="15">
        <v>-545.9</v>
      </c>
      <c r="AB145" s="15">
        <v>-2.3465541031383386</v>
      </c>
      <c r="AC145" s="11">
        <v>99.487512648002934</v>
      </c>
      <c r="AD145" s="11">
        <v>101.8781382820616</v>
      </c>
      <c r="AE145" s="11">
        <v>-2.3906256340586651</v>
      </c>
      <c r="AF145" s="12">
        <v>-2.3465541031383368E-2</v>
      </c>
      <c r="AG145" s="11">
        <v>93.6</v>
      </c>
      <c r="AH145" s="11">
        <v>-8.1300000000000008</v>
      </c>
      <c r="AI145" s="13" t="s">
        <v>68</v>
      </c>
    </row>
    <row r="146" spans="1:35" ht="18" customHeight="1" x14ac:dyDescent="0.25">
      <c r="A146" s="4">
        <v>145</v>
      </c>
      <c r="B146" s="4">
        <v>1</v>
      </c>
      <c r="C146" s="4">
        <v>145</v>
      </c>
      <c r="D146" s="108">
        <v>45448</v>
      </c>
      <c r="E146" s="108">
        <v>45450</v>
      </c>
      <c r="F146" s="108">
        <v>45456</v>
      </c>
      <c r="G146" s="5">
        <v>22620.35</v>
      </c>
      <c r="H146" s="5">
        <v>23290.15</v>
      </c>
      <c r="I146" s="5">
        <v>669.8</v>
      </c>
      <c r="J146" s="6">
        <v>2.9610505584573184E-2</v>
      </c>
      <c r="K146" s="7" t="s">
        <v>28</v>
      </c>
      <c r="L146" s="4">
        <v>22200</v>
      </c>
      <c r="M146" s="28">
        <f t="shared" si="6"/>
        <v>-1.85828247573534E-2</v>
      </c>
      <c r="N146" s="111">
        <f t="shared" si="7"/>
        <v>0</v>
      </c>
      <c r="O146" s="111">
        <f t="shared" si="8"/>
        <v>159.35</v>
      </c>
      <c r="P146" s="7" t="s">
        <v>67</v>
      </c>
      <c r="Q146" s="4">
        <v>65</v>
      </c>
      <c r="R146" s="5">
        <v>159.35</v>
      </c>
      <c r="S146" s="5">
        <v>17.75</v>
      </c>
      <c r="T146" s="8">
        <v>6.0000000000000001E-3</v>
      </c>
      <c r="U146" s="8">
        <v>0.63749999999999996</v>
      </c>
      <c r="V146" s="8">
        <v>6.0000000000000001E-3</v>
      </c>
      <c r="W146" s="8">
        <v>0.63749999999999996</v>
      </c>
      <c r="X146" s="8">
        <v>6.0000000000000001E-3</v>
      </c>
      <c r="Y146" s="5">
        <v>141.6</v>
      </c>
      <c r="Z146" s="6">
        <v>6.2598500907368806E-3</v>
      </c>
      <c r="AA146" s="9">
        <v>141.6</v>
      </c>
      <c r="AB146" s="9">
        <v>0.62598500907368804</v>
      </c>
      <c r="AC146" s="5">
        <v>100.11028956307973</v>
      </c>
      <c r="AD146" s="5">
        <v>101.8781382820616</v>
      </c>
      <c r="AE146" s="5">
        <v>-1.7678487189818668</v>
      </c>
      <c r="AF146" s="6">
        <v>-1.735258170980088E-2</v>
      </c>
      <c r="AG146" s="5">
        <v>99.49</v>
      </c>
      <c r="AH146" s="5">
        <v>-2.34</v>
      </c>
      <c r="AI146" s="7" t="s">
        <v>71</v>
      </c>
    </row>
    <row r="147" spans="1:35" ht="18" customHeight="1" x14ac:dyDescent="0.25">
      <c r="A147" s="10">
        <v>146</v>
      </c>
      <c r="B147" s="10">
        <v>1</v>
      </c>
      <c r="C147" s="10">
        <v>146</v>
      </c>
      <c r="D147" s="109">
        <v>45450</v>
      </c>
      <c r="E147" s="109">
        <v>45455</v>
      </c>
      <c r="F147" s="109">
        <v>45456</v>
      </c>
      <c r="G147" s="11">
        <v>23290.15</v>
      </c>
      <c r="H147" s="11">
        <v>23322.95</v>
      </c>
      <c r="I147" s="11">
        <v>32.799999999999997</v>
      </c>
      <c r="J147" s="12">
        <v>1.4083206849247426E-3</v>
      </c>
      <c r="K147" s="13" t="s">
        <v>28</v>
      </c>
      <c r="L147" s="10">
        <v>23600</v>
      </c>
      <c r="M147" s="28">
        <f t="shared" si="6"/>
        <v>1.3303907445851415E-2</v>
      </c>
      <c r="N147" s="111">
        <f t="shared" si="7"/>
        <v>309.84999999999854</v>
      </c>
      <c r="O147" s="111">
        <f t="shared" si="8"/>
        <v>72.050000000001432</v>
      </c>
      <c r="P147" s="13" t="s">
        <v>67</v>
      </c>
      <c r="Q147" s="10">
        <v>65</v>
      </c>
      <c r="R147" s="11">
        <v>381.9</v>
      </c>
      <c r="S147" s="11">
        <v>285.10000000000002</v>
      </c>
      <c r="T147" s="14">
        <v>-0.29239999999999999</v>
      </c>
      <c r="U147" s="14">
        <v>0.90210000000000001</v>
      </c>
      <c r="V147" s="14">
        <v>-0.29239999999999999</v>
      </c>
      <c r="W147" s="14">
        <v>0.90210000000000001</v>
      </c>
      <c r="X147" s="14">
        <v>-0.29239999999999999</v>
      </c>
      <c r="Y147" s="11">
        <v>96.8</v>
      </c>
      <c r="Z147" s="12">
        <v>4.1562634847778996E-3</v>
      </c>
      <c r="AA147" s="9">
        <v>96.8</v>
      </c>
      <c r="AB147" s="9">
        <v>0.41562634847778995</v>
      </c>
      <c r="AC147" s="11">
        <v>100.5263743040413</v>
      </c>
      <c r="AD147" s="11">
        <v>101.8781382820616</v>
      </c>
      <c r="AE147" s="11">
        <v>-1.3517639780203012</v>
      </c>
      <c r="AF147" s="12">
        <v>-1.3268440126750096E-2</v>
      </c>
      <c r="AG147" s="11">
        <v>99.82</v>
      </c>
      <c r="AH147" s="11">
        <v>-2.02</v>
      </c>
      <c r="AI147" s="13" t="s">
        <v>68</v>
      </c>
    </row>
    <row r="148" spans="1:35" ht="18" customHeight="1" x14ac:dyDescent="0.25">
      <c r="A148" s="4">
        <v>147</v>
      </c>
      <c r="B148" s="4">
        <v>1</v>
      </c>
      <c r="C148" s="4">
        <v>147</v>
      </c>
      <c r="D148" s="108">
        <v>45455</v>
      </c>
      <c r="E148" s="108">
        <v>45461</v>
      </c>
      <c r="F148" s="108">
        <v>45463</v>
      </c>
      <c r="G148" s="5">
        <v>23322.95</v>
      </c>
      <c r="H148" s="5">
        <v>23557.9</v>
      </c>
      <c r="I148" s="5">
        <v>234.95</v>
      </c>
      <c r="J148" s="6">
        <v>1.0073768541286585E-2</v>
      </c>
      <c r="K148" s="7" t="s">
        <v>28</v>
      </c>
      <c r="L148" s="4">
        <v>23500</v>
      </c>
      <c r="M148" s="28">
        <f t="shared" si="6"/>
        <v>7.5912352425400176E-3</v>
      </c>
      <c r="N148" s="111">
        <f t="shared" si="7"/>
        <v>177.04999999999927</v>
      </c>
      <c r="O148" s="111">
        <f t="shared" si="8"/>
        <v>90.100000000000705</v>
      </c>
      <c r="P148" s="7" t="s">
        <v>67</v>
      </c>
      <c r="Q148" s="4">
        <v>65</v>
      </c>
      <c r="R148" s="5">
        <v>267.14999999999998</v>
      </c>
      <c r="S148" s="4">
        <v>61</v>
      </c>
      <c r="T148" s="8">
        <v>0.1361</v>
      </c>
      <c r="U148" s="8">
        <v>0.91390000000000005</v>
      </c>
      <c r="V148" s="8">
        <v>0.1361</v>
      </c>
      <c r="W148" s="8">
        <v>0.91390000000000005</v>
      </c>
      <c r="X148" s="8">
        <v>0.1361</v>
      </c>
      <c r="Y148" s="5">
        <v>206.15</v>
      </c>
      <c r="Z148" s="6">
        <v>8.838933325329772E-3</v>
      </c>
      <c r="AA148" s="9">
        <v>206.15</v>
      </c>
      <c r="AB148" s="9">
        <v>0.88389333253297719</v>
      </c>
      <c r="AC148" s="5">
        <v>101.41492022395187</v>
      </c>
      <c r="AD148" s="5">
        <v>101.8781382820616</v>
      </c>
      <c r="AE148" s="5">
        <v>-0.4632180581097316</v>
      </c>
      <c r="AF148" s="6">
        <v>-4.5467856590317539E-3</v>
      </c>
      <c r="AG148" s="5">
        <v>100.66</v>
      </c>
      <c r="AH148" s="5">
        <v>-1.2</v>
      </c>
      <c r="AI148" s="7" t="s">
        <v>71</v>
      </c>
    </row>
    <row r="149" spans="1:35" ht="18" customHeight="1" x14ac:dyDescent="0.25">
      <c r="A149" s="10">
        <v>148</v>
      </c>
      <c r="B149" s="10">
        <v>1</v>
      </c>
      <c r="C149" s="10">
        <v>148</v>
      </c>
      <c r="D149" s="109">
        <v>45461</v>
      </c>
      <c r="E149" s="109">
        <v>45462</v>
      </c>
      <c r="F149" s="109">
        <v>45463</v>
      </c>
      <c r="G149" s="11">
        <v>23557.9</v>
      </c>
      <c r="H149" s="10">
        <v>23516</v>
      </c>
      <c r="I149" s="11">
        <v>-41.9</v>
      </c>
      <c r="J149" s="12">
        <v>-1.7785965642098827E-3</v>
      </c>
      <c r="K149" s="13" t="s">
        <v>28</v>
      </c>
      <c r="L149" s="10">
        <v>23600</v>
      </c>
      <c r="M149" s="28">
        <f t="shared" si="6"/>
        <v>1.7870862852800151E-3</v>
      </c>
      <c r="N149" s="111">
        <f t="shared" si="7"/>
        <v>42.099999999998545</v>
      </c>
      <c r="O149" s="111">
        <f t="shared" si="8"/>
        <v>64.100000000001458</v>
      </c>
      <c r="P149" s="13" t="s">
        <v>67</v>
      </c>
      <c r="Q149" s="10">
        <v>65</v>
      </c>
      <c r="R149" s="11">
        <v>106.2</v>
      </c>
      <c r="S149" s="11">
        <v>131.05000000000001</v>
      </c>
      <c r="T149" s="14">
        <v>-0.47949999999999998</v>
      </c>
      <c r="U149" s="14">
        <v>0.22789999999999999</v>
      </c>
      <c r="V149" s="14">
        <v>-0.47949999999999998</v>
      </c>
      <c r="W149" s="14">
        <v>0.22789999999999999</v>
      </c>
      <c r="X149" s="14">
        <v>-0.47949999999999998</v>
      </c>
      <c r="Y149" s="11">
        <v>-24.85</v>
      </c>
      <c r="Z149" s="12">
        <v>-1.0548478429741191E-3</v>
      </c>
      <c r="AA149" s="15">
        <v>-24.85</v>
      </c>
      <c r="AB149" s="15">
        <v>-0.10548478429741191</v>
      </c>
      <c r="AC149" s="11">
        <v>101.30794291410824</v>
      </c>
      <c r="AD149" s="11">
        <v>101.8781382820616</v>
      </c>
      <c r="AE149" s="11">
        <v>-0.57019536795336023</v>
      </c>
      <c r="AF149" s="12">
        <v>-5.5968373349609838E-3</v>
      </c>
      <c r="AG149" s="11">
        <v>100.93</v>
      </c>
      <c r="AH149" s="11">
        <v>-0.93</v>
      </c>
      <c r="AI149" s="13" t="s">
        <v>68</v>
      </c>
    </row>
    <row r="150" spans="1:35" ht="18" customHeight="1" x14ac:dyDescent="0.25">
      <c r="A150" s="4">
        <v>149</v>
      </c>
      <c r="B150" s="4">
        <v>1</v>
      </c>
      <c r="C150" s="4">
        <v>149</v>
      </c>
      <c r="D150" s="108">
        <v>45462</v>
      </c>
      <c r="E150" s="108">
        <v>45469</v>
      </c>
      <c r="F150" s="108">
        <v>45470</v>
      </c>
      <c r="G150" s="4">
        <v>23516</v>
      </c>
      <c r="H150" s="5">
        <v>23868.799999999999</v>
      </c>
      <c r="I150" s="5">
        <v>352.8</v>
      </c>
      <c r="J150" s="6">
        <v>1.5002551454328968E-2</v>
      </c>
      <c r="K150" s="7" t="s">
        <v>28</v>
      </c>
      <c r="L150" s="4">
        <v>23700</v>
      </c>
      <c r="M150" s="28">
        <f t="shared" si="6"/>
        <v>7.8244599421670724E-3</v>
      </c>
      <c r="N150" s="111">
        <f t="shared" si="7"/>
        <v>184</v>
      </c>
      <c r="O150" s="111">
        <f t="shared" si="8"/>
        <v>88.5</v>
      </c>
      <c r="P150" s="7" t="s">
        <v>67</v>
      </c>
      <c r="Q150" s="4">
        <v>65</v>
      </c>
      <c r="R150" s="5">
        <v>272.5</v>
      </c>
      <c r="S150" s="5">
        <v>22.1</v>
      </c>
      <c r="T150" s="8">
        <v>-0.47899999999999998</v>
      </c>
      <c r="U150" s="8">
        <v>1.0765</v>
      </c>
      <c r="V150" s="8">
        <v>-0.47899999999999998</v>
      </c>
      <c r="W150" s="8">
        <v>1.0765</v>
      </c>
      <c r="X150" s="8">
        <v>-0.47899999999999998</v>
      </c>
      <c r="Y150" s="5">
        <v>250.4</v>
      </c>
      <c r="Z150" s="6">
        <v>1.0648069399557748E-2</v>
      </c>
      <c r="AA150" s="9">
        <v>250.4</v>
      </c>
      <c r="AB150" s="9">
        <v>1.0648069399557747</v>
      </c>
      <c r="AC150" s="5">
        <v>102.38667692098409</v>
      </c>
      <c r="AD150" s="5">
        <v>102.38667692098409</v>
      </c>
      <c r="AE150" s="4">
        <v>0</v>
      </c>
      <c r="AF150" s="6">
        <v>0</v>
      </c>
      <c r="AG150" s="5">
        <v>100.82</v>
      </c>
      <c r="AH150" s="5">
        <v>-1.04</v>
      </c>
      <c r="AI150" s="7" t="s">
        <v>69</v>
      </c>
    </row>
    <row r="151" spans="1:35" ht="18" customHeight="1" x14ac:dyDescent="0.25">
      <c r="A151" s="10">
        <v>150</v>
      </c>
      <c r="B151" s="10">
        <v>1</v>
      </c>
      <c r="C151" s="10">
        <v>150</v>
      </c>
      <c r="D151" s="109">
        <v>45469</v>
      </c>
      <c r="E151" s="109">
        <v>45474</v>
      </c>
      <c r="F151" s="109">
        <v>45477</v>
      </c>
      <c r="G151" s="11">
        <v>23868.799999999999</v>
      </c>
      <c r="H151" s="11">
        <v>24141.95</v>
      </c>
      <c r="I151" s="11">
        <v>273.14999999999998</v>
      </c>
      <c r="J151" s="12">
        <v>1.1443809491888992E-2</v>
      </c>
      <c r="K151" s="13" t="s">
        <v>28</v>
      </c>
      <c r="L151" s="10">
        <v>24100</v>
      </c>
      <c r="M151" s="28">
        <f t="shared" si="6"/>
        <v>9.686285024802288E-3</v>
      </c>
      <c r="N151" s="111">
        <f t="shared" si="7"/>
        <v>231.20000000000073</v>
      </c>
      <c r="O151" s="111">
        <f t="shared" si="8"/>
        <v>57.649999999999295</v>
      </c>
      <c r="P151" s="13" t="s">
        <v>67</v>
      </c>
      <c r="Q151" s="10">
        <v>65</v>
      </c>
      <c r="R151" s="11">
        <v>288.85000000000002</v>
      </c>
      <c r="S151" s="11">
        <v>103.25</v>
      </c>
      <c r="T151" s="14">
        <v>-0.22370000000000001</v>
      </c>
      <c r="U151" s="14">
        <v>0.82350000000000001</v>
      </c>
      <c r="V151" s="14">
        <v>-0.22370000000000001</v>
      </c>
      <c r="W151" s="14">
        <v>0.82350000000000001</v>
      </c>
      <c r="X151" s="14">
        <v>-0.22370000000000001</v>
      </c>
      <c r="Y151" s="11">
        <v>185.6</v>
      </c>
      <c r="Z151" s="12">
        <v>7.7758412655851991E-3</v>
      </c>
      <c r="AA151" s="9">
        <v>185.6</v>
      </c>
      <c r="AB151" s="9">
        <v>0.77758412655851994</v>
      </c>
      <c r="AC151" s="11">
        <v>103.18281946843243</v>
      </c>
      <c r="AD151" s="11">
        <v>103.18281946843243</v>
      </c>
      <c r="AE151" s="10">
        <v>0</v>
      </c>
      <c r="AF151" s="12">
        <v>0</v>
      </c>
      <c r="AG151" s="11">
        <v>102.16</v>
      </c>
      <c r="AH151" s="11">
        <v>-0.22</v>
      </c>
      <c r="AI151" s="13" t="s">
        <v>71</v>
      </c>
    </row>
    <row r="152" spans="1:35" ht="18" customHeight="1" x14ac:dyDescent="0.25">
      <c r="A152" s="4">
        <v>151</v>
      </c>
      <c r="B152" s="4">
        <v>1</v>
      </c>
      <c r="C152" s="4">
        <v>151</v>
      </c>
      <c r="D152" s="108">
        <v>45474</v>
      </c>
      <c r="E152" s="108">
        <v>45476</v>
      </c>
      <c r="F152" s="108">
        <v>45477</v>
      </c>
      <c r="G152" s="5">
        <v>24141.95</v>
      </c>
      <c r="H152" s="5">
        <v>24286.5</v>
      </c>
      <c r="I152" s="5">
        <v>144.55000000000001</v>
      </c>
      <c r="J152" s="6">
        <v>5.9875030807370576E-3</v>
      </c>
      <c r="K152" s="7" t="s">
        <v>28</v>
      </c>
      <c r="L152" s="4">
        <v>24000</v>
      </c>
      <c r="M152" s="28">
        <f t="shared" si="6"/>
        <v>-5.8798067264658194E-3</v>
      </c>
      <c r="N152" s="111">
        <f t="shared" si="7"/>
        <v>0</v>
      </c>
      <c r="O152" s="111">
        <f t="shared" si="8"/>
        <v>69.599999999999994</v>
      </c>
      <c r="P152" s="7" t="s">
        <v>67</v>
      </c>
      <c r="Q152" s="4">
        <v>65</v>
      </c>
      <c r="R152" s="5">
        <v>69.599999999999994</v>
      </c>
      <c r="S152" s="5">
        <v>9.4499999999999993</v>
      </c>
      <c r="T152" s="8">
        <v>-7.8700000000000006E-2</v>
      </c>
      <c r="U152" s="8">
        <v>0.25269999999999998</v>
      </c>
      <c r="V152" s="8">
        <v>-7.8700000000000006E-2</v>
      </c>
      <c r="W152" s="8">
        <v>0.25269999999999998</v>
      </c>
      <c r="X152" s="8">
        <v>-7.8700000000000006E-2</v>
      </c>
      <c r="Y152" s="5">
        <v>60.15</v>
      </c>
      <c r="Z152" s="6">
        <v>2.4915137343917951E-3</v>
      </c>
      <c r="AA152" s="9">
        <v>60.15</v>
      </c>
      <c r="AB152" s="9">
        <v>0.24915137343917951</v>
      </c>
      <c r="AC152" s="5">
        <v>103.43990088029129</v>
      </c>
      <c r="AD152" s="5">
        <v>103.43990088029129</v>
      </c>
      <c r="AE152" s="4">
        <v>0</v>
      </c>
      <c r="AF152" s="6">
        <v>0</v>
      </c>
      <c r="AG152" s="5">
        <v>103.1</v>
      </c>
      <c r="AH152" s="5">
        <v>-0.08</v>
      </c>
      <c r="AI152" s="7" t="s">
        <v>68</v>
      </c>
    </row>
    <row r="153" spans="1:35" ht="18" customHeight="1" x14ac:dyDescent="0.25">
      <c r="A153" s="10">
        <v>152</v>
      </c>
      <c r="B153" s="10">
        <v>1</v>
      </c>
      <c r="C153" s="10">
        <v>152</v>
      </c>
      <c r="D153" s="109">
        <v>45476</v>
      </c>
      <c r="E153" s="109">
        <v>45483</v>
      </c>
      <c r="F153" s="109">
        <v>45484</v>
      </c>
      <c r="G153" s="11">
        <v>24286.5</v>
      </c>
      <c r="H153" s="11">
        <v>24324.45</v>
      </c>
      <c r="I153" s="11">
        <v>37.950000000000003</v>
      </c>
      <c r="J153" s="12">
        <v>1.5625965042307456E-3</v>
      </c>
      <c r="K153" s="13" t="s">
        <v>28</v>
      </c>
      <c r="L153" s="10">
        <v>24500</v>
      </c>
      <c r="M153" s="28">
        <f t="shared" si="6"/>
        <v>8.7908920593744444E-3</v>
      </c>
      <c r="N153" s="111">
        <f t="shared" si="7"/>
        <v>213.5</v>
      </c>
      <c r="O153" s="111">
        <f t="shared" si="8"/>
        <v>60.899999999999977</v>
      </c>
      <c r="P153" s="13" t="s">
        <v>67</v>
      </c>
      <c r="Q153" s="10">
        <v>65</v>
      </c>
      <c r="R153" s="11">
        <v>274.39999999999998</v>
      </c>
      <c r="S153" s="11">
        <v>195.55</v>
      </c>
      <c r="T153" s="14">
        <v>-0.34129999999999999</v>
      </c>
      <c r="U153" s="14">
        <v>0.76590000000000003</v>
      </c>
      <c r="V153" s="14">
        <v>-0.34129999999999999</v>
      </c>
      <c r="W153" s="14">
        <v>0.76590000000000003</v>
      </c>
      <c r="X153" s="14">
        <v>-0.34129999999999999</v>
      </c>
      <c r="Y153" s="11">
        <v>78.849999999999994</v>
      </c>
      <c r="Z153" s="12">
        <v>3.2466596668931295E-3</v>
      </c>
      <c r="AA153" s="9">
        <v>78.849999999999994</v>
      </c>
      <c r="AB153" s="9">
        <v>0.32466596668931297</v>
      </c>
      <c r="AC153" s="11">
        <v>103.77573503442676</v>
      </c>
      <c r="AD153" s="11">
        <v>103.77573503442676</v>
      </c>
      <c r="AE153" s="10">
        <v>0</v>
      </c>
      <c r="AF153" s="12">
        <v>0</v>
      </c>
      <c r="AG153" s="11">
        <v>103.09</v>
      </c>
      <c r="AH153" s="11">
        <v>-0.34</v>
      </c>
      <c r="AI153" s="13" t="s">
        <v>68</v>
      </c>
    </row>
    <row r="154" spans="1:35" ht="18" customHeight="1" x14ac:dyDescent="0.25">
      <c r="A154" s="4">
        <v>153</v>
      </c>
      <c r="B154" s="4">
        <v>1</v>
      </c>
      <c r="C154" s="4">
        <v>153</v>
      </c>
      <c r="D154" s="108">
        <v>45483</v>
      </c>
      <c r="E154" s="108">
        <v>45488</v>
      </c>
      <c r="F154" s="108">
        <v>45491</v>
      </c>
      <c r="G154" s="5">
        <v>24324.45</v>
      </c>
      <c r="H154" s="5">
        <v>24586.7</v>
      </c>
      <c r="I154" s="5">
        <v>262.25</v>
      </c>
      <c r="J154" s="6">
        <v>1.0781333185334098E-2</v>
      </c>
      <c r="K154" s="7" t="s">
        <v>28</v>
      </c>
      <c r="L154" s="4">
        <v>24500</v>
      </c>
      <c r="M154" s="28">
        <f t="shared" si="6"/>
        <v>7.2170182676278838E-3</v>
      </c>
      <c r="N154" s="111">
        <f t="shared" si="7"/>
        <v>175.54999999999927</v>
      </c>
      <c r="O154" s="111">
        <f t="shared" si="8"/>
        <v>64.750000000000739</v>
      </c>
      <c r="P154" s="7" t="s">
        <v>67</v>
      </c>
      <c r="Q154" s="4">
        <v>65</v>
      </c>
      <c r="R154" s="5">
        <v>240.3</v>
      </c>
      <c r="S154" s="5">
        <v>57.95</v>
      </c>
      <c r="T154" s="8">
        <v>-0.31219999999999998</v>
      </c>
      <c r="U154" s="8">
        <v>0.77600000000000002</v>
      </c>
      <c r="V154" s="8">
        <v>-0.31219999999999998</v>
      </c>
      <c r="W154" s="8">
        <v>0.77600000000000002</v>
      </c>
      <c r="X154" s="8">
        <v>-0.31219999999999998</v>
      </c>
      <c r="Y154" s="5">
        <v>182.35</v>
      </c>
      <c r="Z154" s="6">
        <v>7.4965723788204871E-3</v>
      </c>
      <c r="AA154" s="9">
        <v>182.35</v>
      </c>
      <c r="AB154" s="9">
        <v>0.74965723788204874</v>
      </c>
      <c r="AC154" s="5">
        <v>104.55369734327763</v>
      </c>
      <c r="AD154" s="5">
        <v>104.55369734327763</v>
      </c>
      <c r="AE154" s="4">
        <v>0</v>
      </c>
      <c r="AF154" s="6">
        <v>0</v>
      </c>
      <c r="AG154" s="5">
        <v>103.45</v>
      </c>
      <c r="AH154" s="5">
        <v>-0.31</v>
      </c>
      <c r="AI154" s="7" t="s">
        <v>71</v>
      </c>
    </row>
    <row r="155" spans="1:35" ht="18" customHeight="1" x14ac:dyDescent="0.25">
      <c r="A155" s="10">
        <v>154</v>
      </c>
      <c r="B155" s="10">
        <v>1</v>
      </c>
      <c r="C155" s="10">
        <v>154</v>
      </c>
      <c r="D155" s="109">
        <v>45488</v>
      </c>
      <c r="E155" s="109">
        <v>45489</v>
      </c>
      <c r="F155" s="109">
        <v>45491</v>
      </c>
      <c r="G155" s="11">
        <v>24586.7</v>
      </c>
      <c r="H155" s="10">
        <v>24613</v>
      </c>
      <c r="I155" s="11">
        <v>26.3</v>
      </c>
      <c r="J155" s="12">
        <v>1.0696840161550758E-3</v>
      </c>
      <c r="K155" s="13" t="s">
        <v>28</v>
      </c>
      <c r="L155" s="10">
        <v>24600</v>
      </c>
      <c r="M155" s="28">
        <f t="shared" si="6"/>
        <v>5.409428674851835E-4</v>
      </c>
      <c r="N155" s="111">
        <f t="shared" si="7"/>
        <v>13.299999999999272</v>
      </c>
      <c r="O155" s="111">
        <f t="shared" si="8"/>
        <v>81.300000000000722</v>
      </c>
      <c r="P155" s="13" t="s">
        <v>67</v>
      </c>
      <c r="Q155" s="10">
        <v>65</v>
      </c>
      <c r="R155" s="11">
        <v>94.6</v>
      </c>
      <c r="S155" s="11">
        <v>53.45</v>
      </c>
      <c r="T155" s="14">
        <v>-9.7999999999999997E-3</v>
      </c>
      <c r="U155" s="14">
        <v>0.20069999999999999</v>
      </c>
      <c r="V155" s="14">
        <v>-9.7999999999999997E-3</v>
      </c>
      <c r="W155" s="14">
        <v>0.20069999999999999</v>
      </c>
      <c r="X155" s="14">
        <v>-9.7999999999999997E-3</v>
      </c>
      <c r="Y155" s="11">
        <v>41.15</v>
      </c>
      <c r="Z155" s="12">
        <v>1.673669097520204E-3</v>
      </c>
      <c r="AA155" s="9">
        <v>41.15</v>
      </c>
      <c r="AB155" s="9">
        <v>0.1673669097520204</v>
      </c>
      <c r="AC155" s="11">
        <v>104.72868563555257</v>
      </c>
      <c r="AD155" s="11">
        <v>104.72868563555257</v>
      </c>
      <c r="AE155" s="10">
        <v>0</v>
      </c>
      <c r="AF155" s="12">
        <v>0</v>
      </c>
      <c r="AG155" s="11">
        <v>104.54</v>
      </c>
      <c r="AH155" s="11">
        <v>-0.01</v>
      </c>
      <c r="AI155" s="13" t="s">
        <v>68</v>
      </c>
    </row>
    <row r="156" spans="1:35" ht="18" customHeight="1" x14ac:dyDescent="0.25">
      <c r="A156" s="4">
        <v>155</v>
      </c>
      <c r="B156" s="4">
        <v>1</v>
      </c>
      <c r="C156" s="4">
        <v>155</v>
      </c>
      <c r="D156" s="108">
        <v>45489</v>
      </c>
      <c r="E156" s="108">
        <v>45497</v>
      </c>
      <c r="F156" s="108">
        <v>45498</v>
      </c>
      <c r="G156" s="4">
        <v>24613</v>
      </c>
      <c r="H156" s="5">
        <v>24413.5</v>
      </c>
      <c r="I156" s="5">
        <v>-199.5</v>
      </c>
      <c r="J156" s="6">
        <v>-8.1054727176695235E-3</v>
      </c>
      <c r="K156" s="7" t="s">
        <v>28</v>
      </c>
      <c r="L156" s="4">
        <v>24200</v>
      </c>
      <c r="M156" s="28">
        <f t="shared" si="6"/>
        <v>-1.677975053833336E-2</v>
      </c>
      <c r="N156" s="111">
        <f t="shared" si="7"/>
        <v>0</v>
      </c>
      <c r="O156" s="111">
        <f t="shared" si="8"/>
        <v>84.35</v>
      </c>
      <c r="P156" s="7" t="s">
        <v>67</v>
      </c>
      <c r="Q156" s="4">
        <v>65</v>
      </c>
      <c r="R156" s="5">
        <v>84.35</v>
      </c>
      <c r="S156" s="5">
        <v>22.5</v>
      </c>
      <c r="T156" s="8">
        <v>-0.68779999999999997</v>
      </c>
      <c r="U156" s="8">
        <v>0.27910000000000001</v>
      </c>
      <c r="V156" s="8">
        <v>-0.68779999999999997</v>
      </c>
      <c r="W156" s="8">
        <v>0.27910000000000001</v>
      </c>
      <c r="X156" s="8">
        <v>-0.68779999999999997</v>
      </c>
      <c r="Y156" s="5">
        <v>61.85</v>
      </c>
      <c r="Z156" s="6">
        <v>2.5128996871571934E-3</v>
      </c>
      <c r="AA156" s="9">
        <v>61.85</v>
      </c>
      <c r="AB156" s="9">
        <v>0.25128996871571935</v>
      </c>
      <c r="AC156" s="5">
        <v>104.99185831692255</v>
      </c>
      <c r="AD156" s="5">
        <v>104.99185831692255</v>
      </c>
      <c r="AE156" s="4">
        <v>0</v>
      </c>
      <c r="AF156" s="6">
        <v>0</v>
      </c>
      <c r="AG156" s="5">
        <v>104.01</v>
      </c>
      <c r="AH156" s="5">
        <v>-0.69</v>
      </c>
      <c r="AI156" s="7" t="s">
        <v>68</v>
      </c>
    </row>
    <row r="157" spans="1:35" ht="18" customHeight="1" x14ac:dyDescent="0.25">
      <c r="A157" s="10">
        <v>156</v>
      </c>
      <c r="B157" s="10">
        <v>1</v>
      </c>
      <c r="C157" s="10">
        <v>156</v>
      </c>
      <c r="D157" s="109">
        <v>45497</v>
      </c>
      <c r="E157" s="109">
        <v>45499</v>
      </c>
      <c r="F157" s="109">
        <v>45505</v>
      </c>
      <c r="G157" s="11">
        <v>24413.5</v>
      </c>
      <c r="H157" s="11">
        <v>24834.85</v>
      </c>
      <c r="I157" s="11">
        <v>421.35</v>
      </c>
      <c r="J157" s="12">
        <v>1.7258893644909578E-2</v>
      </c>
      <c r="K157" s="13" t="s">
        <v>28</v>
      </c>
      <c r="L157" s="10">
        <v>24600</v>
      </c>
      <c r="M157" s="28">
        <f t="shared" si="6"/>
        <v>7.6392160075369198E-3</v>
      </c>
      <c r="N157" s="111">
        <f t="shared" si="7"/>
        <v>186.5</v>
      </c>
      <c r="O157" s="111">
        <f t="shared" si="8"/>
        <v>77.350000000000023</v>
      </c>
      <c r="P157" s="13" t="s">
        <v>67</v>
      </c>
      <c r="Q157" s="10">
        <v>65</v>
      </c>
      <c r="R157" s="11">
        <v>263.85000000000002</v>
      </c>
      <c r="S157" s="11">
        <v>51.65</v>
      </c>
      <c r="T157" s="14">
        <v>-0.69610000000000005</v>
      </c>
      <c r="U157" s="14">
        <v>0.89829999999999999</v>
      </c>
      <c r="V157" s="14">
        <v>-0.69610000000000005</v>
      </c>
      <c r="W157" s="14">
        <v>0.89829999999999999</v>
      </c>
      <c r="X157" s="14">
        <v>-0.69610000000000005</v>
      </c>
      <c r="Y157" s="11">
        <v>212.2</v>
      </c>
      <c r="Z157" s="12">
        <v>8.6919122616585087E-3</v>
      </c>
      <c r="AA157" s="9">
        <v>212.2</v>
      </c>
      <c r="AB157" s="9">
        <v>0.86919122616585087</v>
      </c>
      <c r="AC157" s="11">
        <v>105.9044383376017</v>
      </c>
      <c r="AD157" s="11">
        <v>105.9044383376017</v>
      </c>
      <c r="AE157" s="10">
        <v>0</v>
      </c>
      <c r="AF157" s="12">
        <v>0</v>
      </c>
      <c r="AG157" s="11">
        <v>104.26</v>
      </c>
      <c r="AH157" s="11">
        <v>-0.7</v>
      </c>
      <c r="AI157" s="13" t="s">
        <v>71</v>
      </c>
    </row>
    <row r="158" spans="1:35" ht="18" customHeight="1" x14ac:dyDescent="0.25">
      <c r="A158" s="4">
        <v>157</v>
      </c>
      <c r="B158" s="4">
        <v>1</v>
      </c>
      <c r="C158" s="4">
        <v>157</v>
      </c>
      <c r="D158" s="108">
        <v>45499</v>
      </c>
      <c r="E158" s="108">
        <v>45504</v>
      </c>
      <c r="F158" s="108">
        <v>45505</v>
      </c>
      <c r="G158" s="5">
        <v>24834.85</v>
      </c>
      <c r="H158" s="5">
        <v>24951.15</v>
      </c>
      <c r="I158" s="5">
        <v>116.3</v>
      </c>
      <c r="J158" s="6">
        <v>4.6829354717262232E-3</v>
      </c>
      <c r="K158" s="7" t="s">
        <v>28</v>
      </c>
      <c r="L158" s="4">
        <v>24700</v>
      </c>
      <c r="M158" s="28">
        <f t="shared" si="6"/>
        <v>-5.4298697193660983E-3</v>
      </c>
      <c r="N158" s="111">
        <f t="shared" si="7"/>
        <v>0</v>
      </c>
      <c r="O158" s="111">
        <f t="shared" si="8"/>
        <v>74.05</v>
      </c>
      <c r="P158" s="7" t="s">
        <v>67</v>
      </c>
      <c r="Q158" s="4">
        <v>65</v>
      </c>
      <c r="R158" s="5">
        <v>74.05</v>
      </c>
      <c r="S158" s="4">
        <v>17</v>
      </c>
      <c r="T158" s="8">
        <v>-6.93E-2</v>
      </c>
      <c r="U158" s="8">
        <v>0.2394</v>
      </c>
      <c r="V158" s="8">
        <v>-6.93E-2</v>
      </c>
      <c r="W158" s="8">
        <v>0.2394</v>
      </c>
      <c r="X158" s="8">
        <v>-6.93E-2</v>
      </c>
      <c r="Y158" s="5">
        <v>57.05</v>
      </c>
      <c r="Z158" s="6">
        <v>2.2971751389680227E-3</v>
      </c>
      <c r="AA158" s="9">
        <v>57.05</v>
      </c>
      <c r="AB158" s="9">
        <v>0.22971751389680226</v>
      </c>
      <c r="AC158" s="5">
        <v>106.1477193804572</v>
      </c>
      <c r="AD158" s="5">
        <v>106.1477193804572</v>
      </c>
      <c r="AE158" s="4">
        <v>0</v>
      </c>
      <c r="AF158" s="6">
        <v>0</v>
      </c>
      <c r="AG158" s="5">
        <v>105.83</v>
      </c>
      <c r="AH158" s="5">
        <v>-7.0000000000000007E-2</v>
      </c>
      <c r="AI158" s="7" t="s">
        <v>68</v>
      </c>
    </row>
    <row r="159" spans="1:35" ht="18" customHeight="1" x14ac:dyDescent="0.25">
      <c r="A159" s="10">
        <v>158</v>
      </c>
      <c r="B159" s="10">
        <v>1</v>
      </c>
      <c r="C159" s="10">
        <v>158</v>
      </c>
      <c r="D159" s="109">
        <v>45504</v>
      </c>
      <c r="E159" s="109">
        <v>45511</v>
      </c>
      <c r="F159" s="109">
        <v>45512</v>
      </c>
      <c r="G159" s="11">
        <v>24951.15</v>
      </c>
      <c r="H159" s="11">
        <v>24297.5</v>
      </c>
      <c r="I159" s="11">
        <v>-653.65</v>
      </c>
      <c r="J159" s="12">
        <v>-2.619718930790765E-2</v>
      </c>
      <c r="K159" s="13" t="s">
        <v>28</v>
      </c>
      <c r="L159" s="10">
        <v>25200</v>
      </c>
      <c r="M159" s="28">
        <f t="shared" si="6"/>
        <v>9.9734881959347987E-3</v>
      </c>
      <c r="N159" s="111">
        <f t="shared" si="7"/>
        <v>248.84999999999854</v>
      </c>
      <c r="O159" s="111">
        <f t="shared" si="8"/>
        <v>67.050000000001432</v>
      </c>
      <c r="P159" s="13" t="s">
        <v>67</v>
      </c>
      <c r="Q159" s="10">
        <v>65</v>
      </c>
      <c r="R159" s="11">
        <v>315.89999999999998</v>
      </c>
      <c r="S159" s="11">
        <v>872.35</v>
      </c>
      <c r="T159" s="14">
        <v>-4.0247000000000002</v>
      </c>
      <c r="U159" s="14">
        <v>0.39240000000000003</v>
      </c>
      <c r="V159" s="14">
        <v>-4.0247000000000002</v>
      </c>
      <c r="W159" s="14">
        <v>0.39240000000000003</v>
      </c>
      <c r="X159" s="14">
        <v>-4.0247000000000002</v>
      </c>
      <c r="Y159" s="11">
        <v>-556.45000000000005</v>
      </c>
      <c r="Z159" s="12">
        <v>-2.2301577282009048E-2</v>
      </c>
      <c r="AA159" s="15">
        <v>-556.45000000000005</v>
      </c>
      <c r="AB159" s="15">
        <v>-2.2301577282009046</v>
      </c>
      <c r="AC159" s="11">
        <v>103.78045781338493</v>
      </c>
      <c r="AD159" s="11">
        <v>106.1477193804572</v>
      </c>
      <c r="AE159" s="11">
        <v>-2.3672615670722763</v>
      </c>
      <c r="AF159" s="12">
        <v>-2.2301577282009051E-2</v>
      </c>
      <c r="AG159" s="11">
        <v>101.88</v>
      </c>
      <c r="AH159" s="11">
        <v>-4.0199999999999996</v>
      </c>
      <c r="AI159" s="13" t="s">
        <v>68</v>
      </c>
    </row>
    <row r="160" spans="1:35" ht="18" customHeight="1" x14ac:dyDescent="0.25">
      <c r="A160" s="4">
        <v>159</v>
      </c>
      <c r="B160" s="4">
        <v>1</v>
      </c>
      <c r="C160" s="4">
        <v>159</v>
      </c>
      <c r="D160" s="108">
        <v>45511</v>
      </c>
      <c r="E160" s="108">
        <v>45517</v>
      </c>
      <c r="F160" s="108">
        <v>45518</v>
      </c>
      <c r="G160" s="5">
        <v>24297.5</v>
      </c>
      <c r="H160" s="4">
        <v>24139</v>
      </c>
      <c r="I160" s="5">
        <v>-158.5</v>
      </c>
      <c r="J160" s="6">
        <v>-6.5233048667558387E-3</v>
      </c>
      <c r="K160" s="7" t="s">
        <v>28</v>
      </c>
      <c r="L160" s="4">
        <v>24500</v>
      </c>
      <c r="M160" s="28">
        <f t="shared" si="6"/>
        <v>8.3341907603662335E-3</v>
      </c>
      <c r="N160" s="111">
        <f t="shared" si="7"/>
        <v>202.5</v>
      </c>
      <c r="O160" s="111">
        <f t="shared" si="8"/>
        <v>69.699999999999989</v>
      </c>
      <c r="P160" s="7" t="s">
        <v>67</v>
      </c>
      <c r="Q160" s="4">
        <v>65</v>
      </c>
      <c r="R160" s="5">
        <v>272.2</v>
      </c>
      <c r="S160" s="5">
        <v>358.65</v>
      </c>
      <c r="T160" s="8">
        <v>-0.79759999999999998</v>
      </c>
      <c r="U160" s="8">
        <v>0.628</v>
      </c>
      <c r="V160" s="8">
        <v>-0.79759999999999998</v>
      </c>
      <c r="W160" s="8">
        <v>0.628</v>
      </c>
      <c r="X160" s="8">
        <v>-0.79759999999999998</v>
      </c>
      <c r="Y160" s="5">
        <v>-86.45</v>
      </c>
      <c r="Z160" s="6">
        <v>-3.5579792159687214E-3</v>
      </c>
      <c r="AA160" s="15">
        <v>-86.45</v>
      </c>
      <c r="AB160" s="15">
        <v>-0.35579792159687212</v>
      </c>
      <c r="AC160" s="5">
        <v>103.4112091014612</v>
      </c>
      <c r="AD160" s="5">
        <v>106.1477193804572</v>
      </c>
      <c r="AE160" s="5">
        <v>-2.7365102789960076</v>
      </c>
      <c r="AF160" s="6">
        <v>-2.5780207949524962E-2</v>
      </c>
      <c r="AG160" s="5">
        <v>102.95</v>
      </c>
      <c r="AH160" s="5">
        <v>-3.01</v>
      </c>
      <c r="AI160" s="7" t="s">
        <v>68</v>
      </c>
    </row>
    <row r="161" spans="1:35" ht="18" customHeight="1" x14ac:dyDescent="0.25">
      <c r="A161" s="10">
        <v>160</v>
      </c>
      <c r="B161" s="10">
        <v>1</v>
      </c>
      <c r="C161" s="10">
        <v>160</v>
      </c>
      <c r="D161" s="109">
        <v>45517</v>
      </c>
      <c r="E161" s="109">
        <v>45520</v>
      </c>
      <c r="F161" s="109">
        <v>45526</v>
      </c>
      <c r="G161" s="10">
        <v>24139</v>
      </c>
      <c r="H161" s="11">
        <v>24541.15</v>
      </c>
      <c r="I161" s="11">
        <v>402.15</v>
      </c>
      <c r="J161" s="12">
        <v>1.6659762210530674E-2</v>
      </c>
      <c r="K161" s="13" t="s">
        <v>28</v>
      </c>
      <c r="L161" s="10">
        <v>23700</v>
      </c>
      <c r="M161" s="28">
        <f t="shared" si="6"/>
        <v>-1.818633746219811E-2</v>
      </c>
      <c r="N161" s="111">
        <f t="shared" si="7"/>
        <v>0</v>
      </c>
      <c r="O161" s="111">
        <f t="shared" si="8"/>
        <v>77.849999999999994</v>
      </c>
      <c r="P161" s="13" t="s">
        <v>67</v>
      </c>
      <c r="Q161" s="10">
        <v>65</v>
      </c>
      <c r="R161" s="11">
        <v>77.849999999999994</v>
      </c>
      <c r="S161" s="11">
        <v>8.6</v>
      </c>
      <c r="T161" s="14">
        <v>8.0000000000000004E-4</v>
      </c>
      <c r="U161" s="14">
        <v>0.29020000000000001</v>
      </c>
      <c r="V161" s="14">
        <v>8.0000000000000004E-4</v>
      </c>
      <c r="W161" s="14">
        <v>0.29020000000000001</v>
      </c>
      <c r="X161" s="14">
        <v>8.0000000000000004E-4</v>
      </c>
      <c r="Y161" s="11">
        <v>69.25</v>
      </c>
      <c r="Z161" s="12">
        <v>2.8688015245039149E-3</v>
      </c>
      <c r="AA161" s="9">
        <v>69.25</v>
      </c>
      <c r="AB161" s="9">
        <v>0.2868801524503915</v>
      </c>
      <c r="AC161" s="11">
        <v>103.70787533578226</v>
      </c>
      <c r="AD161" s="11">
        <v>106.1477193804572</v>
      </c>
      <c r="AE161" s="11">
        <v>-2.4398440446749419</v>
      </c>
      <c r="AF161" s="12">
        <v>-2.2985364724888664E-2</v>
      </c>
      <c r="AG161" s="11">
        <v>103.41</v>
      </c>
      <c r="AH161" s="11">
        <v>-2.58</v>
      </c>
      <c r="AI161" s="13" t="s">
        <v>71</v>
      </c>
    </row>
    <row r="162" spans="1:35" ht="18" customHeight="1" x14ac:dyDescent="0.25">
      <c r="A162" s="4">
        <v>161</v>
      </c>
      <c r="B162" s="4">
        <v>1</v>
      </c>
      <c r="C162" s="4">
        <v>161</v>
      </c>
      <c r="D162" s="108">
        <v>45520</v>
      </c>
      <c r="E162" s="108">
        <v>45525</v>
      </c>
      <c r="F162" s="108">
        <v>45526</v>
      </c>
      <c r="G162" s="5">
        <v>24541.15</v>
      </c>
      <c r="H162" s="5">
        <v>24770.2</v>
      </c>
      <c r="I162" s="5">
        <v>229.05</v>
      </c>
      <c r="J162" s="6">
        <v>9.3333034515497432E-3</v>
      </c>
      <c r="K162" s="7" t="s">
        <v>28</v>
      </c>
      <c r="L162" s="4">
        <v>24400</v>
      </c>
      <c r="M162" s="28">
        <f t="shared" si="6"/>
        <v>-5.751564209501292E-3</v>
      </c>
      <c r="N162" s="111">
        <f t="shared" si="7"/>
        <v>0</v>
      </c>
      <c r="O162" s="111">
        <f t="shared" si="8"/>
        <v>73.2</v>
      </c>
      <c r="P162" s="7" t="s">
        <v>67</v>
      </c>
      <c r="Q162" s="4">
        <v>65</v>
      </c>
      <c r="R162" s="5">
        <v>73.2</v>
      </c>
      <c r="S162" s="5">
        <v>3.65</v>
      </c>
      <c r="T162" s="8">
        <v>-4.4999999999999998E-2</v>
      </c>
      <c r="U162" s="8">
        <v>0.28520000000000001</v>
      </c>
      <c r="V162" s="8">
        <v>-4.4999999999999998E-2</v>
      </c>
      <c r="W162" s="8">
        <v>0.28520000000000001</v>
      </c>
      <c r="X162" s="8">
        <v>-4.4999999999999998E-2</v>
      </c>
      <c r="Y162" s="5">
        <v>69.55</v>
      </c>
      <c r="Z162" s="6">
        <v>2.8340155208700485E-3</v>
      </c>
      <c r="AA162" s="9">
        <v>69.55</v>
      </c>
      <c r="AB162" s="9">
        <v>0.28340155208700485</v>
      </c>
      <c r="AC162" s="5">
        <v>104.00178506412034</v>
      </c>
      <c r="AD162" s="5">
        <v>106.1477193804572</v>
      </c>
      <c r="AE162" s="5">
        <v>-2.1459343163368629</v>
      </c>
      <c r="AF162" s="6">
        <v>-2.0216490084401659E-2</v>
      </c>
      <c r="AG162" s="5">
        <v>103.66</v>
      </c>
      <c r="AH162" s="5">
        <v>-2.34</v>
      </c>
      <c r="AI162" s="7" t="s">
        <v>68</v>
      </c>
    </row>
    <row r="163" spans="1:35" ht="18" customHeight="1" x14ac:dyDescent="0.25">
      <c r="A163" s="10">
        <v>162</v>
      </c>
      <c r="B163" s="10">
        <v>1</v>
      </c>
      <c r="C163" s="10">
        <v>162</v>
      </c>
      <c r="D163" s="109">
        <v>45525</v>
      </c>
      <c r="E163" s="109">
        <v>45532</v>
      </c>
      <c r="F163" s="109">
        <v>45533</v>
      </c>
      <c r="G163" s="11">
        <v>24770.2</v>
      </c>
      <c r="H163" s="11">
        <v>25052.35</v>
      </c>
      <c r="I163" s="11">
        <v>282.14999999999998</v>
      </c>
      <c r="J163" s="12">
        <v>1.1390703345148604E-2</v>
      </c>
      <c r="K163" s="13" t="s">
        <v>28</v>
      </c>
      <c r="L163" s="10">
        <v>24900</v>
      </c>
      <c r="M163" s="28">
        <f t="shared" si="6"/>
        <v>5.2401676207700643E-3</v>
      </c>
      <c r="N163" s="111">
        <f t="shared" si="7"/>
        <v>129.79999999999927</v>
      </c>
      <c r="O163" s="111">
        <f t="shared" si="8"/>
        <v>75.550000000000722</v>
      </c>
      <c r="P163" s="13" t="s">
        <v>67</v>
      </c>
      <c r="Q163" s="10">
        <v>65</v>
      </c>
      <c r="R163" s="11">
        <v>205.35</v>
      </c>
      <c r="S163" s="11">
        <v>15.15</v>
      </c>
      <c r="T163" s="14">
        <v>4.1799999999999997E-2</v>
      </c>
      <c r="U163" s="14">
        <v>0.79169999999999996</v>
      </c>
      <c r="V163" s="14">
        <v>4.1799999999999997E-2</v>
      </c>
      <c r="W163" s="14">
        <v>0.79169999999999996</v>
      </c>
      <c r="X163" s="14">
        <v>4.1799999999999997E-2</v>
      </c>
      <c r="Y163" s="11">
        <v>190.2</v>
      </c>
      <c r="Z163" s="12">
        <v>7.6785815213441955E-3</v>
      </c>
      <c r="AA163" s="9">
        <v>190.2</v>
      </c>
      <c r="AB163" s="9">
        <v>0.76785815213441955</v>
      </c>
      <c r="AC163" s="11">
        <v>104.80037124910051</v>
      </c>
      <c r="AD163" s="11">
        <v>106.1477193804572</v>
      </c>
      <c r="AE163" s="11">
        <v>-1.3473481313566964</v>
      </c>
      <c r="AF163" s="12">
        <v>-1.2693142530245977E-2</v>
      </c>
      <c r="AG163" s="11">
        <v>104.05</v>
      </c>
      <c r="AH163" s="11">
        <v>-1.98</v>
      </c>
      <c r="AI163" s="13" t="s">
        <v>69</v>
      </c>
    </row>
    <row r="164" spans="1:35" ht="18" customHeight="1" x14ac:dyDescent="0.25">
      <c r="A164" s="4">
        <v>163</v>
      </c>
      <c r="B164" s="4">
        <v>1</v>
      </c>
      <c r="C164" s="4">
        <v>163</v>
      </c>
      <c r="D164" s="108">
        <v>45532</v>
      </c>
      <c r="E164" s="108">
        <v>45539</v>
      </c>
      <c r="F164" s="108">
        <v>45540</v>
      </c>
      <c r="G164" s="5">
        <v>25052.35</v>
      </c>
      <c r="H164" s="5">
        <v>25198.7</v>
      </c>
      <c r="I164" s="5">
        <v>146.35</v>
      </c>
      <c r="J164" s="6">
        <v>5.8417673391917323E-3</v>
      </c>
      <c r="K164" s="7" t="s">
        <v>28</v>
      </c>
      <c r="L164" s="4">
        <v>25200</v>
      </c>
      <c r="M164" s="28">
        <f t="shared" si="6"/>
        <v>5.8936586787268208E-3</v>
      </c>
      <c r="N164" s="111">
        <f t="shared" si="7"/>
        <v>147.65000000000146</v>
      </c>
      <c r="O164" s="111">
        <f t="shared" si="8"/>
        <v>57.049999999998533</v>
      </c>
      <c r="P164" s="7" t="s">
        <v>67</v>
      </c>
      <c r="Q164" s="4">
        <v>65</v>
      </c>
      <c r="R164" s="5">
        <v>204.7</v>
      </c>
      <c r="S164" s="5">
        <v>82.5</v>
      </c>
      <c r="T164" s="8">
        <v>-0.30059999999999998</v>
      </c>
      <c r="U164" s="8">
        <v>0.64270000000000005</v>
      </c>
      <c r="V164" s="8">
        <v>-0.30059999999999998</v>
      </c>
      <c r="W164" s="8">
        <v>0.64270000000000005</v>
      </c>
      <c r="X164" s="8">
        <v>-0.30059999999999998</v>
      </c>
      <c r="Y164" s="5">
        <v>122.2</v>
      </c>
      <c r="Z164" s="6">
        <v>4.8777859162912867E-3</v>
      </c>
      <c r="AA164" s="9">
        <v>122.2</v>
      </c>
      <c r="AB164" s="9">
        <v>0.48777859162912868</v>
      </c>
      <c r="AC164" s="5">
        <v>105.31156502400145</v>
      </c>
      <c r="AD164" s="5">
        <v>106.1477193804572</v>
      </c>
      <c r="AE164" s="5">
        <v>-0.83615435645575076</v>
      </c>
      <c r="AF164" s="6">
        <v>-7.8772710458223441E-3</v>
      </c>
      <c r="AG164" s="5">
        <v>104.49</v>
      </c>
      <c r="AH164" s="5">
        <v>-1.56</v>
      </c>
      <c r="AI164" s="7" t="s">
        <v>68</v>
      </c>
    </row>
    <row r="165" spans="1:35" ht="18" customHeight="1" x14ac:dyDescent="0.25">
      <c r="A165" s="10">
        <v>164</v>
      </c>
      <c r="B165" s="10">
        <v>1</v>
      </c>
      <c r="C165" s="10">
        <v>164</v>
      </c>
      <c r="D165" s="109">
        <v>45539</v>
      </c>
      <c r="E165" s="109">
        <v>45546</v>
      </c>
      <c r="F165" s="109">
        <v>45547</v>
      </c>
      <c r="G165" s="11">
        <v>25198.7</v>
      </c>
      <c r="H165" s="11">
        <v>24918.45</v>
      </c>
      <c r="I165" s="11">
        <v>-280.25</v>
      </c>
      <c r="J165" s="12">
        <v>-1.1121605479647759E-2</v>
      </c>
      <c r="K165" s="13" t="s">
        <v>28</v>
      </c>
      <c r="L165" s="10">
        <v>25400</v>
      </c>
      <c r="M165" s="28">
        <f t="shared" si="6"/>
        <v>7.9885073436327669E-3</v>
      </c>
      <c r="N165" s="111">
        <f t="shared" si="7"/>
        <v>201.29999999999927</v>
      </c>
      <c r="O165" s="111">
        <f t="shared" si="8"/>
        <v>76.200000000000728</v>
      </c>
      <c r="P165" s="13" t="s">
        <v>67</v>
      </c>
      <c r="Q165" s="10">
        <v>65</v>
      </c>
      <c r="R165" s="11">
        <v>277.5</v>
      </c>
      <c r="S165" s="11">
        <v>510.55</v>
      </c>
      <c r="T165" s="14">
        <v>-1.4139999999999999</v>
      </c>
      <c r="U165" s="14">
        <v>0.24129999999999999</v>
      </c>
      <c r="V165" s="14">
        <v>-1.4139999999999999</v>
      </c>
      <c r="W165" s="14">
        <v>0.24129999999999999</v>
      </c>
      <c r="X165" s="14">
        <v>-1.4139999999999999</v>
      </c>
      <c r="Y165" s="11">
        <v>-233.05</v>
      </c>
      <c r="Z165" s="12">
        <v>-9.2484929778123472E-3</v>
      </c>
      <c r="AA165" s="15">
        <v>-233.05</v>
      </c>
      <c r="AB165" s="15">
        <v>-0.9248492977812347</v>
      </c>
      <c r="AC165" s="11">
        <v>104.33759175439454</v>
      </c>
      <c r="AD165" s="11">
        <v>106.1477193804572</v>
      </c>
      <c r="AE165" s="11">
        <v>-1.8101276260626662</v>
      </c>
      <c r="AF165" s="12">
        <v>-1.7052911137683167E-2</v>
      </c>
      <c r="AG165" s="11">
        <v>103.82</v>
      </c>
      <c r="AH165" s="11">
        <v>-2.19</v>
      </c>
      <c r="AI165" s="13" t="s">
        <v>68</v>
      </c>
    </row>
    <row r="166" spans="1:35" ht="18" customHeight="1" x14ac:dyDescent="0.25">
      <c r="A166" s="4">
        <v>165</v>
      </c>
      <c r="B166" s="4">
        <v>1</v>
      </c>
      <c r="C166" s="4">
        <v>165</v>
      </c>
      <c r="D166" s="108">
        <v>45546</v>
      </c>
      <c r="E166" s="108">
        <v>45547</v>
      </c>
      <c r="F166" s="108">
        <v>45554</v>
      </c>
      <c r="G166" s="5">
        <v>24918.45</v>
      </c>
      <c r="H166" s="5">
        <v>25388.9</v>
      </c>
      <c r="I166" s="5">
        <v>470.45</v>
      </c>
      <c r="J166" s="6">
        <v>1.8879585206945052E-2</v>
      </c>
      <c r="K166" s="7" t="s">
        <v>28</v>
      </c>
      <c r="L166" s="4">
        <v>25200</v>
      </c>
      <c r="M166" s="28">
        <f t="shared" si="6"/>
        <v>1.1298856871113649E-2</v>
      </c>
      <c r="N166" s="111">
        <f t="shared" si="7"/>
        <v>281.54999999999927</v>
      </c>
      <c r="O166" s="111">
        <f t="shared" si="8"/>
        <v>66.30000000000075</v>
      </c>
      <c r="P166" s="7" t="s">
        <v>67</v>
      </c>
      <c r="Q166" s="4">
        <v>65</v>
      </c>
      <c r="R166" s="5">
        <v>347.85</v>
      </c>
      <c r="S166" s="5">
        <v>101.15</v>
      </c>
      <c r="T166" s="8">
        <v>0.17599999999999999</v>
      </c>
      <c r="U166" s="8">
        <v>1.0387999999999999</v>
      </c>
      <c r="V166" s="8">
        <v>0.17599999999999999</v>
      </c>
      <c r="W166" s="8">
        <v>1.0387999999999999</v>
      </c>
      <c r="X166" s="8">
        <v>0.17599999999999999</v>
      </c>
      <c r="Y166" s="5">
        <v>246.7</v>
      </c>
      <c r="Z166" s="6">
        <v>9.9002947615120518E-3</v>
      </c>
      <c r="AA166" s="9">
        <v>246.7</v>
      </c>
      <c r="AB166" s="9">
        <v>0.99002947615120518</v>
      </c>
      <c r="AC166" s="5">
        <v>105.37056466746935</v>
      </c>
      <c r="AD166" s="5">
        <v>106.1477193804572</v>
      </c>
      <c r="AE166" s="5">
        <v>-0.77715471298785133</v>
      </c>
      <c r="AF166" s="6">
        <v>-7.3214452229760562E-3</v>
      </c>
      <c r="AG166" s="5">
        <v>104.52</v>
      </c>
      <c r="AH166" s="5">
        <v>-1.53</v>
      </c>
      <c r="AI166" s="7" t="s">
        <v>71</v>
      </c>
    </row>
    <row r="167" spans="1:35" ht="18" customHeight="1" x14ac:dyDescent="0.25">
      <c r="A167" s="10">
        <v>166</v>
      </c>
      <c r="B167" s="10">
        <v>1</v>
      </c>
      <c r="C167" s="10">
        <v>166</v>
      </c>
      <c r="D167" s="109">
        <v>45547</v>
      </c>
      <c r="E167" s="109">
        <v>45553</v>
      </c>
      <c r="F167" s="109">
        <v>45554</v>
      </c>
      <c r="G167" s="11">
        <v>25388.9</v>
      </c>
      <c r="H167" s="11">
        <v>25377.55</v>
      </c>
      <c r="I167" s="11">
        <v>-11.35</v>
      </c>
      <c r="J167" s="12">
        <v>-4.4704575621629919E-4</v>
      </c>
      <c r="K167" s="13" t="s">
        <v>28</v>
      </c>
      <c r="L167" s="10">
        <v>25100</v>
      </c>
      <c r="M167" s="28">
        <f t="shared" si="6"/>
        <v>-1.1378988455584937E-2</v>
      </c>
      <c r="N167" s="111">
        <f t="shared" si="7"/>
        <v>0</v>
      </c>
      <c r="O167" s="111">
        <f t="shared" si="8"/>
        <v>73.150000000000006</v>
      </c>
      <c r="P167" s="13" t="s">
        <v>67</v>
      </c>
      <c r="Q167" s="10">
        <v>65</v>
      </c>
      <c r="R167" s="11">
        <v>73.150000000000006</v>
      </c>
      <c r="S167" s="10">
        <v>30</v>
      </c>
      <c r="T167" s="14">
        <v>-3.78E-2</v>
      </c>
      <c r="U167" s="14">
        <v>0.23849999999999999</v>
      </c>
      <c r="V167" s="14">
        <v>-3.78E-2</v>
      </c>
      <c r="W167" s="14">
        <v>0.23849999999999999</v>
      </c>
      <c r="X167" s="14">
        <v>-3.78E-2</v>
      </c>
      <c r="Y167" s="11">
        <v>43.15</v>
      </c>
      <c r="Z167" s="12">
        <v>1.6995616194478687E-3</v>
      </c>
      <c r="AA167" s="9">
        <v>43.15</v>
      </c>
      <c r="AB167" s="9">
        <v>0.16995616194478688</v>
      </c>
      <c r="AC167" s="11">
        <v>105.54964843499774</v>
      </c>
      <c r="AD167" s="11">
        <v>106.1477193804572</v>
      </c>
      <c r="AE167" s="11">
        <v>-0.59807094545946882</v>
      </c>
      <c r="AF167" s="12">
        <v>-5.634326850828029E-3</v>
      </c>
      <c r="AG167" s="11">
        <v>105.33</v>
      </c>
      <c r="AH167" s="11">
        <v>-0.77</v>
      </c>
      <c r="AI167" s="13" t="s">
        <v>68</v>
      </c>
    </row>
    <row r="168" spans="1:35" ht="18" customHeight="1" x14ac:dyDescent="0.25">
      <c r="A168" s="4">
        <v>167</v>
      </c>
      <c r="B168" s="4">
        <v>1</v>
      </c>
      <c r="C168" s="4">
        <v>167</v>
      </c>
      <c r="D168" s="108">
        <v>45553</v>
      </c>
      <c r="E168" s="108">
        <v>45555</v>
      </c>
      <c r="F168" s="108">
        <v>45561</v>
      </c>
      <c r="G168" s="5">
        <v>25377.55</v>
      </c>
      <c r="H168" s="5">
        <v>25790.95</v>
      </c>
      <c r="I168" s="5">
        <v>413.4</v>
      </c>
      <c r="J168" s="6">
        <v>1.6289988592279397E-2</v>
      </c>
      <c r="K168" s="7" t="s">
        <v>28</v>
      </c>
      <c r="L168" s="4">
        <v>25600</v>
      </c>
      <c r="M168" s="28">
        <f t="shared" si="6"/>
        <v>8.7656215828557649E-3</v>
      </c>
      <c r="N168" s="111">
        <f t="shared" si="7"/>
        <v>222.45000000000073</v>
      </c>
      <c r="O168" s="111">
        <f t="shared" si="8"/>
        <v>89.349999999999284</v>
      </c>
      <c r="P168" s="7" t="s">
        <v>67</v>
      </c>
      <c r="Q168" s="4">
        <v>65</v>
      </c>
      <c r="R168" s="5">
        <v>311.8</v>
      </c>
      <c r="S168" s="5">
        <v>86.2</v>
      </c>
      <c r="T168" s="8">
        <v>0.18840000000000001</v>
      </c>
      <c r="U168" s="8">
        <v>0.93700000000000006</v>
      </c>
      <c r="V168" s="8">
        <v>0.18840000000000001</v>
      </c>
      <c r="W168" s="8">
        <v>0.93700000000000006</v>
      </c>
      <c r="X168" s="8">
        <v>0.18840000000000001</v>
      </c>
      <c r="Y168" s="5">
        <v>225.6</v>
      </c>
      <c r="Z168" s="6">
        <v>8.8897470401989153E-3</v>
      </c>
      <c r="AA168" s="9">
        <v>225.6</v>
      </c>
      <c r="AB168" s="9">
        <v>0.88897470401989154</v>
      </c>
      <c r="AC168" s="5">
        <v>106.48795810976679</v>
      </c>
      <c r="AD168" s="5">
        <v>106.48795810976679</v>
      </c>
      <c r="AE168" s="4">
        <v>0</v>
      </c>
      <c r="AF168" s="6">
        <v>0</v>
      </c>
      <c r="AG168" s="5">
        <v>105.75</v>
      </c>
      <c r="AH168" s="5">
        <v>-0.37</v>
      </c>
      <c r="AI168" s="7" t="s">
        <v>71</v>
      </c>
    </row>
    <row r="169" spans="1:35" ht="18" customHeight="1" x14ac:dyDescent="0.25">
      <c r="A169" s="10">
        <v>168</v>
      </c>
      <c r="B169" s="10">
        <v>1</v>
      </c>
      <c r="C169" s="10">
        <v>168</v>
      </c>
      <c r="D169" s="109">
        <v>45555</v>
      </c>
      <c r="E169" s="109">
        <v>45560</v>
      </c>
      <c r="F169" s="109">
        <v>45561</v>
      </c>
      <c r="G169" s="11">
        <v>25790.95</v>
      </c>
      <c r="H169" s="11">
        <v>26004.15</v>
      </c>
      <c r="I169" s="11">
        <v>213.2</v>
      </c>
      <c r="J169" s="12">
        <v>8.2664655625325923E-3</v>
      </c>
      <c r="K169" s="13" t="s">
        <v>28</v>
      </c>
      <c r="L169" s="10">
        <v>26000</v>
      </c>
      <c r="M169" s="28">
        <f t="shared" si="6"/>
        <v>8.1055564064138608E-3</v>
      </c>
      <c r="N169" s="111">
        <f t="shared" si="7"/>
        <v>209.04999999999927</v>
      </c>
      <c r="O169" s="111">
        <f t="shared" si="8"/>
        <v>68.700000000000728</v>
      </c>
      <c r="P169" s="13" t="s">
        <v>67</v>
      </c>
      <c r="Q169" s="10">
        <v>65</v>
      </c>
      <c r="R169" s="11">
        <v>277.75</v>
      </c>
      <c r="S169" s="11">
        <v>68.900000000000006</v>
      </c>
      <c r="T169" s="14">
        <v>0.21540000000000001</v>
      </c>
      <c r="U169" s="14">
        <v>0.85819999999999996</v>
      </c>
      <c r="V169" s="14">
        <v>0.21540000000000001</v>
      </c>
      <c r="W169" s="14">
        <v>0.85819999999999996</v>
      </c>
      <c r="X169" s="14">
        <v>0.21540000000000001</v>
      </c>
      <c r="Y169" s="11">
        <v>208.85</v>
      </c>
      <c r="Z169" s="12">
        <v>8.0978017482876748E-3</v>
      </c>
      <c r="AA169" s="9">
        <v>208.85</v>
      </c>
      <c r="AB169" s="9">
        <v>0.80978017482876752</v>
      </c>
      <c r="AC169" s="11">
        <v>107.35027648311966</v>
      </c>
      <c r="AD169" s="11">
        <v>107.35027648311966</v>
      </c>
      <c r="AE169" s="10">
        <v>0</v>
      </c>
      <c r="AF169" s="12">
        <v>0</v>
      </c>
      <c r="AG169" s="11">
        <v>106.72</v>
      </c>
      <c r="AH169" s="11">
        <v>0.22</v>
      </c>
      <c r="AI169" s="13" t="s">
        <v>68</v>
      </c>
    </row>
    <row r="170" spans="1:35" ht="18" customHeight="1" x14ac:dyDescent="0.25">
      <c r="A170" s="4">
        <v>169</v>
      </c>
      <c r="B170" s="4">
        <v>1</v>
      </c>
      <c r="C170" s="4">
        <v>169</v>
      </c>
      <c r="D170" s="108">
        <v>45560</v>
      </c>
      <c r="E170" s="108">
        <v>45566</v>
      </c>
      <c r="F170" s="108">
        <v>45568</v>
      </c>
      <c r="G170" s="5">
        <v>26004.15</v>
      </c>
      <c r="H170" s="5">
        <v>25796.9</v>
      </c>
      <c r="I170" s="5">
        <v>-207.25</v>
      </c>
      <c r="J170" s="6">
        <v>-7.9698817304161059E-3</v>
      </c>
      <c r="K170" s="7" t="s">
        <v>28</v>
      </c>
      <c r="L170" s="4">
        <v>26200</v>
      </c>
      <c r="M170" s="28">
        <f t="shared" si="6"/>
        <v>7.5314901659926381E-3</v>
      </c>
      <c r="N170" s="111">
        <f t="shared" si="7"/>
        <v>195.84999999999854</v>
      </c>
      <c r="O170" s="111">
        <f t="shared" si="8"/>
        <v>71.000000000001478</v>
      </c>
      <c r="P170" s="7" t="s">
        <v>67</v>
      </c>
      <c r="Q170" s="4">
        <v>65</v>
      </c>
      <c r="R170" s="5">
        <v>266.85000000000002</v>
      </c>
      <c r="S170" s="5">
        <v>388.45</v>
      </c>
      <c r="T170" s="8">
        <v>-0.79469999999999996</v>
      </c>
      <c r="U170" s="8">
        <v>0.67490000000000006</v>
      </c>
      <c r="V170" s="8">
        <v>-0.79469999999999996</v>
      </c>
      <c r="W170" s="8">
        <v>0.67490000000000006</v>
      </c>
      <c r="X170" s="8">
        <v>-0.79469999999999996</v>
      </c>
      <c r="Y170" s="5">
        <v>-121.6</v>
      </c>
      <c r="Z170" s="6">
        <v>-4.6761766871826222E-3</v>
      </c>
      <c r="AA170" s="15">
        <v>-121.6</v>
      </c>
      <c r="AB170" s="15">
        <v>-0.46761766871826221</v>
      </c>
      <c r="AC170" s="5">
        <v>106.84828762286668</v>
      </c>
      <c r="AD170" s="5">
        <v>107.35027648311966</v>
      </c>
      <c r="AE170" s="5">
        <v>-0.50198886025297895</v>
      </c>
      <c r="AF170" s="6">
        <v>-4.6761766871826777E-3</v>
      </c>
      <c r="AG170" s="5">
        <v>106.5</v>
      </c>
      <c r="AH170" s="5">
        <v>-0.79</v>
      </c>
      <c r="AI170" s="7" t="s">
        <v>68</v>
      </c>
    </row>
    <row r="171" spans="1:35" ht="18" customHeight="1" x14ac:dyDescent="0.25">
      <c r="A171" s="10">
        <v>170</v>
      </c>
      <c r="B171" s="10">
        <v>1</v>
      </c>
      <c r="C171" s="10">
        <v>170</v>
      </c>
      <c r="D171" s="109">
        <v>45566</v>
      </c>
      <c r="E171" s="109">
        <v>45574</v>
      </c>
      <c r="F171" s="109">
        <v>45575</v>
      </c>
      <c r="G171" s="11">
        <v>25796.9</v>
      </c>
      <c r="H171" s="11">
        <v>24981.95</v>
      </c>
      <c r="I171" s="11">
        <v>-814.95</v>
      </c>
      <c r="J171" s="12">
        <v>-3.1591005120770323E-2</v>
      </c>
      <c r="K171" s="13" t="s">
        <v>28</v>
      </c>
      <c r="L171" s="10">
        <v>25900</v>
      </c>
      <c r="M171" s="28">
        <f t="shared" si="6"/>
        <v>3.9966042431454074E-3</v>
      </c>
      <c r="N171" s="111">
        <f t="shared" si="7"/>
        <v>103.09999999999854</v>
      </c>
      <c r="O171" s="111">
        <f t="shared" si="8"/>
        <v>76.900000000001455</v>
      </c>
      <c r="P171" s="13" t="s">
        <v>67</v>
      </c>
      <c r="Q171" s="10">
        <v>65</v>
      </c>
      <c r="R171" s="10">
        <v>180</v>
      </c>
      <c r="S171" s="11">
        <v>936.85</v>
      </c>
      <c r="T171" s="14">
        <v>-3.8155999999999999</v>
      </c>
      <c r="U171" s="14">
        <v>-0.40139999999999998</v>
      </c>
      <c r="V171" s="14">
        <v>-3.8155999999999999</v>
      </c>
      <c r="W171" s="14">
        <v>-0.40139999999999998</v>
      </c>
      <c r="X171" s="14">
        <v>-3.8155999999999999</v>
      </c>
      <c r="Y171" s="11">
        <v>-756.85</v>
      </c>
      <c r="Z171" s="12">
        <v>-2.9338796522062727E-2</v>
      </c>
      <c r="AA171" s="15">
        <v>-756.85</v>
      </c>
      <c r="AB171" s="15">
        <v>-2.9338796522062727</v>
      </c>
      <c r="AC171" s="11">
        <v>103.71348745356856</v>
      </c>
      <c r="AD171" s="11">
        <v>107.35027648311966</v>
      </c>
      <c r="AE171" s="11">
        <v>-3.6367890295510961</v>
      </c>
      <c r="AF171" s="12">
        <v>-3.3877779812918923E-2</v>
      </c>
      <c r="AG171" s="11">
        <v>102.77</v>
      </c>
      <c r="AH171" s="11">
        <v>-4.2699999999999996</v>
      </c>
      <c r="AI171" s="13" t="s">
        <v>68</v>
      </c>
    </row>
    <row r="172" spans="1:35" ht="18" customHeight="1" x14ac:dyDescent="0.25">
      <c r="A172" s="4">
        <v>171</v>
      </c>
      <c r="B172" s="4">
        <v>1</v>
      </c>
      <c r="C172" s="4">
        <v>171</v>
      </c>
      <c r="D172" s="108">
        <v>45574</v>
      </c>
      <c r="E172" s="108">
        <v>45581</v>
      </c>
      <c r="F172" s="108">
        <v>45582</v>
      </c>
      <c r="G172" s="5">
        <v>24981.95</v>
      </c>
      <c r="H172" s="5">
        <v>24971.3</v>
      </c>
      <c r="I172" s="5">
        <v>-10.65</v>
      </c>
      <c r="J172" s="6">
        <v>-4.263077942274322E-4</v>
      </c>
      <c r="K172" s="7" t="s">
        <v>28</v>
      </c>
      <c r="L172" s="4">
        <v>25200</v>
      </c>
      <c r="M172" s="28">
        <f t="shared" si="6"/>
        <v>8.7283018339241458E-3</v>
      </c>
      <c r="N172" s="111">
        <f t="shared" si="7"/>
        <v>218.04999999999927</v>
      </c>
      <c r="O172" s="111">
        <f t="shared" si="8"/>
        <v>86.400000000000716</v>
      </c>
      <c r="P172" s="7" t="s">
        <v>67</v>
      </c>
      <c r="Q172" s="4">
        <v>65</v>
      </c>
      <c r="R172" s="5">
        <v>304.45</v>
      </c>
      <c r="S172" s="5">
        <v>219.75</v>
      </c>
      <c r="T172" s="8">
        <v>-0.13009999999999999</v>
      </c>
      <c r="U172" s="8">
        <v>0.83520000000000005</v>
      </c>
      <c r="V172" s="8">
        <v>-0.13009999999999999</v>
      </c>
      <c r="W172" s="8">
        <v>0.83520000000000005</v>
      </c>
      <c r="X172" s="8">
        <v>-0.13009999999999999</v>
      </c>
      <c r="Y172" s="5">
        <v>84.7</v>
      </c>
      <c r="Z172" s="6">
        <v>3.3904479033862447E-3</v>
      </c>
      <c r="AA172" s="9">
        <v>84.7</v>
      </c>
      <c r="AB172" s="9">
        <v>0.33904479033862445</v>
      </c>
      <c r="AC172" s="5">
        <v>104.06512262965838</v>
      </c>
      <c r="AD172" s="5">
        <v>107.35027648311966</v>
      </c>
      <c r="AE172" s="5">
        <v>-3.2851538534612814</v>
      </c>
      <c r="AF172" s="6">
        <v>-3.0602192757070885E-2</v>
      </c>
      <c r="AG172" s="5">
        <v>103.58</v>
      </c>
      <c r="AH172" s="5">
        <v>-3.51</v>
      </c>
      <c r="AI172" s="7" t="s">
        <v>68</v>
      </c>
    </row>
    <row r="173" spans="1:35" ht="18" customHeight="1" x14ac:dyDescent="0.25">
      <c r="A173" s="10">
        <v>172</v>
      </c>
      <c r="B173" s="10">
        <v>1</v>
      </c>
      <c r="C173" s="10">
        <v>172</v>
      </c>
      <c r="D173" s="109">
        <v>45581</v>
      </c>
      <c r="E173" s="109">
        <v>45588</v>
      </c>
      <c r="F173" s="109">
        <v>45589</v>
      </c>
      <c r="G173" s="11">
        <v>24971.3</v>
      </c>
      <c r="H173" s="11">
        <v>24435.5</v>
      </c>
      <c r="I173" s="11">
        <v>-535.79999999999995</v>
      </c>
      <c r="J173" s="12">
        <v>-2.1456632213781419E-2</v>
      </c>
      <c r="K173" s="13" t="s">
        <v>28</v>
      </c>
      <c r="L173" s="10">
        <v>25100</v>
      </c>
      <c r="M173" s="28">
        <f t="shared" si="6"/>
        <v>5.1539166963674443E-3</v>
      </c>
      <c r="N173" s="111">
        <f t="shared" si="7"/>
        <v>128.70000000000073</v>
      </c>
      <c r="O173" s="111">
        <f t="shared" si="8"/>
        <v>71.899999999999267</v>
      </c>
      <c r="P173" s="13" t="s">
        <v>67</v>
      </c>
      <c r="Q173" s="10">
        <v>65</v>
      </c>
      <c r="R173" s="11">
        <v>200.6</v>
      </c>
      <c r="S173" s="11">
        <v>665.05</v>
      </c>
      <c r="T173" s="14">
        <v>-1.9823</v>
      </c>
      <c r="U173" s="14">
        <v>8.2299999999999998E-2</v>
      </c>
      <c r="V173" s="14">
        <v>-1.9823</v>
      </c>
      <c r="W173" s="14">
        <v>8.2299999999999998E-2</v>
      </c>
      <c r="X173" s="14">
        <v>-1.9823</v>
      </c>
      <c r="Y173" s="11">
        <v>-464.45</v>
      </c>
      <c r="Z173" s="12">
        <v>-1.8599352056160472E-2</v>
      </c>
      <c r="AA173" s="15">
        <v>-464.45</v>
      </c>
      <c r="AB173" s="15">
        <v>-1.8599352056160472</v>
      </c>
      <c r="AC173" s="11">
        <v>102.12957877710184</v>
      </c>
      <c r="AD173" s="11">
        <v>107.35027648311966</v>
      </c>
      <c r="AE173" s="11">
        <v>-5.2206977060178161</v>
      </c>
      <c r="AF173" s="12">
        <v>-4.8632363856452171E-2</v>
      </c>
      <c r="AG173" s="10">
        <v>102</v>
      </c>
      <c r="AH173" s="11">
        <v>-4.9800000000000004</v>
      </c>
      <c r="AI173" s="13" t="s">
        <v>68</v>
      </c>
    </row>
    <row r="174" spans="1:35" ht="18" customHeight="1" x14ac:dyDescent="0.25">
      <c r="A174" s="4">
        <v>173</v>
      </c>
      <c r="B174" s="4">
        <v>1</v>
      </c>
      <c r="C174" s="4">
        <v>173</v>
      </c>
      <c r="D174" s="108">
        <v>45588</v>
      </c>
      <c r="E174" s="108">
        <v>45595</v>
      </c>
      <c r="F174" s="108">
        <v>45596</v>
      </c>
      <c r="G174" s="5">
        <v>24435.5</v>
      </c>
      <c r="H174" s="5">
        <v>24340.85</v>
      </c>
      <c r="I174" s="5">
        <v>-94.65</v>
      </c>
      <c r="J174" s="6">
        <v>-3.8734627897935381E-3</v>
      </c>
      <c r="K174" s="7" t="s">
        <v>28</v>
      </c>
      <c r="L174" s="4">
        <v>24600</v>
      </c>
      <c r="M174" s="28">
        <f t="shared" si="6"/>
        <v>6.7320087577500409E-3</v>
      </c>
      <c r="N174" s="111">
        <f t="shared" si="7"/>
        <v>164.5</v>
      </c>
      <c r="O174" s="111">
        <f t="shared" si="8"/>
        <v>79</v>
      </c>
      <c r="P174" s="7" t="s">
        <v>67</v>
      </c>
      <c r="Q174" s="4">
        <v>65</v>
      </c>
      <c r="R174" s="5">
        <v>243.5</v>
      </c>
      <c r="S174" s="5">
        <v>240.85</v>
      </c>
      <c r="T174" s="8">
        <v>-1.2587999999999999</v>
      </c>
      <c r="U174" s="8">
        <v>0.48110000000000003</v>
      </c>
      <c r="V174" s="8">
        <v>-1.2587999999999999</v>
      </c>
      <c r="W174" s="8">
        <v>0.48110000000000003</v>
      </c>
      <c r="X174" s="8">
        <v>-1.2587999999999999</v>
      </c>
      <c r="Y174" s="5">
        <v>2.65</v>
      </c>
      <c r="Z174" s="6">
        <v>1.0844877330113973E-4</v>
      </c>
      <c r="AA174" s="9">
        <v>2.65</v>
      </c>
      <c r="AB174" s="9">
        <v>1.0844877330113974E-2</v>
      </c>
      <c r="AC174" s="5">
        <v>102.14065460463799</v>
      </c>
      <c r="AD174" s="5">
        <v>107.35027648311966</v>
      </c>
      <c r="AE174" s="5">
        <v>-5.2096218784816699</v>
      </c>
      <c r="AF174" s="6">
        <v>-4.8529189203353931E-2</v>
      </c>
      <c r="AG174" s="5">
        <v>100.84</v>
      </c>
      <c r="AH174" s="5">
        <v>-6.06</v>
      </c>
      <c r="AI174" s="7" t="s">
        <v>68</v>
      </c>
    </row>
    <row r="175" spans="1:35" ht="18" customHeight="1" x14ac:dyDescent="0.25">
      <c r="A175" s="10">
        <v>174</v>
      </c>
      <c r="B175" s="10">
        <v>1</v>
      </c>
      <c r="C175" s="10">
        <v>174</v>
      </c>
      <c r="D175" s="109">
        <v>45595</v>
      </c>
      <c r="E175" s="109">
        <v>45602</v>
      </c>
      <c r="F175" s="109">
        <v>45603</v>
      </c>
      <c r="G175" s="11">
        <v>24340.85</v>
      </c>
      <c r="H175" s="11">
        <v>24484.05</v>
      </c>
      <c r="I175" s="11">
        <v>143.19999999999999</v>
      </c>
      <c r="J175" s="12">
        <v>5.8831141886992438E-3</v>
      </c>
      <c r="K175" s="13" t="s">
        <v>28</v>
      </c>
      <c r="L175" s="10">
        <v>24600</v>
      </c>
      <c r="M175" s="28">
        <f t="shared" si="6"/>
        <v>1.0646711187160651E-2</v>
      </c>
      <c r="N175" s="111">
        <f t="shared" si="7"/>
        <v>259.15000000000146</v>
      </c>
      <c r="O175" s="111">
        <f t="shared" si="8"/>
        <v>60.549999999998533</v>
      </c>
      <c r="P175" s="13" t="s">
        <v>67</v>
      </c>
      <c r="Q175" s="10">
        <v>65</v>
      </c>
      <c r="R175" s="11">
        <v>319.7</v>
      </c>
      <c r="S175" s="11">
        <v>175.95</v>
      </c>
      <c r="T175" s="14">
        <v>-2.0636000000000001</v>
      </c>
      <c r="U175" s="14">
        <v>0.80110000000000003</v>
      </c>
      <c r="V175" s="14">
        <v>-2.0636000000000001</v>
      </c>
      <c r="W175" s="14">
        <v>0.80110000000000003</v>
      </c>
      <c r="X175" s="14">
        <v>-2.0636000000000001</v>
      </c>
      <c r="Y175" s="11">
        <v>143.75</v>
      </c>
      <c r="Z175" s="12">
        <v>5.9057099485022094E-3</v>
      </c>
      <c r="AA175" s="9">
        <v>143.75</v>
      </c>
      <c r="AB175" s="9">
        <v>0.59057099485022091</v>
      </c>
      <c r="AC175" s="11">
        <v>102.74386768468312</v>
      </c>
      <c r="AD175" s="11">
        <v>107.35027648311966</v>
      </c>
      <c r="AE175" s="11">
        <v>-4.6064087984365329</v>
      </c>
      <c r="AF175" s="12">
        <v>-4.2910078570322731E-2</v>
      </c>
      <c r="AG175" s="11">
        <v>100.03</v>
      </c>
      <c r="AH175" s="11">
        <v>-6.82</v>
      </c>
      <c r="AI175" s="13" t="s">
        <v>68</v>
      </c>
    </row>
    <row r="176" spans="1:35" ht="18" customHeight="1" x14ac:dyDescent="0.25">
      <c r="A176" s="4">
        <v>175</v>
      </c>
      <c r="B176" s="4">
        <v>1</v>
      </c>
      <c r="C176" s="4">
        <v>175</v>
      </c>
      <c r="D176" s="108">
        <v>45602</v>
      </c>
      <c r="E176" s="108">
        <v>45609</v>
      </c>
      <c r="F176" s="108">
        <v>45610</v>
      </c>
      <c r="G176" s="5">
        <v>24484.05</v>
      </c>
      <c r="H176" s="5">
        <v>23559.05</v>
      </c>
      <c r="I176" s="4">
        <v>-925</v>
      </c>
      <c r="J176" s="6">
        <v>-3.7779697394834597E-2</v>
      </c>
      <c r="K176" s="7" t="s">
        <v>28</v>
      </c>
      <c r="L176" s="4">
        <v>24700</v>
      </c>
      <c r="M176" s="28">
        <f t="shared" si="6"/>
        <v>8.82002773234003E-3</v>
      </c>
      <c r="N176" s="111">
        <f t="shared" si="7"/>
        <v>215.95000000000073</v>
      </c>
      <c r="O176" s="111">
        <f t="shared" si="8"/>
        <v>83.849999999999284</v>
      </c>
      <c r="P176" s="7" t="s">
        <v>67</v>
      </c>
      <c r="Q176" s="4">
        <v>65</v>
      </c>
      <c r="R176" s="5">
        <v>299.8</v>
      </c>
      <c r="S176" s="5">
        <v>1122.6500000000001</v>
      </c>
      <c r="T176" s="8">
        <v>-3.5895000000000001</v>
      </c>
      <c r="U176" s="8">
        <v>-3.8600000000000002E-2</v>
      </c>
      <c r="V176" s="8">
        <v>-3.5895000000000001</v>
      </c>
      <c r="W176" s="8">
        <v>-3.8600000000000002E-2</v>
      </c>
      <c r="X176" s="8">
        <v>-3.5895000000000001</v>
      </c>
      <c r="Y176" s="5">
        <v>-822.85</v>
      </c>
      <c r="Z176" s="6">
        <v>-3.3607593514961787E-2</v>
      </c>
      <c r="AA176" s="15">
        <v>-822.85</v>
      </c>
      <c r="AB176" s="15">
        <v>-3.3607593514961787</v>
      </c>
      <c r="AC176" s="5">
        <v>99.290893543381273</v>
      </c>
      <c r="AD176" s="5">
        <v>107.35027648311966</v>
      </c>
      <c r="AE176" s="5">
        <v>-8.0593829397383843</v>
      </c>
      <c r="AF176" s="6">
        <v>-7.5075567606998059E-2</v>
      </c>
      <c r="AG176" s="5">
        <v>99.06</v>
      </c>
      <c r="AH176" s="5">
        <v>-7.72</v>
      </c>
      <c r="AI176" s="7" t="s">
        <v>68</v>
      </c>
    </row>
    <row r="177" spans="1:35" ht="18" customHeight="1" x14ac:dyDescent="0.25">
      <c r="A177" s="10">
        <v>176</v>
      </c>
      <c r="B177" s="10">
        <v>1</v>
      </c>
      <c r="C177" s="10">
        <v>176</v>
      </c>
      <c r="D177" s="109">
        <v>45609</v>
      </c>
      <c r="E177" s="109">
        <v>45615</v>
      </c>
      <c r="F177" s="109">
        <v>45617</v>
      </c>
      <c r="G177" s="11">
        <v>23559.05</v>
      </c>
      <c r="H177" s="11">
        <v>23518.5</v>
      </c>
      <c r="I177" s="11">
        <v>-40.549999999999997</v>
      </c>
      <c r="J177" s="12">
        <v>-1.7212069247274401E-3</v>
      </c>
      <c r="K177" s="13" t="s">
        <v>28</v>
      </c>
      <c r="L177" s="10">
        <v>23700</v>
      </c>
      <c r="M177" s="28">
        <f t="shared" si="6"/>
        <v>5.9828388665927879E-3</v>
      </c>
      <c r="N177" s="111">
        <f t="shared" si="7"/>
        <v>140.95000000000073</v>
      </c>
      <c r="O177" s="111">
        <f t="shared" si="8"/>
        <v>87.849999999999284</v>
      </c>
      <c r="P177" s="13" t="s">
        <v>67</v>
      </c>
      <c r="Q177" s="10">
        <v>65</v>
      </c>
      <c r="R177" s="11">
        <v>228.8</v>
      </c>
      <c r="S177" s="11">
        <v>240.5</v>
      </c>
      <c r="T177" s="14">
        <v>-0.67379999999999995</v>
      </c>
      <c r="U177" s="14">
        <v>0.72140000000000004</v>
      </c>
      <c r="V177" s="14">
        <v>-0.67379999999999995</v>
      </c>
      <c r="W177" s="14">
        <v>0.72140000000000004</v>
      </c>
      <c r="X177" s="14">
        <v>-0.67379999999999995</v>
      </c>
      <c r="Y177" s="11">
        <v>-11.7</v>
      </c>
      <c r="Z177" s="12">
        <v>-4.9662443944046978E-4</v>
      </c>
      <c r="AA177" s="15">
        <v>-11.7</v>
      </c>
      <c r="AB177" s="15">
        <v>-4.966244394404698E-2</v>
      </c>
      <c r="AC177" s="11">
        <v>99.241583259033746</v>
      </c>
      <c r="AD177" s="11">
        <v>107.35027648311966</v>
      </c>
      <c r="AE177" s="11">
        <v>-8.1086932240859113</v>
      </c>
      <c r="AF177" s="12">
        <v>-7.5534907684760053E-2</v>
      </c>
      <c r="AG177" s="11">
        <v>98.62</v>
      </c>
      <c r="AH177" s="11">
        <v>-8.1300000000000008</v>
      </c>
      <c r="AI177" s="13" t="s">
        <v>68</v>
      </c>
    </row>
    <row r="178" spans="1:35" ht="18" customHeight="1" x14ac:dyDescent="0.25">
      <c r="A178" s="4">
        <v>177</v>
      </c>
      <c r="B178" s="4">
        <v>1</v>
      </c>
      <c r="C178" s="4">
        <v>177</v>
      </c>
      <c r="D178" s="108">
        <v>45615</v>
      </c>
      <c r="E178" s="108">
        <v>45618</v>
      </c>
      <c r="F178" s="108">
        <v>45624</v>
      </c>
      <c r="G178" s="5">
        <v>23518.5</v>
      </c>
      <c r="H178" s="5">
        <v>23907.25</v>
      </c>
      <c r="I178" s="5">
        <v>388.75</v>
      </c>
      <c r="J178" s="6">
        <v>1.6529540574441396E-2</v>
      </c>
      <c r="K178" s="7" t="s">
        <v>28</v>
      </c>
      <c r="L178" s="4">
        <v>23800</v>
      </c>
      <c r="M178" s="28">
        <f t="shared" si="6"/>
        <v>1.1969300763228885E-2</v>
      </c>
      <c r="N178" s="111">
        <f t="shared" si="7"/>
        <v>281.5</v>
      </c>
      <c r="O178" s="111">
        <f t="shared" si="8"/>
        <v>74.399999999999977</v>
      </c>
      <c r="P178" s="7" t="s">
        <v>67</v>
      </c>
      <c r="Q178" s="4">
        <v>65</v>
      </c>
      <c r="R178" s="5">
        <v>355.9</v>
      </c>
      <c r="S178" s="5">
        <v>165.55</v>
      </c>
      <c r="T178" s="8">
        <v>-0.81359999999999999</v>
      </c>
      <c r="U178" s="8">
        <v>0.89500000000000002</v>
      </c>
      <c r="V178" s="8">
        <v>-0.81359999999999999</v>
      </c>
      <c r="W178" s="8">
        <v>0.89500000000000002</v>
      </c>
      <c r="X178" s="8">
        <v>-0.81359999999999999</v>
      </c>
      <c r="Y178" s="5">
        <v>190.35</v>
      </c>
      <c r="Z178" s="6">
        <v>8.0936284201798582E-3</v>
      </c>
      <c r="AA178" s="9">
        <v>190.35</v>
      </c>
      <c r="AB178" s="9">
        <v>0.80936284201798581</v>
      </c>
      <c r="AC178" s="5">
        <v>100.0448077577627</v>
      </c>
      <c r="AD178" s="5">
        <v>107.35027648311966</v>
      </c>
      <c r="AE178" s="5">
        <v>-7.3054687253569597</v>
      </c>
      <c r="AF178" s="6">
        <v>-6.8052630740133319E-2</v>
      </c>
      <c r="AG178" s="5">
        <v>98.43</v>
      </c>
      <c r="AH178" s="5">
        <v>-8.31</v>
      </c>
      <c r="AI178" s="7" t="s">
        <v>71</v>
      </c>
    </row>
    <row r="179" spans="1:35" ht="18" customHeight="1" x14ac:dyDescent="0.25">
      <c r="A179" s="10">
        <v>178</v>
      </c>
      <c r="B179" s="10">
        <v>1</v>
      </c>
      <c r="C179" s="10">
        <v>178</v>
      </c>
      <c r="D179" s="109">
        <v>45618</v>
      </c>
      <c r="E179" s="109">
        <v>45621</v>
      </c>
      <c r="F179" s="109">
        <v>45624</v>
      </c>
      <c r="G179" s="11">
        <v>23907.25</v>
      </c>
      <c r="H179" s="11">
        <v>24221.9</v>
      </c>
      <c r="I179" s="11">
        <v>314.64999999999998</v>
      </c>
      <c r="J179" s="12">
        <v>1.3161279528176598E-2</v>
      </c>
      <c r="K179" s="13" t="s">
        <v>28</v>
      </c>
      <c r="L179" s="10">
        <v>23500</v>
      </c>
      <c r="M179" s="28">
        <f t="shared" si="6"/>
        <v>-1.703458155998705E-2</v>
      </c>
      <c r="N179" s="111">
        <f t="shared" si="7"/>
        <v>0</v>
      </c>
      <c r="O179" s="111">
        <f t="shared" si="8"/>
        <v>82.4</v>
      </c>
      <c r="P179" s="13" t="s">
        <v>67</v>
      </c>
      <c r="Q179" s="10">
        <v>65</v>
      </c>
      <c r="R179" s="11">
        <v>82.4</v>
      </c>
      <c r="S179" s="11">
        <v>14.8</v>
      </c>
      <c r="T179" s="14">
        <v>0.22</v>
      </c>
      <c r="U179" s="14">
        <v>0.31059999999999999</v>
      </c>
      <c r="V179" s="14">
        <v>0.22</v>
      </c>
      <c r="W179" s="14">
        <v>0.31059999999999999</v>
      </c>
      <c r="X179" s="14">
        <v>0.22</v>
      </c>
      <c r="Y179" s="11">
        <v>67.599999999999994</v>
      </c>
      <c r="Z179" s="12">
        <v>2.8275941398529731E-3</v>
      </c>
      <c r="AA179" s="9">
        <v>67.599999999999994</v>
      </c>
      <c r="AB179" s="9">
        <v>0.2827594139852973</v>
      </c>
      <c r="AC179" s="11">
        <v>100.32769386990127</v>
      </c>
      <c r="AD179" s="11">
        <v>107.35027648311966</v>
      </c>
      <c r="AE179" s="11">
        <v>-7.0225826132183897</v>
      </c>
      <c r="AF179" s="12">
        <v>-6.5417461820162698E-2</v>
      </c>
      <c r="AG179" s="11">
        <v>100.26</v>
      </c>
      <c r="AH179" s="11">
        <v>-6.6</v>
      </c>
      <c r="AI179" s="13" t="s">
        <v>71</v>
      </c>
    </row>
    <row r="180" spans="1:35" ht="18" customHeight="1" x14ac:dyDescent="0.25">
      <c r="A180" s="4">
        <v>179</v>
      </c>
      <c r="B180" s="4">
        <v>1</v>
      </c>
      <c r="C180" s="4">
        <v>179</v>
      </c>
      <c r="D180" s="108">
        <v>45621</v>
      </c>
      <c r="E180" s="108">
        <v>45623</v>
      </c>
      <c r="F180" s="108">
        <v>45624</v>
      </c>
      <c r="G180" s="5">
        <v>24221.9</v>
      </c>
      <c r="H180" s="5">
        <v>24274.9</v>
      </c>
      <c r="I180" s="4">
        <v>53</v>
      </c>
      <c r="J180" s="6">
        <v>2.1881025022809936E-3</v>
      </c>
      <c r="K180" s="7" t="s">
        <v>28</v>
      </c>
      <c r="L180" s="4">
        <v>24100</v>
      </c>
      <c r="M180" s="28">
        <f t="shared" si="6"/>
        <v>-5.032635755246373E-3</v>
      </c>
      <c r="N180" s="111">
        <f t="shared" si="7"/>
        <v>0</v>
      </c>
      <c r="O180" s="111">
        <f t="shared" si="8"/>
        <v>82.9</v>
      </c>
      <c r="P180" s="7" t="s">
        <v>67</v>
      </c>
      <c r="Q180" s="4">
        <v>65</v>
      </c>
      <c r="R180" s="5">
        <v>82.9</v>
      </c>
      <c r="S180" s="5">
        <v>18.2</v>
      </c>
      <c r="T180" s="8">
        <v>-0.1042</v>
      </c>
      <c r="U180" s="8">
        <v>0.27910000000000001</v>
      </c>
      <c r="V180" s="8">
        <v>-0.1042</v>
      </c>
      <c r="W180" s="8">
        <v>0.27910000000000001</v>
      </c>
      <c r="X180" s="8">
        <v>-0.1042</v>
      </c>
      <c r="Y180" s="5">
        <v>64.7</v>
      </c>
      <c r="Z180" s="6">
        <v>2.6711364508977412E-3</v>
      </c>
      <c r="AA180" s="9">
        <v>64.7</v>
      </c>
      <c r="AB180" s="9">
        <v>0.26711364508977414</v>
      </c>
      <c r="AC180" s="5">
        <v>100.59568283003168</v>
      </c>
      <c r="AD180" s="5">
        <v>107.35027648311966</v>
      </c>
      <c r="AE180" s="5">
        <v>-6.75459365308798</v>
      </c>
      <c r="AF180" s="6">
        <v>-6.2921064336057944E-2</v>
      </c>
      <c r="AG180" s="5">
        <v>100.22</v>
      </c>
      <c r="AH180" s="5">
        <v>-6.64</v>
      </c>
      <c r="AI180" s="7" t="s">
        <v>68</v>
      </c>
    </row>
    <row r="181" spans="1:35" ht="18" customHeight="1" x14ac:dyDescent="0.25">
      <c r="A181" s="10">
        <v>180</v>
      </c>
      <c r="B181" s="10">
        <v>1</v>
      </c>
      <c r="C181" s="10">
        <v>180</v>
      </c>
      <c r="D181" s="109">
        <v>45623</v>
      </c>
      <c r="E181" s="109">
        <v>45630</v>
      </c>
      <c r="F181" s="109">
        <v>45631</v>
      </c>
      <c r="G181" s="11">
        <v>24274.9</v>
      </c>
      <c r="H181" s="11">
        <v>24467.45</v>
      </c>
      <c r="I181" s="11">
        <v>192.55</v>
      </c>
      <c r="J181" s="12">
        <v>7.9320615120968569E-3</v>
      </c>
      <c r="K181" s="13" t="s">
        <v>28</v>
      </c>
      <c r="L181" s="10">
        <v>24400</v>
      </c>
      <c r="M181" s="28">
        <f t="shared" si="6"/>
        <v>5.1534712810350491E-3</v>
      </c>
      <c r="N181" s="111">
        <f t="shared" si="7"/>
        <v>125.09999999999854</v>
      </c>
      <c r="O181" s="111">
        <f t="shared" si="8"/>
        <v>73.550000000001461</v>
      </c>
      <c r="P181" s="13" t="s">
        <v>67</v>
      </c>
      <c r="Q181" s="10">
        <v>65</v>
      </c>
      <c r="R181" s="11">
        <v>198.65</v>
      </c>
      <c r="S181" s="11">
        <v>93.25</v>
      </c>
      <c r="T181" s="14">
        <v>-1.2166999999999999</v>
      </c>
      <c r="U181" s="14">
        <v>0.57879999999999998</v>
      </c>
      <c r="V181" s="14">
        <v>-1.2166999999999999</v>
      </c>
      <c r="W181" s="14">
        <v>0.57879999999999998</v>
      </c>
      <c r="X181" s="14">
        <v>-1.2166999999999999</v>
      </c>
      <c r="Y181" s="11">
        <v>105.4</v>
      </c>
      <c r="Z181" s="12">
        <v>4.3419334374188981E-3</v>
      </c>
      <c r="AA181" s="9">
        <v>105.4</v>
      </c>
      <c r="AB181" s="9">
        <v>0.43419334374188978</v>
      </c>
      <c r="AC181" s="11">
        <v>101.03246258897137</v>
      </c>
      <c r="AD181" s="11">
        <v>107.35027648311966</v>
      </c>
      <c r="AE181" s="11">
        <v>-6.3178138941482871</v>
      </c>
      <c r="AF181" s="12">
        <v>-5.8852329971797832E-2</v>
      </c>
      <c r="AG181" s="11">
        <v>99.37</v>
      </c>
      <c r="AH181" s="11">
        <v>-7.43</v>
      </c>
      <c r="AI181" s="13" t="s">
        <v>68</v>
      </c>
    </row>
    <row r="182" spans="1:35" ht="18" customHeight="1" x14ac:dyDescent="0.25">
      <c r="A182" s="4">
        <v>181</v>
      </c>
      <c r="B182" s="4">
        <v>1</v>
      </c>
      <c r="C182" s="4">
        <v>181</v>
      </c>
      <c r="D182" s="108">
        <v>45630</v>
      </c>
      <c r="E182" s="108">
        <v>45637</v>
      </c>
      <c r="F182" s="108">
        <v>45638</v>
      </c>
      <c r="G182" s="5">
        <v>24467.45</v>
      </c>
      <c r="H182" s="5">
        <v>24641.8</v>
      </c>
      <c r="I182" s="5">
        <v>174.35</v>
      </c>
      <c r="J182" s="6">
        <v>7.1257936564701266E-3</v>
      </c>
      <c r="K182" s="7" t="s">
        <v>28</v>
      </c>
      <c r="L182" s="4">
        <v>24800</v>
      </c>
      <c r="M182" s="28">
        <f t="shared" si="6"/>
        <v>1.3591526701801859E-2</v>
      </c>
      <c r="N182" s="111">
        <f t="shared" si="7"/>
        <v>332.54999999999927</v>
      </c>
      <c r="O182" s="111">
        <f t="shared" si="8"/>
        <v>68.950000000000728</v>
      </c>
      <c r="P182" s="7" t="s">
        <v>67</v>
      </c>
      <c r="Q182" s="4">
        <v>65</v>
      </c>
      <c r="R182" s="5">
        <v>401.5</v>
      </c>
      <c r="S182" s="5">
        <v>182.2</v>
      </c>
      <c r="T182" s="8">
        <v>-0.62570000000000003</v>
      </c>
      <c r="U182" s="8">
        <v>1.044</v>
      </c>
      <c r="V182" s="8">
        <v>-0.62570000000000003</v>
      </c>
      <c r="W182" s="8">
        <v>1.044</v>
      </c>
      <c r="X182" s="8">
        <v>-0.62570000000000003</v>
      </c>
      <c r="Y182" s="5">
        <v>219.3</v>
      </c>
      <c r="Z182" s="6">
        <v>8.9629282986171434E-3</v>
      </c>
      <c r="AA182" s="9">
        <v>219.3</v>
      </c>
      <c r="AB182" s="9">
        <v>0.89629282986171432</v>
      </c>
      <c r="AC182" s="5">
        <v>101.93800930698904</v>
      </c>
      <c r="AD182" s="5">
        <v>107.35027648311966</v>
      </c>
      <c r="AE182" s="5">
        <v>-5.4122671761306123</v>
      </c>
      <c r="AF182" s="6">
        <v>-5.0416890886924422E-2</v>
      </c>
      <c r="AG182" s="5">
        <v>100.4</v>
      </c>
      <c r="AH182" s="5">
        <v>-6.47</v>
      </c>
      <c r="AI182" s="7" t="s">
        <v>68</v>
      </c>
    </row>
    <row r="183" spans="1:35" ht="18" customHeight="1" x14ac:dyDescent="0.25">
      <c r="A183" s="10">
        <v>182</v>
      </c>
      <c r="B183" s="10">
        <v>1</v>
      </c>
      <c r="C183" s="10">
        <v>182</v>
      </c>
      <c r="D183" s="109">
        <v>45637</v>
      </c>
      <c r="E183" s="109">
        <v>45644</v>
      </c>
      <c r="F183" s="109">
        <v>45645</v>
      </c>
      <c r="G183" s="11">
        <v>24641.8</v>
      </c>
      <c r="H183" s="11">
        <v>24198.85</v>
      </c>
      <c r="I183" s="11">
        <v>-442.95</v>
      </c>
      <c r="J183" s="12">
        <v>-1.7975553733899308E-2</v>
      </c>
      <c r="K183" s="13" t="s">
        <v>28</v>
      </c>
      <c r="L183" s="10">
        <v>24400</v>
      </c>
      <c r="M183" s="28">
        <f t="shared" si="6"/>
        <v>-9.8125948591417655E-3</v>
      </c>
      <c r="N183" s="111">
        <f t="shared" si="7"/>
        <v>0</v>
      </c>
      <c r="O183" s="111">
        <f t="shared" si="8"/>
        <v>75.3</v>
      </c>
      <c r="P183" s="13" t="s">
        <v>67</v>
      </c>
      <c r="Q183" s="10">
        <v>65</v>
      </c>
      <c r="R183" s="11">
        <v>75.3</v>
      </c>
      <c r="S183" s="11">
        <v>227.15</v>
      </c>
      <c r="T183" s="14">
        <v>-1.0212000000000001</v>
      </c>
      <c r="U183" s="14">
        <v>0.1915</v>
      </c>
      <c r="V183" s="14">
        <v>-1.0212000000000001</v>
      </c>
      <c r="W183" s="14">
        <v>0.1915</v>
      </c>
      <c r="X183" s="14">
        <v>-1.0212000000000001</v>
      </c>
      <c r="Y183" s="11">
        <v>-151.85</v>
      </c>
      <c r="Z183" s="12">
        <v>-6.1622933389606279E-3</v>
      </c>
      <c r="AA183" s="15">
        <v>-151.85</v>
      </c>
      <c r="AB183" s="15">
        <v>-0.61622933389606283</v>
      </c>
      <c r="AC183" s="11">
        <v>101.30983739124967</v>
      </c>
      <c r="AD183" s="11">
        <v>107.35027648311966</v>
      </c>
      <c r="AE183" s="11">
        <v>-6.0404390918699846</v>
      </c>
      <c r="AF183" s="12">
        <v>-5.6268500555001516E-2</v>
      </c>
      <c r="AG183" s="11">
        <v>100.9</v>
      </c>
      <c r="AH183" s="11">
        <v>-6.01</v>
      </c>
      <c r="AI183" s="13" t="s">
        <v>68</v>
      </c>
    </row>
    <row r="184" spans="1:35" ht="18" customHeight="1" x14ac:dyDescent="0.25">
      <c r="A184" s="4">
        <v>183</v>
      </c>
      <c r="B184" s="4">
        <v>1</v>
      </c>
      <c r="C184" s="4">
        <v>183</v>
      </c>
      <c r="D184" s="108">
        <v>45644</v>
      </c>
      <c r="E184" s="108">
        <v>45650</v>
      </c>
      <c r="F184" s="108">
        <v>45652</v>
      </c>
      <c r="G184" s="5">
        <v>24198.85</v>
      </c>
      <c r="H184" s="5">
        <v>23727.65</v>
      </c>
      <c r="I184" s="5">
        <v>-471.2</v>
      </c>
      <c r="J184" s="6">
        <v>-1.9471999702465201E-2</v>
      </c>
      <c r="K184" s="7" t="s">
        <v>28</v>
      </c>
      <c r="L184" s="4">
        <v>23900</v>
      </c>
      <c r="M184" s="28">
        <f t="shared" si="6"/>
        <v>-1.2349760422499356E-2</v>
      </c>
      <c r="N184" s="111">
        <f t="shared" si="7"/>
        <v>0</v>
      </c>
      <c r="O184" s="111">
        <f t="shared" si="8"/>
        <v>81.099999999999994</v>
      </c>
      <c r="P184" s="7" t="s">
        <v>67</v>
      </c>
      <c r="Q184" s="4">
        <v>65</v>
      </c>
      <c r="R184" s="5">
        <v>81.099999999999994</v>
      </c>
      <c r="S184" s="4">
        <v>155</v>
      </c>
      <c r="T184" s="8">
        <v>-1.2875000000000001</v>
      </c>
      <c r="U184" s="8">
        <v>-4.2599999999999999E-2</v>
      </c>
      <c r="V184" s="8">
        <v>-1.2875000000000001</v>
      </c>
      <c r="W184" s="8">
        <v>-4.2599999999999999E-2</v>
      </c>
      <c r="X184" s="8">
        <v>-1.2875000000000001</v>
      </c>
      <c r="Y184" s="5">
        <v>-73.900000000000006</v>
      </c>
      <c r="Z184" s="6">
        <v>-3.053864129907E-3</v>
      </c>
      <c r="AA184" s="15">
        <v>-73.900000000000006</v>
      </c>
      <c r="AB184" s="15">
        <v>-0.30538641299070002</v>
      </c>
      <c r="AC184" s="5">
        <v>101.00045091283381</v>
      </c>
      <c r="AD184" s="5">
        <v>107.35027648311966</v>
      </c>
      <c r="AE184" s="5">
        <v>-6.3498255702858444</v>
      </c>
      <c r="AF184" s="6">
        <v>-5.9150528329420055E-2</v>
      </c>
      <c r="AG184" s="5">
        <v>100.01</v>
      </c>
      <c r="AH184" s="5">
        <v>-6.84</v>
      </c>
      <c r="AI184" s="7" t="s">
        <v>68</v>
      </c>
    </row>
    <row r="185" spans="1:35" ht="18" customHeight="1" x14ac:dyDescent="0.25">
      <c r="A185" s="10">
        <v>184</v>
      </c>
      <c r="B185" s="10">
        <v>1</v>
      </c>
      <c r="C185" s="10">
        <v>184</v>
      </c>
      <c r="D185" s="109">
        <v>45650</v>
      </c>
      <c r="E185" s="109">
        <v>45657</v>
      </c>
      <c r="F185" s="109">
        <v>45659</v>
      </c>
      <c r="G185" s="11">
        <v>23727.65</v>
      </c>
      <c r="H185" s="11">
        <v>23644.799999999999</v>
      </c>
      <c r="I185" s="11">
        <v>-82.85</v>
      </c>
      <c r="J185" s="12">
        <v>-3.4917069326292319E-3</v>
      </c>
      <c r="K185" s="13" t="s">
        <v>28</v>
      </c>
      <c r="L185" s="10">
        <v>23800</v>
      </c>
      <c r="M185" s="28">
        <f t="shared" si="6"/>
        <v>3.0491852332614755E-3</v>
      </c>
      <c r="N185" s="111">
        <f t="shared" si="7"/>
        <v>72.349999999998545</v>
      </c>
      <c r="O185" s="111">
        <f t="shared" si="8"/>
        <v>95.900000000001455</v>
      </c>
      <c r="P185" s="13" t="s">
        <v>67</v>
      </c>
      <c r="Q185" s="10">
        <v>65</v>
      </c>
      <c r="R185" s="11">
        <v>168.25</v>
      </c>
      <c r="S185" s="11">
        <v>190.45</v>
      </c>
      <c r="T185" s="14">
        <v>-0.78710000000000002</v>
      </c>
      <c r="U185" s="14">
        <v>0.38369999999999999</v>
      </c>
      <c r="V185" s="14">
        <v>-0.78710000000000002</v>
      </c>
      <c r="W185" s="14">
        <v>0.38369999999999999</v>
      </c>
      <c r="X185" s="14">
        <v>-0.78710000000000002</v>
      </c>
      <c r="Y185" s="11">
        <v>-22.2</v>
      </c>
      <c r="Z185" s="12">
        <v>-9.3561730723438683E-4</v>
      </c>
      <c r="AA185" s="15">
        <v>-22.2</v>
      </c>
      <c r="AB185" s="15">
        <v>-9.356173072343868E-2</v>
      </c>
      <c r="AC185" s="11">
        <v>100.90595314292129</v>
      </c>
      <c r="AD185" s="11">
        <v>107.35027648311966</v>
      </c>
      <c r="AE185" s="11">
        <v>-6.4443233401983662</v>
      </c>
      <c r="AF185" s="12">
        <v>-6.0030803378617353E-2</v>
      </c>
      <c r="AG185" s="11">
        <v>100.21</v>
      </c>
      <c r="AH185" s="11">
        <v>-6.65</v>
      </c>
      <c r="AI185" s="13" t="s">
        <v>70</v>
      </c>
    </row>
    <row r="186" spans="1:35" ht="18" customHeight="1" x14ac:dyDescent="0.25">
      <c r="A186" s="4">
        <v>185</v>
      </c>
      <c r="B186" s="4">
        <v>1</v>
      </c>
      <c r="C186" s="4">
        <v>185</v>
      </c>
      <c r="D186" s="108">
        <v>45744</v>
      </c>
      <c r="E186" s="108">
        <v>45749</v>
      </c>
      <c r="F186" s="108">
        <v>45750</v>
      </c>
      <c r="G186" s="5">
        <v>23519.35</v>
      </c>
      <c r="H186" s="5">
        <v>23332.35</v>
      </c>
      <c r="I186" s="4">
        <v>-187</v>
      </c>
      <c r="J186" s="6">
        <v>-7.9509000036140452E-3</v>
      </c>
      <c r="K186" s="7" t="s">
        <v>28</v>
      </c>
      <c r="L186" s="4">
        <v>23600</v>
      </c>
      <c r="M186" s="28">
        <f t="shared" si="6"/>
        <v>3.4290913651950916E-3</v>
      </c>
      <c r="N186" s="111">
        <f t="shared" si="7"/>
        <v>80.650000000001455</v>
      </c>
      <c r="O186" s="111">
        <f t="shared" si="8"/>
        <v>66.899999999998556</v>
      </c>
      <c r="P186" s="7" t="s">
        <v>67</v>
      </c>
      <c r="Q186" s="4">
        <v>65</v>
      </c>
      <c r="R186" s="5">
        <v>147.55000000000001</v>
      </c>
      <c r="S186" s="5">
        <v>294.14999999999998</v>
      </c>
      <c r="T186" s="8">
        <v>-1.2546999999999999</v>
      </c>
      <c r="U186" s="8">
        <v>0.1071</v>
      </c>
      <c r="V186" s="8">
        <v>-1.2546999999999999</v>
      </c>
      <c r="W186" s="8">
        <v>0.1071</v>
      </c>
      <c r="X186" s="8">
        <v>-1.2546999999999999</v>
      </c>
      <c r="Y186" s="5">
        <v>-146.6</v>
      </c>
      <c r="Z186" s="6">
        <v>-6.2331654573787119E-3</v>
      </c>
      <c r="AA186" s="15">
        <v>-146.6</v>
      </c>
      <c r="AB186" s="15">
        <v>-0.62331654573787121</v>
      </c>
      <c r="AC186" s="5">
        <v>99.376683454262121</v>
      </c>
      <c r="AD186" s="4">
        <v>100</v>
      </c>
      <c r="AE186" s="5">
        <v>-0.62331654573787887</v>
      </c>
      <c r="AF186" s="6">
        <v>-6.2331654573787891E-3</v>
      </c>
      <c r="AG186" s="5">
        <v>98.75</v>
      </c>
      <c r="AH186" s="5">
        <v>-1.25</v>
      </c>
      <c r="AI186" s="7" t="s">
        <v>68</v>
      </c>
    </row>
    <row r="187" spans="1:35" ht="18" customHeight="1" x14ac:dyDescent="0.25">
      <c r="A187" s="10">
        <v>186</v>
      </c>
      <c r="B187" s="10">
        <v>1</v>
      </c>
      <c r="C187" s="10">
        <v>186</v>
      </c>
      <c r="D187" s="109">
        <v>45749</v>
      </c>
      <c r="E187" s="109">
        <v>45755</v>
      </c>
      <c r="F187" s="109">
        <v>45756</v>
      </c>
      <c r="G187" s="11">
        <v>23332.35</v>
      </c>
      <c r="H187" s="11">
        <v>22535.85</v>
      </c>
      <c r="I187" s="11">
        <v>-796.5</v>
      </c>
      <c r="J187" s="12">
        <v>-3.4137152922873178E-2</v>
      </c>
      <c r="K187" s="13" t="s">
        <v>28</v>
      </c>
      <c r="L187" s="10">
        <v>23500</v>
      </c>
      <c r="M187" s="28">
        <f t="shared" si="6"/>
        <v>7.1853028091899418E-3</v>
      </c>
      <c r="N187" s="111">
        <f t="shared" si="7"/>
        <v>167.65000000000146</v>
      </c>
      <c r="O187" s="111">
        <f t="shared" si="8"/>
        <v>88.24999999999855</v>
      </c>
      <c r="P187" s="13" t="s">
        <v>67</v>
      </c>
      <c r="Q187" s="10">
        <v>65</v>
      </c>
      <c r="R187" s="11">
        <v>255.9</v>
      </c>
      <c r="S187" s="11">
        <v>945.85</v>
      </c>
      <c r="T187" s="14">
        <v>-6.2489999999999997</v>
      </c>
      <c r="U187" s="14">
        <v>2.5999999999999999E-3</v>
      </c>
      <c r="V187" s="14">
        <v>-6.2489999999999997</v>
      </c>
      <c r="W187" s="14">
        <v>2.5999999999999999E-3</v>
      </c>
      <c r="X187" s="14">
        <v>-6.2489999999999997</v>
      </c>
      <c r="Y187" s="11">
        <v>-689.95</v>
      </c>
      <c r="Z187" s="12">
        <v>-2.9570531900987261E-2</v>
      </c>
      <c r="AA187" s="15">
        <v>-689.95</v>
      </c>
      <c r="AB187" s="15">
        <v>-2.9570531900987262</v>
      </c>
      <c r="AC187" s="11">
        <v>96.43806206596355</v>
      </c>
      <c r="AD187" s="10">
        <v>100</v>
      </c>
      <c r="AE187" s="11">
        <v>-3.5619379340364503</v>
      </c>
      <c r="AF187" s="12">
        <v>-3.56193793403645E-2</v>
      </c>
      <c r="AG187" s="11">
        <v>93.17</v>
      </c>
      <c r="AH187" s="11">
        <v>-6.83</v>
      </c>
      <c r="AI187" s="13" t="s">
        <v>68</v>
      </c>
    </row>
    <row r="188" spans="1:35" ht="18" customHeight="1" x14ac:dyDescent="0.25">
      <c r="A188" s="4">
        <v>187</v>
      </c>
      <c r="B188" s="4">
        <v>1</v>
      </c>
      <c r="C188" s="4">
        <v>187</v>
      </c>
      <c r="D188" s="108">
        <v>45755</v>
      </c>
      <c r="E188" s="108">
        <v>45758</v>
      </c>
      <c r="F188" s="108">
        <v>45764</v>
      </c>
      <c r="G188" s="5">
        <v>22535.85</v>
      </c>
      <c r="H188" s="5">
        <v>22828.55</v>
      </c>
      <c r="I188" s="5">
        <v>292.7</v>
      </c>
      <c r="J188" s="6">
        <v>1.2988194365865943E-2</v>
      </c>
      <c r="K188" s="7" t="s">
        <v>28</v>
      </c>
      <c r="L188" s="4">
        <v>22900</v>
      </c>
      <c r="M188" s="28">
        <f t="shared" si="6"/>
        <v>1.615869825189642E-2</v>
      </c>
      <c r="N188" s="111">
        <f t="shared" si="7"/>
        <v>364.15000000000146</v>
      </c>
      <c r="O188" s="111">
        <f t="shared" si="8"/>
        <v>110.64999999999856</v>
      </c>
      <c r="P188" s="7" t="s">
        <v>67</v>
      </c>
      <c r="Q188" s="4">
        <v>65</v>
      </c>
      <c r="R188" s="5">
        <v>474.8</v>
      </c>
      <c r="S188" s="5">
        <v>265.7</v>
      </c>
      <c r="T188" s="8">
        <v>-0.65810000000000002</v>
      </c>
      <c r="U188" s="8">
        <v>1.3119000000000001</v>
      </c>
      <c r="V188" s="8">
        <v>-0.65810000000000002</v>
      </c>
      <c r="W188" s="8">
        <v>1.3119000000000001</v>
      </c>
      <c r="X188" s="8">
        <v>-0.65810000000000002</v>
      </c>
      <c r="Y188" s="5">
        <v>209.1</v>
      </c>
      <c r="Z188" s="6">
        <v>9.2785495111122954E-3</v>
      </c>
      <c r="AA188" s="9">
        <v>209.1</v>
      </c>
      <c r="AB188" s="9">
        <v>0.92785495111122951</v>
      </c>
      <c r="AC188" s="5">
        <v>97.332867399598314</v>
      </c>
      <c r="AD188" s="4">
        <v>100</v>
      </c>
      <c r="AE188" s="5">
        <v>-2.6671326004016862</v>
      </c>
      <c r="AF188" s="6">
        <v>-2.6671326004016862E-2</v>
      </c>
      <c r="AG188" s="5">
        <v>95.8</v>
      </c>
      <c r="AH188" s="5">
        <v>-4.2</v>
      </c>
      <c r="AI188" s="7" t="s">
        <v>71</v>
      </c>
    </row>
    <row r="189" spans="1:35" ht="18" customHeight="1" x14ac:dyDescent="0.25">
      <c r="A189" s="10">
        <v>188</v>
      </c>
      <c r="B189" s="10">
        <v>1</v>
      </c>
      <c r="C189" s="10">
        <v>188</v>
      </c>
      <c r="D189" s="109">
        <v>45758</v>
      </c>
      <c r="E189" s="109">
        <v>45762</v>
      </c>
      <c r="F189" s="109">
        <v>45764</v>
      </c>
      <c r="G189" s="11">
        <v>22828.55</v>
      </c>
      <c r="H189" s="11">
        <v>23328.55</v>
      </c>
      <c r="I189" s="10">
        <v>500</v>
      </c>
      <c r="J189" s="12">
        <v>2.1902398531663203E-2</v>
      </c>
      <c r="K189" s="13" t="s">
        <v>28</v>
      </c>
      <c r="L189" s="10">
        <v>23200</v>
      </c>
      <c r="M189" s="28">
        <f t="shared" si="6"/>
        <v>1.6271291869172533E-2</v>
      </c>
      <c r="N189" s="111">
        <f t="shared" si="7"/>
        <v>371.45000000000073</v>
      </c>
      <c r="O189" s="111">
        <f t="shared" si="8"/>
        <v>73.249999999999261</v>
      </c>
      <c r="P189" s="13" t="s">
        <v>67</v>
      </c>
      <c r="Q189" s="10">
        <v>65</v>
      </c>
      <c r="R189" s="11">
        <v>444.7</v>
      </c>
      <c r="S189" s="11">
        <v>57.7</v>
      </c>
      <c r="T189" s="14">
        <v>1.1735</v>
      </c>
      <c r="U189" s="14">
        <v>1.7353000000000001</v>
      </c>
      <c r="V189" s="14">
        <v>1.1735</v>
      </c>
      <c r="W189" s="14">
        <v>1.7353000000000001</v>
      </c>
      <c r="X189" s="14">
        <v>1.1735</v>
      </c>
      <c r="Y189" s="10">
        <v>387</v>
      </c>
      <c r="Z189" s="12">
        <v>1.695245646350732E-2</v>
      </c>
      <c r="AA189" s="17">
        <v>387</v>
      </c>
      <c r="AB189" s="9">
        <v>1.6952456463507319</v>
      </c>
      <c r="AC189" s="11">
        <v>98.98289859665833</v>
      </c>
      <c r="AD189" s="10">
        <v>100</v>
      </c>
      <c r="AE189" s="11">
        <v>-1.0171014033416697</v>
      </c>
      <c r="AF189" s="12">
        <v>-1.0171014033416697E-2</v>
      </c>
      <c r="AG189" s="11">
        <v>98.48</v>
      </c>
      <c r="AH189" s="11">
        <v>-1.52</v>
      </c>
      <c r="AI189" s="13" t="s">
        <v>71</v>
      </c>
    </row>
    <row r="190" spans="1:35" ht="18" customHeight="1" x14ac:dyDescent="0.25">
      <c r="A190" s="4">
        <v>189</v>
      </c>
      <c r="B190" s="4">
        <v>1</v>
      </c>
      <c r="C190" s="4">
        <v>189</v>
      </c>
      <c r="D190" s="108">
        <v>45762</v>
      </c>
      <c r="E190" s="108">
        <v>45763</v>
      </c>
      <c r="F190" s="108">
        <v>45764</v>
      </c>
      <c r="G190" s="5">
        <v>23328.55</v>
      </c>
      <c r="H190" s="5">
        <v>23437.200000000001</v>
      </c>
      <c r="I190" s="5">
        <v>108.65</v>
      </c>
      <c r="J190" s="6">
        <v>4.657383335012249E-3</v>
      </c>
      <c r="K190" s="7" t="s">
        <v>28</v>
      </c>
      <c r="L190" s="4">
        <v>23400</v>
      </c>
      <c r="M190" s="28">
        <f t="shared" si="6"/>
        <v>3.0627707251416059E-3</v>
      </c>
      <c r="N190" s="111">
        <f t="shared" si="7"/>
        <v>71.450000000000728</v>
      </c>
      <c r="O190" s="111">
        <f t="shared" si="8"/>
        <v>83.649999999999267</v>
      </c>
      <c r="P190" s="7" t="s">
        <v>67</v>
      </c>
      <c r="Q190" s="4">
        <v>65</v>
      </c>
      <c r="R190" s="5">
        <v>155.1</v>
      </c>
      <c r="S190" s="5">
        <v>91.05</v>
      </c>
      <c r="T190" s="8">
        <v>-0.1706</v>
      </c>
      <c r="U190" s="8">
        <v>0.33029999999999998</v>
      </c>
      <c r="V190" s="8">
        <v>-0.1706</v>
      </c>
      <c r="W190" s="8">
        <v>0.33029999999999998</v>
      </c>
      <c r="X190" s="8">
        <v>-0.1706</v>
      </c>
      <c r="Y190" s="5">
        <v>64.05</v>
      </c>
      <c r="Z190" s="6">
        <v>2.7455628403822785E-3</v>
      </c>
      <c r="AA190" s="9">
        <v>64.05</v>
      </c>
      <c r="AB190" s="9">
        <v>0.27455628403822785</v>
      </c>
      <c r="AC190" s="5">
        <v>99.254662364878641</v>
      </c>
      <c r="AD190" s="4">
        <v>100</v>
      </c>
      <c r="AE190" s="5">
        <v>-0.7453376351213592</v>
      </c>
      <c r="AF190" s="6">
        <v>-7.4533763512135923E-3</v>
      </c>
      <c r="AG190" s="5">
        <v>98.81</v>
      </c>
      <c r="AH190" s="5">
        <v>-1.19</v>
      </c>
      <c r="AI190" s="7" t="s">
        <v>68</v>
      </c>
    </row>
    <row r="191" spans="1:35" ht="18" customHeight="1" x14ac:dyDescent="0.25">
      <c r="A191" s="10">
        <v>190</v>
      </c>
      <c r="B191" s="10">
        <v>1</v>
      </c>
      <c r="C191" s="10">
        <v>190</v>
      </c>
      <c r="D191" s="109">
        <v>45763</v>
      </c>
      <c r="E191" s="109">
        <v>45764</v>
      </c>
      <c r="F191" s="109">
        <v>45771</v>
      </c>
      <c r="G191" s="11">
        <v>23437.200000000001</v>
      </c>
      <c r="H191" s="11">
        <v>23851.65</v>
      </c>
      <c r="I191" s="11">
        <v>414.45</v>
      </c>
      <c r="J191" s="12">
        <v>1.7683426347857252E-2</v>
      </c>
      <c r="K191" s="13" t="s">
        <v>28</v>
      </c>
      <c r="L191" s="10">
        <v>23800</v>
      </c>
      <c r="M191" s="28">
        <f t="shared" si="6"/>
        <v>1.5479664806376192E-2</v>
      </c>
      <c r="N191" s="111">
        <f t="shared" si="7"/>
        <v>362.79999999999927</v>
      </c>
      <c r="O191" s="111">
        <f t="shared" si="8"/>
        <v>72.750000000000739</v>
      </c>
      <c r="P191" s="13" t="s">
        <v>67</v>
      </c>
      <c r="Q191" s="10">
        <v>65</v>
      </c>
      <c r="R191" s="11">
        <v>435.55</v>
      </c>
      <c r="S191" s="11">
        <v>171.4</v>
      </c>
      <c r="T191" s="14">
        <v>-0.32919999999999999</v>
      </c>
      <c r="U191" s="14">
        <v>1.1819</v>
      </c>
      <c r="V191" s="14">
        <v>-0.32919999999999999</v>
      </c>
      <c r="W191" s="14">
        <v>1.1819</v>
      </c>
      <c r="X191" s="14">
        <v>-0.32919999999999999</v>
      </c>
      <c r="Y191" s="11">
        <v>264.14999999999998</v>
      </c>
      <c r="Z191" s="12">
        <v>1.1270544262966564E-2</v>
      </c>
      <c r="AA191" s="9">
        <v>264.14999999999998</v>
      </c>
      <c r="AB191" s="9">
        <v>1.1270544262966564</v>
      </c>
      <c r="AC191" s="11">
        <v>100.37331643036781</v>
      </c>
      <c r="AD191" s="11">
        <v>100.37331643036781</v>
      </c>
      <c r="AE191" s="10">
        <v>0</v>
      </c>
      <c r="AF191" s="12">
        <v>0</v>
      </c>
      <c r="AG191" s="11">
        <v>98.93</v>
      </c>
      <c r="AH191" s="11">
        <v>-1.07</v>
      </c>
      <c r="AI191" s="13" t="s">
        <v>71</v>
      </c>
    </row>
    <row r="192" spans="1:35" ht="18" customHeight="1" x14ac:dyDescent="0.25">
      <c r="A192" s="4">
        <v>191</v>
      </c>
      <c r="B192" s="4">
        <v>1</v>
      </c>
      <c r="C192" s="4">
        <v>191</v>
      </c>
      <c r="D192" s="108">
        <v>45764</v>
      </c>
      <c r="E192" s="108">
        <v>45768</v>
      </c>
      <c r="F192" s="108">
        <v>45771</v>
      </c>
      <c r="G192" s="5">
        <v>23851.65</v>
      </c>
      <c r="H192" s="5">
        <v>24125.55</v>
      </c>
      <c r="I192" s="5">
        <v>273.89999999999998</v>
      </c>
      <c r="J192" s="6">
        <v>1.1483482274811175E-2</v>
      </c>
      <c r="K192" s="7" t="s">
        <v>28</v>
      </c>
      <c r="L192" s="4">
        <v>24100</v>
      </c>
      <c r="M192" s="28">
        <f t="shared" si="6"/>
        <v>1.0412277557317884E-2</v>
      </c>
      <c r="N192" s="111">
        <f t="shared" si="7"/>
        <v>248.34999999999854</v>
      </c>
      <c r="O192" s="111">
        <f t="shared" si="8"/>
        <v>86.900000000001455</v>
      </c>
      <c r="P192" s="7" t="s">
        <v>67</v>
      </c>
      <c r="Q192" s="4">
        <v>65</v>
      </c>
      <c r="R192" s="5">
        <v>335.25</v>
      </c>
      <c r="S192" s="5">
        <v>108.9</v>
      </c>
      <c r="T192" s="8">
        <v>6.7500000000000004E-2</v>
      </c>
      <c r="U192" s="8">
        <v>1.0449999999999999</v>
      </c>
      <c r="V192" s="8">
        <v>6.7500000000000004E-2</v>
      </c>
      <c r="W192" s="8">
        <v>1.0449999999999999</v>
      </c>
      <c r="X192" s="8">
        <v>6.7500000000000004E-2</v>
      </c>
      <c r="Y192" s="5">
        <v>226.35</v>
      </c>
      <c r="Z192" s="6">
        <v>9.4899095031161351E-3</v>
      </c>
      <c r="AA192" s="9">
        <v>226.35</v>
      </c>
      <c r="AB192" s="9">
        <v>0.94899095031161351</v>
      </c>
      <c r="AC192" s="5">
        <v>101.32585011981965</v>
      </c>
      <c r="AD192" s="5">
        <v>101.32585011981965</v>
      </c>
      <c r="AE192" s="4">
        <v>0</v>
      </c>
      <c r="AF192" s="6">
        <v>0</v>
      </c>
      <c r="AG192" s="5">
        <v>100.44</v>
      </c>
      <c r="AH192" s="5">
        <v>7.0000000000000007E-2</v>
      </c>
      <c r="AI192" s="7" t="s">
        <v>71</v>
      </c>
    </row>
    <row r="193" spans="1:35" ht="18" customHeight="1" x14ac:dyDescent="0.25">
      <c r="A193" s="10">
        <v>192</v>
      </c>
      <c r="B193" s="10">
        <v>1</v>
      </c>
      <c r="C193" s="10">
        <v>192</v>
      </c>
      <c r="D193" s="109">
        <v>45768</v>
      </c>
      <c r="E193" s="109">
        <v>45770</v>
      </c>
      <c r="F193" s="109">
        <v>45771</v>
      </c>
      <c r="G193" s="11">
        <v>24125.55</v>
      </c>
      <c r="H193" s="11">
        <v>24328.95</v>
      </c>
      <c r="I193" s="11">
        <v>203.4</v>
      </c>
      <c r="J193" s="12">
        <v>8.4308958759489426E-3</v>
      </c>
      <c r="K193" s="13" t="s">
        <v>28</v>
      </c>
      <c r="L193" s="10">
        <v>24000</v>
      </c>
      <c r="M193" s="28">
        <f t="shared" si="6"/>
        <v>-5.2040264367029243E-3</v>
      </c>
      <c r="N193" s="111">
        <f t="shared" si="7"/>
        <v>0</v>
      </c>
      <c r="O193" s="111">
        <f t="shared" si="8"/>
        <v>72.599999999999994</v>
      </c>
      <c r="P193" s="13" t="s">
        <v>67</v>
      </c>
      <c r="Q193" s="10">
        <v>65</v>
      </c>
      <c r="R193" s="11">
        <v>72.599999999999994</v>
      </c>
      <c r="S193" s="11">
        <v>11.55</v>
      </c>
      <c r="T193" s="14">
        <v>-7.2099999999999997E-2</v>
      </c>
      <c r="U193" s="14">
        <v>0.26069999999999999</v>
      </c>
      <c r="V193" s="14">
        <v>-7.2099999999999997E-2</v>
      </c>
      <c r="W193" s="14">
        <v>0.26069999999999999</v>
      </c>
      <c r="X193" s="14">
        <v>-7.2099999999999997E-2</v>
      </c>
      <c r="Y193" s="11">
        <v>61.05</v>
      </c>
      <c r="Z193" s="12">
        <v>2.5305122577516368E-3</v>
      </c>
      <c r="AA193" s="9">
        <v>61.05</v>
      </c>
      <c r="AB193" s="9">
        <v>0.2530512257751637</v>
      </c>
      <c r="AC193" s="11">
        <v>101.58225642557497</v>
      </c>
      <c r="AD193" s="11">
        <v>101.58225642557497</v>
      </c>
      <c r="AE193" s="10">
        <v>0</v>
      </c>
      <c r="AF193" s="12">
        <v>0</v>
      </c>
      <c r="AG193" s="11">
        <v>101.25</v>
      </c>
      <c r="AH193" s="11">
        <v>-7.0000000000000007E-2</v>
      </c>
      <c r="AI193" s="13" t="s">
        <v>68</v>
      </c>
    </row>
    <row r="194" spans="1:35" ht="18" customHeight="1" x14ac:dyDescent="0.25">
      <c r="A194" s="4">
        <v>193</v>
      </c>
      <c r="B194" s="4">
        <v>1</v>
      </c>
      <c r="C194" s="4">
        <v>193</v>
      </c>
      <c r="D194" s="108">
        <v>45770</v>
      </c>
      <c r="E194" s="108">
        <v>45776</v>
      </c>
      <c r="F194" s="108">
        <v>45777</v>
      </c>
      <c r="G194" s="5">
        <v>24328.95</v>
      </c>
      <c r="H194" s="5">
        <v>24335.95</v>
      </c>
      <c r="I194" s="4">
        <v>7</v>
      </c>
      <c r="J194" s="6">
        <v>2.8772306244207005E-4</v>
      </c>
      <c r="K194" s="7" t="s">
        <v>28</v>
      </c>
      <c r="L194" s="4">
        <v>24600</v>
      </c>
      <c r="M194" s="28">
        <f t="shared" si="6"/>
        <v>1.1141048010703258E-2</v>
      </c>
      <c r="N194" s="111">
        <f t="shared" si="7"/>
        <v>271.04999999999927</v>
      </c>
      <c r="O194" s="111">
        <f t="shared" si="8"/>
        <v>78.500000000000739</v>
      </c>
      <c r="P194" s="7" t="s">
        <v>67</v>
      </c>
      <c r="Q194" s="4">
        <v>65</v>
      </c>
      <c r="R194" s="5">
        <v>349.55</v>
      </c>
      <c r="S194" s="5">
        <v>288.85000000000002</v>
      </c>
      <c r="T194" s="8">
        <v>-1.6616</v>
      </c>
      <c r="U194" s="8">
        <v>0.70779999999999998</v>
      </c>
      <c r="V194" s="8">
        <v>-1.6616</v>
      </c>
      <c r="W194" s="8">
        <v>0.70779999999999998</v>
      </c>
      <c r="X194" s="8">
        <v>-1.6616</v>
      </c>
      <c r="Y194" s="5">
        <v>60.7</v>
      </c>
      <c r="Z194" s="6">
        <v>2.4949699843190933E-3</v>
      </c>
      <c r="AA194" s="9">
        <v>60.7</v>
      </c>
      <c r="AB194" s="9">
        <v>0.24949699843190934</v>
      </c>
      <c r="AC194" s="5">
        <v>101.83570110629618</v>
      </c>
      <c r="AD194" s="5">
        <v>101.83570110629618</v>
      </c>
      <c r="AE194" s="4">
        <v>0</v>
      </c>
      <c r="AF194" s="6">
        <v>0</v>
      </c>
      <c r="AG194" s="5">
        <v>99.89</v>
      </c>
      <c r="AH194" s="5">
        <v>-1.67</v>
      </c>
      <c r="AI194" s="7" t="s">
        <v>68</v>
      </c>
    </row>
    <row r="195" spans="1:35" ht="18" customHeight="1" x14ac:dyDescent="0.25">
      <c r="A195" s="10">
        <v>194</v>
      </c>
      <c r="B195" s="10">
        <v>1</v>
      </c>
      <c r="C195" s="10">
        <v>194</v>
      </c>
      <c r="D195" s="109">
        <v>45776</v>
      </c>
      <c r="E195" s="109">
        <v>45784</v>
      </c>
      <c r="F195" s="109">
        <v>45785</v>
      </c>
      <c r="G195" s="11">
        <v>24335.95</v>
      </c>
      <c r="H195" s="11">
        <v>24414.400000000001</v>
      </c>
      <c r="I195" s="11">
        <v>78.45</v>
      </c>
      <c r="J195" s="12">
        <v>3.2236259525516777E-3</v>
      </c>
      <c r="K195" s="13" t="s">
        <v>28</v>
      </c>
      <c r="L195" s="10">
        <v>24700</v>
      </c>
      <c r="M195" s="28">
        <f t="shared" si="6"/>
        <v>1.4959350261649851E-2</v>
      </c>
      <c r="N195" s="111">
        <f t="shared" si="7"/>
        <v>364.04999999999927</v>
      </c>
      <c r="O195" s="111">
        <f t="shared" si="8"/>
        <v>72.900000000000716</v>
      </c>
      <c r="P195" s="13" t="s">
        <v>67</v>
      </c>
      <c r="Q195" s="10">
        <v>65</v>
      </c>
      <c r="R195" s="11">
        <v>436.95</v>
      </c>
      <c r="S195" s="11">
        <v>341.85</v>
      </c>
      <c r="T195" s="14">
        <v>-0.30099999999999999</v>
      </c>
      <c r="U195" s="14">
        <v>0.93979999999999997</v>
      </c>
      <c r="V195" s="14">
        <v>-0.30099999999999999</v>
      </c>
      <c r="W195" s="14">
        <v>0.93979999999999997</v>
      </c>
      <c r="X195" s="14">
        <v>-0.30099999999999999</v>
      </c>
      <c r="Y195" s="11">
        <v>95.1</v>
      </c>
      <c r="Z195" s="12">
        <v>3.9077989558657048E-3</v>
      </c>
      <c r="AA195" s="9">
        <v>95.1</v>
      </c>
      <c r="AB195" s="9">
        <v>0.3907798955865705</v>
      </c>
      <c r="AC195" s="11">
        <v>102.23365455274923</v>
      </c>
      <c r="AD195" s="11">
        <v>102.23365455274923</v>
      </c>
      <c r="AE195" s="10">
        <v>0</v>
      </c>
      <c r="AF195" s="12">
        <v>0</v>
      </c>
      <c r="AG195" s="11">
        <v>101.53</v>
      </c>
      <c r="AH195" s="11">
        <v>-0.3</v>
      </c>
      <c r="AI195" s="13" t="s">
        <v>68</v>
      </c>
    </row>
    <row r="196" spans="1:35" ht="18" customHeight="1" x14ac:dyDescent="0.25">
      <c r="A196" s="4">
        <v>195</v>
      </c>
      <c r="B196" s="4">
        <v>1</v>
      </c>
      <c r="C196" s="4">
        <v>195</v>
      </c>
      <c r="D196" s="108">
        <v>45784</v>
      </c>
      <c r="E196" s="108">
        <v>45789</v>
      </c>
      <c r="F196" s="108">
        <v>45792</v>
      </c>
      <c r="G196" s="5">
        <v>24414.400000000001</v>
      </c>
      <c r="H196" s="5">
        <v>24924.7</v>
      </c>
      <c r="I196" s="5">
        <v>510.3</v>
      </c>
      <c r="J196" s="6">
        <v>2.0901599056294646E-2</v>
      </c>
      <c r="K196" s="7" t="s">
        <v>28</v>
      </c>
      <c r="L196" s="4">
        <v>24800</v>
      </c>
      <c r="M196" s="28">
        <f t="shared" ref="M196:M259" si="9">L196/G196-1</f>
        <v>1.5793957664329117E-2</v>
      </c>
      <c r="N196" s="111">
        <f t="shared" ref="N196:N259" si="10">IF(L196&gt;G196,L196-G196,0)</f>
        <v>385.59999999999854</v>
      </c>
      <c r="O196" s="111">
        <f t="shared" ref="O196:O259" si="11">R196-N196</f>
        <v>84.800000000001432</v>
      </c>
      <c r="P196" s="7" t="s">
        <v>67</v>
      </c>
      <c r="Q196" s="4">
        <v>65</v>
      </c>
      <c r="R196" s="5">
        <v>470.4</v>
      </c>
      <c r="S196" s="5">
        <v>137.94999999999999</v>
      </c>
      <c r="T196" s="8">
        <v>-1.7072000000000001</v>
      </c>
      <c r="U196" s="8">
        <v>1.4225000000000001</v>
      </c>
      <c r="V196" s="8">
        <v>-1.7072000000000001</v>
      </c>
      <c r="W196" s="8">
        <v>1.4225000000000001</v>
      </c>
      <c r="X196" s="8">
        <v>-1.7072000000000001</v>
      </c>
      <c r="Y196" s="5">
        <v>332.45</v>
      </c>
      <c r="Z196" s="6">
        <v>1.3616963759092993E-2</v>
      </c>
      <c r="AA196" s="9">
        <v>332.45</v>
      </c>
      <c r="AB196" s="9">
        <v>1.3616963759092993</v>
      </c>
      <c r="AC196" s="5">
        <v>103.62576652175365</v>
      </c>
      <c r="AD196" s="5">
        <v>103.62576652175365</v>
      </c>
      <c r="AE196" s="4">
        <v>0</v>
      </c>
      <c r="AF196" s="6">
        <v>0</v>
      </c>
      <c r="AG196" s="5">
        <v>100.49</v>
      </c>
      <c r="AH196" s="5">
        <v>-1.71</v>
      </c>
      <c r="AI196" s="7" t="s">
        <v>71</v>
      </c>
    </row>
    <row r="197" spans="1:35" ht="18" customHeight="1" x14ac:dyDescent="0.25">
      <c r="A197" s="10">
        <v>196</v>
      </c>
      <c r="B197" s="10">
        <v>1</v>
      </c>
      <c r="C197" s="10">
        <v>196</v>
      </c>
      <c r="D197" s="109">
        <v>45789</v>
      </c>
      <c r="E197" s="109">
        <v>45791</v>
      </c>
      <c r="F197" s="109">
        <v>45792</v>
      </c>
      <c r="G197" s="11">
        <v>24924.7</v>
      </c>
      <c r="H197" s="11">
        <v>24666.9</v>
      </c>
      <c r="I197" s="11">
        <v>-257.8</v>
      </c>
      <c r="J197" s="12">
        <v>-1.0343153578578679E-2</v>
      </c>
      <c r="K197" s="13" t="s">
        <v>28</v>
      </c>
      <c r="L197" s="10">
        <v>25200</v>
      </c>
      <c r="M197" s="28">
        <f t="shared" si="9"/>
        <v>1.1045268348264914E-2</v>
      </c>
      <c r="N197" s="111">
        <f t="shared" si="10"/>
        <v>275.29999999999927</v>
      </c>
      <c r="O197" s="111">
        <f t="shared" si="11"/>
        <v>60.05000000000075</v>
      </c>
      <c r="P197" s="13" t="s">
        <v>67</v>
      </c>
      <c r="Q197" s="10">
        <v>65</v>
      </c>
      <c r="R197" s="11">
        <v>335.35</v>
      </c>
      <c r="S197" s="11">
        <v>564.79999999999995</v>
      </c>
      <c r="T197" s="14">
        <v>-1.4652000000000001</v>
      </c>
      <c r="U197" s="14">
        <v>4.65E-2</v>
      </c>
      <c r="V197" s="14">
        <v>-1.4652000000000001</v>
      </c>
      <c r="W197" s="14">
        <v>4.65E-2</v>
      </c>
      <c r="X197" s="14">
        <v>-1.4652000000000001</v>
      </c>
      <c r="Y197" s="11">
        <v>-229.45</v>
      </c>
      <c r="Z197" s="12">
        <v>-9.2057276516868802E-3</v>
      </c>
      <c r="AA197" s="15">
        <v>-229.45</v>
      </c>
      <c r="AB197" s="15">
        <v>-0.92057276516868802</v>
      </c>
      <c r="AC197" s="11">
        <v>102.67181593745708</v>
      </c>
      <c r="AD197" s="11">
        <v>103.62576652175365</v>
      </c>
      <c r="AE197" s="11">
        <v>-0.95395058429656387</v>
      </c>
      <c r="AF197" s="12">
        <v>-9.2057276516869548E-3</v>
      </c>
      <c r="AG197" s="11">
        <v>102.11</v>
      </c>
      <c r="AH197" s="11">
        <v>-1.46</v>
      </c>
      <c r="AI197" s="13" t="s">
        <v>68</v>
      </c>
    </row>
    <row r="198" spans="1:35" ht="18" customHeight="1" x14ac:dyDescent="0.25">
      <c r="A198" s="4">
        <v>197</v>
      </c>
      <c r="B198" s="4">
        <v>1</v>
      </c>
      <c r="C198" s="4">
        <v>197</v>
      </c>
      <c r="D198" s="108">
        <v>45791</v>
      </c>
      <c r="E198" s="108">
        <v>45792</v>
      </c>
      <c r="F198" s="108">
        <v>45799</v>
      </c>
      <c r="G198" s="5">
        <v>24666.9</v>
      </c>
      <c r="H198" s="5">
        <v>25062.1</v>
      </c>
      <c r="I198" s="5">
        <v>395.2</v>
      </c>
      <c r="J198" s="6">
        <v>1.6021470067175039E-2</v>
      </c>
      <c r="K198" s="7" t="s">
        <v>28</v>
      </c>
      <c r="L198" s="4">
        <v>25000</v>
      </c>
      <c r="M198" s="28">
        <f t="shared" si="9"/>
        <v>1.350392631421049E-2</v>
      </c>
      <c r="N198" s="111">
        <f t="shared" si="10"/>
        <v>333.09999999999854</v>
      </c>
      <c r="O198" s="111">
        <f t="shared" si="11"/>
        <v>83.150000000001455</v>
      </c>
      <c r="P198" s="7" t="s">
        <v>67</v>
      </c>
      <c r="Q198" s="4">
        <v>65</v>
      </c>
      <c r="R198" s="5">
        <v>416.25</v>
      </c>
      <c r="S198" s="5">
        <v>177.8</v>
      </c>
      <c r="T198" s="8">
        <v>-0.39019999999999999</v>
      </c>
      <c r="U198" s="8">
        <v>1.0242</v>
      </c>
      <c r="V198" s="8">
        <v>-0.39019999999999999</v>
      </c>
      <c r="W198" s="8">
        <v>1.0242</v>
      </c>
      <c r="X198" s="8">
        <v>-0.39019999999999999</v>
      </c>
      <c r="Y198" s="5">
        <v>238.45</v>
      </c>
      <c r="Z198" s="6">
        <v>9.6668004491849389E-3</v>
      </c>
      <c r="AA198" s="9">
        <v>238.45</v>
      </c>
      <c r="AB198" s="9">
        <v>0.96668004491849391</v>
      </c>
      <c r="AC198" s="5">
        <v>103.66432389387992</v>
      </c>
      <c r="AD198" s="5">
        <v>103.66432389387992</v>
      </c>
      <c r="AE198" s="4">
        <v>0</v>
      </c>
      <c r="AF198" s="6">
        <v>0</v>
      </c>
      <c r="AG198" s="5">
        <v>102.27</v>
      </c>
      <c r="AH198" s="5">
        <v>-1.31</v>
      </c>
      <c r="AI198" s="7" t="s">
        <v>71</v>
      </c>
    </row>
    <row r="199" spans="1:35" ht="18" customHeight="1" x14ac:dyDescent="0.25">
      <c r="A199" s="10">
        <v>198</v>
      </c>
      <c r="B199" s="10">
        <v>1</v>
      </c>
      <c r="C199" s="10">
        <v>198</v>
      </c>
      <c r="D199" s="109">
        <v>45792</v>
      </c>
      <c r="E199" s="109">
        <v>45798</v>
      </c>
      <c r="F199" s="109">
        <v>45799</v>
      </c>
      <c r="G199" s="11">
        <v>25062.1</v>
      </c>
      <c r="H199" s="11">
        <v>24813.45</v>
      </c>
      <c r="I199" s="11">
        <v>-248.65</v>
      </c>
      <c r="J199" s="12">
        <v>-9.9213553533023975E-3</v>
      </c>
      <c r="K199" s="13" t="s">
        <v>28</v>
      </c>
      <c r="L199" s="10">
        <v>25400</v>
      </c>
      <c r="M199" s="28">
        <f t="shared" si="9"/>
        <v>1.3482509446534952E-2</v>
      </c>
      <c r="N199" s="111">
        <f t="shared" si="10"/>
        <v>337.90000000000146</v>
      </c>
      <c r="O199" s="111">
        <f t="shared" si="11"/>
        <v>80.599999999998545</v>
      </c>
      <c r="P199" s="13" t="s">
        <v>67</v>
      </c>
      <c r="Q199" s="10">
        <v>65</v>
      </c>
      <c r="R199" s="11">
        <v>418.5</v>
      </c>
      <c r="S199" s="11">
        <v>616.1</v>
      </c>
      <c r="T199" s="14">
        <v>-1.2112000000000001</v>
      </c>
      <c r="U199" s="14">
        <v>0.1676</v>
      </c>
      <c r="V199" s="14">
        <v>-1.2112000000000001</v>
      </c>
      <c r="W199" s="14">
        <v>0.1676</v>
      </c>
      <c r="X199" s="14">
        <v>-1.2112000000000001</v>
      </c>
      <c r="Y199" s="11">
        <v>-197.6</v>
      </c>
      <c r="Z199" s="12">
        <v>-7.8844151128596562E-3</v>
      </c>
      <c r="AA199" s="15">
        <v>-197.6</v>
      </c>
      <c r="AB199" s="15">
        <v>-0.78844151128596562</v>
      </c>
      <c r="AC199" s="11">
        <v>102.84699133190664</v>
      </c>
      <c r="AD199" s="11">
        <v>103.66432389387992</v>
      </c>
      <c r="AE199" s="11">
        <v>-0.81733256197328785</v>
      </c>
      <c r="AF199" s="12">
        <v>-7.8844151128596822E-3</v>
      </c>
      <c r="AG199" s="11">
        <v>102.41</v>
      </c>
      <c r="AH199" s="11">
        <v>-1.21</v>
      </c>
      <c r="AI199" s="13" t="s">
        <v>68</v>
      </c>
    </row>
    <row r="200" spans="1:35" ht="18" customHeight="1" x14ac:dyDescent="0.25">
      <c r="A200" s="4">
        <v>199</v>
      </c>
      <c r="B200" s="4">
        <v>1</v>
      </c>
      <c r="C200" s="4">
        <v>199</v>
      </c>
      <c r="D200" s="108">
        <v>45798</v>
      </c>
      <c r="E200" s="108">
        <v>45805</v>
      </c>
      <c r="F200" s="108">
        <v>45806</v>
      </c>
      <c r="G200" s="5">
        <v>24813.45</v>
      </c>
      <c r="H200" s="5">
        <v>24752.45</v>
      </c>
      <c r="I200" s="4">
        <v>-61</v>
      </c>
      <c r="J200" s="6">
        <v>-2.458344164152909E-3</v>
      </c>
      <c r="K200" s="7" t="s">
        <v>28</v>
      </c>
      <c r="L200" s="4">
        <v>25200</v>
      </c>
      <c r="M200" s="28">
        <f t="shared" si="9"/>
        <v>1.5578244863168944E-2</v>
      </c>
      <c r="N200" s="111">
        <f t="shared" si="10"/>
        <v>386.54999999999927</v>
      </c>
      <c r="O200" s="111">
        <f t="shared" si="11"/>
        <v>72.000000000000739</v>
      </c>
      <c r="P200" s="7" t="s">
        <v>67</v>
      </c>
      <c r="Q200" s="4">
        <v>65</v>
      </c>
      <c r="R200" s="5">
        <v>458.55</v>
      </c>
      <c r="S200" s="5">
        <v>450.05</v>
      </c>
      <c r="T200" s="8">
        <v>-1.0232000000000001</v>
      </c>
      <c r="U200" s="8">
        <v>0.88880000000000003</v>
      </c>
      <c r="V200" s="8">
        <v>-1.0232000000000001</v>
      </c>
      <c r="W200" s="8">
        <v>0.88880000000000003</v>
      </c>
      <c r="X200" s="8">
        <v>-1.0232000000000001</v>
      </c>
      <c r="Y200" s="5">
        <v>8.5</v>
      </c>
      <c r="Z200" s="6">
        <v>3.4255615402130698E-4</v>
      </c>
      <c r="AA200" s="9">
        <v>8.5</v>
      </c>
      <c r="AB200" s="9">
        <v>3.42556154021307E-2</v>
      </c>
      <c r="AC200" s="5">
        <v>102.88222220170996</v>
      </c>
      <c r="AD200" s="5">
        <v>103.66432389387992</v>
      </c>
      <c r="AE200" s="5">
        <v>-0.78210169216995951</v>
      </c>
      <c r="AF200" s="6">
        <v>-7.5445598137560688E-3</v>
      </c>
      <c r="AG200" s="5">
        <v>101.79</v>
      </c>
      <c r="AH200" s="5">
        <v>-1.81</v>
      </c>
      <c r="AI200" s="7" t="s">
        <v>68</v>
      </c>
    </row>
    <row r="201" spans="1:35" ht="18" customHeight="1" x14ac:dyDescent="0.25">
      <c r="A201" s="10">
        <v>200</v>
      </c>
      <c r="B201" s="10">
        <v>1</v>
      </c>
      <c r="C201" s="10">
        <v>200</v>
      </c>
      <c r="D201" s="109">
        <v>45805</v>
      </c>
      <c r="E201" s="109">
        <v>45812</v>
      </c>
      <c r="F201" s="109">
        <v>45813</v>
      </c>
      <c r="G201" s="11">
        <v>24752.45</v>
      </c>
      <c r="H201" s="11">
        <v>24620.2</v>
      </c>
      <c r="I201" s="11">
        <v>-132.25</v>
      </c>
      <c r="J201" s="12">
        <v>-5.3429054497635582E-3</v>
      </c>
      <c r="K201" s="13" t="s">
        <v>28</v>
      </c>
      <c r="L201" s="10">
        <v>25200</v>
      </c>
      <c r="M201" s="28">
        <f t="shared" si="9"/>
        <v>1.8081038442659292E-2</v>
      </c>
      <c r="N201" s="111">
        <f t="shared" si="10"/>
        <v>447.54999999999927</v>
      </c>
      <c r="O201" s="111">
        <f t="shared" si="11"/>
        <v>83.950000000000728</v>
      </c>
      <c r="P201" s="13" t="s">
        <v>67</v>
      </c>
      <c r="Q201" s="10">
        <v>65</v>
      </c>
      <c r="R201" s="11">
        <v>531.5</v>
      </c>
      <c r="S201" s="11">
        <v>585.70000000000005</v>
      </c>
      <c r="T201" s="14">
        <v>-0.73970000000000002</v>
      </c>
      <c r="U201" s="14">
        <v>0.5393</v>
      </c>
      <c r="V201" s="14">
        <v>-0.73970000000000002</v>
      </c>
      <c r="W201" s="14">
        <v>0.5393</v>
      </c>
      <c r="X201" s="14">
        <v>-0.73970000000000002</v>
      </c>
      <c r="Y201" s="11">
        <v>-54.2</v>
      </c>
      <c r="Z201" s="12">
        <v>-2.189682233475878E-3</v>
      </c>
      <c r="AA201" s="15">
        <v>-54.2</v>
      </c>
      <c r="AB201" s="15">
        <v>-0.21896822334758781</v>
      </c>
      <c r="AC201" s="11">
        <v>102.65694282761436</v>
      </c>
      <c r="AD201" s="11">
        <v>103.66432389387992</v>
      </c>
      <c r="AE201" s="11">
        <v>-1.007381066265566</v>
      </c>
      <c r="AF201" s="12">
        <v>-9.7177218586484131E-3</v>
      </c>
      <c r="AG201" s="11">
        <v>102.12</v>
      </c>
      <c r="AH201" s="11">
        <v>-1.49</v>
      </c>
      <c r="AI201" s="13" t="s">
        <v>68</v>
      </c>
    </row>
    <row r="202" spans="1:35" ht="18" customHeight="1" x14ac:dyDescent="0.25">
      <c r="A202" s="4">
        <v>201</v>
      </c>
      <c r="B202" s="4">
        <v>1</v>
      </c>
      <c r="C202" s="4">
        <v>201</v>
      </c>
      <c r="D202" s="108">
        <v>45812</v>
      </c>
      <c r="E202" s="108">
        <v>45814</v>
      </c>
      <c r="F202" s="108">
        <v>45820</v>
      </c>
      <c r="G202" s="5">
        <v>24620.2</v>
      </c>
      <c r="H202" s="5">
        <v>25003.05</v>
      </c>
      <c r="I202" s="5">
        <v>382.85</v>
      </c>
      <c r="J202" s="6">
        <v>1.555023923444976E-2</v>
      </c>
      <c r="K202" s="7" t="s">
        <v>28</v>
      </c>
      <c r="L202" s="4">
        <v>24900</v>
      </c>
      <c r="M202" s="28">
        <f t="shared" si="9"/>
        <v>1.1364651789993463E-2</v>
      </c>
      <c r="N202" s="111">
        <f t="shared" si="10"/>
        <v>279.79999999999927</v>
      </c>
      <c r="O202" s="111">
        <f t="shared" si="11"/>
        <v>80.400000000000716</v>
      </c>
      <c r="P202" s="7" t="s">
        <v>67</v>
      </c>
      <c r="Q202" s="4">
        <v>65</v>
      </c>
      <c r="R202" s="5">
        <v>360.2</v>
      </c>
      <c r="S202" s="5">
        <v>113.25</v>
      </c>
      <c r="T202" s="8">
        <v>1.4200000000000001E-2</v>
      </c>
      <c r="U202" s="8">
        <v>1.0284</v>
      </c>
      <c r="V202" s="8">
        <v>1.4200000000000001E-2</v>
      </c>
      <c r="W202" s="8">
        <v>1.0284</v>
      </c>
      <c r="X202" s="8">
        <v>1.4200000000000001E-2</v>
      </c>
      <c r="Y202" s="5">
        <v>246.95</v>
      </c>
      <c r="Z202" s="6">
        <v>1.0030381556607989E-2</v>
      </c>
      <c r="AA202" s="9">
        <v>246.95</v>
      </c>
      <c r="AB202" s="9">
        <v>1.0030381556607988</v>
      </c>
      <c r="AC202" s="5">
        <v>103.68663113361023</v>
      </c>
      <c r="AD202" s="5">
        <v>103.68663113361023</v>
      </c>
      <c r="AE202" s="4">
        <v>0</v>
      </c>
      <c r="AF202" s="6">
        <v>0</v>
      </c>
      <c r="AG202" s="5">
        <v>102.67</v>
      </c>
      <c r="AH202" s="5">
        <v>-0.96</v>
      </c>
      <c r="AI202" s="7" t="s">
        <v>71</v>
      </c>
    </row>
    <row r="203" spans="1:35" ht="18" customHeight="1" x14ac:dyDescent="0.25">
      <c r="A203" s="10">
        <v>202</v>
      </c>
      <c r="B203" s="10">
        <v>1</v>
      </c>
      <c r="C203" s="10">
        <v>202</v>
      </c>
      <c r="D203" s="109">
        <v>45814</v>
      </c>
      <c r="E203" s="109">
        <v>45819</v>
      </c>
      <c r="F203" s="109">
        <v>45820</v>
      </c>
      <c r="G203" s="11">
        <v>25003.05</v>
      </c>
      <c r="H203" s="11">
        <v>25141.4</v>
      </c>
      <c r="I203" s="11">
        <v>138.35</v>
      </c>
      <c r="J203" s="12">
        <v>5.5333249343580086E-3</v>
      </c>
      <c r="K203" s="13" t="s">
        <v>28</v>
      </c>
      <c r="L203" s="10">
        <v>24800</v>
      </c>
      <c r="M203" s="28">
        <f t="shared" si="9"/>
        <v>-8.1210092368730891E-3</v>
      </c>
      <c r="N203" s="111">
        <f t="shared" si="10"/>
        <v>0</v>
      </c>
      <c r="O203" s="111">
        <f t="shared" si="11"/>
        <v>82.2</v>
      </c>
      <c r="P203" s="13" t="s">
        <v>67</v>
      </c>
      <c r="Q203" s="10">
        <v>65</v>
      </c>
      <c r="R203" s="11">
        <v>82.2</v>
      </c>
      <c r="S203" s="11">
        <v>9.0500000000000007</v>
      </c>
      <c r="T203" s="14">
        <v>8.0799999999999997E-2</v>
      </c>
      <c r="U203" s="14">
        <v>0.30520000000000003</v>
      </c>
      <c r="V203" s="14">
        <v>8.0799999999999997E-2</v>
      </c>
      <c r="W203" s="14">
        <v>0.30520000000000003</v>
      </c>
      <c r="X203" s="14">
        <v>8.0799999999999997E-2</v>
      </c>
      <c r="Y203" s="11">
        <v>73.150000000000006</v>
      </c>
      <c r="Z203" s="12">
        <v>2.9256430715452718E-3</v>
      </c>
      <c r="AA203" s="9">
        <v>73.150000000000006</v>
      </c>
      <c r="AB203" s="9">
        <v>0.29256430715452719</v>
      </c>
      <c r="AC203" s="11">
        <v>103.98998120759815</v>
      </c>
      <c r="AD203" s="11">
        <v>103.98998120759815</v>
      </c>
      <c r="AE203" s="10">
        <v>0</v>
      </c>
      <c r="AF203" s="12">
        <v>0</v>
      </c>
      <c r="AG203" s="11">
        <v>103.77</v>
      </c>
      <c r="AH203" s="11">
        <v>0.08</v>
      </c>
      <c r="AI203" s="13" t="s">
        <v>68</v>
      </c>
    </row>
    <row r="204" spans="1:35" ht="18" customHeight="1" x14ac:dyDescent="0.25">
      <c r="A204" s="4">
        <v>203</v>
      </c>
      <c r="B204" s="4">
        <v>1</v>
      </c>
      <c r="C204" s="4">
        <v>203</v>
      </c>
      <c r="D204" s="108">
        <v>45819</v>
      </c>
      <c r="E204" s="108">
        <v>45826</v>
      </c>
      <c r="F204" s="108">
        <v>45827</v>
      </c>
      <c r="G204" s="5">
        <v>25141.4</v>
      </c>
      <c r="H204" s="5">
        <v>24812.05</v>
      </c>
      <c r="I204" s="5">
        <v>-329.35</v>
      </c>
      <c r="J204" s="6">
        <v>-1.3099906926424145E-2</v>
      </c>
      <c r="K204" s="7" t="s">
        <v>28</v>
      </c>
      <c r="L204" s="4">
        <v>24900</v>
      </c>
      <c r="M204" s="28">
        <f t="shared" si="9"/>
        <v>-9.601692825379704E-3</v>
      </c>
      <c r="N204" s="111">
        <f t="shared" si="10"/>
        <v>0</v>
      </c>
      <c r="O204" s="111">
        <f t="shared" si="11"/>
        <v>79.349999999999994</v>
      </c>
      <c r="P204" s="7" t="s">
        <v>67</v>
      </c>
      <c r="Q204" s="4">
        <v>65</v>
      </c>
      <c r="R204" s="5">
        <v>79.349999999999994</v>
      </c>
      <c r="S204" s="5">
        <v>142.69999999999999</v>
      </c>
      <c r="T204" s="8">
        <v>-1.4481999999999999</v>
      </c>
      <c r="U204" s="8">
        <v>6.6199999999999995E-2</v>
      </c>
      <c r="V204" s="8">
        <v>-1.4481999999999999</v>
      </c>
      <c r="W204" s="8">
        <v>6.6199999999999995E-2</v>
      </c>
      <c r="X204" s="8">
        <v>-1.4481999999999999</v>
      </c>
      <c r="Y204" s="5">
        <v>-63.35</v>
      </c>
      <c r="Z204" s="6">
        <v>-2.5197483035948672E-3</v>
      </c>
      <c r="AA204" s="15">
        <v>-63.35</v>
      </c>
      <c r="AB204" s="15">
        <v>-0.2519748303594867</v>
      </c>
      <c r="AC204" s="5">
        <v>103.72795262885944</v>
      </c>
      <c r="AD204" s="5">
        <v>103.98998120759815</v>
      </c>
      <c r="AE204" s="5">
        <v>-0.26202857873870755</v>
      </c>
      <c r="AF204" s="6">
        <v>-2.5197483035948672E-3</v>
      </c>
      <c r="AG204" s="5">
        <v>102.48</v>
      </c>
      <c r="AH204" s="5">
        <v>-1.45</v>
      </c>
      <c r="AI204" s="7" t="s">
        <v>68</v>
      </c>
    </row>
    <row r="205" spans="1:35" ht="18" customHeight="1" x14ac:dyDescent="0.25">
      <c r="A205" s="10">
        <v>204</v>
      </c>
      <c r="B205" s="10">
        <v>1</v>
      </c>
      <c r="C205" s="10">
        <v>204</v>
      </c>
      <c r="D205" s="109">
        <v>45826</v>
      </c>
      <c r="E205" s="109">
        <v>45828</v>
      </c>
      <c r="F205" s="109">
        <v>45834</v>
      </c>
      <c r="G205" s="11">
        <v>24812.05</v>
      </c>
      <c r="H205" s="11">
        <v>25112.400000000001</v>
      </c>
      <c r="I205" s="11">
        <v>300.35000000000002</v>
      </c>
      <c r="J205" s="12">
        <v>1.2105005430828973E-2</v>
      </c>
      <c r="K205" s="13" t="s">
        <v>28</v>
      </c>
      <c r="L205" s="10">
        <v>25100</v>
      </c>
      <c r="M205" s="28">
        <f t="shared" si="9"/>
        <v>1.1605248256391532E-2</v>
      </c>
      <c r="N205" s="111">
        <f t="shared" si="10"/>
        <v>287.95000000000073</v>
      </c>
      <c r="O205" s="111">
        <f t="shared" si="11"/>
        <v>77.499999999999261</v>
      </c>
      <c r="P205" s="13" t="s">
        <v>67</v>
      </c>
      <c r="Q205" s="10">
        <v>65</v>
      </c>
      <c r="R205" s="11">
        <v>365.45</v>
      </c>
      <c r="S205" s="11">
        <v>150.75</v>
      </c>
      <c r="T205" s="14">
        <v>-0.18459999999999999</v>
      </c>
      <c r="U205" s="14">
        <v>0.90200000000000002</v>
      </c>
      <c r="V205" s="14">
        <v>-0.18459999999999999</v>
      </c>
      <c r="W205" s="14">
        <v>0.90200000000000002</v>
      </c>
      <c r="X205" s="14">
        <v>-0.18459999999999999</v>
      </c>
      <c r="Y205" s="11">
        <v>214.7</v>
      </c>
      <c r="Z205" s="12">
        <v>8.6530536573963049E-3</v>
      </c>
      <c r="AA205" s="9">
        <v>214.7</v>
      </c>
      <c r="AB205" s="9">
        <v>0.86530536573963046</v>
      </c>
      <c r="AC205" s="11">
        <v>104.62551616872882</v>
      </c>
      <c r="AD205" s="11">
        <v>104.62551616872882</v>
      </c>
      <c r="AE205" s="10">
        <v>0</v>
      </c>
      <c r="AF205" s="12">
        <v>0</v>
      </c>
      <c r="AG205" s="11">
        <v>103.54</v>
      </c>
      <c r="AH205" s="11">
        <v>-0.43</v>
      </c>
      <c r="AI205" s="13" t="s">
        <v>71</v>
      </c>
    </row>
    <row r="206" spans="1:35" ht="18" customHeight="1" x14ac:dyDescent="0.25">
      <c r="A206" s="4">
        <v>205</v>
      </c>
      <c r="B206" s="4">
        <v>1</v>
      </c>
      <c r="C206" s="4">
        <v>205</v>
      </c>
      <c r="D206" s="108">
        <v>45828</v>
      </c>
      <c r="E206" s="108">
        <v>45833</v>
      </c>
      <c r="F206" s="108">
        <v>45834</v>
      </c>
      <c r="G206" s="5">
        <v>25112.400000000001</v>
      </c>
      <c r="H206" s="5">
        <v>25244.75</v>
      </c>
      <c r="I206" s="5">
        <v>132.35</v>
      </c>
      <c r="J206" s="6">
        <v>5.2703047100237325E-3</v>
      </c>
      <c r="K206" s="7" t="s">
        <v>28</v>
      </c>
      <c r="L206" s="4">
        <v>25300</v>
      </c>
      <c r="M206" s="28">
        <f t="shared" si="9"/>
        <v>7.4704130230482946E-3</v>
      </c>
      <c r="N206" s="111">
        <f t="shared" si="10"/>
        <v>187.59999999999854</v>
      </c>
      <c r="O206" s="111">
        <f t="shared" si="11"/>
        <v>71.200000000001467</v>
      </c>
      <c r="P206" s="7" t="s">
        <v>67</v>
      </c>
      <c r="Q206" s="4">
        <v>65</v>
      </c>
      <c r="R206" s="5">
        <v>258.8</v>
      </c>
      <c r="S206" s="5">
        <v>95.75</v>
      </c>
      <c r="T206" s="8">
        <v>-0.93679999999999997</v>
      </c>
      <c r="U206" s="8">
        <v>0.70520000000000005</v>
      </c>
      <c r="V206" s="8">
        <v>-0.93679999999999997</v>
      </c>
      <c r="W206" s="8">
        <v>0.70520000000000005</v>
      </c>
      <c r="X206" s="8">
        <v>-0.93679999999999997</v>
      </c>
      <c r="Y206" s="5">
        <v>163.05000000000001</v>
      </c>
      <c r="Z206" s="6">
        <v>6.4928083337315434E-3</v>
      </c>
      <c r="AA206" s="9">
        <v>163.05000000000001</v>
      </c>
      <c r="AB206" s="9">
        <v>0.64928083337315434</v>
      </c>
      <c r="AC206" s="5">
        <v>105.3048295920301</v>
      </c>
      <c r="AD206" s="5">
        <v>105.3048295920301</v>
      </c>
      <c r="AE206" s="4">
        <v>0</v>
      </c>
      <c r="AF206" s="6">
        <v>0</v>
      </c>
      <c r="AG206" s="5">
        <v>103.65</v>
      </c>
      <c r="AH206" s="5">
        <v>-0.93</v>
      </c>
      <c r="AI206" s="7" t="s">
        <v>68</v>
      </c>
    </row>
    <row r="207" spans="1:35" ht="18" customHeight="1" x14ac:dyDescent="0.25">
      <c r="A207" s="10">
        <v>206</v>
      </c>
      <c r="B207" s="10">
        <v>1</v>
      </c>
      <c r="C207" s="10">
        <v>206</v>
      </c>
      <c r="D207" s="109">
        <v>45833</v>
      </c>
      <c r="E207" s="109">
        <v>45834</v>
      </c>
      <c r="F207" s="109">
        <v>45841</v>
      </c>
      <c r="G207" s="11">
        <v>25244.75</v>
      </c>
      <c r="H207" s="10">
        <v>25549</v>
      </c>
      <c r="I207" s="11">
        <v>304.25</v>
      </c>
      <c r="J207" s="12">
        <v>1.205201081412967E-2</v>
      </c>
      <c r="K207" s="13" t="s">
        <v>28</v>
      </c>
      <c r="L207" s="10">
        <v>25500</v>
      </c>
      <c r="M207" s="28">
        <f t="shared" si="9"/>
        <v>1.0111013180958528E-2</v>
      </c>
      <c r="N207" s="111">
        <f t="shared" si="10"/>
        <v>255.25</v>
      </c>
      <c r="O207" s="111">
        <f t="shared" si="11"/>
        <v>76.449999999999989</v>
      </c>
      <c r="P207" s="13" t="s">
        <v>67</v>
      </c>
      <c r="Q207" s="10">
        <v>65</v>
      </c>
      <c r="R207" s="11">
        <v>331.7</v>
      </c>
      <c r="S207" s="11">
        <v>157.94999999999999</v>
      </c>
      <c r="T207" s="14">
        <v>4.6300000000000001E-2</v>
      </c>
      <c r="U207" s="14">
        <v>0.70809999999999995</v>
      </c>
      <c r="V207" s="14">
        <v>4.6300000000000001E-2</v>
      </c>
      <c r="W207" s="14">
        <v>0.70809999999999995</v>
      </c>
      <c r="X207" s="14">
        <v>4.6300000000000001E-2</v>
      </c>
      <c r="Y207" s="11">
        <v>173.75</v>
      </c>
      <c r="Z207" s="12">
        <v>6.8826191584388831E-3</v>
      </c>
      <c r="AA207" s="9">
        <v>173.75</v>
      </c>
      <c r="AB207" s="9">
        <v>0.68826191584388829</v>
      </c>
      <c r="AC207" s="11">
        <v>106.02960262965634</v>
      </c>
      <c r="AD207" s="11">
        <v>106.02960262965634</v>
      </c>
      <c r="AE207" s="10">
        <v>0</v>
      </c>
      <c r="AF207" s="12">
        <v>0</v>
      </c>
      <c r="AG207" s="11">
        <v>105.35</v>
      </c>
      <c r="AH207" s="11">
        <v>0.04</v>
      </c>
      <c r="AI207" s="13" t="s">
        <v>71</v>
      </c>
    </row>
    <row r="208" spans="1:35" ht="18" customHeight="1" x14ac:dyDescent="0.25">
      <c r="A208" s="4">
        <v>207</v>
      </c>
      <c r="B208" s="4">
        <v>1</v>
      </c>
      <c r="C208" s="4">
        <v>207</v>
      </c>
      <c r="D208" s="108">
        <v>45834</v>
      </c>
      <c r="E208" s="108">
        <v>45840</v>
      </c>
      <c r="F208" s="108">
        <v>45841</v>
      </c>
      <c r="G208" s="4">
        <v>25549</v>
      </c>
      <c r="H208" s="5">
        <v>25453.4</v>
      </c>
      <c r="I208" s="5">
        <v>-95.6</v>
      </c>
      <c r="J208" s="6">
        <v>-3.7418294258092289E-3</v>
      </c>
      <c r="K208" s="7" t="s">
        <v>28</v>
      </c>
      <c r="L208" s="4">
        <v>25800</v>
      </c>
      <c r="M208" s="28">
        <f t="shared" si="9"/>
        <v>9.8242592665074291E-3</v>
      </c>
      <c r="N208" s="111">
        <f t="shared" si="10"/>
        <v>251</v>
      </c>
      <c r="O208" s="111">
        <f t="shared" si="11"/>
        <v>82.100000000000023</v>
      </c>
      <c r="P208" s="7" t="s">
        <v>67</v>
      </c>
      <c r="Q208" s="4">
        <v>65</v>
      </c>
      <c r="R208" s="5">
        <v>333.1</v>
      </c>
      <c r="S208" s="5">
        <v>350.8</v>
      </c>
      <c r="T208" s="8">
        <v>-0.31940000000000002</v>
      </c>
      <c r="U208" s="8">
        <v>0.57340000000000002</v>
      </c>
      <c r="V208" s="8">
        <v>-0.31940000000000002</v>
      </c>
      <c r="W208" s="8">
        <v>0.57340000000000002</v>
      </c>
      <c r="X208" s="8">
        <v>-0.31940000000000002</v>
      </c>
      <c r="Y208" s="5">
        <v>-17.7</v>
      </c>
      <c r="Z208" s="6">
        <v>-6.9278641042702259E-4</v>
      </c>
      <c r="AA208" s="15">
        <v>-17.7</v>
      </c>
      <c r="AB208" s="15">
        <v>-6.927864104270226E-2</v>
      </c>
      <c r="AC208" s="5">
        <v>105.95614676185153</v>
      </c>
      <c r="AD208" s="5">
        <v>106.02960262965634</v>
      </c>
      <c r="AE208" s="5">
        <v>-7.3455867804810282E-2</v>
      </c>
      <c r="AF208" s="6">
        <v>-6.9278641042708926E-4</v>
      </c>
      <c r="AG208" s="5">
        <v>105.69</v>
      </c>
      <c r="AH208" s="5">
        <v>-0.32</v>
      </c>
      <c r="AI208" s="7" t="s">
        <v>68</v>
      </c>
    </row>
    <row r="209" spans="1:35" ht="18" customHeight="1" x14ac:dyDescent="0.25">
      <c r="A209" s="10">
        <v>208</v>
      </c>
      <c r="B209" s="10">
        <v>1</v>
      </c>
      <c r="C209" s="10">
        <v>208</v>
      </c>
      <c r="D209" s="109">
        <v>45840</v>
      </c>
      <c r="E209" s="109">
        <v>45847</v>
      </c>
      <c r="F209" s="109">
        <v>45848</v>
      </c>
      <c r="G209" s="11">
        <v>25453.4</v>
      </c>
      <c r="H209" s="11">
        <v>25476.1</v>
      </c>
      <c r="I209" s="11">
        <v>22.7</v>
      </c>
      <c r="J209" s="12">
        <v>8.9182584644880445E-4</v>
      </c>
      <c r="K209" s="13" t="s">
        <v>28</v>
      </c>
      <c r="L209" s="10">
        <v>25600</v>
      </c>
      <c r="M209" s="28">
        <f t="shared" si="9"/>
        <v>5.7595448938059235E-3</v>
      </c>
      <c r="N209" s="111">
        <f t="shared" si="10"/>
        <v>146.59999999999854</v>
      </c>
      <c r="O209" s="111">
        <f t="shared" si="11"/>
        <v>92.300000000001461</v>
      </c>
      <c r="P209" s="13" t="s">
        <v>67</v>
      </c>
      <c r="Q209" s="10">
        <v>65</v>
      </c>
      <c r="R209" s="11">
        <v>238.9</v>
      </c>
      <c r="S209" s="11">
        <v>132.1</v>
      </c>
      <c r="T209" s="14">
        <v>-0.29370000000000002</v>
      </c>
      <c r="U209" s="14">
        <v>0.61109999999999998</v>
      </c>
      <c r="V209" s="14">
        <v>-0.29370000000000002</v>
      </c>
      <c r="W209" s="14">
        <v>0.61109999999999998</v>
      </c>
      <c r="X209" s="14">
        <v>-0.29370000000000002</v>
      </c>
      <c r="Y209" s="11">
        <v>106.8</v>
      </c>
      <c r="Z209" s="12">
        <v>4.1959031013538463E-3</v>
      </c>
      <c r="AA209" s="9">
        <v>106.8</v>
      </c>
      <c r="AB209" s="9">
        <v>0.41959031013538461</v>
      </c>
      <c r="AC209" s="11">
        <v>106.40072848665709</v>
      </c>
      <c r="AD209" s="11">
        <v>106.40072848665709</v>
      </c>
      <c r="AE209" s="10">
        <v>0</v>
      </c>
      <c r="AF209" s="12">
        <v>0</v>
      </c>
      <c r="AG209" s="11">
        <v>105.64</v>
      </c>
      <c r="AH209" s="11">
        <v>-0.37</v>
      </c>
      <c r="AI209" s="13" t="s">
        <v>68</v>
      </c>
    </row>
    <row r="210" spans="1:35" ht="18" customHeight="1" x14ac:dyDescent="0.25">
      <c r="A210" s="4">
        <v>209</v>
      </c>
      <c r="B210" s="4">
        <v>1</v>
      </c>
      <c r="C210" s="4">
        <v>209</v>
      </c>
      <c r="D210" s="108">
        <v>45847</v>
      </c>
      <c r="E210" s="108">
        <v>45854</v>
      </c>
      <c r="F210" s="108">
        <v>45855</v>
      </c>
      <c r="G210" s="5">
        <v>25476.1</v>
      </c>
      <c r="H210" s="5">
        <v>25212.05</v>
      </c>
      <c r="I210" s="5">
        <v>-264.05</v>
      </c>
      <c r="J210" s="6">
        <v>-1.0364616248169855E-2</v>
      </c>
      <c r="K210" s="7" t="s">
        <v>28</v>
      </c>
      <c r="L210" s="4">
        <v>25600</v>
      </c>
      <c r="M210" s="28">
        <f t="shared" si="9"/>
        <v>4.8633817578045413E-3</v>
      </c>
      <c r="N210" s="111">
        <f t="shared" si="10"/>
        <v>123.90000000000146</v>
      </c>
      <c r="O210" s="111">
        <f t="shared" si="11"/>
        <v>76.299999999998533</v>
      </c>
      <c r="P210" s="7" t="s">
        <v>67</v>
      </c>
      <c r="Q210" s="4">
        <v>65</v>
      </c>
      <c r="R210" s="5">
        <v>200.2</v>
      </c>
      <c r="S210" s="5">
        <v>381.65</v>
      </c>
      <c r="T210" s="8">
        <v>-1.4690000000000001</v>
      </c>
      <c r="U210" s="8">
        <v>8.48E-2</v>
      </c>
      <c r="V210" s="8">
        <v>-1.4690000000000001</v>
      </c>
      <c r="W210" s="8">
        <v>8.48E-2</v>
      </c>
      <c r="X210" s="8">
        <v>-1.4690000000000001</v>
      </c>
      <c r="Y210" s="5">
        <v>-181.45</v>
      </c>
      <c r="Z210" s="6">
        <v>-7.1223617429669378E-3</v>
      </c>
      <c r="AA210" s="15">
        <v>-181.45</v>
      </c>
      <c r="AB210" s="15">
        <v>-0.71223617429669372</v>
      </c>
      <c r="AC210" s="5">
        <v>105.6429040086599</v>
      </c>
      <c r="AD210" s="5">
        <v>106.40072848665709</v>
      </c>
      <c r="AE210" s="5">
        <v>-0.75782447799718966</v>
      </c>
      <c r="AF210" s="6">
        <v>-7.1223617429670392E-3</v>
      </c>
      <c r="AG210" s="5">
        <v>104.84</v>
      </c>
      <c r="AH210" s="5">
        <v>-1.47</v>
      </c>
      <c r="AI210" s="7" t="s">
        <v>68</v>
      </c>
    </row>
    <row r="211" spans="1:35" ht="18" customHeight="1" x14ac:dyDescent="0.25">
      <c r="A211" s="10">
        <v>210</v>
      </c>
      <c r="B211" s="10">
        <v>1</v>
      </c>
      <c r="C211" s="10">
        <v>210</v>
      </c>
      <c r="D211" s="109">
        <v>45854</v>
      </c>
      <c r="E211" s="109">
        <v>45861</v>
      </c>
      <c r="F211" s="109">
        <v>45862</v>
      </c>
      <c r="G211" s="11">
        <v>25212.05</v>
      </c>
      <c r="H211" s="11">
        <v>25219.9</v>
      </c>
      <c r="I211" s="11">
        <v>7.85</v>
      </c>
      <c r="J211" s="12">
        <v>3.1135905251655457E-4</v>
      </c>
      <c r="K211" s="13" t="s">
        <v>28</v>
      </c>
      <c r="L211" s="10">
        <v>25100</v>
      </c>
      <c r="M211" s="28">
        <f t="shared" si="9"/>
        <v>-4.4443034184050711E-3</v>
      </c>
      <c r="N211" s="111">
        <f t="shared" si="10"/>
        <v>0</v>
      </c>
      <c r="O211" s="111">
        <f t="shared" si="11"/>
        <v>85.35</v>
      </c>
      <c r="P211" s="13" t="s">
        <v>67</v>
      </c>
      <c r="Q211" s="10">
        <v>65</v>
      </c>
      <c r="R211" s="11">
        <v>85.35</v>
      </c>
      <c r="S211" s="11">
        <v>14.05</v>
      </c>
      <c r="T211" s="14">
        <v>-0.62129999999999996</v>
      </c>
      <c r="U211" s="14">
        <v>0.28839999999999999</v>
      </c>
      <c r="V211" s="14">
        <v>-0.62129999999999996</v>
      </c>
      <c r="W211" s="14">
        <v>0.28839999999999999</v>
      </c>
      <c r="X211" s="14">
        <v>-0.62129999999999996</v>
      </c>
      <c r="Y211" s="11">
        <v>71.3</v>
      </c>
      <c r="Z211" s="12">
        <v>2.8280127954688331E-3</v>
      </c>
      <c r="AA211" s="9">
        <v>71.3</v>
      </c>
      <c r="AB211" s="9">
        <v>0.28280127954688333</v>
      </c>
      <c r="AC211" s="11">
        <v>105.94166349294686</v>
      </c>
      <c r="AD211" s="11">
        <v>106.40072848665709</v>
      </c>
      <c r="AE211" s="11">
        <v>-0.45906499371022846</v>
      </c>
      <c r="AF211" s="12">
        <v>-4.3144910776414126E-3</v>
      </c>
      <c r="AG211" s="11">
        <v>104.99</v>
      </c>
      <c r="AH211" s="11">
        <v>-1.33</v>
      </c>
      <c r="AI211" s="13" t="s">
        <v>68</v>
      </c>
    </row>
    <row r="212" spans="1:35" ht="18" customHeight="1" x14ac:dyDescent="0.25">
      <c r="A212" s="4">
        <v>211</v>
      </c>
      <c r="B212" s="4">
        <v>1</v>
      </c>
      <c r="C212" s="4">
        <v>211</v>
      </c>
      <c r="D212" s="108">
        <v>45861</v>
      </c>
      <c r="E212" s="108">
        <v>45868</v>
      </c>
      <c r="F212" s="108">
        <v>45869</v>
      </c>
      <c r="G212" s="5">
        <v>25219.9</v>
      </c>
      <c r="H212" s="5">
        <v>24855.05</v>
      </c>
      <c r="I212" s="5">
        <v>-364.85</v>
      </c>
      <c r="J212" s="6">
        <v>-1.4466750462928085E-2</v>
      </c>
      <c r="K212" s="7" t="s">
        <v>28</v>
      </c>
      <c r="L212" s="4">
        <v>25300</v>
      </c>
      <c r="M212" s="28">
        <f t="shared" si="9"/>
        <v>3.1760633468014277E-3</v>
      </c>
      <c r="N212" s="111">
        <f t="shared" si="10"/>
        <v>80.099999999998545</v>
      </c>
      <c r="O212" s="111">
        <f t="shared" si="11"/>
        <v>73.350000000001444</v>
      </c>
      <c r="P212" s="7" t="s">
        <v>67</v>
      </c>
      <c r="Q212" s="4">
        <v>65</v>
      </c>
      <c r="R212" s="5">
        <v>153.44999999999999</v>
      </c>
      <c r="S212" s="4">
        <v>434</v>
      </c>
      <c r="T212" s="8">
        <v>-2.0400999999999998</v>
      </c>
      <c r="U212" s="8">
        <v>7.7299999999999994E-2</v>
      </c>
      <c r="V212" s="8">
        <v>-2.0400999999999998</v>
      </c>
      <c r="W212" s="8">
        <v>7.7299999999999994E-2</v>
      </c>
      <c r="X212" s="8">
        <v>-2.0400999999999998</v>
      </c>
      <c r="Y212" s="5">
        <v>-280.55</v>
      </c>
      <c r="Z212" s="6">
        <v>-1.1124151959365421E-2</v>
      </c>
      <c r="AA212" s="15">
        <v>-280.55</v>
      </c>
      <c r="AB212" s="15">
        <v>-1.112415195936542</v>
      </c>
      <c r="AC212" s="5">
        <v>104.76315232942336</v>
      </c>
      <c r="AD212" s="5">
        <v>106.40072848665709</v>
      </c>
      <c r="AE212" s="5">
        <v>-1.637576157233724</v>
      </c>
      <c r="AF212" s="6">
        <v>-1.5390647982631811E-2</v>
      </c>
      <c r="AG212" s="5">
        <v>103.78</v>
      </c>
      <c r="AH212" s="5">
        <v>-2.46</v>
      </c>
      <c r="AI212" s="7" t="s">
        <v>68</v>
      </c>
    </row>
    <row r="213" spans="1:35" ht="18" customHeight="1" x14ac:dyDescent="0.25">
      <c r="A213" s="10">
        <v>212</v>
      </c>
      <c r="B213" s="10">
        <v>1</v>
      </c>
      <c r="C213" s="10">
        <v>212</v>
      </c>
      <c r="D213" s="109">
        <v>45868</v>
      </c>
      <c r="E213" s="109">
        <v>45875</v>
      </c>
      <c r="F213" s="109">
        <v>45876</v>
      </c>
      <c r="G213" s="11">
        <v>24855.05</v>
      </c>
      <c r="H213" s="11">
        <v>24574.2</v>
      </c>
      <c r="I213" s="11">
        <v>-280.85000000000002</v>
      </c>
      <c r="J213" s="12">
        <v>-1.1299514585567119E-2</v>
      </c>
      <c r="K213" s="13" t="s">
        <v>28</v>
      </c>
      <c r="L213" s="10">
        <v>25000</v>
      </c>
      <c r="M213" s="28">
        <f t="shared" si="9"/>
        <v>5.8318128509096123E-3</v>
      </c>
      <c r="N213" s="111">
        <f t="shared" si="10"/>
        <v>144.95000000000073</v>
      </c>
      <c r="O213" s="111">
        <f t="shared" si="11"/>
        <v>62.749999999999261</v>
      </c>
      <c r="P213" s="13" t="s">
        <v>67</v>
      </c>
      <c r="Q213" s="10">
        <v>65</v>
      </c>
      <c r="R213" s="11">
        <v>207.7</v>
      </c>
      <c r="S213" s="11">
        <v>422.5</v>
      </c>
      <c r="T213" s="14">
        <v>-1.0905</v>
      </c>
      <c r="U213" s="14">
        <v>0.19450000000000001</v>
      </c>
      <c r="V213" s="14">
        <v>-1.0905</v>
      </c>
      <c r="W213" s="14">
        <v>0.19450000000000001</v>
      </c>
      <c r="X213" s="14">
        <v>-1.0905</v>
      </c>
      <c r="Y213" s="11">
        <v>-214.8</v>
      </c>
      <c r="Z213" s="12">
        <v>-8.6421069360150156E-3</v>
      </c>
      <c r="AA213" s="15">
        <v>-214.8</v>
      </c>
      <c r="AB213" s="15">
        <v>-0.8642106936015016</v>
      </c>
      <c r="AC213" s="11">
        <v>103.85777796403846</v>
      </c>
      <c r="AD213" s="11">
        <v>106.40072848665709</v>
      </c>
      <c r="AE213" s="11">
        <v>-2.5429505226186251</v>
      </c>
      <c r="AF213" s="12">
        <v>-2.3899747292966299E-2</v>
      </c>
      <c r="AG213" s="11">
        <v>103.62</v>
      </c>
      <c r="AH213" s="11">
        <v>-2.61</v>
      </c>
      <c r="AI213" s="13" t="s">
        <v>68</v>
      </c>
    </row>
    <row r="214" spans="1:35" ht="18" customHeight="1" x14ac:dyDescent="0.25">
      <c r="A214" s="4">
        <v>213</v>
      </c>
      <c r="B214" s="4">
        <v>1</v>
      </c>
      <c r="C214" s="4">
        <v>213</v>
      </c>
      <c r="D214" s="108">
        <v>45875</v>
      </c>
      <c r="E214" s="108">
        <v>45882</v>
      </c>
      <c r="F214" s="108">
        <v>45883</v>
      </c>
      <c r="G214" s="5">
        <v>24574.2</v>
      </c>
      <c r="H214" s="5">
        <v>24619.35</v>
      </c>
      <c r="I214" s="5">
        <v>45.15</v>
      </c>
      <c r="J214" s="6">
        <v>1.8372927704665867E-3</v>
      </c>
      <c r="K214" s="7" t="s">
        <v>28</v>
      </c>
      <c r="L214" s="4">
        <v>24700</v>
      </c>
      <c r="M214" s="28">
        <f t="shared" si="9"/>
        <v>5.1191900448437355E-3</v>
      </c>
      <c r="N214" s="111">
        <f t="shared" si="10"/>
        <v>125.79999999999927</v>
      </c>
      <c r="O214" s="111">
        <f t="shared" si="11"/>
        <v>86.700000000000728</v>
      </c>
      <c r="P214" s="7" t="s">
        <v>67</v>
      </c>
      <c r="Q214" s="4">
        <v>65</v>
      </c>
      <c r="R214" s="5">
        <v>212.5</v>
      </c>
      <c r="S214" s="5">
        <v>91.1</v>
      </c>
      <c r="T214" s="8">
        <v>-0.63949999999999996</v>
      </c>
      <c r="U214" s="8">
        <v>0.57050000000000001</v>
      </c>
      <c r="V214" s="8">
        <v>-0.63949999999999996</v>
      </c>
      <c r="W214" s="8">
        <v>0.57050000000000001</v>
      </c>
      <c r="X214" s="8">
        <v>-0.63949999999999996</v>
      </c>
      <c r="Y214" s="5">
        <v>121.4</v>
      </c>
      <c r="Z214" s="6">
        <v>4.9401404725280982E-3</v>
      </c>
      <c r="AA214" s="9">
        <v>121.4</v>
      </c>
      <c r="AB214" s="9">
        <v>0.49401404725280984</v>
      </c>
      <c r="AC214" s="5">
        <v>104.37084997634544</v>
      </c>
      <c r="AD214" s="5">
        <v>106.40072848665709</v>
      </c>
      <c r="AE214" s="5">
        <v>-2.0298785103116472</v>
      </c>
      <c r="AF214" s="6">
        <v>-1.907767492932343E-2</v>
      </c>
      <c r="AG214" s="5">
        <v>103.19</v>
      </c>
      <c r="AH214" s="5">
        <v>-3.02</v>
      </c>
      <c r="AI214" s="7" t="s">
        <v>68</v>
      </c>
    </row>
    <row r="215" spans="1:35" ht="18" customHeight="1" x14ac:dyDescent="0.25">
      <c r="A215" s="10">
        <v>214</v>
      </c>
      <c r="B215" s="10">
        <v>1</v>
      </c>
      <c r="C215" s="10">
        <v>214</v>
      </c>
      <c r="D215" s="109">
        <v>45882</v>
      </c>
      <c r="E215" s="109">
        <v>45887</v>
      </c>
      <c r="F215" s="109">
        <v>45890</v>
      </c>
      <c r="G215" s="11">
        <v>24619.35</v>
      </c>
      <c r="H215" s="11">
        <v>24876.95</v>
      </c>
      <c r="I215" s="11">
        <v>257.60000000000002</v>
      </c>
      <c r="J215" s="12">
        <v>1.0463314425441779E-2</v>
      </c>
      <c r="K215" s="13" t="s">
        <v>28</v>
      </c>
      <c r="L215" s="10">
        <v>24500</v>
      </c>
      <c r="M215" s="28">
        <f t="shared" si="9"/>
        <v>-4.8478127976571139E-3</v>
      </c>
      <c r="N215" s="111">
        <f t="shared" si="10"/>
        <v>0</v>
      </c>
      <c r="O215" s="111">
        <f t="shared" si="11"/>
        <v>76.849999999999994</v>
      </c>
      <c r="P215" s="13" t="s">
        <v>67</v>
      </c>
      <c r="Q215" s="10">
        <v>65</v>
      </c>
      <c r="R215" s="11">
        <v>76.849999999999994</v>
      </c>
      <c r="S215" s="11">
        <v>12.5</v>
      </c>
      <c r="T215" s="14">
        <v>-5.3199999999999997E-2</v>
      </c>
      <c r="U215" s="14">
        <v>0.26669999999999999</v>
      </c>
      <c r="V215" s="14">
        <v>-5.3199999999999997E-2</v>
      </c>
      <c r="W215" s="14">
        <v>0.26669999999999999</v>
      </c>
      <c r="X215" s="14">
        <v>-5.3199999999999997E-2</v>
      </c>
      <c r="Y215" s="11">
        <v>64.349999999999994</v>
      </c>
      <c r="Z215" s="12">
        <v>2.613797683529419E-3</v>
      </c>
      <c r="AA215" s="9">
        <v>64.349999999999994</v>
      </c>
      <c r="AB215" s="9">
        <v>0.26137976835294191</v>
      </c>
      <c r="AC215" s="11">
        <v>104.64365426224161</v>
      </c>
      <c r="AD215" s="11">
        <v>106.40072848665709</v>
      </c>
      <c r="AE215" s="11">
        <v>-1.7570742244154758</v>
      </c>
      <c r="AF215" s="12">
        <v>-1.6513742428331375E-2</v>
      </c>
      <c r="AG215" s="11">
        <v>104.32</v>
      </c>
      <c r="AH215" s="11">
        <v>-1.96</v>
      </c>
      <c r="AI215" s="13" t="s">
        <v>71</v>
      </c>
    </row>
    <row r="216" spans="1:35" ht="18" customHeight="1" x14ac:dyDescent="0.25">
      <c r="A216" s="4">
        <v>215</v>
      </c>
      <c r="B216" s="4">
        <v>1</v>
      </c>
      <c r="C216" s="4">
        <v>215</v>
      </c>
      <c r="D216" s="108">
        <v>45887</v>
      </c>
      <c r="E216" s="108">
        <v>45889</v>
      </c>
      <c r="F216" s="108">
        <v>45890</v>
      </c>
      <c r="G216" s="5">
        <v>24876.95</v>
      </c>
      <c r="H216" s="5">
        <v>25050.55</v>
      </c>
      <c r="I216" s="5">
        <v>173.6</v>
      </c>
      <c r="J216" s="6">
        <v>6.9783474260309234E-3</v>
      </c>
      <c r="K216" s="7" t="s">
        <v>28</v>
      </c>
      <c r="L216" s="4">
        <v>24900</v>
      </c>
      <c r="M216" s="28">
        <f t="shared" si="9"/>
        <v>9.26560530933207E-4</v>
      </c>
      <c r="N216" s="111">
        <f t="shared" si="10"/>
        <v>23.049999999999272</v>
      </c>
      <c r="O216" s="111">
        <f t="shared" si="11"/>
        <v>69.40000000000073</v>
      </c>
      <c r="P216" s="7" t="s">
        <v>67</v>
      </c>
      <c r="Q216" s="4">
        <v>65</v>
      </c>
      <c r="R216" s="5">
        <v>92.45</v>
      </c>
      <c r="S216" s="5">
        <v>16.3</v>
      </c>
      <c r="T216" s="8">
        <v>-2.63E-2</v>
      </c>
      <c r="U216" s="8">
        <v>0.31879999999999997</v>
      </c>
      <c r="V216" s="8">
        <v>-2.63E-2</v>
      </c>
      <c r="W216" s="8">
        <v>0.31879999999999997</v>
      </c>
      <c r="X216" s="8">
        <v>-2.63E-2</v>
      </c>
      <c r="Y216" s="5">
        <v>76.150000000000006</v>
      </c>
      <c r="Z216" s="6">
        <v>3.0610665696558462E-3</v>
      </c>
      <c r="AA216" s="9">
        <v>76.150000000000006</v>
      </c>
      <c r="AB216" s="9">
        <v>0.30610665696558464</v>
      </c>
      <c r="AC216" s="5">
        <v>104.96397545403038</v>
      </c>
      <c r="AD216" s="5">
        <v>106.40072848665709</v>
      </c>
      <c r="AE216" s="5">
        <v>-1.4367530326267115</v>
      </c>
      <c r="AF216" s="6">
        <v>-1.3503225523562876E-2</v>
      </c>
      <c r="AG216" s="5">
        <v>104.62</v>
      </c>
      <c r="AH216" s="5">
        <v>-1.67</v>
      </c>
      <c r="AI216" s="7" t="s">
        <v>68</v>
      </c>
    </row>
    <row r="217" spans="1:35" ht="18" customHeight="1" x14ac:dyDescent="0.25">
      <c r="A217" s="10">
        <v>216</v>
      </c>
      <c r="B217" s="10">
        <v>1</v>
      </c>
      <c r="C217" s="10">
        <v>216</v>
      </c>
      <c r="D217" s="109">
        <v>45889</v>
      </c>
      <c r="E217" s="109">
        <v>45895</v>
      </c>
      <c r="F217" s="109">
        <v>45897</v>
      </c>
      <c r="G217" s="11">
        <v>25050.55</v>
      </c>
      <c r="H217" s="11">
        <v>24712.05</v>
      </c>
      <c r="I217" s="11">
        <v>-338.5</v>
      </c>
      <c r="J217" s="12">
        <v>-1.351267736636521E-2</v>
      </c>
      <c r="K217" s="13" t="s">
        <v>28</v>
      </c>
      <c r="L217" s="10">
        <v>25100</v>
      </c>
      <c r="M217" s="28">
        <f t="shared" si="9"/>
        <v>1.9740085547024222E-3</v>
      </c>
      <c r="N217" s="111">
        <f t="shared" si="10"/>
        <v>49.450000000000728</v>
      </c>
      <c r="O217" s="111">
        <f t="shared" si="11"/>
        <v>95.949999999999278</v>
      </c>
      <c r="P217" s="13" t="s">
        <v>67</v>
      </c>
      <c r="Q217" s="10">
        <v>65</v>
      </c>
      <c r="R217" s="11">
        <v>145.4</v>
      </c>
      <c r="S217" s="10">
        <v>374</v>
      </c>
      <c r="T217" s="14">
        <v>-0.99860000000000004</v>
      </c>
      <c r="U217" s="14">
        <v>0.23050000000000001</v>
      </c>
      <c r="V217" s="14">
        <v>-0.99860000000000004</v>
      </c>
      <c r="W217" s="14">
        <v>0.23050000000000001</v>
      </c>
      <c r="X217" s="14">
        <v>-0.99860000000000004</v>
      </c>
      <c r="Y217" s="11">
        <v>-228.6</v>
      </c>
      <c r="Z217" s="12">
        <v>-9.1255481416575683E-3</v>
      </c>
      <c r="AA217" s="15">
        <v>-228.6</v>
      </c>
      <c r="AB217" s="15">
        <v>-0.91255481416575679</v>
      </c>
      <c r="AC217" s="11">
        <v>104.00612164288486</v>
      </c>
      <c r="AD217" s="11">
        <v>106.40072848665709</v>
      </c>
      <c r="AE217" s="11">
        <v>-2.3946068437722232</v>
      </c>
      <c r="AF217" s="12">
        <v>-2.2505549330637458E-2</v>
      </c>
      <c r="AG217" s="11">
        <v>103.92</v>
      </c>
      <c r="AH217" s="11">
        <v>-2.33</v>
      </c>
      <c r="AI217" s="13" t="s">
        <v>68</v>
      </c>
    </row>
    <row r="218" spans="1:35" ht="18" customHeight="1" x14ac:dyDescent="0.25">
      <c r="A218" s="4">
        <v>217</v>
      </c>
      <c r="B218" s="4">
        <v>1</v>
      </c>
      <c r="C218" s="4">
        <v>217</v>
      </c>
      <c r="D218" s="108">
        <v>45895</v>
      </c>
      <c r="E218" s="108">
        <v>45901</v>
      </c>
      <c r="F218" s="108">
        <v>45902</v>
      </c>
      <c r="G218" s="5">
        <v>24712.05</v>
      </c>
      <c r="H218" s="5">
        <v>24625.05</v>
      </c>
      <c r="I218" s="4">
        <v>-87</v>
      </c>
      <c r="J218" s="6">
        <v>-3.520549691344911E-3</v>
      </c>
      <c r="K218" s="7" t="s">
        <v>28</v>
      </c>
      <c r="L218" s="4">
        <v>24600</v>
      </c>
      <c r="M218" s="28">
        <f t="shared" si="9"/>
        <v>-4.534225205921727E-3</v>
      </c>
      <c r="N218" s="111">
        <f t="shared" si="10"/>
        <v>0</v>
      </c>
      <c r="O218" s="111">
        <f t="shared" si="11"/>
        <v>67.349999999999994</v>
      </c>
      <c r="P218" s="7" t="s">
        <v>67</v>
      </c>
      <c r="Q218" s="4">
        <v>65</v>
      </c>
      <c r="R218" s="5">
        <v>67.349999999999994</v>
      </c>
      <c r="S218" s="5">
        <v>38.85</v>
      </c>
      <c r="T218" s="8">
        <v>-0.51590000000000003</v>
      </c>
      <c r="U218" s="8">
        <v>0.14849999999999999</v>
      </c>
      <c r="V218" s="8">
        <v>-0.51590000000000003</v>
      </c>
      <c r="W218" s="8">
        <v>0.14849999999999999</v>
      </c>
      <c r="X218" s="8">
        <v>-0.51590000000000003</v>
      </c>
      <c r="Y218" s="5">
        <v>28.5</v>
      </c>
      <c r="Z218" s="6">
        <v>1.1532835195785052E-3</v>
      </c>
      <c r="AA218" s="9">
        <v>28.5</v>
      </c>
      <c r="AB218" s="9">
        <v>0.11532835195785052</v>
      </c>
      <c r="AC218" s="5">
        <v>104.12607018891087</v>
      </c>
      <c r="AD218" s="5">
        <v>106.40072848665709</v>
      </c>
      <c r="AE218" s="5">
        <v>-2.274658297746214</v>
      </c>
      <c r="AF218" s="6">
        <v>-2.1378221090201103E-2</v>
      </c>
      <c r="AG218" s="5">
        <v>103.47</v>
      </c>
      <c r="AH218" s="5">
        <v>-2.75</v>
      </c>
      <c r="AI218" s="7" t="s">
        <v>68</v>
      </c>
    </row>
    <row r="219" spans="1:35" ht="18" customHeight="1" x14ac:dyDescent="0.25">
      <c r="A219" s="10">
        <v>218</v>
      </c>
      <c r="B219" s="10">
        <v>1</v>
      </c>
      <c r="C219" s="10">
        <v>218</v>
      </c>
      <c r="D219" s="109">
        <v>45901</v>
      </c>
      <c r="E219" s="109">
        <v>45908</v>
      </c>
      <c r="F219" s="109">
        <v>45909</v>
      </c>
      <c r="G219" s="11">
        <v>24625.05</v>
      </c>
      <c r="H219" s="11">
        <v>24773.15</v>
      </c>
      <c r="I219" s="11">
        <v>148.1</v>
      </c>
      <c r="J219" s="12">
        <v>6.0142009863939361E-3</v>
      </c>
      <c r="K219" s="13" t="s">
        <v>28</v>
      </c>
      <c r="L219" s="10">
        <v>24700</v>
      </c>
      <c r="M219" s="28">
        <f t="shared" si="9"/>
        <v>3.0436486423377485E-3</v>
      </c>
      <c r="N219" s="111">
        <f t="shared" si="10"/>
        <v>74.950000000000728</v>
      </c>
      <c r="O219" s="111">
        <f t="shared" si="11"/>
        <v>75.149999999999267</v>
      </c>
      <c r="P219" s="13" t="s">
        <v>67</v>
      </c>
      <c r="Q219" s="10">
        <v>65</v>
      </c>
      <c r="R219" s="11">
        <v>150.1</v>
      </c>
      <c r="S219" s="11">
        <v>24.2</v>
      </c>
      <c r="T219" s="14">
        <v>-0.23899999999999999</v>
      </c>
      <c r="U219" s="14">
        <v>0.56989999999999996</v>
      </c>
      <c r="V219" s="14">
        <v>-0.23899999999999999</v>
      </c>
      <c r="W219" s="14">
        <v>0.56989999999999996</v>
      </c>
      <c r="X219" s="14">
        <v>-0.23899999999999999</v>
      </c>
      <c r="Y219" s="11">
        <v>125.9</v>
      </c>
      <c r="Z219" s="12">
        <v>5.1126799742538601E-3</v>
      </c>
      <c r="AA219" s="9">
        <v>125.9</v>
      </c>
      <c r="AB219" s="9">
        <v>0.51126799742538598</v>
      </c>
      <c r="AC219" s="11">
        <v>104.65843346276347</v>
      </c>
      <c r="AD219" s="11">
        <v>106.40072848665709</v>
      </c>
      <c r="AE219" s="11">
        <v>-1.7422950238936181</v>
      </c>
      <c r="AF219" s="12">
        <v>-1.6374841118800294E-2</v>
      </c>
      <c r="AG219" s="11">
        <v>103.88</v>
      </c>
      <c r="AH219" s="11">
        <v>-2.37</v>
      </c>
      <c r="AI219" s="13" t="s">
        <v>68</v>
      </c>
    </row>
    <row r="220" spans="1:35" ht="18" customHeight="1" x14ac:dyDescent="0.25">
      <c r="A220" s="4">
        <v>219</v>
      </c>
      <c r="B220" s="4">
        <v>1</v>
      </c>
      <c r="C220" s="4">
        <v>219</v>
      </c>
      <c r="D220" s="108">
        <v>45908</v>
      </c>
      <c r="E220" s="108">
        <v>45912</v>
      </c>
      <c r="F220" s="108">
        <v>45916</v>
      </c>
      <c r="G220" s="5">
        <v>24773.15</v>
      </c>
      <c r="H220" s="4">
        <v>25114</v>
      </c>
      <c r="I220" s="5">
        <v>340.85</v>
      </c>
      <c r="J220" s="6">
        <v>1.3758847784799268E-2</v>
      </c>
      <c r="K220" s="7" t="s">
        <v>28</v>
      </c>
      <c r="L220" s="4">
        <v>24800</v>
      </c>
      <c r="M220" s="28">
        <f t="shared" si="9"/>
        <v>1.083834716214982E-3</v>
      </c>
      <c r="N220" s="111">
        <f t="shared" si="10"/>
        <v>26.849999999998545</v>
      </c>
      <c r="O220" s="111">
        <f t="shared" si="11"/>
        <v>90.350000000001458</v>
      </c>
      <c r="P220" s="7" t="s">
        <v>67</v>
      </c>
      <c r="Q220" s="4">
        <v>65</v>
      </c>
      <c r="R220" s="5">
        <v>117.2</v>
      </c>
      <c r="S220" s="5">
        <v>9.85</v>
      </c>
      <c r="T220" s="8">
        <v>2.2200000000000001E-2</v>
      </c>
      <c r="U220" s="8">
        <v>0.43719999999999998</v>
      </c>
      <c r="V220" s="8">
        <v>2.2200000000000001E-2</v>
      </c>
      <c r="W220" s="8">
        <v>0.43719999999999998</v>
      </c>
      <c r="X220" s="8">
        <v>2.2200000000000001E-2</v>
      </c>
      <c r="Y220" s="5">
        <v>107.35</v>
      </c>
      <c r="Z220" s="6">
        <v>4.3333205506768408E-3</v>
      </c>
      <c r="AA220" s="9">
        <v>107.35</v>
      </c>
      <c r="AB220" s="9">
        <v>0.43333205506768407</v>
      </c>
      <c r="AC220" s="5">
        <v>105.1119520032893</v>
      </c>
      <c r="AD220" s="5">
        <v>106.40072848665709</v>
      </c>
      <c r="AE220" s="5">
        <v>-1.2887764833677835</v>
      </c>
      <c r="AF220" s="6">
        <v>-1.2112478003657647E-2</v>
      </c>
      <c r="AG220" s="5">
        <v>104.68</v>
      </c>
      <c r="AH220" s="5">
        <v>-1.62</v>
      </c>
      <c r="AI220" s="7" t="s">
        <v>71</v>
      </c>
    </row>
    <row r="221" spans="1:35" ht="18" customHeight="1" x14ac:dyDescent="0.25">
      <c r="A221" s="10">
        <v>220</v>
      </c>
      <c r="B221" s="10">
        <v>1</v>
      </c>
      <c r="C221" s="10">
        <v>220</v>
      </c>
      <c r="D221" s="109">
        <v>45912</v>
      </c>
      <c r="E221" s="109">
        <v>45915</v>
      </c>
      <c r="F221" s="109">
        <v>45916</v>
      </c>
      <c r="G221" s="10">
        <v>25114</v>
      </c>
      <c r="H221" s="11">
        <v>25069.200000000001</v>
      </c>
      <c r="I221" s="11">
        <v>-44.8</v>
      </c>
      <c r="J221" s="12">
        <v>-1.7838655729871783E-3</v>
      </c>
      <c r="K221" s="13" t="s">
        <v>28</v>
      </c>
      <c r="L221" s="10">
        <v>25100</v>
      </c>
      <c r="M221" s="28">
        <f t="shared" si="9"/>
        <v>-5.5745799155848541E-4</v>
      </c>
      <c r="N221" s="111">
        <f t="shared" si="10"/>
        <v>0</v>
      </c>
      <c r="O221" s="111">
        <f t="shared" si="11"/>
        <v>57.65</v>
      </c>
      <c r="P221" s="13" t="s">
        <v>67</v>
      </c>
      <c r="Q221" s="10">
        <v>65</v>
      </c>
      <c r="R221" s="11">
        <v>57.65</v>
      </c>
      <c r="S221" s="11">
        <v>45.85</v>
      </c>
      <c r="T221" s="14">
        <v>-4.1000000000000002E-2</v>
      </c>
      <c r="U221" s="14">
        <v>7.3099999999999998E-2</v>
      </c>
      <c r="V221" s="14">
        <v>-4.1000000000000002E-2</v>
      </c>
      <c r="W221" s="14">
        <v>7.3099999999999998E-2</v>
      </c>
      <c r="X221" s="14">
        <v>-4.1000000000000002E-2</v>
      </c>
      <c r="Y221" s="11">
        <v>11.8</v>
      </c>
      <c r="Z221" s="12">
        <v>4.6985745002787294E-4</v>
      </c>
      <c r="AA221" s="9">
        <v>11.8</v>
      </c>
      <c r="AB221" s="9">
        <v>4.6985745002787294E-2</v>
      </c>
      <c r="AC221" s="11">
        <v>105.16133963702502</v>
      </c>
      <c r="AD221" s="11">
        <v>106.40072848665709</v>
      </c>
      <c r="AE221" s="11">
        <v>-1.2393888496320642</v>
      </c>
      <c r="AF221" s="12">
        <v>-1.1648311691658076E-2</v>
      </c>
      <c r="AG221" s="11">
        <v>105.07</v>
      </c>
      <c r="AH221" s="11">
        <v>-1.25</v>
      </c>
      <c r="AI221" s="13" t="s">
        <v>68</v>
      </c>
    </row>
    <row r="222" spans="1:35" ht="18" customHeight="1" x14ac:dyDescent="0.25">
      <c r="A222" s="4">
        <v>221</v>
      </c>
      <c r="B222" s="4">
        <v>1</v>
      </c>
      <c r="C222" s="4">
        <v>221</v>
      </c>
      <c r="D222" s="108">
        <v>45915</v>
      </c>
      <c r="E222" s="108">
        <v>45917</v>
      </c>
      <c r="F222" s="108">
        <v>45923</v>
      </c>
      <c r="G222" s="5">
        <v>25069.200000000001</v>
      </c>
      <c r="H222" s="5">
        <v>25330.25</v>
      </c>
      <c r="I222" s="5">
        <v>261.05</v>
      </c>
      <c r="J222" s="6">
        <v>1.0413176327924305E-2</v>
      </c>
      <c r="K222" s="7" t="s">
        <v>28</v>
      </c>
      <c r="L222" s="4">
        <v>25100</v>
      </c>
      <c r="M222" s="28">
        <f t="shared" si="9"/>
        <v>1.2285992373111121E-3</v>
      </c>
      <c r="N222" s="111">
        <f t="shared" si="10"/>
        <v>30.799999999999272</v>
      </c>
      <c r="O222" s="111">
        <f t="shared" si="11"/>
        <v>82.850000000000733</v>
      </c>
      <c r="P222" s="7" t="s">
        <v>67</v>
      </c>
      <c r="Q222" s="4">
        <v>65</v>
      </c>
      <c r="R222" s="5">
        <v>113.65</v>
      </c>
      <c r="S222" s="5">
        <v>27.7</v>
      </c>
      <c r="T222" s="8">
        <v>-1.7399999999999999E-2</v>
      </c>
      <c r="U222" s="8">
        <v>0.36499999999999999</v>
      </c>
      <c r="V222" s="8">
        <v>-1.7399999999999999E-2</v>
      </c>
      <c r="W222" s="8">
        <v>0.36499999999999999</v>
      </c>
      <c r="X222" s="8">
        <v>-1.7399999999999999E-2</v>
      </c>
      <c r="Y222" s="5">
        <v>85.95</v>
      </c>
      <c r="Z222" s="6">
        <v>3.4285098846393186E-3</v>
      </c>
      <c r="AA222" s="9">
        <v>85.95</v>
      </c>
      <c r="AB222" s="9">
        <v>0.34285098846393186</v>
      </c>
      <c r="AC222" s="5">
        <v>105.52188632945249</v>
      </c>
      <c r="AD222" s="5">
        <v>106.40072848665709</v>
      </c>
      <c r="AE222" s="5">
        <v>-0.8788421572046019</v>
      </c>
      <c r="AF222" s="6">
        <v>-8.2597381587928773E-3</v>
      </c>
      <c r="AG222" s="5">
        <v>105.14</v>
      </c>
      <c r="AH222" s="5">
        <v>-1.18</v>
      </c>
      <c r="AI222" s="7" t="s">
        <v>71</v>
      </c>
    </row>
    <row r="223" spans="1:35" ht="18" customHeight="1" x14ac:dyDescent="0.25">
      <c r="A223" s="10">
        <v>222</v>
      </c>
      <c r="B223" s="10">
        <v>1</v>
      </c>
      <c r="C223" s="10">
        <v>222</v>
      </c>
      <c r="D223" s="109">
        <v>45917</v>
      </c>
      <c r="E223" s="109">
        <v>45922</v>
      </c>
      <c r="F223" s="109">
        <v>45923</v>
      </c>
      <c r="G223" s="11">
        <v>25330.25</v>
      </c>
      <c r="H223" s="11">
        <v>25202.35</v>
      </c>
      <c r="I223" s="11">
        <v>-127.9</v>
      </c>
      <c r="J223" s="12">
        <v>-5.0492987633363271E-3</v>
      </c>
      <c r="K223" s="13" t="s">
        <v>28</v>
      </c>
      <c r="L223" s="10">
        <v>25300</v>
      </c>
      <c r="M223" s="28">
        <f t="shared" si="9"/>
        <v>-1.1942242970361949E-3</v>
      </c>
      <c r="N223" s="111">
        <f t="shared" si="10"/>
        <v>0</v>
      </c>
      <c r="O223" s="111">
        <f t="shared" si="11"/>
        <v>70.55</v>
      </c>
      <c r="P223" s="13" t="s">
        <v>67</v>
      </c>
      <c r="Q223" s="10">
        <v>65</v>
      </c>
      <c r="R223" s="11">
        <v>70.55</v>
      </c>
      <c r="S223" s="11">
        <v>93.65</v>
      </c>
      <c r="T223" s="14">
        <v>-0.19320000000000001</v>
      </c>
      <c r="U223" s="14">
        <v>0.17749999999999999</v>
      </c>
      <c r="V223" s="14">
        <v>-0.19320000000000001</v>
      </c>
      <c r="W223" s="14">
        <v>0.17749999999999999</v>
      </c>
      <c r="X223" s="14">
        <v>-0.19320000000000001</v>
      </c>
      <c r="Y223" s="11">
        <v>-23.1</v>
      </c>
      <c r="Z223" s="12">
        <v>-9.1195309955488014E-4</v>
      </c>
      <c r="AA223" s="15">
        <v>-23.1</v>
      </c>
      <c r="AB223" s="15">
        <v>-9.119530995548801E-2</v>
      </c>
      <c r="AC223" s="11">
        <v>105.42565531814347</v>
      </c>
      <c r="AD223" s="11">
        <v>106.40072848665709</v>
      </c>
      <c r="AE223" s="11">
        <v>-0.97507316851361736</v>
      </c>
      <c r="AF223" s="12">
        <v>-9.1641587645322747E-3</v>
      </c>
      <c r="AG223" s="11">
        <v>105.32</v>
      </c>
      <c r="AH223" s="11">
        <v>-1.02</v>
      </c>
      <c r="AI223" s="13" t="s">
        <v>68</v>
      </c>
    </row>
    <row r="224" spans="1:35" ht="18" customHeight="1" x14ac:dyDescent="0.25">
      <c r="A224" s="4">
        <v>223</v>
      </c>
      <c r="B224" s="4">
        <v>1</v>
      </c>
      <c r="C224" s="4">
        <v>223</v>
      </c>
      <c r="D224" s="108">
        <v>45922</v>
      </c>
      <c r="E224" s="108">
        <v>45929</v>
      </c>
      <c r="F224" s="108">
        <v>45930</v>
      </c>
      <c r="G224" s="5">
        <v>25202.35</v>
      </c>
      <c r="H224" s="5">
        <v>24634.9</v>
      </c>
      <c r="I224" s="5">
        <v>-567.45000000000005</v>
      </c>
      <c r="J224" s="6">
        <v>-2.2515757459125839E-2</v>
      </c>
      <c r="K224" s="7" t="s">
        <v>28</v>
      </c>
      <c r="L224" s="4">
        <v>25100</v>
      </c>
      <c r="M224" s="28">
        <f t="shared" si="9"/>
        <v>-4.0611292200924964E-3</v>
      </c>
      <c r="N224" s="111">
        <f t="shared" si="10"/>
        <v>0</v>
      </c>
      <c r="O224" s="111">
        <f t="shared" si="11"/>
        <v>70.349999999999994</v>
      </c>
      <c r="P224" s="7" t="s">
        <v>67</v>
      </c>
      <c r="Q224" s="4">
        <v>65</v>
      </c>
      <c r="R224" s="5">
        <v>70.349999999999994</v>
      </c>
      <c r="S224" s="5">
        <v>420.7</v>
      </c>
      <c r="T224" s="8">
        <v>-1.5336000000000001</v>
      </c>
      <c r="U224" s="8">
        <v>8.8099999999999998E-2</v>
      </c>
      <c r="V224" s="8">
        <v>-1.5336000000000001</v>
      </c>
      <c r="W224" s="8">
        <v>8.8099999999999998E-2</v>
      </c>
      <c r="X224" s="8">
        <v>-1.5336000000000001</v>
      </c>
      <c r="Y224" s="5">
        <v>-350.35</v>
      </c>
      <c r="Z224" s="6">
        <v>-1.3901481409471738E-2</v>
      </c>
      <c r="AA224" s="15">
        <v>-350.35</v>
      </c>
      <c r="AB224" s="15">
        <v>-1.3901481409471739</v>
      </c>
      <c r="AC224" s="5">
        <v>103.96008253065692</v>
      </c>
      <c r="AD224" s="5">
        <v>106.40072848665709</v>
      </c>
      <c r="AE224" s="5">
        <v>-2.4406459560001679</v>
      </c>
      <c r="AF224" s="6">
        <v>-2.2938244791305455E-2</v>
      </c>
      <c r="AG224" s="5">
        <v>103.81</v>
      </c>
      <c r="AH224" s="5">
        <v>-2.4300000000000002</v>
      </c>
      <c r="AI224" s="7" t="s">
        <v>68</v>
      </c>
    </row>
    <row r="225" spans="1:35" ht="18" customHeight="1" x14ac:dyDescent="0.25">
      <c r="A225" s="10">
        <v>224</v>
      </c>
      <c r="B225" s="10">
        <v>1</v>
      </c>
      <c r="C225" s="10">
        <v>224</v>
      </c>
      <c r="D225" s="109">
        <v>45929</v>
      </c>
      <c r="E225" s="109">
        <v>45933</v>
      </c>
      <c r="F225" s="109">
        <v>45937</v>
      </c>
      <c r="G225" s="11">
        <v>24634.9</v>
      </c>
      <c r="H225" s="11">
        <v>24894.25</v>
      </c>
      <c r="I225" s="11">
        <v>259.35000000000002</v>
      </c>
      <c r="J225" s="12">
        <v>1.0527747220406822E-2</v>
      </c>
      <c r="K225" s="13" t="s">
        <v>28</v>
      </c>
      <c r="L225" s="10">
        <v>24700</v>
      </c>
      <c r="M225" s="28">
        <f t="shared" si="9"/>
        <v>2.6425924196971096E-3</v>
      </c>
      <c r="N225" s="111">
        <f t="shared" si="10"/>
        <v>65.099999999998545</v>
      </c>
      <c r="O225" s="111">
        <f t="shared" si="11"/>
        <v>69.850000000001444</v>
      </c>
      <c r="P225" s="13" t="s">
        <v>67</v>
      </c>
      <c r="Q225" s="10">
        <v>65</v>
      </c>
      <c r="R225" s="11">
        <v>134.94999999999999</v>
      </c>
      <c r="S225" s="11">
        <v>18.649999999999999</v>
      </c>
      <c r="T225" s="14">
        <v>-0.16619999999999999</v>
      </c>
      <c r="U225" s="14">
        <v>0.4869</v>
      </c>
      <c r="V225" s="14">
        <v>-0.16619999999999999</v>
      </c>
      <c r="W225" s="14">
        <v>0.4869</v>
      </c>
      <c r="X225" s="14">
        <v>-0.16619999999999999</v>
      </c>
      <c r="Y225" s="11">
        <v>116.3</v>
      </c>
      <c r="Z225" s="12">
        <v>4.7209446760490192E-3</v>
      </c>
      <c r="AA225" s="9">
        <v>116.3</v>
      </c>
      <c r="AB225" s="9">
        <v>0.47209446760490192</v>
      </c>
      <c r="AC225" s="11">
        <v>104.45087232880164</v>
      </c>
      <c r="AD225" s="11">
        <v>106.40072848665709</v>
      </c>
      <c r="AE225" s="11">
        <v>-1.9498561578554501</v>
      </c>
      <c r="AF225" s="12">
        <v>-1.8325590299881893E-2</v>
      </c>
      <c r="AG225" s="11">
        <v>103.79</v>
      </c>
      <c r="AH225" s="11">
        <v>-2.4500000000000002</v>
      </c>
      <c r="AI225" s="13" t="s">
        <v>71</v>
      </c>
    </row>
    <row r="226" spans="1:35" ht="18" customHeight="1" x14ac:dyDescent="0.25">
      <c r="A226" s="4">
        <v>225</v>
      </c>
      <c r="B226" s="4">
        <v>1</v>
      </c>
      <c r="C226" s="4">
        <v>225</v>
      </c>
      <c r="D226" s="108">
        <v>45933</v>
      </c>
      <c r="E226" s="108">
        <v>45936</v>
      </c>
      <c r="F226" s="108">
        <v>45937</v>
      </c>
      <c r="G226" s="5">
        <v>24894.25</v>
      </c>
      <c r="H226" s="5">
        <v>25077.65</v>
      </c>
      <c r="I226" s="5">
        <v>183.4</v>
      </c>
      <c r="J226" s="6">
        <v>7.3671630999126306E-3</v>
      </c>
      <c r="K226" s="7" t="s">
        <v>28</v>
      </c>
      <c r="L226" s="4">
        <v>24900</v>
      </c>
      <c r="M226" s="28">
        <f t="shared" si="9"/>
        <v>2.3097703284902238E-4</v>
      </c>
      <c r="N226" s="111">
        <f t="shared" si="10"/>
        <v>5.75</v>
      </c>
      <c r="O226" s="111">
        <f t="shared" si="11"/>
        <v>56.1</v>
      </c>
      <c r="P226" s="7" t="s">
        <v>67</v>
      </c>
      <c r="Q226" s="4">
        <v>65</v>
      </c>
      <c r="R226" s="5">
        <v>61.85</v>
      </c>
      <c r="S226" s="5">
        <v>8.8000000000000007</v>
      </c>
      <c r="T226" s="8">
        <v>-3.15E-2</v>
      </c>
      <c r="U226" s="8">
        <v>0.2175</v>
      </c>
      <c r="V226" s="8">
        <v>-3.15E-2</v>
      </c>
      <c r="W226" s="8">
        <v>0.2175</v>
      </c>
      <c r="X226" s="8">
        <v>-3.15E-2</v>
      </c>
      <c r="Y226" s="5">
        <v>53.05</v>
      </c>
      <c r="Z226" s="6">
        <v>2.1310141900238006E-3</v>
      </c>
      <c r="AA226" s="9">
        <v>53.05</v>
      </c>
      <c r="AB226" s="9">
        <v>0.21310141900238005</v>
      </c>
      <c r="AC226" s="5">
        <v>104.67345861989467</v>
      </c>
      <c r="AD226" s="5">
        <v>106.40072848665709</v>
      </c>
      <c r="AE226" s="5">
        <v>-1.7272698667624127</v>
      </c>
      <c r="AF226" s="6">
        <v>-1.6233628202827734E-2</v>
      </c>
      <c r="AG226" s="5">
        <v>104.42</v>
      </c>
      <c r="AH226" s="5">
        <v>-1.86</v>
      </c>
      <c r="AI226" s="7" t="s">
        <v>68</v>
      </c>
    </row>
    <row r="227" spans="1:35" ht="18" customHeight="1" x14ac:dyDescent="0.25">
      <c r="A227" s="10">
        <v>226</v>
      </c>
      <c r="B227" s="10">
        <v>1</v>
      </c>
      <c r="C227" s="10">
        <v>226</v>
      </c>
      <c r="D227" s="109">
        <v>45936</v>
      </c>
      <c r="E227" s="109">
        <v>45943</v>
      </c>
      <c r="F227" s="109">
        <v>45944</v>
      </c>
      <c r="G227" s="11">
        <v>25077.65</v>
      </c>
      <c r="H227" s="11">
        <v>25227.35</v>
      </c>
      <c r="I227" s="11">
        <v>149.69999999999999</v>
      </c>
      <c r="J227" s="12">
        <v>5.9694588607784212E-3</v>
      </c>
      <c r="K227" s="13" t="s">
        <v>28</v>
      </c>
      <c r="L227" s="10">
        <v>25100</v>
      </c>
      <c r="M227" s="28">
        <f t="shared" si="9"/>
        <v>8.9123183392381122E-4</v>
      </c>
      <c r="N227" s="111">
        <f t="shared" si="10"/>
        <v>22.349999999998545</v>
      </c>
      <c r="O227" s="111">
        <f t="shared" si="11"/>
        <v>86.00000000000145</v>
      </c>
      <c r="P227" s="13" t="s">
        <v>67</v>
      </c>
      <c r="Q227" s="10">
        <v>65</v>
      </c>
      <c r="R227" s="11">
        <v>108.35</v>
      </c>
      <c r="S227" s="10">
        <v>17</v>
      </c>
      <c r="T227" s="14">
        <v>-0.17610000000000001</v>
      </c>
      <c r="U227" s="14">
        <v>0.38019999999999998</v>
      </c>
      <c r="V227" s="14">
        <v>-0.17610000000000001</v>
      </c>
      <c r="W227" s="14">
        <v>0.38019999999999998</v>
      </c>
      <c r="X227" s="14">
        <v>-0.17610000000000001</v>
      </c>
      <c r="Y227" s="11">
        <v>91.35</v>
      </c>
      <c r="Z227" s="12">
        <v>3.6426858178497581E-3</v>
      </c>
      <c r="AA227" s="9">
        <v>91.35</v>
      </c>
      <c r="AB227" s="9">
        <v>0.36426858178497579</v>
      </c>
      <c r="AC227" s="11">
        <v>105.05475114311464</v>
      </c>
      <c r="AD227" s="11">
        <v>106.40072848665709</v>
      </c>
      <c r="AE227" s="11">
        <v>-1.3459773435424438</v>
      </c>
      <c r="AF227" s="12">
        <v>-1.2650076392204708E-2</v>
      </c>
      <c r="AG227" s="11">
        <v>104.49</v>
      </c>
      <c r="AH227" s="11">
        <v>-1.8</v>
      </c>
      <c r="AI227" s="13" t="s">
        <v>68</v>
      </c>
    </row>
    <row r="228" spans="1:35" ht="18" customHeight="1" x14ac:dyDescent="0.25">
      <c r="A228" s="4">
        <v>227</v>
      </c>
      <c r="B228" s="4">
        <v>1</v>
      </c>
      <c r="C228" s="4">
        <v>227</v>
      </c>
      <c r="D228" s="108">
        <v>45943</v>
      </c>
      <c r="E228" s="108">
        <v>45946</v>
      </c>
      <c r="F228" s="108">
        <v>45950</v>
      </c>
      <c r="G228" s="5">
        <v>25227.35</v>
      </c>
      <c r="H228" s="5">
        <v>25585.3</v>
      </c>
      <c r="I228" s="5">
        <v>357.95</v>
      </c>
      <c r="J228" s="6">
        <v>1.4188965547312738E-2</v>
      </c>
      <c r="K228" s="7" t="s">
        <v>28</v>
      </c>
      <c r="L228" s="4">
        <v>25300</v>
      </c>
      <c r="M228" s="28">
        <f t="shared" si="9"/>
        <v>2.8798109987770992E-3</v>
      </c>
      <c r="N228" s="111">
        <f t="shared" si="10"/>
        <v>72.650000000001455</v>
      </c>
      <c r="O228" s="111">
        <f t="shared" si="11"/>
        <v>74.399999999998556</v>
      </c>
      <c r="P228" s="7" t="s">
        <v>67</v>
      </c>
      <c r="Q228" s="4">
        <v>65</v>
      </c>
      <c r="R228" s="5">
        <v>147.05000000000001</v>
      </c>
      <c r="S228" s="5">
        <v>21.4</v>
      </c>
      <c r="T228" s="8">
        <v>-0.48320000000000002</v>
      </c>
      <c r="U228" s="8">
        <v>0.504</v>
      </c>
      <c r="V228" s="8">
        <v>-0.48320000000000002</v>
      </c>
      <c r="W228" s="8">
        <v>0.504</v>
      </c>
      <c r="X228" s="8">
        <v>-0.48320000000000002</v>
      </c>
      <c r="Y228" s="5">
        <v>125.65</v>
      </c>
      <c r="Z228" s="6">
        <v>4.9807054645057847E-3</v>
      </c>
      <c r="AA228" s="9">
        <v>125.65</v>
      </c>
      <c r="AB228" s="9">
        <v>0.49807054645057847</v>
      </c>
      <c r="AC228" s="5">
        <v>105.57799791620543</v>
      </c>
      <c r="AD228" s="5">
        <v>106.40072848665709</v>
      </c>
      <c r="AE228" s="5">
        <v>-0.82273057045165388</v>
      </c>
      <c r="AF228" s="6">
        <v>-7.7323772323121482E-3</v>
      </c>
      <c r="AG228" s="5">
        <v>104.55</v>
      </c>
      <c r="AH228" s="5">
        <v>-1.74</v>
      </c>
      <c r="AI228" s="7" t="s">
        <v>71</v>
      </c>
    </row>
    <row r="229" spans="1:35" ht="18" customHeight="1" x14ac:dyDescent="0.25">
      <c r="A229" s="10">
        <v>228</v>
      </c>
      <c r="B229" s="10">
        <v>1</v>
      </c>
      <c r="C229" s="10">
        <v>228</v>
      </c>
      <c r="D229" s="109">
        <v>45946</v>
      </c>
      <c r="E229" s="109">
        <v>45947</v>
      </c>
      <c r="F229" s="109">
        <v>45950</v>
      </c>
      <c r="G229" s="11">
        <v>25585.3</v>
      </c>
      <c r="H229" s="11">
        <v>25709.85</v>
      </c>
      <c r="I229" s="11">
        <v>124.55</v>
      </c>
      <c r="J229" s="12">
        <v>4.8680296889229363E-3</v>
      </c>
      <c r="K229" s="13" t="s">
        <v>28</v>
      </c>
      <c r="L229" s="10">
        <v>25600</v>
      </c>
      <c r="M229" s="28">
        <f t="shared" si="9"/>
        <v>5.7454866661710291E-4</v>
      </c>
      <c r="N229" s="111">
        <f t="shared" si="10"/>
        <v>14.700000000000728</v>
      </c>
      <c r="O229" s="111">
        <f t="shared" si="11"/>
        <v>71.949999999999278</v>
      </c>
      <c r="P229" s="13" t="s">
        <v>67</v>
      </c>
      <c r="Q229" s="10">
        <v>65</v>
      </c>
      <c r="R229" s="11">
        <v>86.65</v>
      </c>
      <c r="S229" s="11">
        <v>37.85</v>
      </c>
      <c r="T229" s="14">
        <v>-0.1235</v>
      </c>
      <c r="U229" s="14">
        <v>0.2296</v>
      </c>
      <c r="V229" s="14">
        <v>-0.1235</v>
      </c>
      <c r="W229" s="14">
        <v>0.2296</v>
      </c>
      <c r="X229" s="14">
        <v>-0.1235</v>
      </c>
      <c r="Y229" s="11">
        <v>48.8</v>
      </c>
      <c r="Z229" s="12">
        <v>1.9073452333957389E-3</v>
      </c>
      <c r="AA229" s="9">
        <v>48.8</v>
      </c>
      <c r="AB229" s="9">
        <v>0.19073452333957389</v>
      </c>
      <c r="AC229" s="11">
        <v>105.77937160728237</v>
      </c>
      <c r="AD229" s="11">
        <v>106.40072848665709</v>
      </c>
      <c r="AE229" s="11">
        <v>-0.62135687937471573</v>
      </c>
      <c r="AF229" s="12">
        <v>-5.8397803117732922E-3</v>
      </c>
      <c r="AG229" s="11">
        <v>105.45</v>
      </c>
      <c r="AH229" s="11">
        <v>-0.89</v>
      </c>
      <c r="AI229" s="13" t="s">
        <v>68</v>
      </c>
    </row>
    <row r="230" spans="1:35" ht="18" customHeight="1" x14ac:dyDescent="0.25">
      <c r="A230" s="4">
        <v>229</v>
      </c>
      <c r="B230" s="4">
        <v>1</v>
      </c>
      <c r="C230" s="4">
        <v>229</v>
      </c>
      <c r="D230" s="108">
        <v>45947</v>
      </c>
      <c r="E230" s="108">
        <v>45957</v>
      </c>
      <c r="F230" s="108">
        <v>45958</v>
      </c>
      <c r="G230" s="5">
        <v>25709.85</v>
      </c>
      <c r="H230" s="5">
        <v>25966.05</v>
      </c>
      <c r="I230" s="5">
        <v>256.2</v>
      </c>
      <c r="J230" s="6">
        <v>9.9650523048559203E-3</v>
      </c>
      <c r="K230" s="7" t="s">
        <v>28</v>
      </c>
      <c r="L230" s="4">
        <v>25500</v>
      </c>
      <c r="M230" s="28">
        <f t="shared" si="9"/>
        <v>-8.1622413199610167E-3</v>
      </c>
      <c r="N230" s="111">
        <f t="shared" si="10"/>
        <v>0</v>
      </c>
      <c r="O230" s="111">
        <f t="shared" si="11"/>
        <v>84.4</v>
      </c>
      <c r="P230" s="7" t="s">
        <v>67</v>
      </c>
      <c r="Q230" s="4">
        <v>65</v>
      </c>
      <c r="R230" s="5">
        <v>84.4</v>
      </c>
      <c r="S230" s="5">
        <v>5.3</v>
      </c>
      <c r="T230" s="8">
        <v>9.3899999999999997E-2</v>
      </c>
      <c r="U230" s="8">
        <v>0.31040000000000001</v>
      </c>
      <c r="V230" s="8">
        <v>9.3899999999999997E-2</v>
      </c>
      <c r="W230" s="8">
        <v>0.31040000000000001</v>
      </c>
      <c r="X230" s="8">
        <v>9.3899999999999997E-2</v>
      </c>
      <c r="Y230" s="5">
        <v>79.099999999999994</v>
      </c>
      <c r="Z230" s="6">
        <v>3.0766418318271013E-3</v>
      </c>
      <c r="AA230" s="9">
        <v>79.099999999999994</v>
      </c>
      <c r="AB230" s="9">
        <v>0.3076641831827101</v>
      </c>
      <c r="AC230" s="5">
        <v>106.10481684691372</v>
      </c>
      <c r="AD230" s="5">
        <v>106.40072848665709</v>
      </c>
      <c r="AE230" s="5">
        <v>-0.29591163974336609</v>
      </c>
      <c r="AF230" s="6">
        <v>-2.7811053923420658E-3</v>
      </c>
      <c r="AG230" s="5">
        <v>105.88</v>
      </c>
      <c r="AH230" s="5">
        <v>-0.49</v>
      </c>
      <c r="AI230" s="7" t="s">
        <v>68</v>
      </c>
    </row>
    <row r="231" spans="1:35" ht="18" customHeight="1" x14ac:dyDescent="0.25">
      <c r="A231" s="10">
        <v>230</v>
      </c>
      <c r="B231" s="10">
        <v>1</v>
      </c>
      <c r="C231" s="10">
        <v>230</v>
      </c>
      <c r="D231" s="109">
        <v>45957</v>
      </c>
      <c r="E231" s="109">
        <v>45964</v>
      </c>
      <c r="F231" s="109">
        <v>45965</v>
      </c>
      <c r="G231" s="11">
        <v>25966.05</v>
      </c>
      <c r="H231" s="11">
        <v>25763.35</v>
      </c>
      <c r="I231" s="11">
        <v>-202.7</v>
      </c>
      <c r="J231" s="12">
        <v>-7.8063471340461873E-3</v>
      </c>
      <c r="K231" s="13" t="s">
        <v>28</v>
      </c>
      <c r="L231" s="10">
        <v>26100</v>
      </c>
      <c r="M231" s="28">
        <f t="shared" si="9"/>
        <v>5.1586590952417133E-3</v>
      </c>
      <c r="N231" s="111">
        <f t="shared" si="10"/>
        <v>133.95000000000073</v>
      </c>
      <c r="O231" s="111">
        <f t="shared" si="11"/>
        <v>56.649999999999267</v>
      </c>
      <c r="P231" s="13" t="s">
        <v>67</v>
      </c>
      <c r="Q231" s="10">
        <v>65</v>
      </c>
      <c r="R231" s="11">
        <v>190.6</v>
      </c>
      <c r="S231" s="11">
        <v>326.35000000000002</v>
      </c>
      <c r="T231" s="14">
        <v>-0.88290000000000002</v>
      </c>
      <c r="U231" s="14">
        <v>0.31809999999999999</v>
      </c>
      <c r="V231" s="14">
        <v>-0.88290000000000002</v>
      </c>
      <c r="W231" s="14">
        <v>0.31809999999999999</v>
      </c>
      <c r="X231" s="14">
        <v>-0.88290000000000002</v>
      </c>
      <c r="Y231" s="11">
        <v>-135.75</v>
      </c>
      <c r="Z231" s="12">
        <v>-5.227980382075826E-3</v>
      </c>
      <c r="AA231" s="15">
        <v>-135.75</v>
      </c>
      <c r="AB231" s="15">
        <v>-0.52279803820758264</v>
      </c>
      <c r="AC231" s="11">
        <v>105.55010294599431</v>
      </c>
      <c r="AD231" s="11">
        <v>106.40072848665709</v>
      </c>
      <c r="AE231" s="11">
        <v>-0.85062554066277585</v>
      </c>
      <c r="AF231" s="12">
        <v>-7.9945462099862072E-3</v>
      </c>
      <c r="AG231" s="11">
        <v>105.17</v>
      </c>
      <c r="AH231" s="11">
        <v>-1.1599999999999999</v>
      </c>
      <c r="AI231" s="13" t="s">
        <v>68</v>
      </c>
    </row>
    <row r="232" spans="1:35" ht="18" customHeight="1" x14ac:dyDescent="0.25">
      <c r="A232" s="4">
        <v>231</v>
      </c>
      <c r="B232" s="4">
        <v>1</v>
      </c>
      <c r="C232" s="4">
        <v>231</v>
      </c>
      <c r="D232" s="108">
        <v>45964</v>
      </c>
      <c r="E232" s="108">
        <v>45971</v>
      </c>
      <c r="F232" s="108">
        <v>45972</v>
      </c>
      <c r="G232" s="5">
        <v>25763.35</v>
      </c>
      <c r="H232" s="5">
        <v>25574.35</v>
      </c>
      <c r="I232" s="4">
        <v>-189</v>
      </c>
      <c r="J232" s="6">
        <v>-7.3360024996749259E-3</v>
      </c>
      <c r="K232" s="7" t="s">
        <v>28</v>
      </c>
      <c r="L232" s="4">
        <v>25900</v>
      </c>
      <c r="M232" s="28">
        <f t="shared" si="9"/>
        <v>5.3040462517490727E-3</v>
      </c>
      <c r="N232" s="111">
        <f t="shared" si="10"/>
        <v>136.65000000000146</v>
      </c>
      <c r="O232" s="111">
        <f t="shared" si="11"/>
        <v>68.299999999998533</v>
      </c>
      <c r="P232" s="7" t="s">
        <v>67</v>
      </c>
      <c r="Q232" s="4">
        <v>65</v>
      </c>
      <c r="R232" s="5">
        <v>204.95</v>
      </c>
      <c r="S232" s="5">
        <v>285.5</v>
      </c>
      <c r="T232" s="8">
        <v>-1.3718999999999999</v>
      </c>
      <c r="U232" s="8">
        <v>3.4500000000000003E-2</v>
      </c>
      <c r="V232" s="8">
        <v>-1.3718999999999999</v>
      </c>
      <c r="W232" s="8">
        <v>3.4500000000000003E-2</v>
      </c>
      <c r="X232" s="8">
        <v>-1.3718999999999999</v>
      </c>
      <c r="Y232" s="5">
        <v>-80.55</v>
      </c>
      <c r="Z232" s="6">
        <v>-3.1265343986709802E-3</v>
      </c>
      <c r="AA232" s="15">
        <v>-80.55</v>
      </c>
      <c r="AB232" s="15">
        <v>-0.31265343986709804</v>
      </c>
      <c r="AC232" s="5">
        <v>105.22009691835041</v>
      </c>
      <c r="AD232" s="5">
        <v>106.40072848665709</v>
      </c>
      <c r="AE232" s="5">
        <v>-1.1806315683066799</v>
      </c>
      <c r="AF232" s="6">
        <v>-1.1096085384929804E-2</v>
      </c>
      <c r="AG232" s="5">
        <v>104.1</v>
      </c>
      <c r="AH232" s="5">
        <v>-2.16</v>
      </c>
      <c r="AI232" s="7" t="s">
        <v>68</v>
      </c>
    </row>
    <row r="233" spans="1:35" ht="18" customHeight="1" x14ac:dyDescent="0.25">
      <c r="A233" s="10">
        <v>232</v>
      </c>
      <c r="B233" s="10">
        <v>1</v>
      </c>
      <c r="C233" s="10">
        <v>232</v>
      </c>
      <c r="D233" s="109">
        <v>45971</v>
      </c>
      <c r="E233" s="109">
        <v>45973</v>
      </c>
      <c r="F233" s="109">
        <v>45979</v>
      </c>
      <c r="G233" s="11">
        <v>25574.35</v>
      </c>
      <c r="H233" s="11">
        <v>25875.8</v>
      </c>
      <c r="I233" s="11">
        <v>301.45</v>
      </c>
      <c r="J233" s="12">
        <v>1.178720084772438E-2</v>
      </c>
      <c r="K233" s="13" t="s">
        <v>28</v>
      </c>
      <c r="L233" s="10">
        <v>25700</v>
      </c>
      <c r="M233" s="28">
        <f t="shared" si="9"/>
        <v>4.9131258467958183E-3</v>
      </c>
      <c r="N233" s="111">
        <f t="shared" si="10"/>
        <v>125.65000000000146</v>
      </c>
      <c r="O233" s="111">
        <f t="shared" si="11"/>
        <v>52.74999999999855</v>
      </c>
      <c r="P233" s="13" t="s">
        <v>67</v>
      </c>
      <c r="Q233" s="10">
        <v>65</v>
      </c>
      <c r="R233" s="11">
        <v>178.4</v>
      </c>
      <c r="S233" s="11">
        <v>53.55</v>
      </c>
      <c r="T233" s="14">
        <v>-0.37519999999999998</v>
      </c>
      <c r="U233" s="14">
        <v>0.51200000000000001</v>
      </c>
      <c r="V233" s="14">
        <v>-0.37519999999999998</v>
      </c>
      <c r="W233" s="14">
        <v>0.51200000000000001</v>
      </c>
      <c r="X233" s="14">
        <v>-0.37519999999999998</v>
      </c>
      <c r="Y233" s="11">
        <v>124.85</v>
      </c>
      <c r="Z233" s="12">
        <v>4.881844504356905E-3</v>
      </c>
      <c r="AA233" s="9">
        <v>124.85</v>
      </c>
      <c r="AB233" s="9">
        <v>0.48818445043569048</v>
      </c>
      <c r="AC233" s="11">
        <v>105.73376507023914</v>
      </c>
      <c r="AD233" s="11">
        <v>106.40072848665709</v>
      </c>
      <c r="AE233" s="11">
        <v>-0.66696341641794277</v>
      </c>
      <c r="AF233" s="12">
        <v>-6.2684102440293127E-3</v>
      </c>
      <c r="AG233" s="11">
        <v>104.83</v>
      </c>
      <c r="AH233" s="11">
        <v>-1.48</v>
      </c>
      <c r="AI233" s="13" t="s">
        <v>71</v>
      </c>
    </row>
    <row r="234" spans="1:35" ht="18" customHeight="1" x14ac:dyDescent="0.25">
      <c r="A234" s="4">
        <v>233</v>
      </c>
      <c r="B234" s="4">
        <v>1</v>
      </c>
      <c r="C234" s="4">
        <v>233</v>
      </c>
      <c r="D234" s="108">
        <v>45973</v>
      </c>
      <c r="E234" s="108">
        <v>45978</v>
      </c>
      <c r="F234" s="108">
        <v>45979</v>
      </c>
      <c r="G234" s="5">
        <v>25875.8</v>
      </c>
      <c r="H234" s="5">
        <v>26013.45</v>
      </c>
      <c r="I234" s="5">
        <v>137.65</v>
      </c>
      <c r="J234" s="6">
        <v>5.3196422912528312E-3</v>
      </c>
      <c r="K234" s="7" t="s">
        <v>28</v>
      </c>
      <c r="L234" s="4">
        <v>25900</v>
      </c>
      <c r="M234" s="28">
        <f t="shared" si="9"/>
        <v>9.352367849497778E-4</v>
      </c>
      <c r="N234" s="111">
        <f t="shared" si="10"/>
        <v>24.200000000000728</v>
      </c>
      <c r="O234" s="111">
        <f t="shared" si="11"/>
        <v>90.449999999999278</v>
      </c>
      <c r="P234" s="7" t="s">
        <v>67</v>
      </c>
      <c r="Q234" s="4">
        <v>65</v>
      </c>
      <c r="R234" s="5">
        <v>114.65</v>
      </c>
      <c r="S234" s="5">
        <v>26.7</v>
      </c>
      <c r="T234" s="8">
        <v>-0.33350000000000002</v>
      </c>
      <c r="U234" s="8">
        <v>0.3523</v>
      </c>
      <c r="V234" s="8">
        <v>-0.33350000000000002</v>
      </c>
      <c r="W234" s="8">
        <v>0.3523</v>
      </c>
      <c r="X234" s="8">
        <v>-0.33350000000000002</v>
      </c>
      <c r="Y234" s="5">
        <v>87.95</v>
      </c>
      <c r="Z234" s="6">
        <v>3.3989287287736034E-3</v>
      </c>
      <c r="AA234" s="9">
        <v>87.95</v>
      </c>
      <c r="AB234" s="9">
        <v>0.33989287287736036</v>
      </c>
      <c r="AC234" s="5">
        <v>106.09314660193779</v>
      </c>
      <c r="AD234" s="5">
        <v>106.40072848665709</v>
      </c>
      <c r="AE234" s="5">
        <v>-0.3075818847192977</v>
      </c>
      <c r="AF234" s="6">
        <v>-2.8907873949177822E-3</v>
      </c>
      <c r="AG234" s="5">
        <v>105.38</v>
      </c>
      <c r="AH234" s="5">
        <v>-0.96</v>
      </c>
      <c r="AI234" s="7" t="s">
        <v>68</v>
      </c>
    </row>
    <row r="235" spans="1:35" ht="18" customHeight="1" x14ac:dyDescent="0.25">
      <c r="A235" s="10">
        <v>234</v>
      </c>
      <c r="B235" s="10">
        <v>1</v>
      </c>
      <c r="C235" s="10">
        <v>234</v>
      </c>
      <c r="D235" s="109">
        <v>45978</v>
      </c>
      <c r="E235" s="109">
        <v>45985</v>
      </c>
      <c r="F235" s="109">
        <v>45986</v>
      </c>
      <c r="G235" s="11">
        <v>26013.45</v>
      </c>
      <c r="H235" s="11">
        <v>25959.5</v>
      </c>
      <c r="I235" s="11">
        <v>-53.95</v>
      </c>
      <c r="J235" s="12">
        <v>-2.0739271415363978E-3</v>
      </c>
      <c r="K235" s="13" t="s">
        <v>28</v>
      </c>
      <c r="L235" s="10">
        <v>25800</v>
      </c>
      <c r="M235" s="28">
        <f t="shared" si="9"/>
        <v>-8.2053706832427853E-3</v>
      </c>
      <c r="N235" s="111">
        <f t="shared" si="10"/>
        <v>0</v>
      </c>
      <c r="O235" s="111">
        <f t="shared" si="11"/>
        <v>74.400000000000006</v>
      </c>
      <c r="P235" s="13" t="s">
        <v>67</v>
      </c>
      <c r="Q235" s="10">
        <v>65</v>
      </c>
      <c r="R235" s="11">
        <v>74.400000000000006</v>
      </c>
      <c r="S235" s="11">
        <v>15.05</v>
      </c>
      <c r="T235" s="14">
        <v>-0.2041</v>
      </c>
      <c r="U235" s="14">
        <v>0.26679999999999998</v>
      </c>
      <c r="V235" s="14">
        <v>-0.2041</v>
      </c>
      <c r="W235" s="14">
        <v>0.26679999999999998</v>
      </c>
      <c r="X235" s="14">
        <v>-0.2041</v>
      </c>
      <c r="Y235" s="11">
        <v>59.35</v>
      </c>
      <c r="Z235" s="12">
        <v>2.2815120639515327E-3</v>
      </c>
      <c r="AA235" s="9">
        <v>59.35</v>
      </c>
      <c r="AB235" s="9">
        <v>0.22815120639515327</v>
      </c>
      <c r="AC235" s="11">
        <v>106.33519939581268</v>
      </c>
      <c r="AD235" s="11">
        <v>106.40072848665709</v>
      </c>
      <c r="AE235" s="11">
        <v>-6.5529090844407278E-2</v>
      </c>
      <c r="AF235" s="12">
        <v>-6.1587069728215999E-4</v>
      </c>
      <c r="AG235" s="11">
        <v>105.88</v>
      </c>
      <c r="AH235" s="11">
        <v>-0.49</v>
      </c>
      <c r="AI235" s="13" t="s">
        <v>68</v>
      </c>
    </row>
    <row r="236" spans="1:35" ht="18" customHeight="1" x14ac:dyDescent="0.25">
      <c r="A236" s="4">
        <v>235</v>
      </c>
      <c r="B236" s="4">
        <v>1</v>
      </c>
      <c r="C236" s="4">
        <v>235</v>
      </c>
      <c r="D236" s="108">
        <v>45985</v>
      </c>
      <c r="E236" s="108">
        <v>45992</v>
      </c>
      <c r="F236" s="108">
        <v>45993</v>
      </c>
      <c r="G236" s="5">
        <v>25959.5</v>
      </c>
      <c r="H236" s="5">
        <v>26175.75</v>
      </c>
      <c r="I236" s="5">
        <v>216.25</v>
      </c>
      <c r="J236" s="6">
        <v>8.3302837111654694E-3</v>
      </c>
      <c r="K236" s="7" t="s">
        <v>28</v>
      </c>
      <c r="L236" s="4">
        <v>26100</v>
      </c>
      <c r="M236" s="28">
        <f t="shared" si="9"/>
        <v>5.4122768158091361E-3</v>
      </c>
      <c r="N236" s="111">
        <f t="shared" si="10"/>
        <v>140.5</v>
      </c>
      <c r="O236" s="111">
        <f t="shared" si="11"/>
        <v>56.400000000000006</v>
      </c>
      <c r="P236" s="7" t="s">
        <v>67</v>
      </c>
      <c r="Q236" s="4">
        <v>65</v>
      </c>
      <c r="R236" s="5">
        <v>196.9</v>
      </c>
      <c r="S236" s="5">
        <v>32.15</v>
      </c>
      <c r="T236" s="8">
        <v>-0.2286</v>
      </c>
      <c r="U236" s="8">
        <v>0.71440000000000003</v>
      </c>
      <c r="V236" s="8">
        <v>-0.2286</v>
      </c>
      <c r="W236" s="8">
        <v>0.71440000000000003</v>
      </c>
      <c r="X236" s="8">
        <v>-0.2286</v>
      </c>
      <c r="Y236" s="5">
        <v>164.75</v>
      </c>
      <c r="Z236" s="6">
        <v>6.3464242377549648E-3</v>
      </c>
      <c r="AA236" s="9">
        <v>164.75</v>
      </c>
      <c r="AB236" s="9">
        <v>0.63464242377549651</v>
      </c>
      <c r="AC236" s="5">
        <v>107.01004768258477</v>
      </c>
      <c r="AD236" s="5">
        <v>107.01004768258477</v>
      </c>
      <c r="AE236" s="4">
        <v>0</v>
      </c>
      <c r="AF236" s="6">
        <v>0</v>
      </c>
      <c r="AG236" s="5">
        <v>106.09</v>
      </c>
      <c r="AH236" s="5">
        <v>-0.28999999999999998</v>
      </c>
      <c r="AI236" s="7" t="s">
        <v>68</v>
      </c>
    </row>
    <row r="237" spans="1:35" ht="18" customHeight="1" x14ac:dyDescent="0.25">
      <c r="A237" s="10">
        <v>236</v>
      </c>
      <c r="B237" s="10">
        <v>1</v>
      </c>
      <c r="C237" s="10">
        <v>236</v>
      </c>
      <c r="D237" s="109">
        <v>45992</v>
      </c>
      <c r="E237" s="109">
        <v>45999</v>
      </c>
      <c r="F237" s="109">
        <v>46000</v>
      </c>
      <c r="G237" s="11">
        <v>26175.75</v>
      </c>
      <c r="H237" s="11">
        <v>25960.55</v>
      </c>
      <c r="I237" s="11">
        <v>-215.2</v>
      </c>
      <c r="J237" s="12">
        <v>-8.2213499135650354E-3</v>
      </c>
      <c r="K237" s="13" t="s">
        <v>28</v>
      </c>
      <c r="L237" s="10">
        <v>26300</v>
      </c>
      <c r="M237" s="28">
        <f t="shared" si="9"/>
        <v>4.7467598827157786E-3</v>
      </c>
      <c r="N237" s="111">
        <f t="shared" si="10"/>
        <v>124.25</v>
      </c>
      <c r="O237" s="111">
        <f t="shared" si="11"/>
        <v>62.349999999999994</v>
      </c>
      <c r="P237" s="13" t="s">
        <v>67</v>
      </c>
      <c r="Q237" s="10">
        <v>65</v>
      </c>
      <c r="R237" s="11">
        <v>186.6</v>
      </c>
      <c r="S237" s="11">
        <v>344.45</v>
      </c>
      <c r="T237" s="14">
        <v>-0.7681</v>
      </c>
      <c r="U237" s="14">
        <v>0.25409999999999999</v>
      </c>
      <c r="V237" s="14">
        <v>-0.7681</v>
      </c>
      <c r="W237" s="14">
        <v>0.25409999999999999</v>
      </c>
      <c r="X237" s="14">
        <v>-0.7681</v>
      </c>
      <c r="Y237" s="11">
        <v>-157.85</v>
      </c>
      <c r="Z237" s="12">
        <v>-6.0303907242390377E-3</v>
      </c>
      <c r="AA237" s="15">
        <v>-157.85</v>
      </c>
      <c r="AB237" s="15">
        <v>-0.60303907242390375</v>
      </c>
      <c r="AC237" s="11">
        <v>106.36473528363933</v>
      </c>
      <c r="AD237" s="11">
        <v>107.01004768258477</v>
      </c>
      <c r="AE237" s="11">
        <v>-0.64531239894543546</v>
      </c>
      <c r="AF237" s="12">
        <v>-6.0303907242390299E-3</v>
      </c>
      <c r="AG237" s="11">
        <v>106.19</v>
      </c>
      <c r="AH237" s="11">
        <v>-0.77</v>
      </c>
      <c r="AI237" s="13" t="s">
        <v>68</v>
      </c>
    </row>
    <row r="238" spans="1:35" ht="18" customHeight="1" x14ac:dyDescent="0.25">
      <c r="A238" s="4">
        <v>237</v>
      </c>
      <c r="B238" s="4">
        <v>1</v>
      </c>
      <c r="C238" s="4">
        <v>237</v>
      </c>
      <c r="D238" s="108">
        <v>45999</v>
      </c>
      <c r="E238" s="108">
        <v>46006</v>
      </c>
      <c r="F238" s="108">
        <v>46007</v>
      </c>
      <c r="G238" s="5">
        <v>25960.55</v>
      </c>
      <c r="H238" s="5">
        <v>26027.3</v>
      </c>
      <c r="I238" s="5">
        <v>66.75</v>
      </c>
      <c r="J238" s="6">
        <v>2.5712090075133234E-3</v>
      </c>
      <c r="K238" s="7" t="s">
        <v>28</v>
      </c>
      <c r="L238" s="4">
        <v>26100</v>
      </c>
      <c r="M238" s="28">
        <f t="shared" si="9"/>
        <v>5.3716119265578843E-3</v>
      </c>
      <c r="N238" s="111">
        <f t="shared" si="10"/>
        <v>139.45000000000073</v>
      </c>
      <c r="O238" s="111">
        <f t="shared" si="11"/>
        <v>67.449999999999278</v>
      </c>
      <c r="P238" s="7" t="s">
        <v>67</v>
      </c>
      <c r="Q238" s="4">
        <v>65</v>
      </c>
      <c r="R238" s="5">
        <v>206.9</v>
      </c>
      <c r="S238" s="5">
        <v>101.4</v>
      </c>
      <c r="T238" s="8">
        <v>-0.72489999999999999</v>
      </c>
      <c r="U238" s="8">
        <v>0.44629999999999997</v>
      </c>
      <c r="V238" s="8">
        <v>-0.72489999999999999</v>
      </c>
      <c r="W238" s="8">
        <v>0.44629999999999997</v>
      </c>
      <c r="X238" s="8">
        <v>-0.72489999999999999</v>
      </c>
      <c r="Y238" s="5">
        <v>105.5</v>
      </c>
      <c r="Z238" s="6">
        <v>4.0638584313506454E-3</v>
      </c>
      <c r="AA238" s="9">
        <v>105.5</v>
      </c>
      <c r="AB238" s="9">
        <v>0.40638584313506454</v>
      </c>
      <c r="AC238" s="5">
        <v>106.79698650992013</v>
      </c>
      <c r="AD238" s="5">
        <v>107.01004768258477</v>
      </c>
      <c r="AE238" s="5">
        <v>-0.21306117266463787</v>
      </c>
      <c r="AF238" s="6">
        <v>-1.9910389470774179E-3</v>
      </c>
      <c r="AG238" s="5">
        <v>105.59</v>
      </c>
      <c r="AH238" s="5">
        <v>-1.33</v>
      </c>
      <c r="AI238" s="7" t="s">
        <v>68</v>
      </c>
    </row>
    <row r="239" spans="1:35" ht="18" customHeight="1" x14ac:dyDescent="0.25">
      <c r="A239" s="10">
        <v>238</v>
      </c>
      <c r="B239" s="10">
        <v>1</v>
      </c>
      <c r="C239" s="10">
        <v>238</v>
      </c>
      <c r="D239" s="109">
        <v>46006</v>
      </c>
      <c r="E239" s="109">
        <v>46013</v>
      </c>
      <c r="F239" s="109">
        <v>46014</v>
      </c>
      <c r="G239" s="11">
        <v>26027.3</v>
      </c>
      <c r="H239" s="11">
        <v>26172.400000000001</v>
      </c>
      <c r="I239" s="11">
        <v>145.1</v>
      </c>
      <c r="J239" s="12">
        <v>5.5749155694213379E-3</v>
      </c>
      <c r="K239" s="13" t="s">
        <v>28</v>
      </c>
      <c r="L239" s="10">
        <v>25900</v>
      </c>
      <c r="M239" s="28">
        <f t="shared" si="9"/>
        <v>-4.8910182769630328E-3</v>
      </c>
      <c r="N239" s="111">
        <f t="shared" si="10"/>
        <v>0</v>
      </c>
      <c r="O239" s="111">
        <f t="shared" si="11"/>
        <v>74.900000000000006</v>
      </c>
      <c r="P239" s="13" t="s">
        <v>67</v>
      </c>
      <c r="Q239" s="10">
        <v>65</v>
      </c>
      <c r="R239" s="11">
        <v>74.900000000000006</v>
      </c>
      <c r="S239" s="11">
        <v>6.5</v>
      </c>
      <c r="T239" s="14">
        <v>-0.45300000000000001</v>
      </c>
      <c r="U239" s="14">
        <v>0.26569999999999999</v>
      </c>
      <c r="V239" s="14">
        <v>-0.45300000000000001</v>
      </c>
      <c r="W239" s="14">
        <v>0.26569999999999999</v>
      </c>
      <c r="X239" s="14">
        <v>-0.45300000000000001</v>
      </c>
      <c r="Y239" s="11">
        <v>68.400000000000006</v>
      </c>
      <c r="Z239" s="12">
        <v>2.6280098204577505E-3</v>
      </c>
      <c r="AA239" s="9">
        <v>68.400000000000006</v>
      </c>
      <c r="AB239" s="9">
        <v>0.26280098204577507</v>
      </c>
      <c r="AC239" s="11">
        <v>107.0776500392635</v>
      </c>
      <c r="AD239" s="11">
        <v>107.0776500392635</v>
      </c>
      <c r="AE239" s="10">
        <v>0</v>
      </c>
      <c r="AF239" s="12">
        <v>0</v>
      </c>
      <c r="AG239" s="11">
        <v>106.31</v>
      </c>
      <c r="AH239" s="11">
        <v>-0.65</v>
      </c>
      <c r="AI239" s="13" t="s">
        <v>68</v>
      </c>
    </row>
    <row r="240" spans="1:35" ht="18" customHeight="1" x14ac:dyDescent="0.25">
      <c r="A240" s="4">
        <v>239</v>
      </c>
      <c r="B240" s="4">
        <v>1</v>
      </c>
      <c r="C240" s="4">
        <v>239</v>
      </c>
      <c r="D240" s="108">
        <v>46013</v>
      </c>
      <c r="E240" s="108">
        <v>46020</v>
      </c>
      <c r="F240" s="108">
        <v>46021</v>
      </c>
      <c r="G240" s="5">
        <v>26172.400000000001</v>
      </c>
      <c r="H240" s="5">
        <v>25942.1</v>
      </c>
      <c r="I240" s="5">
        <v>-230.3</v>
      </c>
      <c r="J240" s="6">
        <v>-8.7993458758081032E-3</v>
      </c>
      <c r="K240" s="7" t="s">
        <v>28</v>
      </c>
      <c r="L240" s="4">
        <v>26100</v>
      </c>
      <c r="M240" s="28">
        <f t="shared" si="9"/>
        <v>-2.7662728676010051E-3</v>
      </c>
      <c r="N240" s="111">
        <f t="shared" si="10"/>
        <v>0</v>
      </c>
      <c r="O240" s="111">
        <f t="shared" si="11"/>
        <v>88.65</v>
      </c>
      <c r="P240" s="7" t="s">
        <v>67</v>
      </c>
      <c r="Q240" s="4">
        <v>65</v>
      </c>
      <c r="R240" s="5">
        <v>88.65</v>
      </c>
      <c r="S240" s="5">
        <v>155.85</v>
      </c>
      <c r="T240" s="8">
        <v>-0.33300000000000002</v>
      </c>
      <c r="U240" s="8">
        <v>0.18970000000000001</v>
      </c>
      <c r="V240" s="8">
        <v>-0.33300000000000002</v>
      </c>
      <c r="W240" s="8">
        <v>0.18970000000000001</v>
      </c>
      <c r="X240" s="8">
        <v>-0.33300000000000002</v>
      </c>
      <c r="Y240" s="5">
        <v>-67.2</v>
      </c>
      <c r="Z240" s="6">
        <v>-2.5675902859500846E-3</v>
      </c>
      <c r="AA240" s="15">
        <v>-67.2</v>
      </c>
      <c r="AB240" s="15">
        <v>-0.25675902859500843</v>
      </c>
      <c r="AC240" s="5">
        <v>106.80271850518032</v>
      </c>
      <c r="AD240" s="5">
        <v>107.0776500392635</v>
      </c>
      <c r="AE240" s="5">
        <v>-0.27493153408317994</v>
      </c>
      <c r="AF240" s="6">
        <v>-2.5675902859501245E-3</v>
      </c>
      <c r="AG240" s="5">
        <v>106.72</v>
      </c>
      <c r="AH240" s="5">
        <v>-0.33</v>
      </c>
      <c r="AI240" s="7" t="s">
        <v>68</v>
      </c>
    </row>
    <row r="241" spans="1:35" ht="18" customHeight="1" x14ac:dyDescent="0.25">
      <c r="A241" s="10">
        <v>240</v>
      </c>
      <c r="B241" s="10">
        <v>1</v>
      </c>
      <c r="C241" s="10">
        <v>240</v>
      </c>
      <c r="D241" s="109">
        <v>46020</v>
      </c>
      <c r="E241" s="109">
        <v>46024</v>
      </c>
      <c r="F241" s="109">
        <v>46028</v>
      </c>
      <c r="G241" s="11">
        <v>25942.1</v>
      </c>
      <c r="H241" s="11">
        <v>26328.55</v>
      </c>
      <c r="I241" s="11">
        <v>386.45</v>
      </c>
      <c r="J241" s="12">
        <v>1.4896635199155042E-2</v>
      </c>
      <c r="K241" s="13" t="s">
        <v>28</v>
      </c>
      <c r="L241" s="10">
        <v>25900</v>
      </c>
      <c r="M241" s="28">
        <f t="shared" si="9"/>
        <v>-1.6228447195870688E-3</v>
      </c>
      <c r="N241" s="111">
        <f t="shared" si="10"/>
        <v>0</v>
      </c>
      <c r="O241" s="111">
        <f t="shared" si="11"/>
        <v>79.349999999999994</v>
      </c>
      <c r="P241" s="13" t="s">
        <v>67</v>
      </c>
      <c r="Q241" s="10">
        <v>65</v>
      </c>
      <c r="R241" s="11">
        <v>79.349999999999994</v>
      </c>
      <c r="S241" s="11">
        <v>5.05</v>
      </c>
      <c r="T241" s="14">
        <v>-0.10829999999999999</v>
      </c>
      <c r="U241" s="14">
        <v>0.2883</v>
      </c>
      <c r="V241" s="14">
        <v>-0.10829999999999999</v>
      </c>
      <c r="W241" s="14">
        <v>0.2883</v>
      </c>
      <c r="X241" s="14">
        <v>-0.10829999999999999</v>
      </c>
      <c r="Y241" s="11">
        <v>74.3</v>
      </c>
      <c r="Z241" s="12">
        <v>2.864070372097864E-3</v>
      </c>
      <c r="AA241" s="9">
        <v>74.3</v>
      </c>
      <c r="AB241" s="9">
        <v>0.28640703720978639</v>
      </c>
      <c r="AC241" s="11">
        <v>107.10860900691053</v>
      </c>
      <c r="AD241" s="11">
        <v>107.10860900691053</v>
      </c>
      <c r="AE241" s="10">
        <v>0</v>
      </c>
      <c r="AF241" s="12">
        <v>0</v>
      </c>
      <c r="AG241" s="11">
        <v>106.69</v>
      </c>
      <c r="AH241" s="11">
        <v>-0.36</v>
      </c>
      <c r="AI241" s="13" t="s">
        <v>71</v>
      </c>
    </row>
    <row r="242" spans="1:35" ht="18" customHeight="1" x14ac:dyDescent="0.25">
      <c r="A242" s="4">
        <v>241</v>
      </c>
      <c r="B242" s="4">
        <v>1</v>
      </c>
      <c r="C242" s="4">
        <v>241</v>
      </c>
      <c r="D242" s="108">
        <v>46024</v>
      </c>
      <c r="E242" s="108">
        <v>46027</v>
      </c>
      <c r="F242" s="108">
        <v>46028</v>
      </c>
      <c r="G242" s="5">
        <v>26328.55</v>
      </c>
      <c r="H242" s="5">
        <v>26250.3</v>
      </c>
      <c r="I242" s="5">
        <v>-78.25</v>
      </c>
      <c r="J242" s="6">
        <v>-2.9720588486642826E-3</v>
      </c>
      <c r="K242" s="7" t="s">
        <v>28</v>
      </c>
      <c r="L242" s="4">
        <v>26300</v>
      </c>
      <c r="M242" s="28">
        <f t="shared" si="9"/>
        <v>-1.0843741869567269E-3</v>
      </c>
      <c r="N242" s="111">
        <f t="shared" si="10"/>
        <v>0</v>
      </c>
      <c r="O242" s="111">
        <f t="shared" si="11"/>
        <v>55.9</v>
      </c>
      <c r="P242" s="7" t="s">
        <v>67</v>
      </c>
      <c r="Q242" s="4">
        <v>65</v>
      </c>
      <c r="R242" s="5">
        <v>55.9</v>
      </c>
      <c r="S242" s="5">
        <v>93.65</v>
      </c>
      <c r="T242" s="8">
        <v>-0.25869999999999999</v>
      </c>
      <c r="U242" s="8">
        <v>9.5299999999999996E-2</v>
      </c>
      <c r="V242" s="8">
        <v>-0.25869999999999999</v>
      </c>
      <c r="W242" s="8">
        <v>9.5299999999999996E-2</v>
      </c>
      <c r="X242" s="8">
        <v>-0.25869999999999999</v>
      </c>
      <c r="Y242" s="5">
        <v>-37.75</v>
      </c>
      <c r="Z242" s="6">
        <v>-1.4338047480776572E-3</v>
      </c>
      <c r="AA242" s="15">
        <v>-37.75</v>
      </c>
      <c r="AB242" s="15">
        <v>-0.14338047480776572</v>
      </c>
      <c r="AC242" s="5">
        <v>106.95503617475643</v>
      </c>
      <c r="AD242" s="5">
        <v>107.10860900691053</v>
      </c>
      <c r="AE242" s="5">
        <v>-0.15357283215409723</v>
      </c>
      <c r="AF242" s="6">
        <v>-1.433804748077616E-3</v>
      </c>
      <c r="AG242" s="5">
        <v>106.83</v>
      </c>
      <c r="AH242" s="5">
        <v>-0.26</v>
      </c>
      <c r="AI242" s="7" t="s">
        <v>68</v>
      </c>
    </row>
    <row r="243" spans="1:35" ht="18" customHeight="1" x14ac:dyDescent="0.25">
      <c r="A243" s="10">
        <v>242</v>
      </c>
      <c r="B243" s="10">
        <v>1</v>
      </c>
      <c r="C243" s="10">
        <v>242</v>
      </c>
      <c r="D243" s="109">
        <v>46027</v>
      </c>
      <c r="E243" s="109">
        <v>46034</v>
      </c>
      <c r="F243" s="109">
        <v>46035</v>
      </c>
      <c r="G243" s="11">
        <v>26250.3</v>
      </c>
      <c r="H243" s="11">
        <v>25790.25</v>
      </c>
      <c r="I243" s="11">
        <v>-460.05</v>
      </c>
      <c r="J243" s="12">
        <v>-1.7525513994125781E-2</v>
      </c>
      <c r="K243" s="13" t="s">
        <v>28</v>
      </c>
      <c r="L243" s="10">
        <v>26400</v>
      </c>
      <c r="M243" s="28">
        <f t="shared" si="9"/>
        <v>5.7027919680918693E-3</v>
      </c>
      <c r="N243" s="111">
        <f t="shared" si="10"/>
        <v>149.70000000000073</v>
      </c>
      <c r="O243" s="111">
        <f t="shared" si="11"/>
        <v>57.249999999999261</v>
      </c>
      <c r="P243" s="13" t="s">
        <v>67</v>
      </c>
      <c r="Q243" s="10">
        <v>65</v>
      </c>
      <c r="R243" s="11">
        <v>206.95</v>
      </c>
      <c r="S243" s="11">
        <v>593.29999999999995</v>
      </c>
      <c r="T243" s="14">
        <v>-2.6743999999999999</v>
      </c>
      <c r="U243" s="14">
        <v>0.15920000000000001</v>
      </c>
      <c r="V243" s="14">
        <v>-2.6743999999999999</v>
      </c>
      <c r="W243" s="14">
        <v>0.15920000000000001</v>
      </c>
      <c r="X243" s="14">
        <v>-2.6743999999999999</v>
      </c>
      <c r="Y243" s="11">
        <v>-386.35</v>
      </c>
      <c r="Z243" s="12">
        <v>-1.471792703321486E-2</v>
      </c>
      <c r="AA243" s="15">
        <v>-386.35</v>
      </c>
      <c r="AB243" s="15">
        <v>-1.4717927033214859</v>
      </c>
      <c r="AC243" s="11">
        <v>105.38087975650151</v>
      </c>
      <c r="AD243" s="11">
        <v>107.10860900691053</v>
      </c>
      <c r="AE243" s="11">
        <v>-1.7277292504090127</v>
      </c>
      <c r="AF243" s="12">
        <v>-1.6130629147630342E-2</v>
      </c>
      <c r="AG243" s="11">
        <v>104.09</v>
      </c>
      <c r="AH243" s="11">
        <v>-2.82</v>
      </c>
      <c r="AI243" s="13" t="s">
        <v>68</v>
      </c>
    </row>
    <row r="244" spans="1:35" ht="18" customHeight="1" x14ac:dyDescent="0.25">
      <c r="A244" s="4">
        <v>243</v>
      </c>
      <c r="B244" s="4">
        <v>1</v>
      </c>
      <c r="C244" s="4">
        <v>243</v>
      </c>
      <c r="D244" s="108">
        <v>46034</v>
      </c>
      <c r="E244" s="108">
        <v>46041</v>
      </c>
      <c r="F244" s="108">
        <v>46042</v>
      </c>
      <c r="G244" s="5">
        <v>25790.25</v>
      </c>
      <c r="H244" s="5">
        <v>25585.5</v>
      </c>
      <c r="I244" s="5">
        <v>-204.75</v>
      </c>
      <c r="J244" s="6">
        <v>-7.9390467327769207E-3</v>
      </c>
      <c r="K244" s="7" t="s">
        <v>28</v>
      </c>
      <c r="L244" s="4">
        <v>25900</v>
      </c>
      <c r="M244" s="28">
        <f t="shared" si="9"/>
        <v>4.2554841461404092E-3</v>
      </c>
      <c r="N244" s="111">
        <f t="shared" si="10"/>
        <v>109.75</v>
      </c>
      <c r="O244" s="111">
        <f t="shared" si="11"/>
        <v>81.449999999999989</v>
      </c>
      <c r="P244" s="7" t="s">
        <v>67</v>
      </c>
      <c r="Q244" s="4">
        <v>65</v>
      </c>
      <c r="R244" s="5">
        <v>191.2</v>
      </c>
      <c r="S244" s="5">
        <v>323.89999999999998</v>
      </c>
      <c r="T244" s="8">
        <v>-0.85089999999999999</v>
      </c>
      <c r="U244" s="8">
        <v>0.33789999999999998</v>
      </c>
      <c r="V244" s="8">
        <v>-0.85089999999999999</v>
      </c>
      <c r="W244" s="8">
        <v>0.33789999999999998</v>
      </c>
      <c r="X244" s="8">
        <v>-0.85089999999999999</v>
      </c>
      <c r="Y244" s="5">
        <v>-132.69999999999999</v>
      </c>
      <c r="Z244" s="6">
        <v>-5.1453553183858237E-3</v>
      </c>
      <c r="AA244" s="15">
        <v>-132.69999999999999</v>
      </c>
      <c r="AB244" s="15">
        <v>-0.51453553183858236</v>
      </c>
      <c r="AC244" s="5">
        <v>104.83865768639022</v>
      </c>
      <c r="AD244" s="5">
        <v>107.10860900691053</v>
      </c>
      <c r="AE244" s="5">
        <v>-2.2699513205203061</v>
      </c>
      <c r="AF244" s="6">
        <v>-2.119298664754251E-2</v>
      </c>
      <c r="AG244" s="5">
        <v>104.48</v>
      </c>
      <c r="AH244" s="5">
        <v>-2.4500000000000002</v>
      </c>
      <c r="AI244" s="7" t="s">
        <v>68</v>
      </c>
    </row>
    <row r="245" spans="1:35" ht="18" customHeight="1" x14ac:dyDescent="0.25">
      <c r="A245" s="10">
        <v>244</v>
      </c>
      <c r="B245" s="10">
        <v>1</v>
      </c>
      <c r="C245" s="10">
        <v>244</v>
      </c>
      <c r="D245" s="109">
        <v>46041</v>
      </c>
      <c r="E245" s="109">
        <v>46045</v>
      </c>
      <c r="F245" s="109">
        <v>46049</v>
      </c>
      <c r="G245" s="11">
        <v>25585.5</v>
      </c>
      <c r="H245" s="11">
        <v>25048.65</v>
      </c>
      <c r="I245" s="11">
        <v>-536.85</v>
      </c>
      <c r="J245" s="12">
        <v>-2.0982587793867621E-2</v>
      </c>
      <c r="K245" s="13" t="s">
        <v>28</v>
      </c>
      <c r="L245" s="10">
        <v>25700</v>
      </c>
      <c r="M245" s="28">
        <f t="shared" si="9"/>
        <v>4.4751910261671135E-3</v>
      </c>
      <c r="N245" s="111">
        <f t="shared" si="10"/>
        <v>114.5</v>
      </c>
      <c r="O245" s="111">
        <f t="shared" si="11"/>
        <v>89.300000000000011</v>
      </c>
      <c r="P245" s="13" t="s">
        <v>67</v>
      </c>
      <c r="Q245" s="10">
        <v>65</v>
      </c>
      <c r="R245" s="11">
        <v>203.8</v>
      </c>
      <c r="S245" s="11">
        <v>629.29999999999995</v>
      </c>
      <c r="T245" s="14">
        <v>-2.1516000000000002</v>
      </c>
      <c r="U245" s="14">
        <v>1.37E-2</v>
      </c>
      <c r="V245" s="14">
        <v>-2.1516000000000002</v>
      </c>
      <c r="W245" s="14">
        <v>1.37E-2</v>
      </c>
      <c r="X245" s="14">
        <v>-2.1516000000000002</v>
      </c>
      <c r="Y245" s="11">
        <v>-425.5</v>
      </c>
      <c r="Z245" s="12">
        <v>-1.6630513376717282E-2</v>
      </c>
      <c r="AA245" s="15">
        <v>-425.5</v>
      </c>
      <c r="AB245" s="15">
        <v>-1.6630513376717282</v>
      </c>
      <c r="AC245" s="11">
        <v>103.09513698733963</v>
      </c>
      <c r="AD245" s="11">
        <v>107.10860900691053</v>
      </c>
      <c r="AE245" s="11">
        <v>-4.0134720195708979</v>
      </c>
      <c r="AF245" s="12">
        <v>-3.7471049776325198E-2</v>
      </c>
      <c r="AG245" s="11">
        <v>102.58</v>
      </c>
      <c r="AH245" s="11">
        <v>-4.2300000000000004</v>
      </c>
      <c r="AI245" s="13" t="s">
        <v>68</v>
      </c>
    </row>
    <row r="246" spans="1:35" ht="18" customHeight="1" x14ac:dyDescent="0.25">
      <c r="A246" s="4">
        <v>245</v>
      </c>
      <c r="B246" s="4">
        <v>1</v>
      </c>
      <c r="C246" s="4">
        <v>245</v>
      </c>
      <c r="D246" s="108">
        <v>46045</v>
      </c>
      <c r="E246" s="108">
        <v>46050</v>
      </c>
      <c r="F246" s="108">
        <v>46056</v>
      </c>
      <c r="G246" s="5">
        <v>25048.65</v>
      </c>
      <c r="H246" s="5">
        <v>25342.75</v>
      </c>
      <c r="I246" s="5">
        <v>294.10000000000002</v>
      </c>
      <c r="J246" s="6">
        <v>1.1741151718755302E-2</v>
      </c>
      <c r="K246" s="7" t="s">
        <v>28</v>
      </c>
      <c r="L246" s="4">
        <v>25400</v>
      </c>
      <c r="M246" s="28">
        <f t="shared" si="9"/>
        <v>1.4026704033949899E-2</v>
      </c>
      <c r="N246" s="111">
        <f t="shared" si="10"/>
        <v>351.34999999999854</v>
      </c>
      <c r="O246" s="111">
        <f t="shared" si="11"/>
        <v>80.150000000001455</v>
      </c>
      <c r="P246" s="7" t="s">
        <v>67</v>
      </c>
      <c r="Q246" s="4">
        <v>65</v>
      </c>
      <c r="R246" s="5">
        <v>431.5</v>
      </c>
      <c r="S246" s="5">
        <v>224.3</v>
      </c>
      <c r="T246" s="8">
        <v>-0.38290000000000002</v>
      </c>
      <c r="U246" s="8">
        <v>0.87929999999999997</v>
      </c>
      <c r="V246" s="8">
        <v>-0.38290000000000002</v>
      </c>
      <c r="W246" s="8">
        <v>0.87929999999999997</v>
      </c>
      <c r="X246" s="8">
        <v>-0.38290000000000002</v>
      </c>
      <c r="Y246" s="5">
        <v>207.2</v>
      </c>
      <c r="Z246" s="6">
        <v>8.2719028770013546E-3</v>
      </c>
      <c r="AA246" s="9">
        <v>207.2</v>
      </c>
      <c r="AB246" s="9">
        <v>0.82719028770013547</v>
      </c>
      <c r="AC246" s="5">
        <v>103.94792994759004</v>
      </c>
      <c r="AD246" s="5">
        <v>107.10860900691053</v>
      </c>
      <c r="AE246" s="5">
        <v>-3.1606790593204863</v>
      </c>
      <c r="AF246" s="6">
        <v>-2.9509103783773E-2</v>
      </c>
      <c r="AG246" s="5">
        <v>102.7</v>
      </c>
      <c r="AH246" s="5">
        <v>-4.12</v>
      </c>
      <c r="AI246" s="7" t="s">
        <v>71</v>
      </c>
    </row>
    <row r="247" spans="1:35" ht="18" customHeight="1" x14ac:dyDescent="0.25">
      <c r="A247" s="10">
        <v>246</v>
      </c>
      <c r="B247" s="10">
        <v>1</v>
      </c>
      <c r="C247" s="10">
        <v>246</v>
      </c>
      <c r="D247" s="109">
        <v>46050</v>
      </c>
      <c r="E247" s="109">
        <v>46055</v>
      </c>
      <c r="F247" s="109">
        <v>46056</v>
      </c>
      <c r="G247" s="11">
        <v>25342.75</v>
      </c>
      <c r="H247" s="11">
        <v>25088.400000000001</v>
      </c>
      <c r="I247" s="11">
        <v>-254.35</v>
      </c>
      <c r="J247" s="12">
        <v>-1.0036400943070503E-2</v>
      </c>
      <c r="K247" s="13" t="s">
        <v>28</v>
      </c>
      <c r="L247" s="10">
        <v>25600</v>
      </c>
      <c r="M247" s="28">
        <f t="shared" si="9"/>
        <v>1.0150832092018502E-2</v>
      </c>
      <c r="N247" s="111">
        <f t="shared" si="10"/>
        <v>257.25</v>
      </c>
      <c r="O247" s="111">
        <f t="shared" si="11"/>
        <v>83.25</v>
      </c>
      <c r="P247" s="13" t="s">
        <v>67</v>
      </c>
      <c r="Q247" s="10">
        <v>65</v>
      </c>
      <c r="R247" s="11">
        <v>340.5</v>
      </c>
      <c r="S247" s="10">
        <v>536</v>
      </c>
      <c r="T247" s="14">
        <v>-2.7995999999999999</v>
      </c>
      <c r="U247" s="14">
        <v>0.35320000000000001</v>
      </c>
      <c r="V247" s="14">
        <v>-2.7995999999999999</v>
      </c>
      <c r="W247" s="14">
        <v>0.35320000000000001</v>
      </c>
      <c r="X247" s="14">
        <v>-2.7995999999999999</v>
      </c>
      <c r="Y247" s="11">
        <v>-195.5</v>
      </c>
      <c r="Z247" s="12">
        <v>-7.714237799765219E-3</v>
      </c>
      <c r="AA247" s="15">
        <v>-195.5</v>
      </c>
      <c r="AB247" s="15">
        <v>-0.7714237799765219</v>
      </c>
      <c r="AC247" s="11">
        <v>103.146050897181</v>
      </c>
      <c r="AD247" s="11">
        <v>107.10860900691053</v>
      </c>
      <c r="AE247" s="11">
        <v>-3.9625581097295282</v>
      </c>
      <c r="AF247" s="12">
        <v>-3.6995701339692204E-2</v>
      </c>
      <c r="AG247" s="11">
        <v>101.04</v>
      </c>
      <c r="AH247" s="11">
        <v>-5.67</v>
      </c>
      <c r="AI247" s="13" t="s">
        <v>68</v>
      </c>
    </row>
    <row r="248" spans="1:35" ht="18" customHeight="1" x14ac:dyDescent="0.25">
      <c r="A248" s="4">
        <v>247</v>
      </c>
      <c r="B248" s="4">
        <v>1</v>
      </c>
      <c r="C248" s="4">
        <v>247</v>
      </c>
      <c r="D248" s="108">
        <v>46055</v>
      </c>
      <c r="E248" s="108">
        <v>46056</v>
      </c>
      <c r="F248" s="108">
        <v>46063</v>
      </c>
      <c r="G248" s="5">
        <v>25088.400000000001</v>
      </c>
      <c r="H248" s="5">
        <v>25727.55</v>
      </c>
      <c r="I248" s="5">
        <v>639.15</v>
      </c>
      <c r="J248" s="6">
        <v>2.5475917156933082E-2</v>
      </c>
      <c r="K248" s="7" t="s">
        <v>28</v>
      </c>
      <c r="L248" s="4">
        <v>25400</v>
      </c>
      <c r="M248" s="28">
        <f t="shared" si="9"/>
        <v>1.2420082587968784E-2</v>
      </c>
      <c r="N248" s="111">
        <f t="shared" si="10"/>
        <v>311.59999999999854</v>
      </c>
      <c r="O248" s="111">
        <f t="shared" si="11"/>
        <v>84.700000000001467</v>
      </c>
      <c r="P248" s="7" t="s">
        <v>67</v>
      </c>
      <c r="Q248" s="4">
        <v>65</v>
      </c>
      <c r="R248" s="5">
        <v>396.3</v>
      </c>
      <c r="S248" s="5">
        <v>66.8</v>
      </c>
      <c r="T248" s="8">
        <v>1.0388999999999999</v>
      </c>
      <c r="U248" s="8">
        <v>1.5793999999999999</v>
      </c>
      <c r="V248" s="8">
        <v>1.0388999999999999</v>
      </c>
      <c r="W248" s="8">
        <v>1.5793999999999999</v>
      </c>
      <c r="X248" s="8">
        <v>1.0388999999999999</v>
      </c>
      <c r="Y248" s="5">
        <v>329.5</v>
      </c>
      <c r="Z248" s="6">
        <v>1.3133559732784872E-2</v>
      </c>
      <c r="AA248" s="9">
        <v>329.5</v>
      </c>
      <c r="AB248" s="9">
        <v>1.3133559732784872</v>
      </c>
      <c r="AC248" s="5">
        <v>104.50072571784</v>
      </c>
      <c r="AD248" s="5">
        <v>107.10860900691053</v>
      </c>
      <c r="AE248" s="5">
        <v>-2.6078832890705286</v>
      </c>
      <c r="AF248" s="6">
        <v>-2.434802686030841E-2</v>
      </c>
      <c r="AG248" s="5">
        <v>104.22</v>
      </c>
      <c r="AH248" s="5">
        <v>-2.7</v>
      </c>
      <c r="AI248" s="7" t="s">
        <v>71</v>
      </c>
    </row>
    <row r="249" spans="1:35" ht="18" customHeight="1" x14ac:dyDescent="0.25">
      <c r="A249" s="10">
        <v>248</v>
      </c>
      <c r="B249" s="10">
        <v>1</v>
      </c>
      <c r="C249" s="10">
        <v>248</v>
      </c>
      <c r="D249" s="109">
        <v>46056</v>
      </c>
      <c r="E249" s="109">
        <v>46062</v>
      </c>
      <c r="F249" s="109">
        <v>46063</v>
      </c>
      <c r="G249" s="11">
        <v>25727.55</v>
      </c>
      <c r="H249" s="11">
        <v>25867.3</v>
      </c>
      <c r="I249" s="11">
        <v>139.75</v>
      </c>
      <c r="J249" s="12">
        <v>5.4319202566898133E-3</v>
      </c>
      <c r="K249" s="13" t="s">
        <v>28</v>
      </c>
      <c r="L249" s="10">
        <v>25400</v>
      </c>
      <c r="M249" s="28">
        <f t="shared" si="9"/>
        <v>-1.2731488229543841E-2</v>
      </c>
      <c r="N249" s="111">
        <f t="shared" si="10"/>
        <v>0</v>
      </c>
      <c r="O249" s="111">
        <f t="shared" si="11"/>
        <v>66.8</v>
      </c>
      <c r="P249" s="13" t="s">
        <v>67</v>
      </c>
      <c r="Q249" s="10">
        <v>65</v>
      </c>
      <c r="R249" s="11">
        <v>66.8</v>
      </c>
      <c r="S249" s="11">
        <v>10.75</v>
      </c>
      <c r="T249" s="14">
        <v>-0.1011</v>
      </c>
      <c r="U249" s="14">
        <v>0.2303</v>
      </c>
      <c r="V249" s="14">
        <v>-0.1011</v>
      </c>
      <c r="W249" s="14">
        <v>0.2303</v>
      </c>
      <c r="X249" s="14">
        <v>-0.1011</v>
      </c>
      <c r="Y249" s="11">
        <v>56.05</v>
      </c>
      <c r="Z249" s="12">
        <v>2.1785984285328372E-3</v>
      </c>
      <c r="AA249" s="9">
        <v>56.05</v>
      </c>
      <c r="AB249" s="9">
        <v>0.21785984285328372</v>
      </c>
      <c r="AC249" s="11">
        <v>104.72839083466941</v>
      </c>
      <c r="AD249" s="11">
        <v>107.10860900691053</v>
      </c>
      <c r="AE249" s="11">
        <v>-2.3802181722411149</v>
      </c>
      <c r="AF249" s="12">
        <v>-2.222247300483144E-2</v>
      </c>
      <c r="AG249" s="11">
        <v>104.4</v>
      </c>
      <c r="AH249" s="11">
        <v>-2.5299999999999998</v>
      </c>
      <c r="AI249" s="13" t="s">
        <v>68</v>
      </c>
    </row>
    <row r="250" spans="1:35" ht="18" customHeight="1" x14ac:dyDescent="0.25">
      <c r="A250" s="4">
        <v>249</v>
      </c>
      <c r="B250" s="4">
        <v>1</v>
      </c>
      <c r="C250" s="4">
        <v>249</v>
      </c>
      <c r="D250" s="108">
        <v>46062</v>
      </c>
      <c r="E250" s="108">
        <v>46069</v>
      </c>
      <c r="F250" s="108">
        <v>46070</v>
      </c>
      <c r="G250" s="5">
        <v>25867.3</v>
      </c>
      <c r="H250" s="5">
        <v>25682.75</v>
      </c>
      <c r="I250" s="5">
        <v>-184.55</v>
      </c>
      <c r="J250" s="6">
        <v>-7.1344902637693157E-3</v>
      </c>
      <c r="K250" s="7" t="s">
        <v>28</v>
      </c>
      <c r="L250" s="4">
        <v>26000</v>
      </c>
      <c r="M250" s="28">
        <f t="shared" si="9"/>
        <v>5.1300290327942477E-3</v>
      </c>
      <c r="N250" s="111">
        <f t="shared" si="10"/>
        <v>132.70000000000073</v>
      </c>
      <c r="O250" s="111">
        <f t="shared" si="11"/>
        <v>91.899999999999267</v>
      </c>
      <c r="P250" s="7" t="s">
        <v>67</v>
      </c>
      <c r="Q250" s="4">
        <v>65</v>
      </c>
      <c r="R250" s="5">
        <v>224.6</v>
      </c>
      <c r="S250" s="5">
        <v>320.85000000000002</v>
      </c>
      <c r="T250" s="8">
        <v>-1.4802</v>
      </c>
      <c r="U250" s="8">
        <v>0.45100000000000001</v>
      </c>
      <c r="V250" s="8">
        <v>-1.4802</v>
      </c>
      <c r="W250" s="8">
        <v>0.45100000000000001</v>
      </c>
      <c r="X250" s="8">
        <v>-1.4802</v>
      </c>
      <c r="Y250" s="5">
        <v>-96.25</v>
      </c>
      <c r="Z250" s="6">
        <v>-3.7209140497848638E-3</v>
      </c>
      <c r="AA250" s="15">
        <v>-96.25</v>
      </c>
      <c r="AB250" s="15">
        <v>-0.37209140497848636</v>
      </c>
      <c r="AC250" s="5">
        <v>104.33870549380133</v>
      </c>
      <c r="AD250" s="5">
        <v>107.10860900691053</v>
      </c>
      <c r="AE250" s="5">
        <v>-2.7699035131091989</v>
      </c>
      <c r="AF250" s="6">
        <v>-2.5860699142591682E-2</v>
      </c>
      <c r="AG250" s="5">
        <v>103.18</v>
      </c>
      <c r="AH250" s="5">
        <v>-3.67</v>
      </c>
      <c r="AI250" s="7" t="s">
        <v>68</v>
      </c>
    </row>
    <row r="251" spans="1:35" ht="18" customHeight="1" x14ac:dyDescent="0.25">
      <c r="A251" s="10">
        <v>250</v>
      </c>
      <c r="B251" s="10">
        <v>1</v>
      </c>
      <c r="C251" s="10">
        <v>250</v>
      </c>
      <c r="D251" s="109">
        <v>46069</v>
      </c>
      <c r="E251" s="109">
        <v>46076</v>
      </c>
      <c r="F251" s="109">
        <v>46077</v>
      </c>
      <c r="G251" s="11">
        <v>25682.75</v>
      </c>
      <c r="H251" s="10">
        <v>25713</v>
      </c>
      <c r="I251" s="11">
        <v>30.25</v>
      </c>
      <c r="J251" s="12">
        <v>1.1778333706476136E-3</v>
      </c>
      <c r="K251" s="13" t="s">
        <v>28</v>
      </c>
      <c r="L251" s="10">
        <v>25900</v>
      </c>
      <c r="M251" s="28">
        <f t="shared" si="9"/>
        <v>8.4589851164691421E-3</v>
      </c>
      <c r="N251" s="111">
        <f t="shared" si="10"/>
        <v>217.25</v>
      </c>
      <c r="O251" s="111">
        <f t="shared" si="11"/>
        <v>61.050000000000011</v>
      </c>
      <c r="P251" s="13" t="s">
        <v>67</v>
      </c>
      <c r="Q251" s="10">
        <v>65</v>
      </c>
      <c r="R251" s="11">
        <v>278.3</v>
      </c>
      <c r="S251" s="11">
        <v>214.95</v>
      </c>
      <c r="T251" s="14">
        <v>-0.95140000000000002</v>
      </c>
      <c r="U251" s="14">
        <v>0.60429999999999995</v>
      </c>
      <c r="V251" s="14">
        <v>-0.95140000000000002</v>
      </c>
      <c r="W251" s="14">
        <v>0.60429999999999995</v>
      </c>
      <c r="X251" s="14">
        <v>-0.95140000000000002</v>
      </c>
      <c r="Y251" s="11">
        <v>63.35</v>
      </c>
      <c r="Z251" s="12">
        <v>2.4666361662983912E-3</v>
      </c>
      <c r="AA251" s="9">
        <v>63.35</v>
      </c>
      <c r="AB251" s="9">
        <v>0.24666361662983913</v>
      </c>
      <c r="AC251" s="11">
        <v>104.5960711183171</v>
      </c>
      <c r="AD251" s="11">
        <v>107.10860900691053</v>
      </c>
      <c r="AE251" s="11">
        <v>-2.5125378885934282</v>
      </c>
      <c r="AF251" s="12">
        <v>-2.3457851912084136E-2</v>
      </c>
      <c r="AG251" s="11">
        <v>103.35</v>
      </c>
      <c r="AH251" s="11">
        <v>-3.51</v>
      </c>
      <c r="AI251" s="13" t="s">
        <v>68</v>
      </c>
    </row>
    <row r="252" spans="1:35" ht="18" customHeight="1" x14ac:dyDescent="0.25">
      <c r="A252" s="4">
        <v>251</v>
      </c>
      <c r="B252" s="4">
        <v>1</v>
      </c>
      <c r="C252" s="4">
        <v>251</v>
      </c>
      <c r="D252" s="108">
        <v>46076</v>
      </c>
      <c r="E252" s="108">
        <v>46080</v>
      </c>
      <c r="F252" s="108">
        <v>46083</v>
      </c>
      <c r="G252" s="4">
        <v>25713</v>
      </c>
      <c r="H252" s="5">
        <v>25178.65</v>
      </c>
      <c r="I252" s="5">
        <v>-534.35</v>
      </c>
      <c r="J252" s="6">
        <v>-2.078131684361996E-2</v>
      </c>
      <c r="K252" s="7" t="s">
        <v>28</v>
      </c>
      <c r="L252" s="4">
        <v>25900</v>
      </c>
      <c r="M252" s="28">
        <f t="shared" si="9"/>
        <v>7.2725858515148012E-3</v>
      </c>
      <c r="N252" s="111">
        <f t="shared" si="10"/>
        <v>187</v>
      </c>
      <c r="O252" s="111">
        <f t="shared" si="11"/>
        <v>86</v>
      </c>
      <c r="P252" s="7" t="s">
        <v>67</v>
      </c>
      <c r="Q252" s="4">
        <v>65</v>
      </c>
      <c r="R252" s="4">
        <v>273</v>
      </c>
      <c r="S252" s="5">
        <v>695.1</v>
      </c>
      <c r="T252" s="8">
        <v>-1.839</v>
      </c>
      <c r="U252" s="8">
        <v>3.9100000000000003E-2</v>
      </c>
      <c r="V252" s="8">
        <v>-1.839</v>
      </c>
      <c r="W252" s="8">
        <v>3.9100000000000003E-2</v>
      </c>
      <c r="X252" s="8">
        <v>-1.839</v>
      </c>
      <c r="Y252" s="5">
        <v>-422.1</v>
      </c>
      <c r="Z252" s="6">
        <v>-1.6415820791039554E-2</v>
      </c>
      <c r="AA252" s="15">
        <v>-422.1</v>
      </c>
      <c r="AB252" s="15">
        <v>-1.6415820791039555</v>
      </c>
      <c r="AC252" s="5">
        <v>102.87904075939198</v>
      </c>
      <c r="AD252" s="5">
        <v>107.10860900691053</v>
      </c>
      <c r="AE252" s="5">
        <v>-4.229568247518543</v>
      </c>
      <c r="AF252" s="6">
        <v>-3.9488592809992111E-2</v>
      </c>
      <c r="AG252" s="5">
        <v>102.67</v>
      </c>
      <c r="AH252" s="5">
        <v>-4.1399999999999997</v>
      </c>
      <c r="AI252" s="7" t="s">
        <v>68</v>
      </c>
    </row>
    <row r="253" spans="1:35" ht="18" customHeight="1" x14ac:dyDescent="0.25">
      <c r="A253" s="10">
        <v>252</v>
      </c>
      <c r="B253" s="10">
        <v>1</v>
      </c>
      <c r="C253" s="10">
        <v>252</v>
      </c>
      <c r="D253" s="109">
        <v>46080</v>
      </c>
      <c r="E253" s="109">
        <v>46090</v>
      </c>
      <c r="F253" s="109">
        <v>46091</v>
      </c>
      <c r="G253" s="11">
        <v>25178.65</v>
      </c>
      <c r="H253" s="11">
        <v>24028.05</v>
      </c>
      <c r="I253" s="11">
        <v>-1150.5999999999999</v>
      </c>
      <c r="J253" s="12">
        <v>-4.5697446050522957E-2</v>
      </c>
      <c r="K253" s="13" t="s">
        <v>28</v>
      </c>
      <c r="L253" s="10">
        <v>25400</v>
      </c>
      <c r="M253" s="28">
        <f t="shared" si="9"/>
        <v>8.7911782402947392E-3</v>
      </c>
      <c r="N253" s="111">
        <f t="shared" si="10"/>
        <v>221.34999999999854</v>
      </c>
      <c r="O253" s="111">
        <f t="shared" si="11"/>
        <v>80.400000000001455</v>
      </c>
      <c r="P253" s="13" t="s">
        <v>67</v>
      </c>
      <c r="Q253" s="10">
        <v>65</v>
      </c>
      <c r="R253" s="11">
        <v>301.75</v>
      </c>
      <c r="S253" s="11">
        <v>1356.8</v>
      </c>
      <c r="T253" s="14">
        <v>-5.4526000000000003</v>
      </c>
      <c r="U253" s="14">
        <v>-0.52270000000000005</v>
      </c>
      <c r="V253" s="14">
        <v>-5.4526000000000003</v>
      </c>
      <c r="W253" s="14">
        <v>-0.52270000000000005</v>
      </c>
      <c r="X253" s="14">
        <v>-5.4526000000000003</v>
      </c>
      <c r="Y253" s="11">
        <v>-1055.05</v>
      </c>
      <c r="Z253" s="12">
        <v>-4.1902564275685943E-2</v>
      </c>
      <c r="AA253" s="15">
        <v>-1055.05</v>
      </c>
      <c r="AB253" s="15">
        <v>-4.1902564275685945</v>
      </c>
      <c r="AC253" s="11">
        <v>98.568145141350641</v>
      </c>
      <c r="AD253" s="11">
        <v>107.10860900691053</v>
      </c>
      <c r="AE253" s="11">
        <v>-8.5404638655598859</v>
      </c>
      <c r="AF253" s="12">
        <v>-7.9736483787301027E-2</v>
      </c>
      <c r="AG253" s="11">
        <v>97.27</v>
      </c>
      <c r="AH253" s="11">
        <v>-9.19</v>
      </c>
      <c r="AI253" s="13" t="s">
        <v>68</v>
      </c>
    </row>
    <row r="254" spans="1:35" s="121" customFormat="1" ht="18" customHeight="1" x14ac:dyDescent="0.25">
      <c r="A254" s="112">
        <v>253</v>
      </c>
      <c r="B254" s="112">
        <v>1</v>
      </c>
      <c r="C254" s="112">
        <v>253</v>
      </c>
      <c r="D254" s="113">
        <v>46090</v>
      </c>
      <c r="E254" s="113">
        <v>46097</v>
      </c>
      <c r="F254" s="113">
        <v>46098</v>
      </c>
      <c r="G254" s="114">
        <v>24028.05</v>
      </c>
      <c r="H254" s="114">
        <v>23408.799999999999</v>
      </c>
      <c r="I254" s="114">
        <v>-619.25</v>
      </c>
      <c r="J254" s="115">
        <v>-2.5771962352334043E-2</v>
      </c>
      <c r="K254" s="116" t="s">
        <v>28</v>
      </c>
      <c r="L254" s="112">
        <v>23600</v>
      </c>
      <c r="M254" s="117">
        <f t="shared" si="9"/>
        <v>-1.7814595857757909E-2</v>
      </c>
      <c r="N254" s="118">
        <f t="shared" si="10"/>
        <v>0</v>
      </c>
      <c r="O254" s="118">
        <f t="shared" si="11"/>
        <v>255.85</v>
      </c>
      <c r="P254" s="116" t="s">
        <v>67</v>
      </c>
      <c r="Q254" s="112">
        <v>65</v>
      </c>
      <c r="R254" s="114">
        <v>255.85</v>
      </c>
      <c r="S254" s="112">
        <v>276</v>
      </c>
      <c r="T254" s="119">
        <v>-1.6387</v>
      </c>
      <c r="U254" s="119">
        <v>0.80930000000000002</v>
      </c>
      <c r="V254" s="119">
        <v>-1.6387</v>
      </c>
      <c r="W254" s="119">
        <v>0.80930000000000002</v>
      </c>
      <c r="X254" s="119">
        <v>-1.6387</v>
      </c>
      <c r="Y254" s="114">
        <v>-20.149999999999999</v>
      </c>
      <c r="Z254" s="115">
        <v>-8.3860321582483798E-4</v>
      </c>
      <c r="AA254" s="120">
        <v>-20.149999999999999</v>
      </c>
      <c r="AB254" s="120">
        <v>-8.3860321582483799E-2</v>
      </c>
      <c r="AC254" s="114">
        <v>98.485485577857219</v>
      </c>
      <c r="AD254" s="114">
        <v>107.10860900691053</v>
      </c>
      <c r="AE254" s="114">
        <v>-8.6231234290533081</v>
      </c>
      <c r="AF254" s="115">
        <v>-8.0508219731403236E-2</v>
      </c>
      <c r="AG254" s="114">
        <v>96.95</v>
      </c>
      <c r="AH254" s="114">
        <v>-9.48</v>
      </c>
      <c r="AI254" s="116" t="s">
        <v>68</v>
      </c>
    </row>
    <row r="255" spans="1:35" ht="18" customHeight="1" x14ac:dyDescent="0.25">
      <c r="A255" s="10">
        <v>254</v>
      </c>
      <c r="B255" s="10">
        <v>1</v>
      </c>
      <c r="C255" s="10">
        <v>254</v>
      </c>
      <c r="D255" s="109">
        <v>46097</v>
      </c>
      <c r="E255" s="109">
        <v>46099</v>
      </c>
      <c r="F255" s="109">
        <v>46105</v>
      </c>
      <c r="G255" s="11">
        <v>23408.799999999999</v>
      </c>
      <c r="H255" s="11">
        <v>23777.8</v>
      </c>
      <c r="I255" s="10">
        <v>369</v>
      </c>
      <c r="J255" s="12">
        <v>1.5763302689586822E-2</v>
      </c>
      <c r="K255" s="13" t="s">
        <v>28</v>
      </c>
      <c r="L255" s="10">
        <v>23800</v>
      </c>
      <c r="M255" s="28">
        <f t="shared" si="9"/>
        <v>1.671166398961077E-2</v>
      </c>
      <c r="N255" s="111">
        <f t="shared" si="10"/>
        <v>391.20000000000073</v>
      </c>
      <c r="O255" s="111">
        <f t="shared" si="11"/>
        <v>159.54999999999927</v>
      </c>
      <c r="P255" s="13" t="s">
        <v>67</v>
      </c>
      <c r="Q255" s="10">
        <v>65</v>
      </c>
      <c r="R255" s="11">
        <v>550.75</v>
      </c>
      <c r="S255" s="11">
        <v>228.3</v>
      </c>
      <c r="T255" s="14">
        <v>-3.0300000000000001E-2</v>
      </c>
      <c r="U255" s="14">
        <v>1.5445</v>
      </c>
      <c r="V255" s="14">
        <v>-3.0300000000000001E-2</v>
      </c>
      <c r="W255" s="14">
        <v>1.5445</v>
      </c>
      <c r="X255" s="14">
        <v>-3.0300000000000001E-2</v>
      </c>
      <c r="Y255" s="11">
        <v>322.45</v>
      </c>
      <c r="Z255" s="12">
        <v>1.3774734287960083E-2</v>
      </c>
      <c r="AA255" s="9">
        <v>322.45</v>
      </c>
      <c r="AB255" s="9">
        <v>1.3774734287960082</v>
      </c>
      <c r="AC255" s="11">
        <v>99.842096972912941</v>
      </c>
      <c r="AD255" s="11">
        <v>107.10860900691053</v>
      </c>
      <c r="AE255" s="11">
        <v>-7.2665120339975857</v>
      </c>
      <c r="AF255" s="12">
        <v>-6.7842464778239797E-2</v>
      </c>
      <c r="AG255" s="11">
        <v>98.46</v>
      </c>
      <c r="AH255" s="11">
        <v>-8.07</v>
      </c>
      <c r="AI255" s="13" t="s">
        <v>71</v>
      </c>
    </row>
    <row r="256" spans="1:35" ht="18" customHeight="1" x14ac:dyDescent="0.25">
      <c r="A256" s="4">
        <v>255</v>
      </c>
      <c r="B256" s="4">
        <v>1</v>
      </c>
      <c r="C256" s="4">
        <v>255</v>
      </c>
      <c r="D256" s="108">
        <v>46099</v>
      </c>
      <c r="E256" s="108">
        <v>46101</v>
      </c>
      <c r="F256" s="108">
        <v>46105</v>
      </c>
      <c r="G256" s="5">
        <v>23777.8</v>
      </c>
      <c r="H256" s="5">
        <v>23114.5</v>
      </c>
      <c r="I256" s="5">
        <v>-663.3</v>
      </c>
      <c r="J256" s="6">
        <v>-2.7895768321711849E-2</v>
      </c>
      <c r="K256" s="7" t="s">
        <v>28</v>
      </c>
      <c r="L256" s="4">
        <v>24200</v>
      </c>
      <c r="M256" s="28">
        <f t="shared" si="9"/>
        <v>1.7756058171908284E-2</v>
      </c>
      <c r="N256" s="111">
        <f t="shared" si="10"/>
        <v>422.20000000000073</v>
      </c>
      <c r="O256" s="111">
        <f t="shared" si="11"/>
        <v>66.649999999999295</v>
      </c>
      <c r="P256" s="7" t="s">
        <v>67</v>
      </c>
      <c r="Q256" s="4">
        <v>65</v>
      </c>
      <c r="R256" s="5">
        <v>488.85</v>
      </c>
      <c r="S256" s="5">
        <v>1070.2</v>
      </c>
      <c r="T256" s="8">
        <v>-3.3653</v>
      </c>
      <c r="U256" s="8">
        <v>-1.0985</v>
      </c>
      <c r="V256" s="8">
        <v>-3.3653</v>
      </c>
      <c r="W256" s="8">
        <v>-1.0985</v>
      </c>
      <c r="X256" s="8">
        <v>-3.3653</v>
      </c>
      <c r="Y256" s="5">
        <v>-581.35</v>
      </c>
      <c r="Z256" s="6">
        <v>-2.4449276215629707E-2</v>
      </c>
      <c r="AA256" s="15">
        <v>-581.35</v>
      </c>
      <c r="AB256" s="15">
        <v>-2.4449276215629707</v>
      </c>
      <c r="AC256" s="5">
        <v>97.401029966074503</v>
      </c>
      <c r="AD256" s="5">
        <v>107.10860900691053</v>
      </c>
      <c r="AE256" s="5">
        <v>-9.7075790408360234</v>
      </c>
      <c r="AF256" s="6">
        <v>-9.0633041833357214E-2</v>
      </c>
      <c r="AG256" s="5">
        <v>96.48</v>
      </c>
      <c r="AH256" s="5">
        <v>-9.92</v>
      </c>
      <c r="AI256" s="7" t="s">
        <v>70</v>
      </c>
    </row>
    <row r="257" spans="1:35" ht="18" customHeight="1" x14ac:dyDescent="0.25">
      <c r="A257" s="10">
        <v>256</v>
      </c>
      <c r="B257" s="10">
        <v>1</v>
      </c>
      <c r="C257" s="10">
        <v>256</v>
      </c>
      <c r="D257" s="109">
        <v>46142</v>
      </c>
      <c r="E257" s="109">
        <v>46146</v>
      </c>
      <c r="F257" s="109">
        <v>46147</v>
      </c>
      <c r="G257" s="11">
        <v>23997.55</v>
      </c>
      <c r="H257" s="11">
        <v>24119.3</v>
      </c>
      <c r="I257" s="11">
        <v>121.75</v>
      </c>
      <c r="J257" s="12">
        <v>5.0734345797800191E-3</v>
      </c>
      <c r="K257" s="13" t="s">
        <v>28</v>
      </c>
      <c r="L257" s="10">
        <v>24200</v>
      </c>
      <c r="M257" s="28">
        <f t="shared" si="9"/>
        <v>8.4362778700326491E-3</v>
      </c>
      <c r="N257" s="111">
        <f t="shared" si="10"/>
        <v>202.45000000000073</v>
      </c>
      <c r="O257" s="111">
        <f t="shared" si="11"/>
        <v>66.44999999999925</v>
      </c>
      <c r="P257" s="13" t="s">
        <v>67</v>
      </c>
      <c r="Q257" s="10">
        <v>65</v>
      </c>
      <c r="R257" s="11">
        <v>268.89999999999998</v>
      </c>
      <c r="S257" s="10">
        <v>132</v>
      </c>
      <c r="T257" s="14">
        <v>0.14380000000000001</v>
      </c>
      <c r="U257" s="14">
        <v>0.84240000000000004</v>
      </c>
      <c r="V257" s="14">
        <v>0.14380000000000001</v>
      </c>
      <c r="W257" s="14">
        <v>0.84240000000000004</v>
      </c>
      <c r="X257" s="14">
        <v>0.14380000000000001</v>
      </c>
      <c r="Y257" s="11">
        <v>136.9</v>
      </c>
      <c r="Z257" s="12">
        <v>5.7047490264631184E-3</v>
      </c>
      <c r="AA257" s="9">
        <v>136.9</v>
      </c>
      <c r="AB257" s="9">
        <v>0.57047490264631184</v>
      </c>
      <c r="AC257" s="11">
        <v>100.57047490264632</v>
      </c>
      <c r="AD257" s="11">
        <v>100.57047490264632</v>
      </c>
      <c r="AE257" s="10">
        <v>0</v>
      </c>
      <c r="AF257" s="12">
        <v>0</v>
      </c>
      <c r="AG257" s="11">
        <v>100.14</v>
      </c>
      <c r="AH257" s="11">
        <v>0.14000000000000001</v>
      </c>
      <c r="AI257" s="13" t="s">
        <v>68</v>
      </c>
    </row>
    <row r="258" spans="1:35" ht="18" customHeight="1" x14ac:dyDescent="0.25">
      <c r="A258" s="4">
        <v>257</v>
      </c>
      <c r="B258" s="4">
        <v>1</v>
      </c>
      <c r="C258" s="4">
        <v>257</v>
      </c>
      <c r="D258" s="108">
        <v>46146</v>
      </c>
      <c r="E258" s="108">
        <v>46153</v>
      </c>
      <c r="F258" s="108">
        <v>46154</v>
      </c>
      <c r="G258" s="5">
        <v>24119.3</v>
      </c>
      <c r="H258" s="5">
        <v>23815.85</v>
      </c>
      <c r="I258" s="5">
        <v>-303.45</v>
      </c>
      <c r="J258" s="6">
        <v>-1.2581210897497025E-2</v>
      </c>
      <c r="K258" s="7" t="s">
        <v>28</v>
      </c>
      <c r="L258" s="4">
        <v>24500</v>
      </c>
      <c r="M258" s="28">
        <f t="shared" si="9"/>
        <v>1.5784040167003299E-2</v>
      </c>
      <c r="N258" s="111">
        <f t="shared" si="10"/>
        <v>380.70000000000073</v>
      </c>
      <c r="O258" s="111">
        <f t="shared" si="11"/>
        <v>62.349999999999284</v>
      </c>
      <c r="P258" s="7" t="s">
        <v>67</v>
      </c>
      <c r="Q258" s="4">
        <v>65</v>
      </c>
      <c r="R258" s="5">
        <v>443.05</v>
      </c>
      <c r="S258" s="5">
        <v>642.54999999999995</v>
      </c>
      <c r="T258" s="8">
        <v>-0.9103</v>
      </c>
      <c r="U258" s="8">
        <v>1.1113999999999999</v>
      </c>
      <c r="V258" s="8">
        <v>-0.9103</v>
      </c>
      <c r="W258" s="8">
        <v>1.1113999999999999</v>
      </c>
      <c r="X258" s="8">
        <v>-0.9103</v>
      </c>
      <c r="Y258" s="5">
        <v>-199.5</v>
      </c>
      <c r="Z258" s="6">
        <v>-8.2713843270741695E-3</v>
      </c>
      <c r="AA258" s="15">
        <v>-199.5</v>
      </c>
      <c r="AB258" s="15">
        <v>-0.82713843270741694</v>
      </c>
      <c r="AC258" s="5">
        <v>99.738617852770162</v>
      </c>
      <c r="AD258" s="5">
        <v>100.57047490264632</v>
      </c>
      <c r="AE258" s="5">
        <v>-0.83185704987616305</v>
      </c>
      <c r="AF258" s="6">
        <v>-8.271384327074251E-3</v>
      </c>
      <c r="AG258" s="5">
        <v>99.65</v>
      </c>
      <c r="AH258" s="5">
        <v>-0.92</v>
      </c>
      <c r="AI258" s="7" t="s">
        <v>68</v>
      </c>
    </row>
    <row r="259" spans="1:35" ht="18" customHeight="1" x14ac:dyDescent="0.25">
      <c r="A259" s="10">
        <v>258</v>
      </c>
      <c r="B259" s="10">
        <v>1</v>
      </c>
      <c r="C259" s="10">
        <v>258</v>
      </c>
      <c r="D259" s="109">
        <v>46153</v>
      </c>
      <c r="E259" s="109">
        <v>46160</v>
      </c>
      <c r="F259" s="109">
        <v>46161</v>
      </c>
      <c r="G259" s="11">
        <v>23815.85</v>
      </c>
      <c r="H259" s="11">
        <v>23649.95</v>
      </c>
      <c r="I259" s="11">
        <v>-165.9</v>
      </c>
      <c r="J259" s="12">
        <v>-6.9659491473115596E-3</v>
      </c>
      <c r="K259" s="13" t="s">
        <v>28</v>
      </c>
      <c r="L259" s="10">
        <v>24200</v>
      </c>
      <c r="M259" s="28">
        <f t="shared" si="9"/>
        <v>1.6130014255212544E-2</v>
      </c>
      <c r="N259" s="111">
        <f t="shared" si="10"/>
        <v>384.15000000000146</v>
      </c>
      <c r="O259" s="111">
        <f t="shared" si="11"/>
        <v>64.099999999998545</v>
      </c>
      <c r="P259" s="13" t="s">
        <v>67</v>
      </c>
      <c r="Q259" s="10">
        <v>65</v>
      </c>
      <c r="R259" s="11">
        <v>448.25</v>
      </c>
      <c r="S259" s="11">
        <v>559.45000000000005</v>
      </c>
      <c r="T259" s="14">
        <v>-1.9378</v>
      </c>
      <c r="U259" s="14">
        <v>0.21920000000000001</v>
      </c>
      <c r="V259" s="14">
        <v>-1.9378</v>
      </c>
      <c r="W259" s="14">
        <v>0.21920000000000001</v>
      </c>
      <c r="X259" s="14">
        <v>-1.9378</v>
      </c>
      <c r="Y259" s="11">
        <v>-111.2</v>
      </c>
      <c r="Z259" s="12">
        <v>-4.6691594043462657E-3</v>
      </c>
      <c r="AA259" s="15">
        <v>-111.2</v>
      </c>
      <c r="AB259" s="15">
        <v>-0.46691594043462659</v>
      </c>
      <c r="AC259" s="11">
        <v>99.272922347246393</v>
      </c>
      <c r="AD259" s="11">
        <v>100.57047490264632</v>
      </c>
      <c r="AE259" s="11">
        <v>-1.2975525553999319</v>
      </c>
      <c r="AF259" s="12">
        <v>-1.2901923319502882E-2</v>
      </c>
      <c r="AG259" s="11">
        <v>97.81</v>
      </c>
      <c r="AH259" s="11">
        <v>-2.74</v>
      </c>
      <c r="AI259" s="13" t="s">
        <v>68</v>
      </c>
    </row>
    <row r="260" spans="1:35" ht="18" customHeight="1" x14ac:dyDescent="0.25">
      <c r="A260" s="4">
        <v>259</v>
      </c>
      <c r="B260" s="4">
        <v>1</v>
      </c>
      <c r="C260" s="4">
        <v>259</v>
      </c>
      <c r="D260" s="108">
        <v>46160</v>
      </c>
      <c r="E260" s="108">
        <v>46167</v>
      </c>
      <c r="F260" s="108">
        <v>46168</v>
      </c>
      <c r="G260" s="5">
        <v>23649.95</v>
      </c>
      <c r="H260" s="5">
        <v>24031.7</v>
      </c>
      <c r="I260" s="5">
        <v>381.75</v>
      </c>
      <c r="J260" s="6">
        <v>1.6141683174805865E-2</v>
      </c>
      <c r="K260" s="7" t="s">
        <v>28</v>
      </c>
      <c r="L260" s="4">
        <v>23200</v>
      </c>
      <c r="M260" s="28">
        <f t="shared" ref="M260:M267" si="12">L260/G260-1</f>
        <v>-1.9025410201712889E-2</v>
      </c>
      <c r="N260" s="111">
        <f t="shared" ref="N260:N267" si="13">IF(L260&gt;G260,L260-G260,0)</f>
        <v>0</v>
      </c>
      <c r="O260" s="111">
        <f t="shared" ref="O260:O267" si="14">R260-N260</f>
        <v>116.85</v>
      </c>
      <c r="P260" s="7" t="s">
        <v>67</v>
      </c>
      <c r="Q260" s="4">
        <v>65</v>
      </c>
      <c r="R260" s="5">
        <v>116.85</v>
      </c>
      <c r="S260" s="5">
        <v>2.95</v>
      </c>
      <c r="T260" s="8">
        <v>-0.13339999999999999</v>
      </c>
      <c r="U260" s="8">
        <v>0.48480000000000001</v>
      </c>
      <c r="V260" s="8">
        <v>-0.13339999999999999</v>
      </c>
      <c r="W260" s="8">
        <v>0.48480000000000001</v>
      </c>
      <c r="X260" s="8">
        <v>-0.13339999999999999</v>
      </c>
      <c r="Y260" s="5">
        <v>113.9</v>
      </c>
      <c r="Z260" s="6">
        <v>4.8160778352596941E-3</v>
      </c>
      <c r="AA260" s="9">
        <v>113.9</v>
      </c>
      <c r="AB260" s="9">
        <v>0.48160778352596939</v>
      </c>
      <c r="AC260" s="5">
        <v>99.751028468204424</v>
      </c>
      <c r="AD260" s="5">
        <v>100.57047490264632</v>
      </c>
      <c r="AE260" s="5">
        <v>-0.81944643444190035</v>
      </c>
      <c r="AF260" s="6">
        <v>-8.1479821511744512E-3</v>
      </c>
      <c r="AG260" s="5">
        <v>99.14</v>
      </c>
      <c r="AH260" s="5">
        <v>-1.42</v>
      </c>
      <c r="AI260" s="7" t="s">
        <v>69</v>
      </c>
    </row>
    <row r="261" spans="1:35" ht="18" customHeight="1" x14ac:dyDescent="0.25">
      <c r="A261" s="10">
        <v>260</v>
      </c>
      <c r="B261" s="10">
        <v>1</v>
      </c>
      <c r="C261" s="10">
        <v>260</v>
      </c>
      <c r="D261" s="109">
        <v>46167</v>
      </c>
      <c r="E261" s="109">
        <v>46174</v>
      </c>
      <c r="F261" s="109">
        <v>46175</v>
      </c>
      <c r="G261" s="11">
        <v>24031.7</v>
      </c>
      <c r="H261" s="11">
        <v>23382.6</v>
      </c>
      <c r="I261" s="11">
        <v>-649.1</v>
      </c>
      <c r="J261" s="12">
        <v>-2.7010157417078275E-2</v>
      </c>
      <c r="K261" s="13" t="s">
        <v>28</v>
      </c>
      <c r="L261" s="10">
        <v>23700</v>
      </c>
      <c r="M261" s="28">
        <f t="shared" si="12"/>
        <v>-1.3802602396001951E-2</v>
      </c>
      <c r="N261" s="111">
        <f t="shared" si="13"/>
        <v>0</v>
      </c>
      <c r="O261" s="111">
        <f t="shared" si="14"/>
        <v>76.45</v>
      </c>
      <c r="P261" s="13" t="s">
        <v>67</v>
      </c>
      <c r="Q261" s="10">
        <v>65</v>
      </c>
      <c r="R261" s="11">
        <v>76.45</v>
      </c>
      <c r="S261" s="11">
        <v>288.7</v>
      </c>
      <c r="T261" s="14">
        <v>-1.0301</v>
      </c>
      <c r="U261" s="14">
        <v>0.1706</v>
      </c>
      <c r="V261" s="14">
        <v>-1.0301</v>
      </c>
      <c r="W261" s="14">
        <v>0.1706</v>
      </c>
      <c r="X261" s="14">
        <v>-1.0301</v>
      </c>
      <c r="Y261" s="11">
        <v>-212.25</v>
      </c>
      <c r="Z261" s="12">
        <v>-8.8320842886687161E-3</v>
      </c>
      <c r="AA261" s="15">
        <v>-212.25</v>
      </c>
      <c r="AB261" s="15">
        <v>-0.88320842886687156</v>
      </c>
      <c r="AC261" s="11">
        <v>98.870018976891856</v>
      </c>
      <c r="AD261" s="11">
        <v>100.57047490264632</v>
      </c>
      <c r="AE261" s="11">
        <v>-1.7004559257544685</v>
      </c>
      <c r="AF261" s="12">
        <v>-1.6908102774701367E-2</v>
      </c>
      <c r="AG261" s="11">
        <v>98.72</v>
      </c>
      <c r="AH261" s="11">
        <v>-1.84</v>
      </c>
      <c r="AI261" s="13" t="s">
        <v>68</v>
      </c>
    </row>
    <row r="262" spans="1:35" ht="18" customHeight="1" x14ac:dyDescent="0.25">
      <c r="A262" s="4">
        <v>261</v>
      </c>
      <c r="B262" s="4">
        <v>1</v>
      </c>
      <c r="C262" s="4">
        <v>261</v>
      </c>
      <c r="D262" s="108">
        <v>46174</v>
      </c>
      <c r="E262" s="108">
        <v>46181</v>
      </c>
      <c r="F262" s="108">
        <v>46182</v>
      </c>
      <c r="G262" s="5">
        <v>23382.6</v>
      </c>
      <c r="H262" s="4">
        <v>23123</v>
      </c>
      <c r="I262" s="5">
        <v>-259.60000000000002</v>
      </c>
      <c r="J262" s="6">
        <v>-1.1102272630075356E-2</v>
      </c>
      <c r="K262" s="7" t="s">
        <v>28</v>
      </c>
      <c r="L262" s="4">
        <v>23600</v>
      </c>
      <c r="M262" s="28">
        <f t="shared" si="12"/>
        <v>9.2975118250322453E-3</v>
      </c>
      <c r="N262" s="111">
        <f t="shared" si="13"/>
        <v>217.40000000000146</v>
      </c>
      <c r="O262" s="111">
        <f t="shared" si="14"/>
        <v>73.399999999998556</v>
      </c>
      <c r="P262" s="7" t="s">
        <v>67</v>
      </c>
      <c r="Q262" s="4">
        <v>65</v>
      </c>
      <c r="R262" s="5">
        <v>290.8</v>
      </c>
      <c r="S262" s="5">
        <v>472.9</v>
      </c>
      <c r="T262" s="8">
        <v>-0.98240000000000005</v>
      </c>
      <c r="U262" s="8">
        <v>0.53349999999999997</v>
      </c>
      <c r="V262" s="8">
        <v>-0.98240000000000005</v>
      </c>
      <c r="W262" s="8">
        <v>0.53349999999999997</v>
      </c>
      <c r="X262" s="8">
        <v>-0.98240000000000005</v>
      </c>
      <c r="Y262" s="5">
        <v>-182.1</v>
      </c>
      <c r="Z262" s="6">
        <v>-7.7878422416668806E-3</v>
      </c>
      <c r="AA262" s="15">
        <v>-182.1</v>
      </c>
      <c r="AB262" s="15">
        <v>-0.77878422416668802</v>
      </c>
      <c r="AC262" s="5">
        <v>98.100034866669219</v>
      </c>
      <c r="AD262" s="5">
        <v>100.57047490264632</v>
      </c>
      <c r="AE262" s="5">
        <v>-2.4704400359771057</v>
      </c>
      <c r="AF262" s="6">
        <v>-2.4564267379352911E-2</v>
      </c>
      <c r="AG262" s="5">
        <v>97.9</v>
      </c>
      <c r="AH262" s="5">
        <v>-2.66</v>
      </c>
      <c r="AI262" s="7" t="s">
        <v>68</v>
      </c>
    </row>
    <row r="263" spans="1:35" ht="18" customHeight="1" x14ac:dyDescent="0.25">
      <c r="A263" s="10">
        <v>262</v>
      </c>
      <c r="B263" s="10">
        <v>1</v>
      </c>
      <c r="C263" s="10">
        <v>262</v>
      </c>
      <c r="D263" s="109">
        <v>46181</v>
      </c>
      <c r="E263" s="109">
        <v>46185</v>
      </c>
      <c r="F263" s="109">
        <v>46189</v>
      </c>
      <c r="G263" s="10">
        <v>23123</v>
      </c>
      <c r="H263" s="11">
        <v>23622.9</v>
      </c>
      <c r="I263" s="11">
        <v>499.9</v>
      </c>
      <c r="J263" s="12">
        <v>2.1619167063097348E-2</v>
      </c>
      <c r="K263" s="13" t="s">
        <v>28</v>
      </c>
      <c r="L263" s="10">
        <v>23400</v>
      </c>
      <c r="M263" s="28">
        <f t="shared" si="12"/>
        <v>1.1979414435843161E-2</v>
      </c>
      <c r="N263" s="111">
        <f t="shared" si="13"/>
        <v>277</v>
      </c>
      <c r="O263" s="111">
        <f t="shared" si="14"/>
        <v>86.600000000000023</v>
      </c>
      <c r="P263" s="13" t="s">
        <v>67</v>
      </c>
      <c r="Q263" s="10">
        <v>65</v>
      </c>
      <c r="R263" s="11">
        <v>363.6</v>
      </c>
      <c r="S263" s="11">
        <v>52.35</v>
      </c>
      <c r="T263" s="14">
        <v>-4.9299999999999997E-2</v>
      </c>
      <c r="U263" s="14">
        <v>1.3816999999999999</v>
      </c>
      <c r="V263" s="14">
        <v>-4.9299999999999997E-2</v>
      </c>
      <c r="W263" s="14">
        <v>1.3816999999999999</v>
      </c>
      <c r="X263" s="14">
        <v>-4.9299999999999997E-2</v>
      </c>
      <c r="Y263" s="11">
        <v>311.25</v>
      </c>
      <c r="Z263" s="12">
        <v>1.34606236215024E-2</v>
      </c>
      <c r="AA263" s="9">
        <v>311.25</v>
      </c>
      <c r="AB263" s="9">
        <v>1.3460623621502399</v>
      </c>
      <c r="AC263" s="11">
        <v>99.420522513265723</v>
      </c>
      <c r="AD263" s="11">
        <v>100.57047490264632</v>
      </c>
      <c r="AE263" s="11">
        <v>-1.1499523893806014</v>
      </c>
      <c r="AF263" s="12">
        <v>-1.1434294115581854E-2</v>
      </c>
      <c r="AG263" s="11">
        <v>98.05</v>
      </c>
      <c r="AH263" s="11">
        <v>-2.5099999999999998</v>
      </c>
      <c r="AI263" s="13" t="s">
        <v>71</v>
      </c>
    </row>
    <row r="264" spans="1:35" ht="18" customHeight="1" x14ac:dyDescent="0.25">
      <c r="A264" s="4">
        <v>263</v>
      </c>
      <c r="B264" s="4">
        <v>1</v>
      </c>
      <c r="C264" s="4">
        <v>263</v>
      </c>
      <c r="D264" s="108">
        <v>46185</v>
      </c>
      <c r="E264" s="108">
        <v>46188</v>
      </c>
      <c r="F264" s="108">
        <v>46189</v>
      </c>
      <c r="G264" s="5">
        <v>23622.9</v>
      </c>
      <c r="H264" s="5">
        <v>23853.9</v>
      </c>
      <c r="I264" s="4">
        <v>231</v>
      </c>
      <c r="J264" s="6">
        <v>9.7786469908436296E-3</v>
      </c>
      <c r="K264" s="7" t="s">
        <v>28</v>
      </c>
      <c r="L264" s="4">
        <v>23500</v>
      </c>
      <c r="M264" s="28">
        <f t="shared" si="12"/>
        <v>-5.2025788535701167E-3</v>
      </c>
      <c r="N264" s="111">
        <f t="shared" si="13"/>
        <v>0</v>
      </c>
      <c r="O264" s="111">
        <f t="shared" si="14"/>
        <v>78.849999999999994</v>
      </c>
      <c r="P264" s="7" t="s">
        <v>67</v>
      </c>
      <c r="Q264" s="4">
        <v>65</v>
      </c>
      <c r="R264" s="5">
        <v>78.849999999999994</v>
      </c>
      <c r="S264" s="5">
        <v>8.25</v>
      </c>
      <c r="T264" s="8">
        <v>0.27029999999999998</v>
      </c>
      <c r="U264" s="8">
        <v>0.31069999999999998</v>
      </c>
      <c r="V264" s="8">
        <v>0.27029999999999998</v>
      </c>
      <c r="W264" s="8">
        <v>0.31069999999999998</v>
      </c>
      <c r="X264" s="8">
        <v>0.27029999999999998</v>
      </c>
      <c r="Y264" s="5">
        <v>70.599999999999994</v>
      </c>
      <c r="Z264" s="6">
        <v>2.988625443954806E-3</v>
      </c>
      <c r="AA264" s="9">
        <v>70.599999999999994</v>
      </c>
      <c r="AB264" s="9">
        <v>0.2988625443954806</v>
      </c>
      <c r="AC264" s="5">
        <v>99.717653216500153</v>
      </c>
      <c r="AD264" s="5">
        <v>100.57047490264632</v>
      </c>
      <c r="AE264" s="5">
        <v>-0.85282168614617149</v>
      </c>
      <c r="AF264" s="6">
        <v>-8.4798414939545146E-3</v>
      </c>
      <c r="AG264" s="5">
        <v>99.69</v>
      </c>
      <c r="AH264" s="5">
        <v>-0.88</v>
      </c>
      <c r="AI264" s="7" t="s">
        <v>68</v>
      </c>
    </row>
    <row r="265" spans="1:35" ht="18" customHeight="1" x14ac:dyDescent="0.25">
      <c r="A265" s="10">
        <v>264</v>
      </c>
      <c r="B265" s="10">
        <v>1</v>
      </c>
      <c r="C265" s="10">
        <v>264</v>
      </c>
      <c r="D265" s="109">
        <v>46188</v>
      </c>
      <c r="E265" s="109">
        <v>46191</v>
      </c>
      <c r="F265" s="109">
        <v>46196</v>
      </c>
      <c r="G265" s="11">
        <v>23853.9</v>
      </c>
      <c r="H265" s="10">
        <v>24168</v>
      </c>
      <c r="I265" s="11">
        <v>314.10000000000002</v>
      </c>
      <c r="J265" s="12">
        <v>1.3167658118798184E-2</v>
      </c>
      <c r="K265" s="13" t="s">
        <v>28</v>
      </c>
      <c r="L265" s="10">
        <v>24100</v>
      </c>
      <c r="M265" s="28">
        <f t="shared" si="12"/>
        <v>1.0316971229023197E-2</v>
      </c>
      <c r="N265" s="111">
        <f t="shared" si="13"/>
        <v>246.09999999999854</v>
      </c>
      <c r="O265" s="111">
        <f t="shared" si="14"/>
        <v>75.150000000001455</v>
      </c>
      <c r="P265" s="13" t="s">
        <v>67</v>
      </c>
      <c r="Q265" s="10">
        <v>65</v>
      </c>
      <c r="R265" s="11">
        <v>321.25</v>
      </c>
      <c r="S265" s="11">
        <v>82.35</v>
      </c>
      <c r="T265" s="14">
        <v>0.1056</v>
      </c>
      <c r="U265" s="14">
        <v>1.0415000000000001</v>
      </c>
      <c r="V265" s="14">
        <v>0.1056</v>
      </c>
      <c r="W265" s="14">
        <v>1.0415000000000001</v>
      </c>
      <c r="X265" s="14">
        <v>0.1056</v>
      </c>
      <c r="Y265" s="11">
        <v>238.9</v>
      </c>
      <c r="Z265" s="12">
        <v>1.0015133793635422E-2</v>
      </c>
      <c r="AA265" s="9">
        <v>238.9</v>
      </c>
      <c r="AB265" s="9">
        <v>1.0015133793635422</v>
      </c>
      <c r="AC265" s="11">
        <v>100.71633885505074</v>
      </c>
      <c r="AD265" s="11">
        <v>100.71633885505074</v>
      </c>
      <c r="AE265" s="10">
        <v>0</v>
      </c>
      <c r="AF265" s="12">
        <v>0</v>
      </c>
      <c r="AG265" s="11">
        <v>99.82</v>
      </c>
      <c r="AH265" s="11">
        <v>-0.75</v>
      </c>
      <c r="AI265" s="13" t="s">
        <v>71</v>
      </c>
    </row>
    <row r="266" spans="1:35" ht="18" customHeight="1" x14ac:dyDescent="0.25">
      <c r="A266" s="4">
        <v>265</v>
      </c>
      <c r="B266" s="4">
        <v>1</v>
      </c>
      <c r="C266" s="4">
        <v>265</v>
      </c>
      <c r="D266" s="108">
        <v>46191</v>
      </c>
      <c r="E266" s="108">
        <v>46195</v>
      </c>
      <c r="F266" s="108">
        <v>46196</v>
      </c>
      <c r="G266" s="4">
        <v>24168</v>
      </c>
      <c r="H266" s="5">
        <v>24102.9</v>
      </c>
      <c r="I266" s="5">
        <v>-65.099999999999994</v>
      </c>
      <c r="J266" s="6">
        <v>-2.6936444885799402E-3</v>
      </c>
      <c r="K266" s="7" t="s">
        <v>28</v>
      </c>
      <c r="L266" s="4">
        <v>24200</v>
      </c>
      <c r="M266" s="28">
        <f t="shared" si="12"/>
        <v>1.324064879179021E-3</v>
      </c>
      <c r="N266" s="111">
        <f t="shared" si="13"/>
        <v>32</v>
      </c>
      <c r="O266" s="111">
        <f t="shared" si="14"/>
        <v>94</v>
      </c>
      <c r="P266" s="7" t="s">
        <v>67</v>
      </c>
      <c r="Q266" s="4">
        <v>65</v>
      </c>
      <c r="R266" s="4">
        <v>126</v>
      </c>
      <c r="S266" s="5">
        <v>112.25</v>
      </c>
      <c r="T266" s="8">
        <v>-0.74209999999999998</v>
      </c>
      <c r="U266" s="8">
        <v>0.16139999999999999</v>
      </c>
      <c r="V266" s="8">
        <v>-0.74209999999999998</v>
      </c>
      <c r="W266" s="8">
        <v>0.16139999999999999</v>
      </c>
      <c r="X266" s="8">
        <v>-0.74209999999999998</v>
      </c>
      <c r="Y266" s="5">
        <v>13.75</v>
      </c>
      <c r="Z266" s="6">
        <v>5.6893412777226087E-4</v>
      </c>
      <c r="AA266" s="9">
        <v>13.75</v>
      </c>
      <c r="AB266" s="9">
        <v>5.6893412777226086E-2</v>
      </c>
      <c r="AC266" s="5">
        <v>100.77363981744966</v>
      </c>
      <c r="AD266" s="5">
        <v>100.77363981744966</v>
      </c>
      <c r="AE266" s="4">
        <v>0</v>
      </c>
      <c r="AF266" s="6">
        <v>0</v>
      </c>
      <c r="AG266" s="5">
        <v>99.97</v>
      </c>
      <c r="AH266" s="5">
        <v>-0.74</v>
      </c>
      <c r="AI266" s="7" t="s">
        <v>68</v>
      </c>
    </row>
    <row r="267" spans="1:35" ht="18" customHeight="1" x14ac:dyDescent="0.25">
      <c r="A267" s="10">
        <v>266</v>
      </c>
      <c r="B267" s="10">
        <v>1</v>
      </c>
      <c r="C267" s="10">
        <v>266</v>
      </c>
      <c r="D267" s="109">
        <v>46195</v>
      </c>
      <c r="E267" s="109">
        <v>46202</v>
      </c>
      <c r="F267" s="109">
        <v>46203</v>
      </c>
      <c r="G267" s="11">
        <v>24102.9</v>
      </c>
      <c r="H267" s="11">
        <v>23946.25</v>
      </c>
      <c r="I267" s="11">
        <v>-156.65</v>
      </c>
      <c r="J267" s="12">
        <v>-6.4992179364308858E-3</v>
      </c>
      <c r="K267" s="13" t="s">
        <v>28</v>
      </c>
      <c r="L267" s="10">
        <v>23900</v>
      </c>
      <c r="M267" s="28">
        <f t="shared" si="12"/>
        <v>-8.4180741736472608E-3</v>
      </c>
      <c r="N267" s="111">
        <f t="shared" si="13"/>
        <v>0</v>
      </c>
      <c r="O267" s="111">
        <f t="shared" si="14"/>
        <v>70.599999999999994</v>
      </c>
      <c r="P267" s="13" t="s">
        <v>67</v>
      </c>
      <c r="Q267" s="10">
        <v>65</v>
      </c>
      <c r="R267" s="11">
        <v>70.599999999999994</v>
      </c>
      <c r="S267" s="11">
        <v>50.35</v>
      </c>
      <c r="T267" s="14">
        <v>-0.61760000000000004</v>
      </c>
      <c r="U267" s="14">
        <v>0.2064</v>
      </c>
      <c r="V267" s="14">
        <v>-0.61760000000000004</v>
      </c>
      <c r="W267" s="14">
        <v>0.2064</v>
      </c>
      <c r="X267" s="14">
        <v>-0.61760000000000004</v>
      </c>
      <c r="Y267" s="11">
        <v>20.25</v>
      </c>
      <c r="Z267" s="12">
        <v>8.4014786602442022E-4</v>
      </c>
      <c r="AA267" s="9">
        <v>20.25</v>
      </c>
      <c r="AB267" s="9">
        <v>8.4014786602442021E-2</v>
      </c>
      <c r="AC267" s="11">
        <v>100.85830457589381</v>
      </c>
      <c r="AD267" s="11">
        <v>100.85830457589381</v>
      </c>
      <c r="AE267" s="10">
        <v>0</v>
      </c>
      <c r="AF267" s="12">
        <v>0</v>
      </c>
      <c r="AG267" s="11">
        <v>100.15</v>
      </c>
      <c r="AH267" s="11">
        <v>-0.62</v>
      </c>
      <c r="AI267" s="13" t="s">
        <v>70</v>
      </c>
    </row>
    <row r="282" spans="5:10" x14ac:dyDescent="0.25">
      <c r="E282" t="s">
        <v>274</v>
      </c>
      <c r="F282" t="s">
        <v>275</v>
      </c>
      <c r="G282" t="s">
        <v>276</v>
      </c>
      <c r="H282" t="s">
        <v>273</v>
      </c>
      <c r="I282" t="s">
        <v>277</v>
      </c>
      <c r="J282" t="s">
        <v>278</v>
      </c>
    </row>
    <row r="283" spans="5:10" x14ac:dyDescent="0.25">
      <c r="E283">
        <v>21450</v>
      </c>
      <c r="F283">
        <v>22.1</v>
      </c>
      <c r="G283">
        <v>0</v>
      </c>
      <c r="H283">
        <v>22.1</v>
      </c>
      <c r="I283">
        <v>187</v>
      </c>
      <c r="J283">
        <v>8190</v>
      </c>
    </row>
    <row r="284" spans="5:10" x14ac:dyDescent="0.25">
      <c r="E284">
        <v>21500</v>
      </c>
      <c r="F284">
        <v>25.75</v>
      </c>
      <c r="G284">
        <v>0</v>
      </c>
      <c r="H284">
        <v>25.75</v>
      </c>
      <c r="I284">
        <v>12177</v>
      </c>
      <c r="J284">
        <v>551070</v>
      </c>
    </row>
    <row r="285" spans="5:10" x14ac:dyDescent="0.25">
      <c r="E285">
        <v>21700</v>
      </c>
      <c r="F285">
        <v>20.05</v>
      </c>
      <c r="G285">
        <v>0</v>
      </c>
      <c r="H285">
        <v>20.05</v>
      </c>
      <c r="I285">
        <v>22</v>
      </c>
      <c r="J285">
        <v>1430</v>
      </c>
    </row>
    <row r="286" spans="5:10" x14ac:dyDescent="0.25">
      <c r="E286">
        <v>22000</v>
      </c>
      <c r="F286">
        <v>20.05</v>
      </c>
      <c r="G286">
        <v>0</v>
      </c>
      <c r="H286">
        <v>20.05</v>
      </c>
      <c r="I286">
        <v>53</v>
      </c>
      <c r="J286">
        <v>3445</v>
      </c>
    </row>
    <row r="287" spans="5:10" x14ac:dyDescent="0.25">
      <c r="E287">
        <v>22500</v>
      </c>
      <c r="F287">
        <v>20.05</v>
      </c>
      <c r="G287">
        <v>0</v>
      </c>
      <c r="H287">
        <v>20.05</v>
      </c>
      <c r="I287">
        <v>84</v>
      </c>
      <c r="J287">
        <v>5460</v>
      </c>
    </row>
    <row r="288" spans="5:10" x14ac:dyDescent="0.25">
      <c r="E288">
        <v>22600</v>
      </c>
      <c r="F288">
        <v>20.05</v>
      </c>
      <c r="G288">
        <v>0</v>
      </c>
      <c r="H288">
        <v>20.05</v>
      </c>
      <c r="I288">
        <v>4</v>
      </c>
      <c r="J288">
        <v>260</v>
      </c>
    </row>
    <row r="289" spans="5:10" x14ac:dyDescent="0.25">
      <c r="E289">
        <v>22700</v>
      </c>
      <c r="F289">
        <v>25.05</v>
      </c>
      <c r="G289">
        <v>0</v>
      </c>
      <c r="H289">
        <v>25.05</v>
      </c>
      <c r="I289">
        <v>45</v>
      </c>
      <c r="J289">
        <v>2925</v>
      </c>
    </row>
    <row r="290" spans="5:10" x14ac:dyDescent="0.25">
      <c r="E290">
        <v>22750</v>
      </c>
      <c r="F290">
        <v>107.6</v>
      </c>
      <c r="G290">
        <v>0</v>
      </c>
      <c r="H290">
        <v>107.6</v>
      </c>
      <c r="I290">
        <v>65747</v>
      </c>
      <c r="J290">
        <v>1313260</v>
      </c>
    </row>
    <row r="291" spans="5:10" x14ac:dyDescent="0.25">
      <c r="E291">
        <v>22800</v>
      </c>
      <c r="F291">
        <v>114.95</v>
      </c>
      <c r="G291">
        <v>0</v>
      </c>
      <c r="H291">
        <v>114.95</v>
      </c>
      <c r="I291">
        <v>65379</v>
      </c>
      <c r="J291">
        <v>1140815</v>
      </c>
    </row>
    <row r="292" spans="5:10" x14ac:dyDescent="0.25">
      <c r="E292">
        <v>22850</v>
      </c>
      <c r="F292">
        <v>120.75</v>
      </c>
      <c r="G292">
        <v>0</v>
      </c>
      <c r="H292">
        <v>120.75</v>
      </c>
      <c r="I292">
        <v>12131</v>
      </c>
      <c r="J292">
        <v>120380</v>
      </c>
    </row>
    <row r="293" spans="5:10" x14ac:dyDescent="0.25">
      <c r="E293">
        <v>22900</v>
      </c>
      <c r="F293">
        <v>126.8</v>
      </c>
      <c r="G293">
        <v>0</v>
      </c>
      <c r="H293">
        <v>126.8</v>
      </c>
      <c r="I293">
        <v>17975</v>
      </c>
      <c r="J293">
        <v>213460</v>
      </c>
    </row>
    <row r="294" spans="5:10" x14ac:dyDescent="0.25">
      <c r="E294">
        <v>23000</v>
      </c>
      <c r="F294">
        <v>140.25</v>
      </c>
      <c r="G294">
        <v>0</v>
      </c>
      <c r="H294">
        <v>140.25</v>
      </c>
      <c r="I294">
        <v>115978</v>
      </c>
      <c r="J294">
        <v>1218360</v>
      </c>
    </row>
    <row r="295" spans="5:10" x14ac:dyDescent="0.25">
      <c r="E295">
        <v>23100</v>
      </c>
      <c r="F295">
        <v>154.05000000000001</v>
      </c>
      <c r="G295">
        <v>0</v>
      </c>
      <c r="H295">
        <v>154.05000000000001</v>
      </c>
      <c r="I295">
        <v>29397</v>
      </c>
      <c r="J295">
        <v>353275</v>
      </c>
    </row>
    <row r="296" spans="5:10" x14ac:dyDescent="0.25">
      <c r="E296">
        <v>23150</v>
      </c>
      <c r="F296">
        <v>162.15</v>
      </c>
      <c r="G296">
        <v>0</v>
      </c>
      <c r="H296">
        <v>162.15</v>
      </c>
      <c r="I296">
        <v>8267</v>
      </c>
      <c r="J296">
        <v>101530</v>
      </c>
    </row>
    <row r="297" spans="5:10" x14ac:dyDescent="0.25">
      <c r="E297">
        <v>23200</v>
      </c>
      <c r="F297">
        <v>171.3</v>
      </c>
      <c r="G297">
        <v>0</v>
      </c>
      <c r="H297">
        <v>171.3</v>
      </c>
      <c r="I297">
        <v>42534</v>
      </c>
      <c r="J297">
        <v>462865</v>
      </c>
    </row>
    <row r="298" spans="5:10" x14ac:dyDescent="0.25">
      <c r="E298">
        <v>23250</v>
      </c>
      <c r="F298">
        <v>176.85</v>
      </c>
      <c r="G298">
        <v>0</v>
      </c>
      <c r="H298">
        <v>176.85</v>
      </c>
      <c r="I298">
        <v>11812</v>
      </c>
      <c r="J298">
        <v>153660</v>
      </c>
    </row>
    <row r="299" spans="5:10" x14ac:dyDescent="0.25">
      <c r="E299">
        <v>23300</v>
      </c>
      <c r="F299">
        <v>189.35</v>
      </c>
      <c r="G299">
        <v>0</v>
      </c>
      <c r="H299">
        <v>189.35</v>
      </c>
      <c r="I299">
        <v>30166</v>
      </c>
      <c r="J299">
        <v>300040</v>
      </c>
    </row>
    <row r="300" spans="5:10" x14ac:dyDescent="0.25">
      <c r="E300">
        <v>23350</v>
      </c>
      <c r="F300">
        <v>194.5</v>
      </c>
      <c r="G300">
        <v>0</v>
      </c>
      <c r="H300">
        <v>194.5</v>
      </c>
      <c r="I300">
        <v>2848</v>
      </c>
      <c r="J300">
        <v>29445</v>
      </c>
    </row>
    <row r="301" spans="5:10" x14ac:dyDescent="0.25">
      <c r="E301">
        <v>23400</v>
      </c>
      <c r="F301">
        <v>206.9</v>
      </c>
      <c r="G301">
        <v>0</v>
      </c>
      <c r="H301">
        <v>206.9</v>
      </c>
      <c r="I301">
        <v>9808</v>
      </c>
      <c r="J301">
        <v>187200</v>
      </c>
    </row>
    <row r="302" spans="5:10" x14ac:dyDescent="0.25">
      <c r="E302">
        <v>23450</v>
      </c>
      <c r="F302">
        <v>217.1</v>
      </c>
      <c r="G302">
        <v>0</v>
      </c>
      <c r="H302">
        <v>217.1</v>
      </c>
      <c r="I302">
        <v>15329</v>
      </c>
      <c r="J302">
        <v>144170</v>
      </c>
    </row>
    <row r="303" spans="5:10" x14ac:dyDescent="0.25">
      <c r="E303">
        <v>23500</v>
      </c>
      <c r="F303">
        <v>228.85</v>
      </c>
      <c r="G303">
        <v>0</v>
      </c>
      <c r="H303">
        <v>228.85</v>
      </c>
      <c r="I303">
        <v>130091</v>
      </c>
      <c r="J303">
        <v>1278485</v>
      </c>
    </row>
    <row r="304" spans="5:10" x14ac:dyDescent="0.25">
      <c r="E304">
        <v>23550</v>
      </c>
      <c r="F304">
        <v>239.25</v>
      </c>
      <c r="G304">
        <v>0</v>
      </c>
      <c r="H304">
        <v>239.25</v>
      </c>
      <c r="I304">
        <v>10100</v>
      </c>
      <c r="J304">
        <v>74685</v>
      </c>
    </row>
    <row r="305" spans="5:10" x14ac:dyDescent="0.25">
      <c r="E305">
        <v>23600</v>
      </c>
      <c r="F305">
        <v>255.85</v>
      </c>
      <c r="G305">
        <v>0</v>
      </c>
      <c r="H305">
        <v>255.85</v>
      </c>
      <c r="I305">
        <v>44514</v>
      </c>
      <c r="J305">
        <v>503750</v>
      </c>
    </row>
    <row r="306" spans="5:10" x14ac:dyDescent="0.25">
      <c r="E306">
        <v>23650</v>
      </c>
      <c r="F306">
        <v>264.10000000000002</v>
      </c>
      <c r="G306">
        <v>0</v>
      </c>
      <c r="H306">
        <v>264.10000000000002</v>
      </c>
      <c r="I306">
        <v>12995</v>
      </c>
      <c r="J306">
        <v>123760</v>
      </c>
    </row>
    <row r="307" spans="5:10" x14ac:dyDescent="0.25">
      <c r="E307">
        <v>23700</v>
      </c>
      <c r="F307">
        <v>277.8</v>
      </c>
      <c r="G307">
        <v>0</v>
      </c>
      <c r="H307">
        <v>277.8</v>
      </c>
      <c r="I307">
        <v>73972</v>
      </c>
      <c r="J307">
        <v>562705</v>
      </c>
    </row>
    <row r="308" spans="5:10" x14ac:dyDescent="0.25">
      <c r="E308">
        <v>23750</v>
      </c>
      <c r="F308">
        <v>293.14999999999998</v>
      </c>
      <c r="G308">
        <v>0</v>
      </c>
      <c r="H308">
        <v>293.14999999999998</v>
      </c>
      <c r="I308">
        <v>28266</v>
      </c>
      <c r="J308">
        <v>188565</v>
      </c>
    </row>
    <row r="309" spans="5:10" x14ac:dyDescent="0.25">
      <c r="E309">
        <v>23800</v>
      </c>
      <c r="F309">
        <v>305.89999999999998</v>
      </c>
      <c r="G309">
        <v>0</v>
      </c>
      <c r="H309">
        <v>305.89999999999998</v>
      </c>
      <c r="I309">
        <v>110737</v>
      </c>
      <c r="J309">
        <v>839085</v>
      </c>
    </row>
    <row r="310" spans="5:10" x14ac:dyDescent="0.25">
      <c r="E310">
        <v>23850</v>
      </c>
      <c r="F310">
        <v>322.3</v>
      </c>
      <c r="G310">
        <v>0</v>
      </c>
      <c r="H310">
        <v>322.3</v>
      </c>
      <c r="I310">
        <v>31340</v>
      </c>
      <c r="J310">
        <v>212160</v>
      </c>
    </row>
    <row r="311" spans="5:10" x14ac:dyDescent="0.25">
      <c r="E311">
        <v>23900</v>
      </c>
      <c r="F311">
        <v>340.55</v>
      </c>
      <c r="G311">
        <v>0</v>
      </c>
      <c r="H311">
        <v>340.55</v>
      </c>
      <c r="I311">
        <v>89316</v>
      </c>
      <c r="J311">
        <v>520455</v>
      </c>
    </row>
    <row r="312" spans="5:10" x14ac:dyDescent="0.25">
      <c r="E312">
        <v>23950</v>
      </c>
      <c r="F312">
        <v>357.3</v>
      </c>
      <c r="G312">
        <v>0</v>
      </c>
      <c r="H312">
        <v>357.3</v>
      </c>
      <c r="I312">
        <v>18707</v>
      </c>
      <c r="J312">
        <v>218400</v>
      </c>
    </row>
    <row r="313" spans="5:10" x14ac:dyDescent="0.25">
      <c r="E313">
        <v>24000</v>
      </c>
      <c r="F313">
        <v>376.8</v>
      </c>
      <c r="G313">
        <v>0</v>
      </c>
      <c r="H313">
        <v>376.8</v>
      </c>
      <c r="I313">
        <v>132016</v>
      </c>
      <c r="J313">
        <v>1531075</v>
      </c>
    </row>
    <row r="314" spans="5:10" x14ac:dyDescent="0.25">
      <c r="E314">
        <v>24050</v>
      </c>
      <c r="F314">
        <v>392.05</v>
      </c>
      <c r="G314">
        <v>21.95</v>
      </c>
      <c r="H314">
        <v>370.1</v>
      </c>
      <c r="I314">
        <v>9274</v>
      </c>
      <c r="J314">
        <v>141050</v>
      </c>
    </row>
    <row r="315" spans="5:10" x14ac:dyDescent="0.25">
      <c r="E315">
        <v>24100</v>
      </c>
      <c r="F315">
        <v>420.1</v>
      </c>
      <c r="G315">
        <v>71.95</v>
      </c>
      <c r="H315">
        <v>348.15</v>
      </c>
      <c r="I315">
        <v>23626</v>
      </c>
      <c r="J315">
        <v>458315</v>
      </c>
    </row>
    <row r="316" spans="5:10" x14ac:dyDescent="0.25">
      <c r="E316">
        <v>24150</v>
      </c>
      <c r="F316">
        <v>436.4</v>
      </c>
      <c r="G316">
        <v>121.95</v>
      </c>
      <c r="H316">
        <v>314.45</v>
      </c>
      <c r="I316">
        <v>2681</v>
      </c>
      <c r="J316">
        <v>65455</v>
      </c>
    </row>
    <row r="317" spans="5:10" x14ac:dyDescent="0.25">
      <c r="E317">
        <v>24200</v>
      </c>
      <c r="F317">
        <v>458.65</v>
      </c>
      <c r="G317">
        <v>171.95</v>
      </c>
      <c r="H317">
        <v>286.7</v>
      </c>
      <c r="I317">
        <v>14585</v>
      </c>
      <c r="J317">
        <v>194090</v>
      </c>
    </row>
    <row r="318" spans="5:10" x14ac:dyDescent="0.25">
      <c r="E318">
        <v>24250</v>
      </c>
      <c r="F318">
        <v>485.4</v>
      </c>
      <c r="G318">
        <v>221.95</v>
      </c>
      <c r="H318">
        <v>263.45</v>
      </c>
      <c r="I318">
        <v>3235</v>
      </c>
      <c r="J318">
        <v>50245</v>
      </c>
    </row>
    <row r="319" spans="5:10" x14ac:dyDescent="0.25">
      <c r="E319">
        <v>24300</v>
      </c>
      <c r="F319">
        <v>514.65</v>
      </c>
      <c r="G319">
        <v>271.95</v>
      </c>
      <c r="H319">
        <v>242.7</v>
      </c>
      <c r="I319">
        <v>17214</v>
      </c>
      <c r="J319">
        <v>291850</v>
      </c>
    </row>
    <row r="320" spans="5:10" x14ac:dyDescent="0.25">
      <c r="E320">
        <v>24350</v>
      </c>
      <c r="F320">
        <v>528.20000000000005</v>
      </c>
      <c r="G320">
        <v>321.95</v>
      </c>
      <c r="H320">
        <v>206.25</v>
      </c>
      <c r="I320">
        <v>2325</v>
      </c>
      <c r="J320">
        <v>46735</v>
      </c>
    </row>
    <row r="321" spans="5:10" x14ac:dyDescent="0.25">
      <c r="E321">
        <v>24400</v>
      </c>
      <c r="F321">
        <v>558.85</v>
      </c>
      <c r="G321">
        <v>371.95</v>
      </c>
      <c r="H321">
        <v>186.9</v>
      </c>
      <c r="I321">
        <v>14506</v>
      </c>
      <c r="J321">
        <v>275535</v>
      </c>
    </row>
    <row r="322" spans="5:10" x14ac:dyDescent="0.25">
      <c r="E322">
        <v>24450</v>
      </c>
      <c r="F322">
        <v>582</v>
      </c>
      <c r="G322">
        <v>421.95</v>
      </c>
      <c r="H322">
        <v>160.05000000000001</v>
      </c>
      <c r="I322">
        <v>3182</v>
      </c>
      <c r="J322">
        <v>58565</v>
      </c>
    </row>
    <row r="323" spans="5:10" x14ac:dyDescent="0.25">
      <c r="E323">
        <v>24500</v>
      </c>
      <c r="F323">
        <v>621.70000000000005</v>
      </c>
      <c r="G323">
        <v>471.95</v>
      </c>
      <c r="H323">
        <v>149.75</v>
      </c>
      <c r="I323">
        <v>34410</v>
      </c>
      <c r="J323">
        <v>691470</v>
      </c>
    </row>
    <row r="324" spans="5:10" x14ac:dyDescent="0.25">
      <c r="E324">
        <v>24550</v>
      </c>
      <c r="F324">
        <v>643.45000000000005</v>
      </c>
      <c r="G324">
        <v>521.95000000000005</v>
      </c>
      <c r="H324">
        <v>121.5</v>
      </c>
      <c r="I324">
        <v>2818</v>
      </c>
      <c r="J324">
        <v>97305</v>
      </c>
    </row>
    <row r="325" spans="5:10" x14ac:dyDescent="0.25">
      <c r="E325">
        <v>24600</v>
      </c>
      <c r="F325">
        <v>670.85</v>
      </c>
      <c r="G325">
        <v>571.95000000000005</v>
      </c>
      <c r="H325">
        <v>98.9</v>
      </c>
      <c r="I325">
        <v>12253</v>
      </c>
      <c r="J325">
        <v>347360</v>
      </c>
    </row>
    <row r="326" spans="5:10" x14ac:dyDescent="0.25">
      <c r="E326">
        <v>24650</v>
      </c>
      <c r="F326">
        <v>703.35</v>
      </c>
      <c r="G326">
        <v>621.95000000000005</v>
      </c>
      <c r="H326">
        <v>81.400000000000006</v>
      </c>
      <c r="I326">
        <v>1746</v>
      </c>
      <c r="J326">
        <v>67080</v>
      </c>
    </row>
    <row r="327" spans="5:10" x14ac:dyDescent="0.25">
      <c r="E327">
        <v>24700</v>
      </c>
      <c r="F327">
        <v>735.35</v>
      </c>
      <c r="G327">
        <v>671.95</v>
      </c>
      <c r="H327">
        <v>63.4</v>
      </c>
      <c r="I327">
        <v>6353</v>
      </c>
      <c r="J327">
        <v>383305</v>
      </c>
    </row>
    <row r="328" spans="5:10" x14ac:dyDescent="0.25">
      <c r="E328">
        <v>24750</v>
      </c>
      <c r="F328">
        <v>781.15</v>
      </c>
      <c r="G328">
        <v>721.95</v>
      </c>
      <c r="H328">
        <v>59.2</v>
      </c>
      <c r="I328">
        <v>1675</v>
      </c>
      <c r="J328">
        <v>49790</v>
      </c>
    </row>
    <row r="329" spans="5:10" x14ac:dyDescent="0.25">
      <c r="E329">
        <v>24800</v>
      </c>
      <c r="F329">
        <v>816.2</v>
      </c>
      <c r="G329">
        <v>771.95</v>
      </c>
      <c r="H329">
        <v>44.25</v>
      </c>
      <c r="I329">
        <v>4942</v>
      </c>
      <c r="J329">
        <v>203125</v>
      </c>
    </row>
    <row r="330" spans="5:10" x14ac:dyDescent="0.25">
      <c r="E330">
        <v>24850</v>
      </c>
      <c r="F330">
        <v>865.45</v>
      </c>
      <c r="G330">
        <v>821.95</v>
      </c>
      <c r="H330">
        <v>43.5</v>
      </c>
      <c r="I330">
        <v>365</v>
      </c>
      <c r="J330">
        <v>19110</v>
      </c>
    </row>
    <row r="331" spans="5:10" x14ac:dyDescent="0.25">
      <c r="E331">
        <v>24900</v>
      </c>
      <c r="F331">
        <v>896.75</v>
      </c>
      <c r="G331">
        <v>871.95</v>
      </c>
      <c r="H331">
        <v>24.8</v>
      </c>
      <c r="I331">
        <v>5369</v>
      </c>
      <c r="J331">
        <v>212420</v>
      </c>
    </row>
    <row r="332" spans="5:10" x14ac:dyDescent="0.25">
      <c r="E332">
        <v>24950</v>
      </c>
      <c r="F332">
        <v>931.9</v>
      </c>
      <c r="G332">
        <v>921.95</v>
      </c>
      <c r="H332">
        <v>9.9499999999999993</v>
      </c>
      <c r="I332">
        <v>240</v>
      </c>
      <c r="J332">
        <v>11505</v>
      </c>
    </row>
    <row r="333" spans="5:10" x14ac:dyDescent="0.25">
      <c r="E333">
        <v>25000</v>
      </c>
      <c r="F333">
        <v>978</v>
      </c>
      <c r="G333">
        <v>971.95</v>
      </c>
      <c r="H333">
        <v>6.05</v>
      </c>
      <c r="I333">
        <v>12181</v>
      </c>
      <c r="J333">
        <v>635635</v>
      </c>
    </row>
    <row r="334" spans="5:10" x14ac:dyDescent="0.25">
      <c r="E334">
        <v>25050</v>
      </c>
      <c r="F334">
        <v>1012.8</v>
      </c>
      <c r="G334">
        <v>1021.95</v>
      </c>
      <c r="H334">
        <v>-9.15</v>
      </c>
      <c r="I334">
        <v>151</v>
      </c>
      <c r="J334">
        <v>10725</v>
      </c>
    </row>
    <row r="335" spans="5:10" x14ac:dyDescent="0.25">
      <c r="E335">
        <v>25100</v>
      </c>
      <c r="F335">
        <v>1053.45</v>
      </c>
      <c r="G335">
        <v>1071.95</v>
      </c>
      <c r="H335">
        <v>-18.5</v>
      </c>
      <c r="I335">
        <v>793</v>
      </c>
      <c r="J335">
        <v>47125</v>
      </c>
    </row>
    <row r="336" spans="5:10" x14ac:dyDescent="0.25">
      <c r="E336">
        <v>25150</v>
      </c>
      <c r="F336">
        <v>1102.45</v>
      </c>
      <c r="G336">
        <v>1121.95</v>
      </c>
      <c r="H336">
        <v>-19.5</v>
      </c>
      <c r="I336">
        <v>127</v>
      </c>
      <c r="J336">
        <v>10205</v>
      </c>
    </row>
    <row r="337" spans="5:10" x14ac:dyDescent="0.25">
      <c r="E337">
        <v>25200</v>
      </c>
      <c r="F337">
        <v>1134.45</v>
      </c>
      <c r="G337">
        <v>1171.95</v>
      </c>
      <c r="H337">
        <v>-37.5</v>
      </c>
      <c r="I337">
        <v>2004</v>
      </c>
      <c r="J337">
        <v>110370</v>
      </c>
    </row>
    <row r="338" spans="5:10" x14ac:dyDescent="0.25">
      <c r="E338">
        <v>25250</v>
      </c>
      <c r="F338">
        <v>1213</v>
      </c>
      <c r="G338">
        <v>1221.95</v>
      </c>
      <c r="H338">
        <v>-8.9499999999999993</v>
      </c>
      <c r="I338">
        <v>118</v>
      </c>
      <c r="J338">
        <v>17225</v>
      </c>
    </row>
    <row r="339" spans="5:10" x14ac:dyDescent="0.25">
      <c r="E339">
        <v>25300</v>
      </c>
      <c r="F339">
        <v>1229.8</v>
      </c>
      <c r="G339">
        <v>1271.95</v>
      </c>
      <c r="H339">
        <v>-42.15</v>
      </c>
      <c r="I339">
        <v>2215</v>
      </c>
      <c r="J339">
        <v>96980</v>
      </c>
    </row>
    <row r="340" spans="5:10" x14ac:dyDescent="0.25">
      <c r="E340">
        <v>25350</v>
      </c>
      <c r="F340">
        <v>1312.15</v>
      </c>
      <c r="G340">
        <v>1321.95</v>
      </c>
      <c r="H340">
        <v>-9.8000000000000007</v>
      </c>
      <c r="I340">
        <v>78</v>
      </c>
      <c r="J340">
        <v>8450</v>
      </c>
    </row>
    <row r="341" spans="5:10" x14ac:dyDescent="0.25">
      <c r="E341">
        <v>25400</v>
      </c>
      <c r="F341">
        <v>1323.2</v>
      </c>
      <c r="G341">
        <v>1371.95</v>
      </c>
      <c r="H341">
        <v>-48.75</v>
      </c>
      <c r="I341">
        <v>1036</v>
      </c>
      <c r="J341">
        <v>109265</v>
      </c>
    </row>
    <row r="342" spans="5:10" x14ac:dyDescent="0.25">
      <c r="E342">
        <v>25450</v>
      </c>
      <c r="F342">
        <v>1405.35</v>
      </c>
      <c r="G342">
        <v>1421.95</v>
      </c>
      <c r="H342">
        <v>-16.600000000000001</v>
      </c>
      <c r="I342">
        <v>261</v>
      </c>
      <c r="J342">
        <v>25090</v>
      </c>
    </row>
    <row r="343" spans="5:10" x14ac:dyDescent="0.25">
      <c r="E343">
        <v>25500</v>
      </c>
      <c r="F343">
        <v>1432.8</v>
      </c>
      <c r="G343">
        <v>1471.95</v>
      </c>
      <c r="H343">
        <v>-39.15</v>
      </c>
      <c r="I343">
        <v>6445</v>
      </c>
      <c r="J343">
        <v>379015</v>
      </c>
    </row>
    <row r="344" spans="5:10" x14ac:dyDescent="0.25">
      <c r="E344">
        <v>25550</v>
      </c>
      <c r="F344">
        <v>1490.65</v>
      </c>
      <c r="G344">
        <v>1521.95</v>
      </c>
      <c r="H344">
        <v>-31.3</v>
      </c>
      <c r="I344">
        <v>492</v>
      </c>
      <c r="J344">
        <v>35425</v>
      </c>
    </row>
    <row r="345" spans="5:10" x14ac:dyDescent="0.25">
      <c r="E345">
        <v>25600</v>
      </c>
      <c r="F345">
        <v>1512.75</v>
      </c>
      <c r="G345">
        <v>1571.95</v>
      </c>
      <c r="H345">
        <v>-59.2</v>
      </c>
      <c r="I345">
        <v>390</v>
      </c>
      <c r="J345">
        <v>55900</v>
      </c>
    </row>
    <row r="346" spans="5:10" x14ac:dyDescent="0.25">
      <c r="E346">
        <v>25650</v>
      </c>
      <c r="F346">
        <v>1563.55</v>
      </c>
      <c r="G346">
        <v>1621.95</v>
      </c>
      <c r="H346">
        <v>-58.4</v>
      </c>
      <c r="I346">
        <v>46</v>
      </c>
      <c r="J346">
        <v>6955</v>
      </c>
    </row>
    <row r="347" spans="5:10" x14ac:dyDescent="0.25">
      <c r="E347">
        <v>25700</v>
      </c>
      <c r="F347">
        <v>1620.05</v>
      </c>
      <c r="G347">
        <v>1671.95</v>
      </c>
      <c r="H347">
        <v>-51.9</v>
      </c>
      <c r="I347">
        <v>482</v>
      </c>
      <c r="J347">
        <v>54275</v>
      </c>
    </row>
    <row r="348" spans="5:10" x14ac:dyDescent="0.25">
      <c r="E348">
        <v>25750</v>
      </c>
      <c r="F348">
        <v>1643.05</v>
      </c>
      <c r="G348">
        <v>1721.95</v>
      </c>
      <c r="H348">
        <v>-78.900000000000006</v>
      </c>
      <c r="I348">
        <v>18</v>
      </c>
      <c r="J348">
        <v>5785</v>
      </c>
    </row>
    <row r="349" spans="5:10" x14ac:dyDescent="0.25">
      <c r="E349">
        <v>25800</v>
      </c>
      <c r="F349">
        <v>1733.8</v>
      </c>
      <c r="G349">
        <v>1771.95</v>
      </c>
      <c r="H349">
        <v>-38.15</v>
      </c>
      <c r="I349">
        <v>391</v>
      </c>
      <c r="J349">
        <v>46085</v>
      </c>
    </row>
    <row r="350" spans="5:10" x14ac:dyDescent="0.25">
      <c r="E350">
        <v>25850</v>
      </c>
      <c r="F350">
        <v>1730</v>
      </c>
      <c r="G350">
        <v>1821.95</v>
      </c>
      <c r="H350">
        <v>-91.95</v>
      </c>
      <c r="I350">
        <v>14</v>
      </c>
      <c r="J350">
        <v>4160</v>
      </c>
    </row>
    <row r="351" spans="5:10" x14ac:dyDescent="0.25">
      <c r="E351">
        <v>25900</v>
      </c>
      <c r="F351">
        <v>1818.65</v>
      </c>
      <c r="G351">
        <v>1871.95</v>
      </c>
      <c r="H351">
        <v>-53.3</v>
      </c>
      <c r="I351">
        <v>137</v>
      </c>
      <c r="J351">
        <v>20540</v>
      </c>
    </row>
    <row r="352" spans="5:10" x14ac:dyDescent="0.25">
      <c r="E352">
        <v>25950</v>
      </c>
      <c r="F352">
        <v>2001.45</v>
      </c>
      <c r="G352">
        <v>1921.95</v>
      </c>
      <c r="H352">
        <v>79.5</v>
      </c>
      <c r="I352">
        <v>7</v>
      </c>
      <c r="J352">
        <v>2665</v>
      </c>
    </row>
    <row r="353" spans="5:10" x14ac:dyDescent="0.25">
      <c r="E353">
        <v>26000</v>
      </c>
      <c r="F353">
        <v>1907.95</v>
      </c>
      <c r="G353">
        <v>1971.95</v>
      </c>
      <c r="H353">
        <v>-64</v>
      </c>
      <c r="I353">
        <v>1521</v>
      </c>
      <c r="J353">
        <v>124930</v>
      </c>
    </row>
    <row r="354" spans="5:10" x14ac:dyDescent="0.25">
      <c r="E354">
        <v>26100</v>
      </c>
      <c r="F354">
        <v>2001.35</v>
      </c>
      <c r="G354">
        <v>2071.9499999999998</v>
      </c>
      <c r="H354">
        <v>-70.599999999999994</v>
      </c>
      <c r="I354">
        <v>38</v>
      </c>
      <c r="J354">
        <v>3770</v>
      </c>
    </row>
    <row r="355" spans="5:10" x14ac:dyDescent="0.25">
      <c r="E355">
        <v>26200</v>
      </c>
      <c r="F355">
        <v>2101.15</v>
      </c>
      <c r="G355">
        <v>2171.9499999999998</v>
      </c>
      <c r="H355">
        <v>-70.8</v>
      </c>
      <c r="I355">
        <v>36</v>
      </c>
      <c r="J355">
        <v>8385</v>
      </c>
    </row>
    <row r="356" spans="5:10" x14ac:dyDescent="0.25">
      <c r="E356">
        <v>26250</v>
      </c>
      <c r="F356">
        <v>2300</v>
      </c>
      <c r="G356">
        <v>2221.9499999999998</v>
      </c>
      <c r="H356">
        <v>78.05</v>
      </c>
      <c r="I356">
        <v>16</v>
      </c>
      <c r="J356">
        <v>1235</v>
      </c>
    </row>
    <row r="357" spans="5:10" x14ac:dyDescent="0.25">
      <c r="E357">
        <v>26300</v>
      </c>
      <c r="F357">
        <v>2230</v>
      </c>
      <c r="G357">
        <v>2271.9499999999998</v>
      </c>
      <c r="H357">
        <v>-41.95</v>
      </c>
      <c r="I357">
        <v>58</v>
      </c>
      <c r="J357">
        <v>17030</v>
      </c>
    </row>
    <row r="358" spans="5:10" x14ac:dyDescent="0.25">
      <c r="E358">
        <v>26400</v>
      </c>
      <c r="F358">
        <v>2234.35</v>
      </c>
      <c r="G358">
        <v>2371.9499999999998</v>
      </c>
      <c r="H358">
        <v>-137.6</v>
      </c>
      <c r="I358">
        <v>18</v>
      </c>
      <c r="J358">
        <v>1560</v>
      </c>
    </row>
    <row r="359" spans="5:10" x14ac:dyDescent="0.25">
      <c r="E359">
        <v>26450</v>
      </c>
      <c r="F359">
        <v>2618.9499999999998</v>
      </c>
      <c r="G359">
        <v>2421.9499999999998</v>
      </c>
      <c r="H359">
        <v>197</v>
      </c>
      <c r="I359">
        <v>1</v>
      </c>
      <c r="J359">
        <v>65</v>
      </c>
    </row>
    <row r="360" spans="5:10" x14ac:dyDescent="0.25">
      <c r="E360">
        <v>26500</v>
      </c>
      <c r="F360">
        <v>2407.0500000000002</v>
      </c>
      <c r="G360">
        <v>2471.9499999999998</v>
      </c>
      <c r="H360">
        <v>-64.900000000000006</v>
      </c>
      <c r="I360">
        <v>680</v>
      </c>
      <c r="J360">
        <v>43095</v>
      </c>
    </row>
    <row r="361" spans="5:10" x14ac:dyDescent="0.25">
      <c r="E361">
        <v>27000</v>
      </c>
      <c r="F361">
        <v>2903.6</v>
      </c>
      <c r="G361">
        <v>2971.95</v>
      </c>
      <c r="H361">
        <v>-68.349999999999994</v>
      </c>
      <c r="I361">
        <v>278</v>
      </c>
      <c r="J361">
        <v>16640</v>
      </c>
    </row>
    <row r="362" spans="5:10" x14ac:dyDescent="0.25">
      <c r="E362">
        <v>27500</v>
      </c>
      <c r="F362">
        <v>3426.7</v>
      </c>
      <c r="G362">
        <v>3471.95</v>
      </c>
      <c r="H362">
        <v>-45.25</v>
      </c>
      <c r="I362">
        <v>5</v>
      </c>
      <c r="J362">
        <v>2600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95" t="s">
        <v>72</v>
      </c>
      <c r="B1" s="95"/>
      <c r="C1" s="95"/>
      <c r="D1" s="95"/>
      <c r="E1" s="95"/>
    </row>
    <row r="2" spans="1:5" ht="15.95" customHeight="1" x14ac:dyDescent="0.25">
      <c r="A2" s="96" t="s">
        <v>73</v>
      </c>
      <c r="B2" s="96"/>
      <c r="C2" s="96"/>
      <c r="D2" s="96"/>
      <c r="E2" s="96"/>
    </row>
    <row r="4" spans="1:5" ht="20.100000000000001" customHeight="1" x14ac:dyDescent="0.25">
      <c r="A4" s="94" t="s">
        <v>74</v>
      </c>
      <c r="B4" s="94"/>
      <c r="C4" s="94"/>
      <c r="D4" s="94"/>
      <c r="E4" s="94"/>
    </row>
    <row r="5" spans="1:5" ht="18" customHeight="1" x14ac:dyDescent="0.25">
      <c r="A5" s="1" t="s">
        <v>75</v>
      </c>
      <c r="B5" s="18" t="s">
        <v>76</v>
      </c>
      <c r="D5" s="1" t="s">
        <v>77</v>
      </c>
      <c r="E5" s="19">
        <v>266</v>
      </c>
    </row>
    <row r="6" spans="1:5" ht="18" customHeight="1" x14ac:dyDescent="0.25">
      <c r="A6" s="20" t="s">
        <v>78</v>
      </c>
      <c r="B6" s="21" t="s">
        <v>79</v>
      </c>
      <c r="D6" s="20" t="s">
        <v>80</v>
      </c>
      <c r="E6" s="22" t="s">
        <v>81</v>
      </c>
    </row>
    <row r="7" spans="1:5" ht="18" customHeight="1" x14ac:dyDescent="0.25">
      <c r="A7" s="1" t="s">
        <v>82</v>
      </c>
      <c r="B7" s="18" t="s">
        <v>83</v>
      </c>
      <c r="D7" s="1" t="s">
        <v>84</v>
      </c>
      <c r="E7" s="23" t="s">
        <v>85</v>
      </c>
    </row>
    <row r="8" spans="1:5" ht="18" customHeight="1" x14ac:dyDescent="0.25">
      <c r="A8" s="20" t="s">
        <v>86</v>
      </c>
      <c r="B8" s="21" t="s">
        <v>87</v>
      </c>
      <c r="D8" s="20" t="s">
        <v>88</v>
      </c>
      <c r="E8" s="21" t="s">
        <v>89</v>
      </c>
    </row>
    <row r="9" spans="1:5" ht="18" customHeight="1" x14ac:dyDescent="0.25">
      <c r="A9" s="1" t="s">
        <v>90</v>
      </c>
      <c r="B9" s="18" t="s">
        <v>91</v>
      </c>
    </row>
    <row r="10" spans="1:5" ht="18" customHeight="1" x14ac:dyDescent="0.25">
      <c r="A10" s="1" t="s">
        <v>92</v>
      </c>
      <c r="B10" s="18" t="s">
        <v>93</v>
      </c>
      <c r="D10" s="1" t="s">
        <v>94</v>
      </c>
      <c r="E10" s="23" t="s">
        <v>95</v>
      </c>
    </row>
    <row r="11" spans="1:5" ht="18" customHeight="1" x14ac:dyDescent="0.25">
      <c r="A11" s="20" t="s">
        <v>96</v>
      </c>
      <c r="B11" s="21" t="s">
        <v>97</v>
      </c>
      <c r="D11" s="20" t="s">
        <v>98</v>
      </c>
      <c r="E11" s="21" t="s">
        <v>99</v>
      </c>
    </row>
    <row r="13" spans="1:5" ht="20.100000000000001" customHeight="1" x14ac:dyDescent="0.25">
      <c r="A13" s="3" t="s">
        <v>45</v>
      </c>
      <c r="B13" s="3" t="s">
        <v>100</v>
      </c>
      <c r="C13" s="3" t="s">
        <v>101</v>
      </c>
      <c r="D13" s="97" t="s">
        <v>102</v>
      </c>
      <c r="E13" s="97"/>
    </row>
    <row r="14" spans="1:5" ht="18" customHeight="1" x14ac:dyDescent="0.25">
      <c r="A14" s="1" t="s">
        <v>43</v>
      </c>
      <c r="B14" s="18" t="s">
        <v>103</v>
      </c>
      <c r="C14" s="18" t="s">
        <v>104</v>
      </c>
      <c r="D14" s="98" t="s">
        <v>105</v>
      </c>
      <c r="E14" s="98"/>
    </row>
    <row r="15" spans="1:5" ht="18" customHeight="1" x14ac:dyDescent="0.25">
      <c r="A15" s="1" t="s">
        <v>56</v>
      </c>
      <c r="B15" s="18" t="s">
        <v>106</v>
      </c>
      <c r="C15" s="18" t="s">
        <v>76</v>
      </c>
    </row>
    <row r="16" spans="1:5" ht="18" customHeight="1" x14ac:dyDescent="0.25">
      <c r="A16" s="1" t="s">
        <v>58</v>
      </c>
      <c r="B16" s="18" t="s">
        <v>106</v>
      </c>
      <c r="C16" s="18" t="s">
        <v>76</v>
      </c>
    </row>
    <row r="18" spans="1:16" ht="20.100000000000001" customHeight="1" x14ac:dyDescent="0.25">
      <c r="A18" s="94" t="s">
        <v>107</v>
      </c>
      <c r="B18" s="94"/>
      <c r="C18" s="94"/>
      <c r="D18" s="94"/>
      <c r="E18" s="94"/>
    </row>
    <row r="19" spans="1:16" ht="18" customHeight="1" x14ac:dyDescent="0.25">
      <c r="A19" s="1" t="s">
        <v>108</v>
      </c>
      <c r="B19" s="23" t="s">
        <v>109</v>
      </c>
      <c r="D19" s="1" t="s">
        <v>110</v>
      </c>
      <c r="E19" s="23" t="s">
        <v>111</v>
      </c>
    </row>
    <row r="20" spans="1:16" ht="18" customHeight="1" x14ac:dyDescent="0.25">
      <c r="A20" s="99" t="s">
        <v>112</v>
      </c>
      <c r="B20" s="99"/>
      <c r="C20" s="99"/>
      <c r="D20" s="99"/>
      <c r="E20" s="99"/>
    </row>
    <row r="21" spans="1:16" ht="18" customHeight="1" x14ac:dyDescent="0.25">
      <c r="A21" s="20" t="s">
        <v>113</v>
      </c>
      <c r="B21" s="21" t="s">
        <v>114</v>
      </c>
    </row>
    <row r="23" spans="1:16" ht="20.100000000000001" customHeight="1" x14ac:dyDescent="0.25">
      <c r="A23" s="94" t="s">
        <v>115</v>
      </c>
      <c r="B23" s="94"/>
      <c r="C23" s="94"/>
      <c r="D23" s="94"/>
      <c r="E23" s="94"/>
    </row>
    <row r="24" spans="1:16" ht="18" customHeight="1" x14ac:dyDescent="0.25">
      <c r="A24" s="1" t="s">
        <v>116</v>
      </c>
      <c r="B24" s="18" t="s">
        <v>117</v>
      </c>
      <c r="D24" s="1" t="s">
        <v>118</v>
      </c>
      <c r="E24" s="23" t="s">
        <v>119</v>
      </c>
    </row>
    <row r="26" spans="1:16" ht="20.100000000000001" customHeight="1" x14ac:dyDescent="0.25">
      <c r="A26" s="94" t="s">
        <v>120</v>
      </c>
      <c r="B26" s="94"/>
      <c r="C26" s="94"/>
      <c r="D26" s="94"/>
      <c r="E26" s="94"/>
    </row>
    <row r="27" spans="1:16" ht="20.100000000000001" customHeight="1" x14ac:dyDescent="0.25">
      <c r="A27" s="3" t="s">
        <v>121</v>
      </c>
      <c r="B27" s="3" t="s">
        <v>122</v>
      </c>
      <c r="C27" s="3" t="s">
        <v>123</v>
      </c>
      <c r="D27" s="3" t="s">
        <v>124</v>
      </c>
      <c r="E27" s="3" t="s">
        <v>125</v>
      </c>
      <c r="F27" s="3" t="s">
        <v>126</v>
      </c>
      <c r="G27" s="3" t="s">
        <v>127</v>
      </c>
      <c r="H27" s="3" t="s">
        <v>128</v>
      </c>
      <c r="I27" s="3" t="s">
        <v>129</v>
      </c>
      <c r="J27" s="3" t="s">
        <v>130</v>
      </c>
      <c r="K27" s="3" t="s">
        <v>131</v>
      </c>
      <c r="L27" s="3" t="s">
        <v>132</v>
      </c>
      <c r="M27" s="3" t="s">
        <v>133</v>
      </c>
      <c r="N27" s="3" t="s">
        <v>134</v>
      </c>
      <c r="O27" s="3" t="s">
        <v>135</v>
      </c>
      <c r="P27" s="3" t="s">
        <v>136</v>
      </c>
    </row>
    <row r="28" spans="1:16" ht="18" customHeight="1" x14ac:dyDescent="0.25">
      <c r="A28" s="25" t="s">
        <v>137</v>
      </c>
      <c r="B28" s="26">
        <v>0</v>
      </c>
      <c r="C28" s="26">
        <v>0</v>
      </c>
      <c r="D28" s="26">
        <v>0</v>
      </c>
      <c r="E28" s="27">
        <v>188.3</v>
      </c>
      <c r="F28" s="24">
        <v>-313.25</v>
      </c>
      <c r="G28" s="26">
        <v>0</v>
      </c>
      <c r="H28" s="26">
        <v>0</v>
      </c>
      <c r="I28" s="26">
        <v>0</v>
      </c>
      <c r="J28" s="26">
        <v>0</v>
      </c>
      <c r="K28" s="27">
        <v>283.14999999999998</v>
      </c>
      <c r="L28" s="27">
        <v>162.75</v>
      </c>
      <c r="M28" s="27">
        <v>120.45</v>
      </c>
      <c r="N28" s="27">
        <v>441.4</v>
      </c>
      <c r="O28" s="28">
        <v>-2.6717604659982665E-2</v>
      </c>
      <c r="P28" s="26">
        <v>1.1499999999999999</v>
      </c>
    </row>
    <row r="29" spans="1:16" ht="18" customHeight="1" x14ac:dyDescent="0.25">
      <c r="A29" s="25" t="s">
        <v>138</v>
      </c>
      <c r="B29" s="24">
        <v>-131.30000000000001</v>
      </c>
      <c r="C29" s="24">
        <v>-569.20000000000005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4">
        <v>-700.5</v>
      </c>
      <c r="O29" s="30">
        <v>-5.9173568703990445E-2</v>
      </c>
      <c r="P29" s="29">
        <v>-0.98</v>
      </c>
    </row>
    <row r="30" spans="1:16" ht="18" customHeight="1" x14ac:dyDescent="0.25">
      <c r="A30" s="25" t="s">
        <v>139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7">
        <v>462.7</v>
      </c>
      <c r="J30" s="24">
        <v>-571.1</v>
      </c>
      <c r="K30" s="27">
        <v>658.45</v>
      </c>
      <c r="L30" s="27">
        <v>577.15</v>
      </c>
      <c r="M30" s="24">
        <v>-612.45000000000005</v>
      </c>
      <c r="N30" s="27">
        <v>514.75</v>
      </c>
      <c r="O30" s="28">
        <v>-4.6692189793508511E-2</v>
      </c>
      <c r="P30" s="26">
        <v>0.51</v>
      </c>
    </row>
    <row r="31" spans="1:16" ht="18" customHeight="1" x14ac:dyDescent="0.25">
      <c r="A31" s="25" t="s">
        <v>140</v>
      </c>
      <c r="B31" s="29">
        <v>0</v>
      </c>
      <c r="C31" s="29">
        <v>0</v>
      </c>
      <c r="D31" s="29">
        <v>0</v>
      </c>
      <c r="E31" s="29">
        <v>0</v>
      </c>
      <c r="F31" s="27">
        <v>361.45</v>
      </c>
      <c r="G31" s="27">
        <v>294.60000000000002</v>
      </c>
      <c r="H31" s="27">
        <v>288.85000000000002</v>
      </c>
      <c r="I31" s="24">
        <v>-59</v>
      </c>
      <c r="J31" s="27">
        <v>61</v>
      </c>
      <c r="K31" s="24">
        <v>-358.95</v>
      </c>
      <c r="L31" s="27">
        <v>469.1</v>
      </c>
      <c r="M31" s="27">
        <v>281.89999999999998</v>
      </c>
      <c r="N31" s="27">
        <v>1338.95</v>
      </c>
      <c r="O31" s="30">
        <v>-2.6289914035099494E-2</v>
      </c>
      <c r="P31" s="29">
        <v>2.2400000000000002</v>
      </c>
    </row>
    <row r="32" spans="1:16" ht="18" customHeight="1" x14ac:dyDescent="0.25">
      <c r="A32" s="25" t="s">
        <v>141</v>
      </c>
      <c r="B32" s="24">
        <v>-23.85</v>
      </c>
      <c r="C32" s="27">
        <v>432.65</v>
      </c>
      <c r="D32" s="24">
        <v>-94.75</v>
      </c>
      <c r="E32" s="26">
        <v>0</v>
      </c>
      <c r="F32" s="27">
        <v>63.5</v>
      </c>
      <c r="G32" s="27">
        <v>482.15</v>
      </c>
      <c r="H32" s="27">
        <v>879.2</v>
      </c>
      <c r="I32" s="24">
        <v>-313.89999999999998</v>
      </c>
      <c r="J32" s="27">
        <v>613.45000000000005</v>
      </c>
      <c r="K32" s="24">
        <v>-1255.55</v>
      </c>
      <c r="L32" s="24">
        <v>-368.15</v>
      </c>
      <c r="M32" s="27">
        <v>76.75</v>
      </c>
      <c r="N32" s="27">
        <v>491.5</v>
      </c>
      <c r="O32" s="28">
        <v>-7.5534907684760053E-2</v>
      </c>
      <c r="P32" s="26">
        <v>0.25</v>
      </c>
    </row>
    <row r="33" spans="1:16" ht="18" customHeight="1" x14ac:dyDescent="0.25">
      <c r="A33" s="25" t="s">
        <v>142</v>
      </c>
      <c r="B33" s="29">
        <v>0</v>
      </c>
      <c r="C33" s="29">
        <v>0</v>
      </c>
      <c r="D33" s="29">
        <v>0</v>
      </c>
      <c r="E33" s="27">
        <v>435.85</v>
      </c>
      <c r="F33" s="27">
        <v>247.45</v>
      </c>
      <c r="G33" s="27">
        <v>754.05</v>
      </c>
      <c r="H33" s="24">
        <v>-301.60000000000002</v>
      </c>
      <c r="I33" s="24">
        <v>-181.5</v>
      </c>
      <c r="J33" s="24">
        <v>-13.95</v>
      </c>
      <c r="K33" s="27">
        <v>514.25</v>
      </c>
      <c r="L33" s="27">
        <v>55.85</v>
      </c>
      <c r="M33" s="27">
        <v>113.6</v>
      </c>
      <c r="N33" s="27">
        <v>1624</v>
      </c>
      <c r="O33" s="30">
        <v>-3.56193793403645E-2</v>
      </c>
      <c r="P33" s="29">
        <v>0.68</v>
      </c>
    </row>
    <row r="34" spans="1:16" ht="18" customHeight="1" x14ac:dyDescent="0.25">
      <c r="A34" s="25" t="s">
        <v>143</v>
      </c>
      <c r="B34" s="24">
        <v>-700.8</v>
      </c>
      <c r="C34" s="24">
        <v>-264.95</v>
      </c>
      <c r="D34" s="24">
        <v>-1334.1</v>
      </c>
      <c r="E34" s="26">
        <v>0</v>
      </c>
      <c r="F34" s="24">
        <v>-59.9</v>
      </c>
      <c r="G34" s="27">
        <v>260.39999999999998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4">
        <v>-2099.35</v>
      </c>
      <c r="O34" s="28">
        <v>-9.0633041833357214E-2</v>
      </c>
      <c r="P34" s="26">
        <v>-0.74</v>
      </c>
    </row>
    <row r="36" spans="1:16" ht="20.100000000000001" customHeight="1" x14ac:dyDescent="0.25">
      <c r="A36" s="94" t="s">
        <v>144</v>
      </c>
      <c r="B36" s="94"/>
      <c r="C36" s="94"/>
      <c r="D36" s="94"/>
      <c r="E36" s="94"/>
    </row>
    <row r="37" spans="1:16" ht="20.100000000000001" customHeight="1" x14ac:dyDescent="0.25">
      <c r="A37" s="3" t="s">
        <v>121</v>
      </c>
      <c r="B37" s="3" t="s">
        <v>122</v>
      </c>
      <c r="C37" s="3" t="s">
        <v>123</v>
      </c>
      <c r="D37" s="3" t="s">
        <v>124</v>
      </c>
      <c r="E37" s="3" t="s">
        <v>125</v>
      </c>
      <c r="F37" s="3" t="s">
        <v>126</v>
      </c>
      <c r="G37" s="3" t="s">
        <v>127</v>
      </c>
      <c r="H37" s="3" t="s">
        <v>128</v>
      </c>
      <c r="I37" s="3" t="s">
        <v>129</v>
      </c>
      <c r="J37" s="3" t="s">
        <v>130</v>
      </c>
      <c r="K37" s="3" t="s">
        <v>131</v>
      </c>
      <c r="L37" s="3" t="s">
        <v>132</v>
      </c>
      <c r="M37" s="3" t="s">
        <v>133</v>
      </c>
      <c r="N37" s="3" t="s">
        <v>134</v>
      </c>
      <c r="O37" s="3" t="s">
        <v>135</v>
      </c>
      <c r="P37" s="3" t="s">
        <v>136</v>
      </c>
    </row>
    <row r="38" spans="1:16" ht="18" customHeight="1" x14ac:dyDescent="0.25">
      <c r="A38" s="25" t="s">
        <v>137</v>
      </c>
      <c r="B38" s="28">
        <v>0</v>
      </c>
      <c r="C38" s="28">
        <v>0</v>
      </c>
      <c r="D38" s="28">
        <v>0</v>
      </c>
      <c r="E38" s="31">
        <v>1.6200000000000003E-2</v>
      </c>
      <c r="F38" s="32">
        <v>-2.6800000000000001E-2</v>
      </c>
      <c r="G38" s="28">
        <v>0</v>
      </c>
      <c r="H38" s="28">
        <v>0</v>
      </c>
      <c r="I38" s="28">
        <v>0</v>
      </c>
      <c r="J38" s="28">
        <v>0</v>
      </c>
      <c r="K38" s="31">
        <v>2.46E-2</v>
      </c>
      <c r="L38" s="31">
        <v>1.37E-2</v>
      </c>
      <c r="M38" s="31">
        <v>0.01</v>
      </c>
      <c r="N38" s="31">
        <v>3.7599999999999995E-2</v>
      </c>
      <c r="O38" s="28">
        <v>-2.6717604659982665E-2</v>
      </c>
      <c r="P38" s="26">
        <v>1.41</v>
      </c>
    </row>
    <row r="39" spans="1:16" ht="18" customHeight="1" x14ac:dyDescent="0.25">
      <c r="A39" s="25" t="s">
        <v>138</v>
      </c>
      <c r="B39" s="32">
        <v>-1.0500000000000001E-2</v>
      </c>
      <c r="C39" s="32">
        <v>-4.8000000000000001E-2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2">
        <v>-5.8600000000000006E-2</v>
      </c>
      <c r="O39" s="30">
        <v>-5.9173568703990445E-2</v>
      </c>
      <c r="P39" s="29">
        <v>-0.99</v>
      </c>
    </row>
    <row r="40" spans="1:16" ht="18" customHeight="1" x14ac:dyDescent="0.25">
      <c r="A40" s="25" t="s">
        <v>139</v>
      </c>
      <c r="B40" s="28">
        <v>0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31">
        <v>2.6699999999999998E-2</v>
      </c>
      <c r="J40" s="32">
        <v>-3.1600000000000003E-2</v>
      </c>
      <c r="K40" s="31">
        <v>3.7900000000000003E-2</v>
      </c>
      <c r="L40" s="31">
        <v>3.1699999999999999E-2</v>
      </c>
      <c r="M40" s="32">
        <v>-3.3099999999999997E-2</v>
      </c>
      <c r="N40" s="31">
        <v>3.1400000000000004E-2</v>
      </c>
      <c r="O40" s="28">
        <v>-4.6692189793508511E-2</v>
      </c>
      <c r="P40" s="26">
        <v>0.67</v>
      </c>
    </row>
    <row r="41" spans="1:16" ht="18" customHeight="1" x14ac:dyDescent="0.25">
      <c r="A41" s="25" t="s">
        <v>140</v>
      </c>
      <c r="B41" s="30">
        <v>0</v>
      </c>
      <c r="C41" s="30">
        <v>0</v>
      </c>
      <c r="D41" s="30">
        <v>0</v>
      </c>
      <c r="E41" s="30">
        <v>0</v>
      </c>
      <c r="F41" s="31">
        <v>1.9799999999999998E-2</v>
      </c>
      <c r="G41" s="31">
        <v>1.5700000000000002E-2</v>
      </c>
      <c r="H41" s="31">
        <v>1.49E-2</v>
      </c>
      <c r="I41" s="32">
        <v>-2.8999999999999998E-3</v>
      </c>
      <c r="J41" s="31">
        <v>3.3E-3</v>
      </c>
      <c r="K41" s="32">
        <v>-1.8200000000000001E-2</v>
      </c>
      <c r="L41" s="31">
        <v>2.4199999999999999E-2</v>
      </c>
      <c r="M41" s="31">
        <v>1.38E-2</v>
      </c>
      <c r="N41" s="31">
        <v>7.0699999999999999E-2</v>
      </c>
      <c r="O41" s="30">
        <v>-2.6289914035099494E-2</v>
      </c>
      <c r="P41" s="29">
        <v>2.69</v>
      </c>
    </row>
    <row r="42" spans="1:16" ht="18" customHeight="1" x14ac:dyDescent="0.25">
      <c r="A42" s="25" t="s">
        <v>141</v>
      </c>
      <c r="B42" s="32">
        <v>-8.9999999999999998E-4</v>
      </c>
      <c r="C42" s="31">
        <v>1.9900000000000001E-2</v>
      </c>
      <c r="D42" s="32">
        <v>-3.9000000000000003E-3</v>
      </c>
      <c r="E42" s="28">
        <v>0</v>
      </c>
      <c r="F42" s="31">
        <v>3.0999999999999999E-3</v>
      </c>
      <c r="G42" s="31">
        <v>2.1099999999999997E-2</v>
      </c>
      <c r="H42" s="31">
        <v>3.6200000000000003E-2</v>
      </c>
      <c r="I42" s="32">
        <v>-1.2500000000000001E-2</v>
      </c>
      <c r="J42" s="31">
        <v>2.4199999999999999E-2</v>
      </c>
      <c r="K42" s="32">
        <v>-4.9100000000000005E-2</v>
      </c>
      <c r="L42" s="32">
        <v>-1.46E-2</v>
      </c>
      <c r="M42" s="31">
        <v>3.2000000000000002E-3</v>
      </c>
      <c r="N42" s="31">
        <v>2.6699999999999998E-2</v>
      </c>
      <c r="O42" s="28">
        <v>-7.5534907684760053E-2</v>
      </c>
      <c r="P42" s="26">
        <v>0.35</v>
      </c>
    </row>
    <row r="43" spans="1:16" ht="18" customHeight="1" x14ac:dyDescent="0.25">
      <c r="A43" s="25" t="s">
        <v>142</v>
      </c>
      <c r="B43" s="30">
        <v>0</v>
      </c>
      <c r="C43" s="30">
        <v>0</v>
      </c>
      <c r="D43" s="30">
        <v>0</v>
      </c>
      <c r="E43" s="31">
        <v>1.9E-2</v>
      </c>
      <c r="F43" s="31">
        <v>1.04E-2</v>
      </c>
      <c r="G43" s="31">
        <v>3.0299999999999997E-2</v>
      </c>
      <c r="H43" s="32">
        <v>-1.1899999999999999E-2</v>
      </c>
      <c r="I43" s="32">
        <v>-7.1999999999999998E-3</v>
      </c>
      <c r="J43" s="32">
        <v>-2.9999999999999997E-4</v>
      </c>
      <c r="K43" s="31">
        <v>2.0499999999999997E-2</v>
      </c>
      <c r="L43" s="31">
        <v>2.2000000000000001E-3</v>
      </c>
      <c r="M43" s="31">
        <v>4.4000000000000003E-3</v>
      </c>
      <c r="N43" s="31">
        <v>6.7400000000000002E-2</v>
      </c>
      <c r="O43" s="30">
        <v>-3.56193793403645E-2</v>
      </c>
      <c r="P43" s="29">
        <v>1.89</v>
      </c>
    </row>
    <row r="44" spans="1:16" ht="18" customHeight="1" x14ac:dyDescent="0.25">
      <c r="A44" s="25" t="s">
        <v>143</v>
      </c>
      <c r="B44" s="32">
        <v>-2.6800000000000001E-2</v>
      </c>
      <c r="C44" s="32">
        <v>-1.01E-2</v>
      </c>
      <c r="D44" s="32">
        <v>-5.3399999999999996E-2</v>
      </c>
      <c r="E44" s="28">
        <v>0</v>
      </c>
      <c r="F44" s="32">
        <v>-2.3999999999999998E-3</v>
      </c>
      <c r="G44" s="31">
        <v>1.1299999999999999E-2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32">
        <v>-8.14E-2</v>
      </c>
      <c r="O44" s="28">
        <v>-9.0633041833357214E-2</v>
      </c>
      <c r="P44" s="26">
        <v>-0.9</v>
      </c>
    </row>
    <row r="46" spans="1:16" ht="20.100000000000001" customHeight="1" x14ac:dyDescent="0.25">
      <c r="A46" s="94" t="s">
        <v>145</v>
      </c>
      <c r="B46" s="94"/>
      <c r="C46" s="94"/>
      <c r="D46" s="94"/>
      <c r="E46" s="94"/>
    </row>
    <row r="47" spans="1:16" ht="18" customHeight="1" x14ac:dyDescent="0.25">
      <c r="A47" s="1" t="s">
        <v>146</v>
      </c>
      <c r="B47" s="23" t="s">
        <v>147</v>
      </c>
      <c r="D47" s="1" t="s">
        <v>148</v>
      </c>
      <c r="E47" s="23" t="s">
        <v>149</v>
      </c>
    </row>
    <row r="48" spans="1:16" ht="18" customHeight="1" x14ac:dyDescent="0.25">
      <c r="A48" s="1" t="s">
        <v>150</v>
      </c>
      <c r="B48" s="23" t="s">
        <v>151</v>
      </c>
    </row>
    <row r="49" spans="1:5" ht="18" customHeight="1" x14ac:dyDescent="0.25">
      <c r="A49" s="20" t="s">
        <v>152</v>
      </c>
      <c r="B49" s="21" t="s">
        <v>114</v>
      </c>
      <c r="D49" s="20" t="s">
        <v>153</v>
      </c>
      <c r="E49" s="21" t="s">
        <v>114</v>
      </c>
    </row>
    <row r="51" spans="1:5" ht="18" customHeight="1" x14ac:dyDescent="0.25">
      <c r="A51" s="1" t="s">
        <v>154</v>
      </c>
      <c r="B51" s="18" t="s">
        <v>155</v>
      </c>
      <c r="D51" s="1" t="s">
        <v>156</v>
      </c>
      <c r="E51" s="23" t="s">
        <v>157</v>
      </c>
    </row>
    <row r="52" spans="1:5" ht="18" customHeight="1" x14ac:dyDescent="0.25">
      <c r="A52" s="20" t="s">
        <v>158</v>
      </c>
      <c r="B52" s="22" t="s">
        <v>147</v>
      </c>
      <c r="D52" s="20" t="s">
        <v>159</v>
      </c>
      <c r="E52" s="22" t="s">
        <v>160</v>
      </c>
    </row>
    <row r="53" spans="1:5" ht="18" customHeight="1" x14ac:dyDescent="0.25">
      <c r="A53" s="1" t="s">
        <v>161</v>
      </c>
      <c r="B53" s="18" t="s">
        <v>162</v>
      </c>
      <c r="D53" s="1" t="s">
        <v>163</v>
      </c>
      <c r="E53" s="23" t="s">
        <v>164</v>
      </c>
    </row>
    <row r="54" spans="1:5" ht="18" customHeight="1" x14ac:dyDescent="0.25">
      <c r="A54" s="20" t="s">
        <v>165</v>
      </c>
      <c r="B54" s="22" t="s">
        <v>166</v>
      </c>
      <c r="D54" s="20" t="s">
        <v>167</v>
      </c>
      <c r="E54" s="22" t="s">
        <v>168</v>
      </c>
    </row>
    <row r="55" spans="1:5" ht="18" customHeight="1" x14ac:dyDescent="0.25">
      <c r="A55" s="1" t="s">
        <v>169</v>
      </c>
      <c r="B55" s="18" t="s">
        <v>170</v>
      </c>
      <c r="D55" s="1" t="s">
        <v>171</v>
      </c>
      <c r="E55" s="23" t="s">
        <v>172</v>
      </c>
    </row>
    <row r="56" spans="1:5" ht="18" customHeight="1" x14ac:dyDescent="0.25">
      <c r="A56" s="20" t="s">
        <v>173</v>
      </c>
      <c r="B56" s="22" t="s">
        <v>166</v>
      </c>
      <c r="D56" s="20" t="s">
        <v>174</v>
      </c>
      <c r="E56" s="22" t="s">
        <v>175</v>
      </c>
    </row>
    <row r="58" spans="1:5" ht="18" customHeight="1" x14ac:dyDescent="0.25">
      <c r="A58" s="100" t="s">
        <v>176</v>
      </c>
      <c r="B58" s="100"/>
      <c r="C58" s="100"/>
      <c r="D58" s="100"/>
      <c r="E58" s="33" t="s">
        <v>177</v>
      </c>
    </row>
    <row r="59" spans="1:5" ht="18" customHeight="1" x14ac:dyDescent="0.25">
      <c r="A59" s="101" t="s">
        <v>178</v>
      </c>
      <c r="B59" s="101"/>
      <c r="C59" s="101"/>
      <c r="D59" s="101"/>
      <c r="E59" s="34" t="s">
        <v>179</v>
      </c>
    </row>
    <row r="60" spans="1:5" ht="18" customHeight="1" x14ac:dyDescent="0.25">
      <c r="A60" s="100" t="s">
        <v>180</v>
      </c>
      <c r="B60" s="100"/>
      <c r="C60" s="100"/>
      <c r="D60" s="100"/>
      <c r="E60" s="33" t="s">
        <v>181</v>
      </c>
    </row>
  </sheetData>
  <mergeCells count="14">
    <mergeCell ref="A46:E46"/>
    <mergeCell ref="A58:D58"/>
    <mergeCell ref="A59:D59"/>
    <mergeCell ref="A60:D60"/>
    <mergeCell ref="A18:E18"/>
    <mergeCell ref="A20:E20"/>
    <mergeCell ref="A23:E23"/>
    <mergeCell ref="A26:E26"/>
    <mergeCell ref="A36:E36"/>
    <mergeCell ref="A1:E1"/>
    <mergeCell ref="A2:E2"/>
    <mergeCell ref="A4:E4"/>
    <mergeCell ref="D13:E13"/>
    <mergeCell ref="D14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8" width="12" customWidth="1"/>
    <col min="10" max="14" width="12" customWidth="1"/>
  </cols>
  <sheetData>
    <row r="1" spans="1:14" x14ac:dyDescent="0.25">
      <c r="A1" s="102" t="s">
        <v>182</v>
      </c>
      <c r="B1" s="102"/>
      <c r="C1" s="102"/>
      <c r="D1" s="102"/>
      <c r="E1" s="102"/>
      <c r="F1" s="102"/>
      <c r="G1" s="102"/>
      <c r="H1" s="102"/>
    </row>
    <row r="2" spans="1:14" x14ac:dyDescent="0.25">
      <c r="A2" s="103" t="s">
        <v>183</v>
      </c>
      <c r="B2" s="103"/>
      <c r="C2" s="103"/>
      <c r="D2" s="103"/>
      <c r="E2" s="103"/>
      <c r="F2" s="103"/>
      <c r="G2" s="103"/>
      <c r="H2" s="103"/>
    </row>
    <row r="4" spans="1:14" x14ac:dyDescent="0.25">
      <c r="A4" s="3" t="s">
        <v>184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51</v>
      </c>
      <c r="G4" s="3" t="s">
        <v>64</v>
      </c>
      <c r="H4" s="3" t="s">
        <v>65</v>
      </c>
      <c r="J4" s="35" t="s">
        <v>185</v>
      </c>
      <c r="K4" s="35" t="s">
        <v>186</v>
      </c>
      <c r="L4" s="35" t="s">
        <v>187</v>
      </c>
      <c r="M4" s="35" t="s">
        <v>184</v>
      </c>
      <c r="N4" s="35" t="s">
        <v>188</v>
      </c>
    </row>
    <row r="5" spans="1:14" x14ac:dyDescent="0.25">
      <c r="A5" s="36">
        <v>0.49381016698354252</v>
      </c>
      <c r="B5" s="36">
        <v>100.49381016698354</v>
      </c>
      <c r="C5" s="36">
        <v>100.49381016698354</v>
      </c>
      <c r="D5" s="36"/>
      <c r="E5" s="36">
        <v>0</v>
      </c>
      <c r="F5" s="36">
        <v>0.1114</v>
      </c>
      <c r="G5" s="36">
        <v>100.1114</v>
      </c>
      <c r="H5" s="36">
        <v>0.11140000000000594</v>
      </c>
      <c r="J5" s="36" t="s">
        <v>189</v>
      </c>
      <c r="K5" s="36" t="s">
        <v>190</v>
      </c>
      <c r="L5" s="37">
        <v>-9.0571684216176234</v>
      </c>
      <c r="M5" s="36">
        <v>-1.062964484647791</v>
      </c>
      <c r="N5" s="36">
        <v>-2.8448522465239212</v>
      </c>
    </row>
    <row r="6" spans="1:14" x14ac:dyDescent="0.25">
      <c r="A6" s="36">
        <v>0.24948578446317612</v>
      </c>
      <c r="B6" s="36">
        <v>100.74452793761557</v>
      </c>
      <c r="C6" s="36">
        <v>100.74452793761557</v>
      </c>
      <c r="D6" s="36"/>
      <c r="E6" s="36">
        <v>0</v>
      </c>
      <c r="F6" s="36">
        <v>-0.1885</v>
      </c>
      <c r="G6" s="36">
        <v>100.30437933481878</v>
      </c>
      <c r="H6" s="36">
        <v>-0.18849999999999145</v>
      </c>
      <c r="J6" s="36" t="s">
        <v>191</v>
      </c>
      <c r="K6" s="36" t="s">
        <v>192</v>
      </c>
      <c r="L6" s="37">
        <v>-2.7482121756891575</v>
      </c>
      <c r="M6" s="36">
        <v>-1.0288592200838904</v>
      </c>
      <c r="N6" s="36">
        <v>-6.1431832320959057</v>
      </c>
    </row>
    <row r="7" spans="1:14" x14ac:dyDescent="0.25">
      <c r="A7" s="36">
        <v>0.62455219564410447</v>
      </c>
      <c r="B7" s="36">
        <v>101.37373009884124</v>
      </c>
      <c r="C7" s="36">
        <v>101.37373009884124</v>
      </c>
      <c r="D7" s="36"/>
      <c r="E7" s="36">
        <v>0</v>
      </c>
      <c r="F7" s="36">
        <v>-0.1187</v>
      </c>
      <c r="G7" s="36">
        <v>100.62494418295361</v>
      </c>
      <c r="H7" s="36">
        <v>-0.11870000000000491</v>
      </c>
      <c r="J7" s="36" t="s">
        <v>193</v>
      </c>
      <c r="K7" s="36" t="s">
        <v>194</v>
      </c>
      <c r="L7" s="37">
        <v>7.6285061679834287</v>
      </c>
      <c r="M7" s="36">
        <v>3.1438691165204231</v>
      </c>
      <c r="N7" s="36">
        <v>-4.9923903270108427</v>
      </c>
    </row>
    <row r="8" spans="1:14" x14ac:dyDescent="0.25">
      <c r="A8" s="36">
        <v>-4.6660982510615375E-3</v>
      </c>
      <c r="B8" s="36">
        <v>101.36899990099405</v>
      </c>
      <c r="C8" s="36">
        <v>101.37373009884124</v>
      </c>
      <c r="D8" s="36">
        <v>-4.7301978471807615E-3</v>
      </c>
      <c r="E8" s="36">
        <v>-4.6660982510643858E-5</v>
      </c>
      <c r="F8" s="36">
        <v>-1.3243</v>
      </c>
      <c r="G8" s="36">
        <v>100.03123779114227</v>
      </c>
      <c r="H8" s="36">
        <v>-1.3243000000000116</v>
      </c>
      <c r="J8" s="36" t="s">
        <v>195</v>
      </c>
      <c r="K8" s="36" t="s">
        <v>196</v>
      </c>
      <c r="L8" s="37">
        <v>9.6709898581614375</v>
      </c>
      <c r="M8" s="36">
        <v>8.5820473120654643</v>
      </c>
      <c r="N8" s="36">
        <v>-3.2841035493471282</v>
      </c>
    </row>
    <row r="9" spans="1:14" x14ac:dyDescent="0.25">
      <c r="A9" s="36">
        <v>0.25626484395986748</v>
      </c>
      <c r="B9" s="36">
        <v>101.62877301041401</v>
      </c>
      <c r="C9" s="36">
        <v>101.62877301041401</v>
      </c>
      <c r="D9" s="36"/>
      <c r="E9" s="36">
        <v>0</v>
      </c>
      <c r="F9" s="36">
        <v>-0.28310000000000002</v>
      </c>
      <c r="G9" s="36">
        <v>101.08202426227435</v>
      </c>
      <c r="H9" s="36">
        <v>-0.28775288852691538</v>
      </c>
      <c r="J9" s="36" t="s">
        <v>197</v>
      </c>
      <c r="K9" s="36" t="s">
        <v>198</v>
      </c>
      <c r="L9" s="37">
        <v>1.3526751903383927</v>
      </c>
      <c r="M9" s="36">
        <v>1.158911040302955</v>
      </c>
      <c r="N9" s="36">
        <v>-8.3056355675836908</v>
      </c>
    </row>
    <row r="10" spans="1:14" x14ac:dyDescent="0.25">
      <c r="A10" s="36">
        <v>-2.1977928439796903</v>
      </c>
      <c r="B10" s="36">
        <v>99.395183109766762</v>
      </c>
      <c r="C10" s="36">
        <v>101.62877301041401</v>
      </c>
      <c r="D10" s="36">
        <v>-2.2335899006472459</v>
      </c>
      <c r="E10" s="36">
        <v>-2.1977928439796943E-2</v>
      </c>
      <c r="F10" s="36">
        <v>-2.3220999999999998</v>
      </c>
      <c r="G10" s="36">
        <v>99.268851272339177</v>
      </c>
      <c r="H10" s="36">
        <v>-2.3221000000000047</v>
      </c>
      <c r="J10" s="36" t="s">
        <v>199</v>
      </c>
      <c r="K10" s="36" t="s">
        <v>200</v>
      </c>
      <c r="L10" s="37">
        <v>-2.6564298373884188</v>
      </c>
      <c r="M10" s="36">
        <v>-2.2878054188778849</v>
      </c>
      <c r="N10" s="36">
        <v>-9.9212362311057678</v>
      </c>
    </row>
    <row r="11" spans="1:14" x14ac:dyDescent="0.25">
      <c r="A11" s="36">
        <v>-0.48461853346772948</v>
      </c>
      <c r="B11" s="36">
        <v>98.91349563104265</v>
      </c>
      <c r="C11" s="36">
        <v>101.62877301041401</v>
      </c>
      <c r="D11" s="36">
        <v>-2.7152773793713578</v>
      </c>
      <c r="E11" s="36">
        <v>-2.6717604659982665E-2</v>
      </c>
      <c r="F11" s="36">
        <v>-0.66159999999999997</v>
      </c>
      <c r="G11" s="36">
        <v>98.73758457831255</v>
      </c>
      <c r="H11" s="36">
        <v>-2.8448522465239212</v>
      </c>
      <c r="J11" s="36" t="s">
        <v>201</v>
      </c>
      <c r="K11" s="36" t="s">
        <v>202</v>
      </c>
      <c r="L11" s="37">
        <v>5.3365974378928316</v>
      </c>
      <c r="M11" s="36">
        <v>0.88338214528560888</v>
      </c>
      <c r="N11" s="36">
        <v>-2.7489101441584118</v>
      </c>
    </row>
    <row r="12" spans="1:14" x14ac:dyDescent="0.25">
      <c r="A12" s="36">
        <v>-0.60612926981249649</v>
      </c>
      <c r="B12" s="36">
        <v>99.393870730187501</v>
      </c>
      <c r="C12" s="36">
        <v>100</v>
      </c>
      <c r="D12" s="36">
        <v>-0.60612926981249871</v>
      </c>
      <c r="E12" s="36">
        <v>-6.0612926981249869E-3</v>
      </c>
      <c r="F12" s="36">
        <v>-1.5709</v>
      </c>
      <c r="G12" s="36">
        <v>98.429100000000005</v>
      </c>
      <c r="H12" s="36">
        <v>-1.5708999999999973</v>
      </c>
    </row>
    <row r="13" spans="1:14" x14ac:dyDescent="0.25">
      <c r="A13" s="36">
        <v>0.25000220072359791</v>
      </c>
      <c r="B13" s="36">
        <v>99.642357594397339</v>
      </c>
      <c r="C13" s="36">
        <v>100</v>
      </c>
      <c r="D13" s="36">
        <v>-0.35764240560266103</v>
      </c>
      <c r="E13" s="36">
        <v>-3.5764240560266104E-3</v>
      </c>
      <c r="F13" s="36">
        <v>-1.6496999999999999</v>
      </c>
      <c r="G13" s="36">
        <v>97.754170044751604</v>
      </c>
      <c r="H13" s="36">
        <v>-2.2458299552484018</v>
      </c>
    </row>
    <row r="14" spans="1:14" x14ac:dyDescent="0.25">
      <c r="A14" s="36">
        <v>0.45212272281297233</v>
      </c>
      <c r="B14" s="36">
        <v>100.09286333462816</v>
      </c>
      <c r="C14" s="36">
        <v>100.09286333462816</v>
      </c>
      <c r="D14" s="36"/>
      <c r="E14" s="36">
        <v>0</v>
      </c>
      <c r="F14" s="36">
        <v>-0.59</v>
      </c>
      <c r="G14" s="36">
        <v>99.054467684590392</v>
      </c>
      <c r="H14" s="36">
        <v>-0.94553231540960292</v>
      </c>
    </row>
    <row r="15" spans="1:14" x14ac:dyDescent="0.25">
      <c r="A15" s="36">
        <v>0.27169395273137742</v>
      </c>
      <c r="B15" s="36">
        <v>100.36480959142402</v>
      </c>
      <c r="C15" s="36">
        <v>100.36480959142402</v>
      </c>
      <c r="D15" s="36"/>
      <c r="E15" s="36">
        <v>0</v>
      </c>
      <c r="F15" s="36">
        <v>1.23E-2</v>
      </c>
      <c r="G15" s="36">
        <v>100.10517475681833</v>
      </c>
      <c r="H15" s="36">
        <v>1.2300000000009526E-2</v>
      </c>
    </row>
    <row r="16" spans="1:14" x14ac:dyDescent="0.25">
      <c r="A16" s="36">
        <v>0.60319260293091415</v>
      </c>
      <c r="B16" s="36">
        <v>100.97020269882519</v>
      </c>
      <c r="C16" s="36">
        <v>100.97020269882519</v>
      </c>
      <c r="D16" s="36"/>
      <c r="E16" s="36">
        <v>0</v>
      </c>
      <c r="F16" s="36">
        <v>-7.6300000000000007E-2</v>
      </c>
      <c r="G16" s="36">
        <v>100.28823124170577</v>
      </c>
      <c r="H16" s="36">
        <v>-7.6299999999995816E-2</v>
      </c>
    </row>
    <row r="17" spans="1:8" x14ac:dyDescent="0.25">
      <c r="A17" s="36">
        <v>0.47771731390817646</v>
      </c>
      <c r="B17" s="36">
        <v>101.45255483900566</v>
      </c>
      <c r="C17" s="36">
        <v>101.45255483900566</v>
      </c>
      <c r="D17" s="36"/>
      <c r="E17" s="36">
        <v>0</v>
      </c>
      <c r="F17" s="36">
        <v>-0.1497</v>
      </c>
      <c r="G17" s="36">
        <v>100.81905030538505</v>
      </c>
      <c r="H17" s="36">
        <v>-0.14969999999999706</v>
      </c>
    </row>
    <row r="18" spans="1:8" x14ac:dyDescent="0.25">
      <c r="A18" s="36">
        <v>0.72517472272731187</v>
      </c>
      <c r="B18" s="36">
        <v>102.18826312225919</v>
      </c>
      <c r="C18" s="36">
        <v>102.18826312225919</v>
      </c>
      <c r="D18" s="36"/>
      <c r="E18" s="36">
        <v>0</v>
      </c>
      <c r="F18" s="36">
        <v>-0.42049999999999998</v>
      </c>
      <c r="G18" s="36">
        <v>101.02594684590764</v>
      </c>
      <c r="H18" s="36">
        <v>-0.42050000000000143</v>
      </c>
    </row>
    <row r="19" spans="1:8" x14ac:dyDescent="0.25">
      <c r="A19" s="36">
        <v>0.28379083470138333</v>
      </c>
      <c r="B19" s="36">
        <v>102.47826404714068</v>
      </c>
      <c r="C19" s="36">
        <v>102.47826404714068</v>
      </c>
      <c r="D19" s="36"/>
      <c r="E19" s="36">
        <v>0</v>
      </c>
      <c r="F19" s="36">
        <v>-1.61E-2</v>
      </c>
      <c r="G19" s="36">
        <v>102.17181081189651</v>
      </c>
      <c r="H19" s="36">
        <v>-1.6099999999996673E-2</v>
      </c>
    </row>
    <row r="20" spans="1:8" x14ac:dyDescent="0.25">
      <c r="A20" s="36">
        <v>0.65560067881899009</v>
      </c>
      <c r="B20" s="36">
        <v>103.15011224187565</v>
      </c>
      <c r="C20" s="36">
        <v>103.15011224187565</v>
      </c>
      <c r="D20" s="36"/>
      <c r="E20" s="36">
        <v>0</v>
      </c>
      <c r="F20" s="36">
        <v>0.1009</v>
      </c>
      <c r="G20" s="36">
        <v>102.58166461556425</v>
      </c>
      <c r="H20" s="36">
        <v>0.10090000000000376</v>
      </c>
    </row>
    <row r="21" spans="1:8" x14ac:dyDescent="0.25">
      <c r="A21" s="36">
        <v>-0.47927260875560446</v>
      </c>
      <c r="B21" s="36">
        <v>102.65574200799966</v>
      </c>
      <c r="C21" s="36">
        <v>103.15011224187565</v>
      </c>
      <c r="D21" s="36">
        <v>-0.49437023387598344</v>
      </c>
      <c r="E21" s="36">
        <v>-4.79272608755616E-3</v>
      </c>
      <c r="F21" s="36">
        <v>-0.60709999999999997</v>
      </c>
      <c r="G21" s="36">
        <v>102.52388791045522</v>
      </c>
      <c r="H21" s="36">
        <v>-0.60710000000000486</v>
      </c>
    </row>
    <row r="22" spans="1:8" x14ac:dyDescent="0.25">
      <c r="A22" s="36">
        <v>0.58063671566536745</v>
      </c>
      <c r="B22" s="36">
        <v>103.25179893683683</v>
      </c>
      <c r="C22" s="36">
        <v>103.25179893683683</v>
      </c>
      <c r="D22" s="36"/>
      <c r="E22" s="36">
        <v>0</v>
      </c>
      <c r="F22" s="36">
        <v>-6.88E-2</v>
      </c>
      <c r="G22" s="36">
        <v>102.58511485749816</v>
      </c>
      <c r="H22" s="36">
        <v>-0.54774286920079573</v>
      </c>
    </row>
    <row r="23" spans="1:8" x14ac:dyDescent="0.25">
      <c r="A23" s="36">
        <v>0.61421273262161324</v>
      </c>
      <c r="B23" s="36">
        <v>103.88598463256776</v>
      </c>
      <c r="C23" s="36">
        <v>103.88598463256776</v>
      </c>
      <c r="D23" s="36"/>
      <c r="E23" s="36">
        <v>0</v>
      </c>
      <c r="F23" s="36">
        <v>-0.56499999999999995</v>
      </c>
      <c r="G23" s="36">
        <v>102.6684262728437</v>
      </c>
      <c r="H23" s="36">
        <v>-0.56500000000000439</v>
      </c>
    </row>
    <row r="24" spans="1:8" x14ac:dyDescent="0.25">
      <c r="A24" s="36">
        <v>9.4622625137388727E-2</v>
      </c>
      <c r="B24" s="36">
        <v>103.98428427837692</v>
      </c>
      <c r="C24" s="36">
        <v>103.98428427837692</v>
      </c>
      <c r="D24" s="36"/>
      <c r="E24" s="36">
        <v>0</v>
      </c>
      <c r="F24" s="36">
        <v>-0.74050000000000005</v>
      </c>
      <c r="G24" s="36">
        <v>103.11670891636359</v>
      </c>
      <c r="H24" s="36">
        <v>-0.74049999999999949</v>
      </c>
    </row>
    <row r="25" spans="1:8" x14ac:dyDescent="0.25">
      <c r="A25" s="36">
        <v>-0.38901620831672645</v>
      </c>
      <c r="B25" s="36">
        <v>103.57976855843189</v>
      </c>
      <c r="C25" s="36">
        <v>103.98428427837692</v>
      </c>
      <c r="D25" s="36">
        <v>-0.40451571994502444</v>
      </c>
      <c r="E25" s="36">
        <v>-3.8901620831672322E-3</v>
      </c>
      <c r="F25" s="36">
        <v>-0.88060000000000005</v>
      </c>
      <c r="G25" s="36">
        <v>103.06859867102153</v>
      </c>
      <c r="H25" s="36">
        <v>-0.88059999999999805</v>
      </c>
    </row>
    <row r="26" spans="1:8" x14ac:dyDescent="0.25">
      <c r="A26" s="36">
        <v>0.47396548322229365</v>
      </c>
      <c r="B26" s="36">
        <v>104.07070090900039</v>
      </c>
      <c r="C26" s="36">
        <v>104.07070090900039</v>
      </c>
      <c r="D26" s="36"/>
      <c r="E26" s="36">
        <v>0</v>
      </c>
      <c r="F26" s="36">
        <v>0.13009999999999999</v>
      </c>
      <c r="G26" s="36">
        <v>103.71452583732642</v>
      </c>
      <c r="H26" s="36">
        <v>-0.25942231840373475</v>
      </c>
    </row>
    <row r="27" spans="1:8" x14ac:dyDescent="0.25">
      <c r="A27" s="36">
        <v>0.47945262147649897</v>
      </c>
      <c r="B27" s="36">
        <v>104.56967061269756</v>
      </c>
      <c r="C27" s="36">
        <v>104.56967061269756</v>
      </c>
      <c r="D27" s="36"/>
      <c r="E27" s="36">
        <v>0</v>
      </c>
      <c r="F27" s="36">
        <v>-0.14560000000000001</v>
      </c>
      <c r="G27" s="36">
        <v>103.91917396847688</v>
      </c>
      <c r="H27" s="36">
        <v>-0.14560000000000128</v>
      </c>
    </row>
    <row r="28" spans="1:8" x14ac:dyDescent="0.25">
      <c r="A28" s="36">
        <v>0.33915224212769962</v>
      </c>
      <c r="B28" s="36">
        <v>104.92432099516608</v>
      </c>
      <c r="C28" s="36">
        <v>104.92432099516608</v>
      </c>
      <c r="D28" s="36"/>
      <c r="E28" s="36">
        <v>0</v>
      </c>
      <c r="F28" s="36">
        <v>-8.6300000000000002E-2</v>
      </c>
      <c r="G28" s="36">
        <v>104.47942698695881</v>
      </c>
      <c r="H28" s="36">
        <v>-8.6299999999994714E-2</v>
      </c>
    </row>
    <row r="29" spans="1:8" x14ac:dyDescent="0.25">
      <c r="A29" s="36">
        <v>0.13999697082577747</v>
      </c>
      <c r="B29" s="36">
        <v>105.07121186621885</v>
      </c>
      <c r="C29" s="36">
        <v>105.07121186621885</v>
      </c>
      <c r="D29" s="36"/>
      <c r="E29" s="36">
        <v>0</v>
      </c>
      <c r="F29" s="36">
        <v>-0.33929999999999999</v>
      </c>
      <c r="G29" s="36">
        <v>104.56831277402949</v>
      </c>
      <c r="H29" s="36">
        <v>-0.33929999999999794</v>
      </c>
    </row>
    <row r="30" spans="1:8" x14ac:dyDescent="0.25">
      <c r="A30" s="36">
        <v>-0.98707161912579522</v>
      </c>
      <c r="B30" s="36">
        <v>104.03408375401587</v>
      </c>
      <c r="C30" s="36">
        <v>105.07121186621885</v>
      </c>
      <c r="D30" s="36">
        <v>-1.0371281122029785</v>
      </c>
      <c r="E30" s="36">
        <v>-9.8707161912579278E-3</v>
      </c>
      <c r="F30" s="36">
        <v>-1.7163999999999999</v>
      </c>
      <c r="G30" s="36">
        <v>103.26776958574708</v>
      </c>
      <c r="H30" s="36">
        <v>-1.7163999999999957</v>
      </c>
    </row>
    <row r="31" spans="1:8" x14ac:dyDescent="0.25">
      <c r="A31" s="36">
        <v>0.45819872186672317</v>
      </c>
      <c r="B31" s="36">
        <v>104.51076659608252</v>
      </c>
      <c r="C31" s="36">
        <v>105.07121186621885</v>
      </c>
      <c r="D31" s="36">
        <v>-0.56044527013632717</v>
      </c>
      <c r="E31" s="36">
        <v>-5.3339564680181858E-3</v>
      </c>
      <c r="F31" s="36">
        <v>0.2079</v>
      </c>
      <c r="G31" s="36">
        <v>104.25037061414046</v>
      </c>
      <c r="H31" s="36">
        <v>-0.78122374102195247</v>
      </c>
    </row>
    <row r="32" spans="1:8" x14ac:dyDescent="0.25">
      <c r="A32" s="36">
        <v>0.41216774858995242</v>
      </c>
      <c r="B32" s="36">
        <v>104.94152626979569</v>
      </c>
      <c r="C32" s="36">
        <v>105.07121186621885</v>
      </c>
      <c r="D32" s="36">
        <v>-0.12968559642315824</v>
      </c>
      <c r="E32" s="36">
        <v>-1.2342638304037026E-3</v>
      </c>
      <c r="F32" s="36">
        <v>-3.7699999999999997E-2</v>
      </c>
      <c r="G32" s="36">
        <v>104.4713660370758</v>
      </c>
      <c r="H32" s="36">
        <v>-0.57089455664297573</v>
      </c>
    </row>
    <row r="33" spans="1:8" x14ac:dyDescent="0.25">
      <c r="A33" s="36">
        <v>-1.8200496671331386E-2</v>
      </c>
      <c r="B33" s="36">
        <v>104.92242639080011</v>
      </c>
      <c r="C33" s="36">
        <v>105.07121186621885</v>
      </c>
      <c r="D33" s="36">
        <v>-0.14878547541873388</v>
      </c>
      <c r="E33" s="36">
        <v>-1.4160441549696211E-3</v>
      </c>
      <c r="F33" s="36">
        <v>-0.4667</v>
      </c>
      <c r="G33" s="36">
        <v>104.45176416669456</v>
      </c>
      <c r="H33" s="36">
        <v>-0.58955035211071261</v>
      </c>
    </row>
    <row r="34" spans="1:8" x14ac:dyDescent="0.25">
      <c r="A34" s="36">
        <v>-1.0572537327943095</v>
      </c>
      <c r="B34" s="36">
        <v>103.81313012124502</v>
      </c>
      <c r="C34" s="36">
        <v>105.07121186621885</v>
      </c>
      <c r="D34" s="36">
        <v>-1.258081744973822</v>
      </c>
      <c r="E34" s="36">
        <v>-1.1973610303226211E-2</v>
      </c>
      <c r="F34" s="36">
        <v>-1.3213999999999999</v>
      </c>
      <c r="G34" s="36">
        <v>103.53598144847209</v>
      </c>
      <c r="H34" s="36">
        <v>-1.4611332547505795</v>
      </c>
    </row>
    <row r="35" spans="1:8" x14ac:dyDescent="0.25">
      <c r="A35" s="36">
        <v>0.42248635075865826</v>
      </c>
      <c r="B35" s="36">
        <v>104.25172642630261</v>
      </c>
      <c r="C35" s="36">
        <v>105.07121186621885</v>
      </c>
      <c r="D35" s="36">
        <v>-0.81948543991623524</v>
      </c>
      <c r="E35" s="36">
        <v>-7.7993336648637789E-3</v>
      </c>
      <c r="F35" s="36">
        <v>-9.5799999999999996E-2</v>
      </c>
      <c r="G35" s="36">
        <v>103.71367714258886</v>
      </c>
      <c r="H35" s="36">
        <v>-1.2920139584555734</v>
      </c>
    </row>
    <row r="36" spans="1:8" x14ac:dyDescent="0.25">
      <c r="A36" s="36">
        <v>-0.42455044598207908</v>
      </c>
      <c r="B36" s="36">
        <v>103.80912525681573</v>
      </c>
      <c r="C36" s="36">
        <v>105.07121186621885</v>
      </c>
      <c r="D36" s="36">
        <v>-1.2620866094031129</v>
      </c>
      <c r="E36" s="36">
        <v>-1.2011726018826694E-2</v>
      </c>
      <c r="F36" s="36">
        <v>-1.1206</v>
      </c>
      <c r="G36" s="36">
        <v>103.08348157996946</v>
      </c>
      <c r="H36" s="36">
        <v>-1.8917934331815323</v>
      </c>
    </row>
    <row r="37" spans="1:8" x14ac:dyDescent="0.25">
      <c r="A37" s="36">
        <v>0.29762150129848719</v>
      </c>
      <c r="B37" s="36">
        <v>104.11808353388989</v>
      </c>
      <c r="C37" s="36">
        <v>105.07121186621885</v>
      </c>
      <c r="D37" s="36">
        <v>-0.95312833232895855</v>
      </c>
      <c r="E37" s="36">
        <v>-9.0712604851509882E-3</v>
      </c>
      <c r="F37" s="36">
        <v>-3.6789999999999998</v>
      </c>
      <c r="G37" s="36">
        <v>99.989987538617484</v>
      </c>
      <c r="H37" s="36">
        <v>-4.8359814618594061</v>
      </c>
    </row>
    <row r="38" spans="1:8" x14ac:dyDescent="0.25">
      <c r="A38" s="36">
        <v>0.78582861491502709</v>
      </c>
      <c r="B38" s="36">
        <v>104.93627322760032</v>
      </c>
      <c r="C38" s="36">
        <v>105.07121186621885</v>
      </c>
      <c r="D38" s="36">
        <v>-0.13493863861852162</v>
      </c>
      <c r="E38" s="36">
        <v>-1.2842588966265208E-3</v>
      </c>
      <c r="F38" s="36">
        <v>-0.39369999999999999</v>
      </c>
      <c r="G38" s="36">
        <v>103.70817063901697</v>
      </c>
      <c r="H38" s="36">
        <v>-1.2972546932620843</v>
      </c>
    </row>
    <row r="39" spans="1:8" x14ac:dyDescent="0.25">
      <c r="A39" s="36">
        <v>-7.5402419434154017E-2</v>
      </c>
      <c r="B39" s="36">
        <v>104.85714873872267</v>
      </c>
      <c r="C39" s="36">
        <v>105.07121186621885</v>
      </c>
      <c r="D39" s="36">
        <v>-0.21406312749617484</v>
      </c>
      <c r="E39" s="36">
        <v>-2.0373147286882839E-3</v>
      </c>
      <c r="F39" s="36">
        <v>-1.7781</v>
      </c>
      <c r="G39" s="36">
        <v>103.07040135334036</v>
      </c>
      <c r="H39" s="36">
        <v>-1.9042423489185611</v>
      </c>
    </row>
    <row r="40" spans="1:8" x14ac:dyDescent="0.25">
      <c r="A40" s="36">
        <v>-2.8220585688484978</v>
      </c>
      <c r="B40" s="36">
        <v>101.89801858769134</v>
      </c>
      <c r="C40" s="36">
        <v>105.07121186621885</v>
      </c>
      <c r="D40" s="36">
        <v>-3.1731932785275063</v>
      </c>
      <c r="E40" s="36">
        <v>-3.0200406202297844E-2</v>
      </c>
      <c r="F40" s="36">
        <v>-3.3201999999999998</v>
      </c>
      <c r="G40" s="36">
        <v>101.3756816862996</v>
      </c>
      <c r="H40" s="36">
        <v>-3.5171671805066418</v>
      </c>
    </row>
    <row r="41" spans="1:8" x14ac:dyDescent="0.25">
      <c r="A41" s="36">
        <v>-2.9875412082031079</v>
      </c>
      <c r="B41" s="36">
        <v>98.853773292041609</v>
      </c>
      <c r="C41" s="36">
        <v>105.07121186621885</v>
      </c>
      <c r="D41" s="36">
        <v>-6.2174385741772369</v>
      </c>
      <c r="E41" s="36">
        <v>-5.9173568703990445E-2</v>
      </c>
      <c r="F41" s="36">
        <v>-3.2204000000000002</v>
      </c>
      <c r="G41" s="36">
        <v>98.616494797093324</v>
      </c>
      <c r="H41" s="36">
        <v>-6.1431832320959057</v>
      </c>
    </row>
    <row r="42" spans="1:8" x14ac:dyDescent="0.25">
      <c r="A42" s="36">
        <v>0.48227529031224048</v>
      </c>
      <c r="B42" s="36">
        <v>100.48227529031224</v>
      </c>
      <c r="C42" s="36">
        <v>100.48227529031224</v>
      </c>
      <c r="D42" s="36"/>
      <c r="E42" s="36">
        <v>0</v>
      </c>
      <c r="F42" s="36">
        <v>-6.4000000000000003E-3</v>
      </c>
      <c r="G42" s="36">
        <v>99.993600000000001</v>
      </c>
      <c r="H42" s="36">
        <v>-6.3999999999952983E-3</v>
      </c>
    </row>
    <row r="43" spans="1:8" x14ac:dyDescent="0.25">
      <c r="A43" s="36">
        <v>0.27796921000804498</v>
      </c>
      <c r="B43" s="36">
        <v>100.76158507713484</v>
      </c>
      <c r="C43" s="36">
        <v>100.76158507713484</v>
      </c>
      <c r="D43" s="36"/>
      <c r="E43" s="36">
        <v>0</v>
      </c>
      <c r="F43" s="36">
        <v>-0.36249999999999999</v>
      </c>
      <c r="G43" s="36">
        <v>100.11802704238487</v>
      </c>
      <c r="H43" s="36">
        <v>-0.36249999999999893</v>
      </c>
    </row>
    <row r="44" spans="1:8" x14ac:dyDescent="0.25">
      <c r="A44" s="36">
        <v>1.0924106359791006</v>
      </c>
      <c r="B44" s="36">
        <v>101.86231534949859</v>
      </c>
      <c r="C44" s="36">
        <v>101.86231534949859</v>
      </c>
      <c r="D44" s="36"/>
      <c r="E44" s="36">
        <v>0</v>
      </c>
      <c r="F44" s="36">
        <v>-1.1148</v>
      </c>
      <c r="G44" s="36">
        <v>99.63829492669494</v>
      </c>
      <c r="H44" s="36">
        <v>-1.1148000000000047</v>
      </c>
    </row>
    <row r="45" spans="1:8" x14ac:dyDescent="0.25">
      <c r="A45" s="36">
        <v>0.45053393974821426</v>
      </c>
      <c r="B45" s="36">
        <v>102.32123965196143</v>
      </c>
      <c r="C45" s="36">
        <v>102.32123965196143</v>
      </c>
      <c r="D45" s="36"/>
      <c r="E45" s="36">
        <v>0</v>
      </c>
      <c r="F45" s="36">
        <v>5.62E-2</v>
      </c>
      <c r="G45" s="36">
        <v>101.919561970725</v>
      </c>
      <c r="H45" s="36">
        <v>5.6199999999995143E-2</v>
      </c>
    </row>
    <row r="46" spans="1:8" x14ac:dyDescent="0.25">
      <c r="A46" s="36">
        <v>0.261146407483766</v>
      </c>
      <c r="B46" s="36">
        <v>102.58844789340537</v>
      </c>
      <c r="C46" s="36">
        <v>102.58844789340537</v>
      </c>
      <c r="D46" s="36"/>
      <c r="E46" s="36">
        <v>0</v>
      </c>
      <c r="F46" s="36">
        <v>3.73E-2</v>
      </c>
      <c r="G46" s="36">
        <v>102.35940547435162</v>
      </c>
      <c r="H46" s="36">
        <v>3.729999999999567E-2</v>
      </c>
    </row>
    <row r="47" spans="1:8" x14ac:dyDescent="0.25">
      <c r="A47" s="36">
        <v>-0.6392019727767948</v>
      </c>
      <c r="B47" s="36">
        <v>101.93270051062963</v>
      </c>
      <c r="C47" s="36">
        <v>102.58844789340537</v>
      </c>
      <c r="D47" s="36">
        <v>-0.6557473827757434</v>
      </c>
      <c r="E47" s="36">
        <v>-6.3920197277679679E-3</v>
      </c>
      <c r="F47" s="36">
        <v>-1.9036999999999999</v>
      </c>
      <c r="G47" s="36">
        <v>100.63547161085862</v>
      </c>
      <c r="H47" s="36">
        <v>-1.9036999999999971</v>
      </c>
    </row>
    <row r="48" spans="1:8" x14ac:dyDescent="0.25">
      <c r="A48" s="36">
        <v>0.74382489015873365</v>
      </c>
      <c r="B48" s="36">
        <v>102.69090130823865</v>
      </c>
      <c r="C48" s="36">
        <v>102.69090130823865</v>
      </c>
      <c r="D48" s="36"/>
      <c r="E48" s="36">
        <v>0</v>
      </c>
      <c r="F48" s="36">
        <v>-1.9074</v>
      </c>
      <c r="G48" s="36">
        <v>99.988436181089881</v>
      </c>
      <c r="H48" s="36">
        <v>-2.5344098343480503</v>
      </c>
    </row>
    <row r="49" spans="1:8" x14ac:dyDescent="0.25">
      <c r="A49" s="36">
        <v>-0.26831012483600142</v>
      </c>
      <c r="B49" s="36">
        <v>102.4153712227433</v>
      </c>
      <c r="C49" s="36">
        <v>102.69090130823865</v>
      </c>
      <c r="D49" s="36">
        <v>-0.27553008549534752</v>
      </c>
      <c r="E49" s="36">
        <v>-2.6831012483599886E-3</v>
      </c>
      <c r="F49" s="36">
        <v>-1.4809000000000001</v>
      </c>
      <c r="G49" s="36">
        <v>101.17015175076494</v>
      </c>
      <c r="H49" s="36">
        <v>-1.4808999999999961</v>
      </c>
    </row>
    <row r="50" spans="1:8" x14ac:dyDescent="0.25">
      <c r="A50" s="36">
        <v>0.31745761557840263</v>
      </c>
      <c r="B50" s="36">
        <v>102.74049661821279</v>
      </c>
      <c r="C50" s="36">
        <v>102.74049661821279</v>
      </c>
      <c r="D50" s="36"/>
      <c r="E50" s="36">
        <v>0</v>
      </c>
      <c r="F50" s="36">
        <v>3.6600000000000001E-2</v>
      </c>
      <c r="G50" s="36">
        <v>102.45285524861083</v>
      </c>
      <c r="H50" s="36">
        <v>-0.23180832634168702</v>
      </c>
    </row>
    <row r="51" spans="1:8" x14ac:dyDescent="0.25">
      <c r="A51" s="36">
        <v>0.35102770931989785</v>
      </c>
      <c r="B51" s="36">
        <v>103.10114423003559</v>
      </c>
      <c r="C51" s="36">
        <v>103.10114423003559</v>
      </c>
      <c r="D51" s="36"/>
      <c r="E51" s="36">
        <v>0</v>
      </c>
      <c r="F51" s="36">
        <v>8.3299999999999999E-2</v>
      </c>
      <c r="G51" s="36">
        <v>102.82607945189577</v>
      </c>
      <c r="H51" s="36">
        <v>8.3300000000008367E-2</v>
      </c>
    </row>
    <row r="52" spans="1:8" x14ac:dyDescent="0.25">
      <c r="A52" s="36">
        <v>-0.12977274550983534</v>
      </c>
      <c r="B52" s="36">
        <v>102.96734704451622</v>
      </c>
      <c r="C52" s="36">
        <v>103.10114423003559</v>
      </c>
      <c r="D52" s="36">
        <v>-0.13379718551937003</v>
      </c>
      <c r="E52" s="36">
        <v>-1.2977274550983308E-3</v>
      </c>
      <c r="F52" s="36">
        <v>-1.2761</v>
      </c>
      <c r="G52" s="36">
        <v>101.7854705285161</v>
      </c>
      <c r="H52" s="36">
        <v>-1.2761000000000022</v>
      </c>
    </row>
    <row r="53" spans="1:8" x14ac:dyDescent="0.25">
      <c r="A53" s="36">
        <v>-0.14441435811983616</v>
      </c>
      <c r="B53" s="36">
        <v>102.81864741120886</v>
      </c>
      <c r="C53" s="36">
        <v>103.10114423003559</v>
      </c>
      <c r="D53" s="36">
        <v>-0.28249681882672917</v>
      </c>
      <c r="E53" s="36">
        <v>-2.7399969315222376E-3</v>
      </c>
      <c r="F53" s="36">
        <v>-1.3674999999999999</v>
      </c>
      <c r="G53" s="36">
        <v>101.55926857368246</v>
      </c>
      <c r="H53" s="36">
        <v>-1.4954981032149872</v>
      </c>
    </row>
    <row r="54" spans="1:8" x14ac:dyDescent="0.25">
      <c r="A54" s="36">
        <v>-4.4072952616919752</v>
      </c>
      <c r="B54" s="36">
        <v>98.28712603571887</v>
      </c>
      <c r="C54" s="36">
        <v>103.10114423003559</v>
      </c>
      <c r="D54" s="36">
        <v>-4.8140181943167164</v>
      </c>
      <c r="E54" s="36">
        <v>-4.6692189793508511E-2</v>
      </c>
      <c r="F54" s="36">
        <v>-4.5292000000000003</v>
      </c>
      <c r="G54" s="36">
        <v>98.161785232660392</v>
      </c>
      <c r="H54" s="36">
        <v>-4.7907896990499683</v>
      </c>
    </row>
    <row r="55" spans="1:8" x14ac:dyDescent="0.25">
      <c r="A55" s="36">
        <v>1.1172339340158732</v>
      </c>
      <c r="B55" s="36">
        <v>99.38522316055888</v>
      </c>
      <c r="C55" s="36">
        <v>103.10114423003559</v>
      </c>
      <c r="D55" s="36">
        <v>-3.7159210694767069</v>
      </c>
      <c r="E55" s="36">
        <v>-3.6041511442257874E-2</v>
      </c>
      <c r="F55" s="36">
        <v>-0.33900000000000002</v>
      </c>
      <c r="G55" s="36">
        <v>97.95393267845779</v>
      </c>
      <c r="H55" s="36">
        <v>-4.9923903270108427</v>
      </c>
    </row>
    <row r="56" spans="1:8" x14ac:dyDescent="0.25">
      <c r="A56" s="36">
        <v>1.0430346868994729</v>
      </c>
      <c r="B56" s="36">
        <v>100.42184551177597</v>
      </c>
      <c r="C56" s="36">
        <v>103.10114423003559</v>
      </c>
      <c r="D56" s="36">
        <v>-2.6792987182596164</v>
      </c>
      <c r="E56" s="36">
        <v>-2.5987090039288611E-2</v>
      </c>
      <c r="F56" s="36">
        <v>-1.0658000000000001</v>
      </c>
      <c r="G56" s="36">
        <v>98.325975452113639</v>
      </c>
      <c r="H56" s="36">
        <v>-4.6315381013306345</v>
      </c>
    </row>
    <row r="57" spans="1:8" x14ac:dyDescent="0.25">
      <c r="A57" s="36">
        <v>-0.37193981811129834</v>
      </c>
      <c r="B57" s="36">
        <v>100.04833668223546</v>
      </c>
      <c r="C57" s="36">
        <v>103.10114423003559</v>
      </c>
      <c r="D57" s="36">
        <v>-3.0528075478001284</v>
      </c>
      <c r="E57" s="36">
        <v>-2.9609831884977081E-2</v>
      </c>
      <c r="F57" s="36">
        <v>-1.3902000000000001</v>
      </c>
      <c r="G57" s="36">
        <v>99.025781015471267</v>
      </c>
      <c r="H57" s="36">
        <v>-3.952781751356238</v>
      </c>
    </row>
    <row r="58" spans="1:8" x14ac:dyDescent="0.25">
      <c r="A58" s="36">
        <v>0.41258847438622726</v>
      </c>
      <c r="B58" s="36">
        <v>100.4611245882015</v>
      </c>
      <c r="C58" s="36">
        <v>103.10114423003559</v>
      </c>
      <c r="D58" s="36">
        <v>-2.6400196418340869</v>
      </c>
      <c r="E58" s="36">
        <v>-2.5606113894757265E-2</v>
      </c>
      <c r="F58" s="36">
        <v>-0.30859999999999999</v>
      </c>
      <c r="G58" s="36">
        <v>99.739587515234078</v>
      </c>
      <c r="H58" s="36">
        <v>-3.2604455943780031</v>
      </c>
    </row>
    <row r="59" spans="1:8" x14ac:dyDescent="0.25">
      <c r="A59" s="36">
        <v>0.35755958363659468</v>
      </c>
      <c r="B59" s="36">
        <v>100.82033296699571</v>
      </c>
      <c r="C59" s="36">
        <v>103.10114423003559</v>
      </c>
      <c r="D59" s="36">
        <v>-2.2808112630398796</v>
      </c>
      <c r="E59" s="36">
        <v>-2.2122075172618987E-2</v>
      </c>
      <c r="F59" s="36">
        <v>0.23649999999999999</v>
      </c>
      <c r="G59" s="36">
        <v>100.6987151478526</v>
      </c>
      <c r="H59" s="36">
        <v>-2.3301672354118397</v>
      </c>
    </row>
    <row r="60" spans="1:8" x14ac:dyDescent="0.25">
      <c r="A60" s="36">
        <v>0.17527356114130821</v>
      </c>
      <c r="B60" s="36">
        <v>100.99704435494148</v>
      </c>
      <c r="C60" s="36">
        <v>103.10114423003559</v>
      </c>
      <c r="D60" s="36">
        <v>-2.1040998750941071</v>
      </c>
      <c r="E60" s="36">
        <v>-2.0408113710159364E-2</v>
      </c>
      <c r="F60" s="36">
        <v>3.6600000000000001E-2</v>
      </c>
      <c r="G60" s="36">
        <v>100.85723320886164</v>
      </c>
      <c r="H60" s="36">
        <v>-2.1764171852131975</v>
      </c>
    </row>
    <row r="61" spans="1:8" x14ac:dyDescent="0.25">
      <c r="A61" s="36">
        <v>1.1706091450270524</v>
      </c>
      <c r="B61" s="36">
        <v>102.17932499236744</v>
      </c>
      <c r="C61" s="36">
        <v>103.10114423003559</v>
      </c>
      <c r="D61" s="36">
        <v>-0.92181923766814577</v>
      </c>
      <c r="E61" s="36">
        <v>-8.9409215053076006E-3</v>
      </c>
      <c r="F61" s="36">
        <v>-0.41539999999999999</v>
      </c>
      <c r="G61" s="36">
        <v>100.57750263269105</v>
      </c>
      <c r="H61" s="36">
        <v>-2.4477338405807347</v>
      </c>
    </row>
    <row r="62" spans="1:8" x14ac:dyDescent="0.25">
      <c r="A62" s="36">
        <v>-0.11054241924340483</v>
      </c>
      <c r="B62" s="36">
        <v>102.0663734945543</v>
      </c>
      <c r="C62" s="36">
        <v>103.10114423003559</v>
      </c>
      <c r="D62" s="36">
        <v>-1.0347707354812883</v>
      </c>
      <c r="E62" s="36">
        <v>-1.0036462186807014E-2</v>
      </c>
      <c r="F62" s="36">
        <v>-0.1825</v>
      </c>
      <c r="G62" s="36">
        <v>101.99284772425638</v>
      </c>
      <c r="H62" s="36">
        <v>-1.0749604323560313</v>
      </c>
    </row>
    <row r="63" spans="1:8" x14ac:dyDescent="0.25">
      <c r="A63" s="36">
        <v>1.1089494714366221</v>
      </c>
      <c r="B63" s="36">
        <v>103.19823800393669</v>
      </c>
      <c r="C63" s="36">
        <v>103.19823800393669</v>
      </c>
      <c r="D63" s="36"/>
      <c r="E63" s="36">
        <v>0</v>
      </c>
      <c r="F63" s="36">
        <v>3.5400000000000001E-2</v>
      </c>
      <c r="G63" s="36">
        <v>102.10250499077137</v>
      </c>
      <c r="H63" s="36">
        <v>-0.96860150944212409</v>
      </c>
    </row>
    <row r="64" spans="1:8" x14ac:dyDescent="0.25">
      <c r="A64" s="36">
        <v>0.37252528841562932</v>
      </c>
      <c r="B64" s="36">
        <v>103.5826775377007</v>
      </c>
      <c r="C64" s="36">
        <v>103.5826775377007</v>
      </c>
      <c r="D64" s="36"/>
      <c r="E64" s="36">
        <v>0</v>
      </c>
      <c r="F64" s="36">
        <v>0.23119999999999999</v>
      </c>
      <c r="G64" s="36">
        <v>103.43683233020181</v>
      </c>
      <c r="H64" s="36">
        <v>0.23120000000000918</v>
      </c>
    </row>
    <row r="65" spans="1:8" x14ac:dyDescent="0.25">
      <c r="A65" s="36">
        <v>0.74711674321249144</v>
      </c>
      <c r="B65" s="36">
        <v>104.35656106465267</v>
      </c>
      <c r="C65" s="36">
        <v>104.35656106465267</v>
      </c>
      <c r="D65" s="36"/>
      <c r="E65" s="36">
        <v>0</v>
      </c>
      <c r="F65" s="36">
        <v>-0.37630000000000002</v>
      </c>
      <c r="G65" s="36">
        <v>103.19289592212634</v>
      </c>
      <c r="H65" s="36">
        <v>-0.37629999999999608</v>
      </c>
    </row>
    <row r="66" spans="1:8" x14ac:dyDescent="0.25">
      <c r="A66" s="36">
        <v>0.74103651484276034</v>
      </c>
      <c r="B66" s="36">
        <v>105.12988128777593</v>
      </c>
      <c r="C66" s="36">
        <v>105.12988128777593</v>
      </c>
      <c r="D66" s="36"/>
      <c r="E66" s="36">
        <v>0</v>
      </c>
      <c r="F66" s="36">
        <v>-0.67410000000000003</v>
      </c>
      <c r="G66" s="36">
        <v>103.65309348651584</v>
      </c>
      <c r="H66" s="36">
        <v>-0.6740999999999997</v>
      </c>
    </row>
    <row r="67" spans="1:8" x14ac:dyDescent="0.25">
      <c r="A67" s="36">
        <v>0.30599955312620913</v>
      </c>
      <c r="B67" s="36">
        <v>105.45157825471863</v>
      </c>
      <c r="C67" s="36">
        <v>105.45157825471863</v>
      </c>
      <c r="D67" s="36"/>
      <c r="E67" s="36">
        <v>0</v>
      </c>
      <c r="F67" s="36">
        <v>-6.2700000000000006E-2</v>
      </c>
      <c r="G67" s="36">
        <v>105.06396485220849</v>
      </c>
      <c r="H67" s="36">
        <v>-6.2700000000004419E-2</v>
      </c>
    </row>
    <row r="68" spans="1:8" x14ac:dyDescent="0.25">
      <c r="A68" s="36">
        <v>0.17300709138957013</v>
      </c>
      <c r="B68" s="36">
        <v>105.63401696308151</v>
      </c>
      <c r="C68" s="36">
        <v>105.63401696308151</v>
      </c>
      <c r="D68" s="36"/>
      <c r="E68" s="36">
        <v>0</v>
      </c>
      <c r="F68" s="36">
        <v>-0.51060000000000005</v>
      </c>
      <c r="G68" s="36">
        <v>104.91314249615003</v>
      </c>
      <c r="H68" s="36">
        <v>-0.51060000000000549</v>
      </c>
    </row>
    <row r="69" spans="1:8" x14ac:dyDescent="0.25">
      <c r="A69" s="36">
        <v>0.35993376123937648</v>
      </c>
      <c r="B69" s="36">
        <v>106.01422945348496</v>
      </c>
      <c r="C69" s="36">
        <v>106.01422945348496</v>
      </c>
      <c r="D69" s="36"/>
      <c r="E69" s="36">
        <v>0</v>
      </c>
      <c r="F69" s="36">
        <v>5.3900000000000003E-2</v>
      </c>
      <c r="G69" s="36">
        <v>105.69095369822462</v>
      </c>
      <c r="H69" s="36">
        <v>5.390000000000672E-2</v>
      </c>
    </row>
    <row r="70" spans="1:8" x14ac:dyDescent="0.25">
      <c r="A70" s="36">
        <v>0.46878127688121152</v>
      </c>
      <c r="B70" s="36">
        <v>106.51120431199278</v>
      </c>
      <c r="C70" s="36">
        <v>106.51120431199278</v>
      </c>
      <c r="D70" s="36"/>
      <c r="E70" s="36">
        <v>0</v>
      </c>
      <c r="F70" s="36">
        <v>-9.06E-2</v>
      </c>
      <c r="G70" s="36">
        <v>105.91818056160011</v>
      </c>
      <c r="H70" s="36">
        <v>-9.0599999999996239E-2</v>
      </c>
    </row>
    <row r="71" spans="1:8" x14ac:dyDescent="0.25">
      <c r="A71" s="36">
        <v>-0.43447318127660484</v>
      </c>
      <c r="B71" s="36">
        <v>106.04844169420244</v>
      </c>
      <c r="C71" s="36">
        <v>106.51120431199278</v>
      </c>
      <c r="D71" s="36">
        <v>-0.46276261779034655</v>
      </c>
      <c r="E71" s="36">
        <v>-4.3447318127661158E-3</v>
      </c>
      <c r="F71" s="36">
        <v>-0.57569999999999999</v>
      </c>
      <c r="G71" s="36">
        <v>105.89801930876864</v>
      </c>
      <c r="H71" s="36">
        <v>-0.57570000000000121</v>
      </c>
    </row>
    <row r="72" spans="1:8" x14ac:dyDescent="0.25">
      <c r="A72" s="36">
        <v>0.54012553541122277</v>
      </c>
      <c r="B72" s="36">
        <v>106.62123640769852</v>
      </c>
      <c r="C72" s="36">
        <v>106.62123640769852</v>
      </c>
      <c r="D72" s="36"/>
      <c r="E72" s="36">
        <v>0</v>
      </c>
      <c r="F72" s="36">
        <v>-0.56540000000000001</v>
      </c>
      <c r="G72" s="36">
        <v>105.44884380486342</v>
      </c>
      <c r="H72" s="36">
        <v>-0.9974166699096787</v>
      </c>
    </row>
    <row r="73" spans="1:8" x14ac:dyDescent="0.25">
      <c r="A73" s="36">
        <v>-1.8823384404323618</v>
      </c>
      <c r="B73" s="36">
        <v>104.61426388913215</v>
      </c>
      <c r="C73" s="36">
        <v>106.62123640769852</v>
      </c>
      <c r="D73" s="36">
        <v>-2.0069725185663714</v>
      </c>
      <c r="E73" s="36">
        <v>-1.8823384404323594E-2</v>
      </c>
      <c r="F73" s="36">
        <v>-2.1074000000000002</v>
      </c>
      <c r="G73" s="36">
        <v>104.37430047164267</v>
      </c>
      <c r="H73" s="36">
        <v>-2.1074000000000148</v>
      </c>
    </row>
    <row r="74" spans="1:8" x14ac:dyDescent="0.25">
      <c r="A74" s="36">
        <v>-1.5382628811314847</v>
      </c>
      <c r="B74" s="36">
        <v>103.00502149935669</v>
      </c>
      <c r="C74" s="36">
        <v>106.62123640769852</v>
      </c>
      <c r="D74" s="36">
        <v>-3.6162149083418313</v>
      </c>
      <c r="E74" s="36">
        <v>-3.391646008037405E-2</v>
      </c>
      <c r="F74" s="36">
        <v>-1.7212000000000001</v>
      </c>
      <c r="G74" s="36">
        <v>102.8136431790724</v>
      </c>
      <c r="H74" s="36">
        <v>-3.5711396311956412</v>
      </c>
    </row>
    <row r="75" spans="1:8" x14ac:dyDescent="0.25">
      <c r="A75" s="36">
        <v>0.19208414060337672</v>
      </c>
      <c r="B75" s="36">
        <v>100.19208414060337</v>
      </c>
      <c r="C75" s="36">
        <v>100.19208414060337</v>
      </c>
      <c r="D75" s="36"/>
      <c r="E75" s="36">
        <v>0</v>
      </c>
      <c r="F75" s="36">
        <v>-3.5200000000000002E-2</v>
      </c>
      <c r="G75" s="36">
        <v>99.964799999999997</v>
      </c>
      <c r="H75" s="36">
        <v>-3.5200000000001896E-2</v>
      </c>
    </row>
    <row r="76" spans="1:8" x14ac:dyDescent="0.25">
      <c r="A76" s="36">
        <v>0.49917495169943366</v>
      </c>
      <c r="B76" s="36">
        <v>100.69221792821889</v>
      </c>
      <c r="C76" s="36">
        <v>100.69221792821889</v>
      </c>
      <c r="D76" s="36"/>
      <c r="E76" s="36">
        <v>0</v>
      </c>
      <c r="F76" s="36">
        <v>-0.17269999999999999</v>
      </c>
      <c r="G76" s="36">
        <v>100.01905241129255</v>
      </c>
      <c r="H76" s="36">
        <v>-0.17270000000000341</v>
      </c>
    </row>
    <row r="77" spans="1:8" x14ac:dyDescent="0.25">
      <c r="A77" s="36">
        <v>7.3709671254866216E-2</v>
      </c>
      <c r="B77" s="36">
        <v>100.76643783103302</v>
      </c>
      <c r="C77" s="36">
        <v>100.76643783103302</v>
      </c>
      <c r="D77" s="36"/>
      <c r="E77" s="36">
        <v>0</v>
      </c>
      <c r="F77" s="36">
        <v>-0.2064</v>
      </c>
      <c r="G77" s="36">
        <v>100.48438919041506</v>
      </c>
      <c r="H77" s="36">
        <v>-0.20639999999999548</v>
      </c>
    </row>
    <row r="78" spans="1:8" x14ac:dyDescent="0.25">
      <c r="A78" s="36">
        <v>0.49500185625696091</v>
      </c>
      <c r="B78" s="36">
        <v>101.26523356878066</v>
      </c>
      <c r="C78" s="36">
        <v>101.26523356878066</v>
      </c>
      <c r="D78" s="36"/>
      <c r="E78" s="36">
        <v>0</v>
      </c>
      <c r="F78" s="36">
        <v>-0.33829999999999999</v>
      </c>
      <c r="G78" s="36">
        <v>100.42554497185063</v>
      </c>
      <c r="H78" s="36">
        <v>-0.33830000000000249</v>
      </c>
    </row>
    <row r="79" spans="1:8" x14ac:dyDescent="0.25">
      <c r="A79" s="36">
        <v>0.40770231988362293</v>
      </c>
      <c r="B79" s="36">
        <v>101.67809427527615</v>
      </c>
      <c r="C79" s="36">
        <v>101.67809427527615</v>
      </c>
      <c r="D79" s="36"/>
      <c r="E79" s="36">
        <v>0</v>
      </c>
      <c r="F79" s="36">
        <v>-0.2412</v>
      </c>
      <c r="G79" s="36">
        <v>101.02098182541276</v>
      </c>
      <c r="H79" s="36">
        <v>-0.24119999999999697</v>
      </c>
    </row>
    <row r="80" spans="1:8" x14ac:dyDescent="0.25">
      <c r="A80" s="36">
        <v>0.31568676737290774</v>
      </c>
      <c r="B80" s="36">
        <v>101.99907856422014</v>
      </c>
      <c r="C80" s="36">
        <v>101.99907856422014</v>
      </c>
      <c r="D80" s="36"/>
      <c r="E80" s="36">
        <v>0</v>
      </c>
      <c r="F80" s="36">
        <v>0.13969999999999999</v>
      </c>
      <c r="G80" s="36">
        <v>101.82013857297872</v>
      </c>
      <c r="H80" s="36">
        <v>0.13970000000000926</v>
      </c>
    </row>
    <row r="81" spans="1:8" x14ac:dyDescent="0.25">
      <c r="A81" s="36">
        <v>0.39278314917127066</v>
      </c>
      <c r="B81" s="36">
        <v>102.39971375713036</v>
      </c>
      <c r="C81" s="36">
        <v>102.39971375713036</v>
      </c>
      <c r="D81" s="36"/>
      <c r="E81" s="36">
        <v>0</v>
      </c>
      <c r="F81" s="36">
        <v>-0.15190000000000001</v>
      </c>
      <c r="G81" s="36">
        <v>101.84414196388109</v>
      </c>
      <c r="H81" s="36">
        <v>-0.15190000000000481</v>
      </c>
    </row>
    <row r="82" spans="1:8" x14ac:dyDescent="0.25">
      <c r="A82" s="36">
        <v>0.32494232740943269</v>
      </c>
      <c r="B82" s="36">
        <v>102.73245377027337</v>
      </c>
      <c r="C82" s="36">
        <v>102.73245377027337</v>
      </c>
      <c r="D82" s="36"/>
      <c r="E82" s="36">
        <v>0</v>
      </c>
      <c r="F82" s="36">
        <v>-0.4</v>
      </c>
      <c r="G82" s="36">
        <v>101.99011490210184</v>
      </c>
      <c r="H82" s="36">
        <v>-0.40000000000000036</v>
      </c>
    </row>
    <row r="83" spans="1:8" x14ac:dyDescent="0.25">
      <c r="A83" s="36">
        <v>0.48731332540693861</v>
      </c>
      <c r="B83" s="36">
        <v>103.23308270701344</v>
      </c>
      <c r="C83" s="36">
        <v>103.23308270701344</v>
      </c>
      <c r="D83" s="36"/>
      <c r="E83" s="36">
        <v>0</v>
      </c>
      <c r="F83" s="36">
        <v>-0.18690000000000001</v>
      </c>
      <c r="G83" s="36">
        <v>102.54044681417672</v>
      </c>
      <c r="H83" s="36">
        <v>-0.18690000000001206</v>
      </c>
    </row>
    <row r="84" spans="1:8" x14ac:dyDescent="0.25">
      <c r="A84" s="36">
        <v>1.2727470388744673E-2</v>
      </c>
      <c r="B84" s="36">
        <v>103.24622166704636</v>
      </c>
      <c r="C84" s="36">
        <v>103.24622166704636</v>
      </c>
      <c r="D84" s="36"/>
      <c r="E84" s="36">
        <v>0</v>
      </c>
      <c r="F84" s="36">
        <v>-0.75460000000000005</v>
      </c>
      <c r="G84" s="36">
        <v>102.4540858649063</v>
      </c>
      <c r="H84" s="36">
        <v>-0.75460000000000527</v>
      </c>
    </row>
    <row r="85" spans="1:8" x14ac:dyDescent="0.25">
      <c r="A85" s="36">
        <v>0.35685057446831125</v>
      </c>
      <c r="B85" s="36">
        <v>103.61465640218204</v>
      </c>
      <c r="C85" s="36">
        <v>103.61465640218204</v>
      </c>
      <c r="D85" s="36"/>
      <c r="E85" s="36">
        <v>0</v>
      </c>
      <c r="F85" s="36">
        <v>5.5500000000000001E-2</v>
      </c>
      <c r="G85" s="36">
        <v>103.30352332007158</v>
      </c>
      <c r="H85" s="36">
        <v>5.550000000000832E-2</v>
      </c>
    </row>
    <row r="86" spans="1:8" x14ac:dyDescent="0.25">
      <c r="A86" s="36">
        <v>0.39371412341934597</v>
      </c>
      <c r="B86" s="36">
        <v>104.02260193836986</v>
      </c>
      <c r="C86" s="36">
        <v>104.02260193836986</v>
      </c>
      <c r="D86" s="36"/>
      <c r="E86" s="36">
        <v>0</v>
      </c>
      <c r="F86" s="36">
        <v>2.6100000000000002E-2</v>
      </c>
      <c r="G86" s="36">
        <v>103.64169982750302</v>
      </c>
      <c r="H86" s="36">
        <v>2.6100000000006673E-2</v>
      </c>
    </row>
    <row r="87" spans="1:8" x14ac:dyDescent="0.25">
      <c r="A87" s="36">
        <v>7.9426478931352837E-2</v>
      </c>
      <c r="B87" s="36">
        <v>104.10522342838229</v>
      </c>
      <c r="C87" s="36">
        <v>104.10522342838229</v>
      </c>
      <c r="D87" s="36"/>
      <c r="E87" s="36">
        <v>0</v>
      </c>
      <c r="F87" s="36">
        <v>-0.14230000000000001</v>
      </c>
      <c r="G87" s="36">
        <v>103.87457777581156</v>
      </c>
      <c r="H87" s="36">
        <v>-0.14229999999999521</v>
      </c>
    </row>
    <row r="88" spans="1:8" x14ac:dyDescent="0.25">
      <c r="A88" s="36">
        <v>0.32141660437662706</v>
      </c>
      <c r="B88" s="36">
        <v>104.4398349025045</v>
      </c>
      <c r="C88" s="36">
        <v>104.4398349025045</v>
      </c>
      <c r="D88" s="36"/>
      <c r="E88" s="36">
        <v>0</v>
      </c>
      <c r="F88" s="36">
        <v>-8.6300000000000002E-2</v>
      </c>
      <c r="G88" s="36">
        <v>104.0153806205636</v>
      </c>
      <c r="H88" s="36">
        <v>-8.6299999999994714E-2</v>
      </c>
    </row>
    <row r="89" spans="1:8" x14ac:dyDescent="0.25">
      <c r="A89" s="36">
        <v>0.36060110501797848</v>
      </c>
      <c r="B89" s="36">
        <v>104.81644610124189</v>
      </c>
      <c r="C89" s="36">
        <v>104.81644610124189</v>
      </c>
      <c r="D89" s="36"/>
      <c r="E89" s="36">
        <v>0</v>
      </c>
      <c r="F89" s="36">
        <v>1.11E-2</v>
      </c>
      <c r="G89" s="36">
        <v>104.45142772417867</v>
      </c>
      <c r="H89" s="36">
        <v>1.1099999999997223E-2</v>
      </c>
    </row>
    <row r="90" spans="1:8" x14ac:dyDescent="0.25">
      <c r="A90" s="36">
        <v>0.33051855647352174</v>
      </c>
      <c r="B90" s="36">
        <v>105.16288390584256</v>
      </c>
      <c r="C90" s="36">
        <v>105.16288390584256</v>
      </c>
      <c r="D90" s="36"/>
      <c r="E90" s="36">
        <v>0</v>
      </c>
      <c r="F90" s="36">
        <v>-3.8600000000000002E-2</v>
      </c>
      <c r="G90" s="36">
        <v>104.77598695304681</v>
      </c>
      <c r="H90" s="36">
        <v>-3.8599999999999746E-2</v>
      </c>
    </row>
    <row r="91" spans="1:8" x14ac:dyDescent="0.25">
      <c r="A91" s="36">
        <v>2.5210317070157788E-3</v>
      </c>
      <c r="B91" s="36">
        <v>105.16553509548984</v>
      </c>
      <c r="C91" s="36">
        <v>105.16553509548984</v>
      </c>
      <c r="D91" s="36"/>
      <c r="E91" s="36">
        <v>0</v>
      </c>
      <c r="F91" s="36">
        <v>-0.6915</v>
      </c>
      <c r="G91" s="36">
        <v>104.43568256363366</v>
      </c>
      <c r="H91" s="36">
        <v>-0.69150000000000045</v>
      </c>
    </row>
    <row r="92" spans="1:8" x14ac:dyDescent="0.25">
      <c r="A92" s="36">
        <v>-0.55945152010031196</v>
      </c>
      <c r="B92" s="36">
        <v>104.57718491077651</v>
      </c>
      <c r="C92" s="36">
        <v>105.16553509548984</v>
      </c>
      <c r="D92" s="36">
        <v>-0.58835018471333456</v>
      </c>
      <c r="E92" s="36">
        <v>-5.5945152010030202E-3</v>
      </c>
      <c r="F92" s="36">
        <v>-1.0064</v>
      </c>
      <c r="G92" s="36">
        <v>104.10714915028883</v>
      </c>
      <c r="H92" s="36">
        <v>-1.0063999999999962</v>
      </c>
    </row>
    <row r="93" spans="1:8" x14ac:dyDescent="0.25">
      <c r="A93" s="36">
        <v>0.33236798103095533</v>
      </c>
      <c r="B93" s="36">
        <v>104.92476598888346</v>
      </c>
      <c r="C93" s="36">
        <v>105.16553509548984</v>
      </c>
      <c r="D93" s="36">
        <v>-0.24076910660637907</v>
      </c>
      <c r="E93" s="36">
        <v>-2.2894297679155228E-3</v>
      </c>
      <c r="F93" s="36">
        <v>-0.45169999999999999</v>
      </c>
      <c r="G93" s="36">
        <v>104.10480976653453</v>
      </c>
      <c r="H93" s="36">
        <v>-1.0086244775840081</v>
      </c>
    </row>
    <row r="94" spans="1:8" x14ac:dyDescent="0.25">
      <c r="A94" s="36">
        <v>-0.34458081094916354</v>
      </c>
      <c r="B94" s="36">
        <v>104.56321537935246</v>
      </c>
      <c r="C94" s="36">
        <v>105.16553509548984</v>
      </c>
      <c r="D94" s="36">
        <v>-0.60231971613738722</v>
      </c>
      <c r="E94" s="36">
        <v>-5.7273489417467762E-3</v>
      </c>
      <c r="F94" s="36">
        <v>-1.2431000000000001</v>
      </c>
      <c r="G94" s="36">
        <v>103.62044622287566</v>
      </c>
      <c r="H94" s="36">
        <v>-1.4691969866470589</v>
      </c>
    </row>
    <row r="95" spans="1:8" x14ac:dyDescent="0.25">
      <c r="A95" s="36">
        <v>0.20601078859491395</v>
      </c>
      <c r="B95" s="36">
        <v>104.77862688393567</v>
      </c>
      <c r="C95" s="36">
        <v>105.16553509548984</v>
      </c>
      <c r="D95" s="36">
        <v>-0.38690821155417154</v>
      </c>
      <c r="E95" s="36">
        <v>-3.6790400125179851E-3</v>
      </c>
      <c r="F95" s="36">
        <v>-0.68020000000000003</v>
      </c>
      <c r="G95" s="36">
        <v>103.85197638834211</v>
      </c>
      <c r="H95" s="36">
        <v>-1.2490391514244914</v>
      </c>
    </row>
    <row r="96" spans="1:8" x14ac:dyDescent="0.25">
      <c r="A96" s="36">
        <v>7.3544538160872253E-2</v>
      </c>
      <c r="B96" s="36">
        <v>104.85568584116875</v>
      </c>
      <c r="C96" s="36">
        <v>105.16553509548984</v>
      </c>
      <c r="D96" s="36">
        <v>-0.30984925432109378</v>
      </c>
      <c r="E96" s="36">
        <v>-2.9463003638953772E-3</v>
      </c>
      <c r="F96" s="36">
        <v>-0.63980000000000004</v>
      </c>
      <c r="G96" s="36">
        <v>104.10825322913225</v>
      </c>
      <c r="H96" s="36">
        <v>-1.0053501514518004</v>
      </c>
    </row>
    <row r="97" spans="1:8" x14ac:dyDescent="0.25">
      <c r="A97" s="36">
        <v>0.35301809799224182</v>
      </c>
      <c r="B97" s="36">
        <v>105.22584538896196</v>
      </c>
      <c r="C97" s="36">
        <v>105.22584538896196</v>
      </c>
      <c r="D97" s="36"/>
      <c r="E97" s="36">
        <v>0</v>
      </c>
      <c r="F97" s="36">
        <v>-0.1129</v>
      </c>
      <c r="G97" s="36">
        <v>104.73730377185406</v>
      </c>
      <c r="H97" s="36">
        <v>-0.40719739907846275</v>
      </c>
    </row>
    <row r="98" spans="1:8" x14ac:dyDescent="0.25">
      <c r="A98" s="36">
        <v>0.10983453299889144</v>
      </c>
      <c r="B98" s="36">
        <v>105.34141970483905</v>
      </c>
      <c r="C98" s="36">
        <v>105.34141970483905</v>
      </c>
      <c r="D98" s="36"/>
      <c r="E98" s="36">
        <v>0</v>
      </c>
      <c r="F98" s="36">
        <v>-0.33639999999999998</v>
      </c>
      <c r="G98" s="36">
        <v>104.87186564507348</v>
      </c>
      <c r="H98" s="36">
        <v>-0.33640000000000336</v>
      </c>
    </row>
    <row r="99" spans="1:8" x14ac:dyDescent="0.25">
      <c r="A99" s="36">
        <v>0.32940612562815352</v>
      </c>
      <c r="B99" s="36">
        <v>105.68842079417045</v>
      </c>
      <c r="C99" s="36">
        <v>105.68842079417045</v>
      </c>
      <c r="D99" s="36"/>
      <c r="E99" s="36">
        <v>0</v>
      </c>
      <c r="F99" s="36">
        <v>-0.13919999999999999</v>
      </c>
      <c r="G99" s="36">
        <v>105.19478444860992</v>
      </c>
      <c r="H99" s="36">
        <v>-0.13919999999999488</v>
      </c>
    </row>
    <row r="100" spans="1:8" x14ac:dyDescent="0.25">
      <c r="A100" s="36">
        <v>0.35494539592683128</v>
      </c>
      <c r="B100" s="36">
        <v>106.06355697780715</v>
      </c>
      <c r="C100" s="36">
        <v>106.06355697780715</v>
      </c>
      <c r="D100" s="36"/>
      <c r="E100" s="36">
        <v>0</v>
      </c>
      <c r="F100" s="36">
        <v>6.6900000000000001E-2</v>
      </c>
      <c r="G100" s="36">
        <v>105.75912634768176</v>
      </c>
      <c r="H100" s="36">
        <v>6.6900000000003068E-2</v>
      </c>
    </row>
    <row r="101" spans="1:8" x14ac:dyDescent="0.25">
      <c r="A101" s="36">
        <v>-0.33158943697060284</v>
      </c>
      <c r="B101" s="36">
        <v>105.71186142639344</v>
      </c>
      <c r="C101" s="36">
        <v>106.06355697780715</v>
      </c>
      <c r="D101" s="36">
        <v>-0.35169555141371234</v>
      </c>
      <c r="E101" s="36">
        <v>-3.315894369706095E-3</v>
      </c>
      <c r="F101" s="36">
        <v>-0.55110000000000003</v>
      </c>
      <c r="G101" s="36">
        <v>105.47904071530245</v>
      </c>
      <c r="H101" s="36">
        <v>-0.55110000000001547</v>
      </c>
    </row>
    <row r="102" spans="1:8" x14ac:dyDescent="0.25">
      <c r="A102" s="36">
        <v>-0.48840785070397053</v>
      </c>
      <c r="B102" s="36">
        <v>105.19555639606163</v>
      </c>
      <c r="C102" s="36">
        <v>106.06355697780715</v>
      </c>
      <c r="D102" s="36">
        <v>-0.86800058174551964</v>
      </c>
      <c r="E102" s="36">
        <v>-8.1837777883230992E-3</v>
      </c>
      <c r="F102" s="36">
        <v>-1.3676999999999999</v>
      </c>
      <c r="G102" s="36">
        <v>104.26604029766465</v>
      </c>
      <c r="H102" s="36">
        <v>-1.6947542882411737</v>
      </c>
    </row>
    <row r="103" spans="1:8" x14ac:dyDescent="0.25">
      <c r="A103" s="36">
        <v>-0.93196290407248761</v>
      </c>
      <c r="B103" s="36">
        <v>104.21517283371769</v>
      </c>
      <c r="C103" s="36">
        <v>106.06355697780715</v>
      </c>
      <c r="D103" s="36">
        <v>-1.8483841440894651</v>
      </c>
      <c r="E103" s="36">
        <v>-1.7427137055909061E-2</v>
      </c>
      <c r="F103" s="36">
        <v>-1.4234</v>
      </c>
      <c r="G103" s="36">
        <v>103.6982028463201</v>
      </c>
      <c r="H103" s="36">
        <v>-2.2301289895284016</v>
      </c>
    </row>
    <row r="104" spans="1:8" x14ac:dyDescent="0.25">
      <c r="A104" s="36">
        <v>0.59091072797526256</v>
      </c>
      <c r="B104" s="36">
        <v>104.83099147017008</v>
      </c>
      <c r="C104" s="36">
        <v>106.06355697780715</v>
      </c>
      <c r="D104" s="36">
        <v>-1.2325655076370765</v>
      </c>
      <c r="E104" s="36">
        <v>-1.1621008598598855E-2</v>
      </c>
      <c r="F104" s="36">
        <v>0.1469</v>
      </c>
      <c r="G104" s="36">
        <v>104.36826492261041</v>
      </c>
      <c r="H104" s="36">
        <v>-1.598373752024429</v>
      </c>
    </row>
    <row r="105" spans="1:8" x14ac:dyDescent="0.25">
      <c r="A105" s="36">
        <v>0.45030147302007278</v>
      </c>
      <c r="B105" s="36">
        <v>105.3030469689418</v>
      </c>
      <c r="C105" s="36">
        <v>106.06355697780715</v>
      </c>
      <c r="D105" s="36">
        <v>-0.76051000886535292</v>
      </c>
      <c r="E105" s="36">
        <v>-7.1703234412973989E-3</v>
      </c>
      <c r="F105" s="36">
        <v>-0.65790000000000004</v>
      </c>
      <c r="G105" s="36">
        <v>104.14130837728783</v>
      </c>
      <c r="H105" s="36">
        <v>-1.8123553983028673</v>
      </c>
    </row>
    <row r="106" spans="1:8" x14ac:dyDescent="0.25">
      <c r="A106" s="36">
        <v>5.0980877123467098E-2</v>
      </c>
      <c r="B106" s="36">
        <v>105.35673138592431</v>
      </c>
      <c r="C106" s="36">
        <v>106.06355697780715</v>
      </c>
      <c r="D106" s="36">
        <v>-0.70682559188284699</v>
      </c>
      <c r="E106" s="36">
        <v>-6.6641701638456641E-3</v>
      </c>
      <c r="F106" s="36">
        <v>-0.3024</v>
      </c>
      <c r="G106" s="36">
        <v>104.98461055490772</v>
      </c>
      <c r="H106" s="36">
        <v>-1.0172640383210974</v>
      </c>
    </row>
    <row r="107" spans="1:8" x14ac:dyDescent="0.25">
      <c r="A107" s="36">
        <v>-1.9757410617606539</v>
      </c>
      <c r="B107" s="36">
        <v>103.27515518260373</v>
      </c>
      <c r="C107" s="36">
        <v>106.06355697780715</v>
      </c>
      <c r="D107" s="36">
        <v>-2.788401795203427</v>
      </c>
      <c r="E107" s="36">
        <v>-2.6289914035099494E-2</v>
      </c>
      <c r="F107" s="36">
        <v>-2.2686000000000002</v>
      </c>
      <c r="G107" s="36">
        <v>102.96660857770323</v>
      </c>
      <c r="H107" s="36">
        <v>-2.9198986799508719</v>
      </c>
    </row>
    <row r="108" spans="1:8" x14ac:dyDescent="0.25">
      <c r="A108" s="36">
        <v>0.11531130129195721</v>
      </c>
      <c r="B108" s="36">
        <v>103.39424310795609</v>
      </c>
      <c r="C108" s="36">
        <v>106.06355697780715</v>
      </c>
      <c r="D108" s="36">
        <v>-2.6693138698510666</v>
      </c>
      <c r="E108" s="36">
        <v>-2.516711626416222E-2</v>
      </c>
      <c r="F108" s="36">
        <v>-0.67279999999999995</v>
      </c>
      <c r="G108" s="36">
        <v>102.58031993853517</v>
      </c>
      <c r="H108" s="36">
        <v>-3.2841035493471282</v>
      </c>
    </row>
    <row r="109" spans="1:8" x14ac:dyDescent="0.25">
      <c r="A109" s="36">
        <v>0.72093800933691077</v>
      </c>
      <c r="B109" s="36">
        <v>104.13965150598754</v>
      </c>
      <c r="C109" s="36">
        <v>106.06355697780715</v>
      </c>
      <c r="D109" s="36">
        <v>-1.9239054718196087</v>
      </c>
      <c r="E109" s="36">
        <v>-1.8139175477795533E-2</v>
      </c>
      <c r="F109" s="36">
        <v>0.30649999999999999</v>
      </c>
      <c r="G109" s="36">
        <v>103.71114646308199</v>
      </c>
      <c r="H109" s="36">
        <v>-2.2179253475511751</v>
      </c>
    </row>
    <row r="110" spans="1:8" x14ac:dyDescent="0.25">
      <c r="A110" s="36">
        <v>0.35516312543550382</v>
      </c>
      <c r="B110" s="36">
        <v>104.50951714709386</v>
      </c>
      <c r="C110" s="36">
        <v>106.06355697780715</v>
      </c>
      <c r="D110" s="36">
        <v>-1.5540398307132932</v>
      </c>
      <c r="E110" s="36">
        <v>-1.4651967885995584E-2</v>
      </c>
      <c r="F110" s="36">
        <v>0.15959999999999999</v>
      </c>
      <c r="G110" s="36">
        <v>104.3058583897911</v>
      </c>
      <c r="H110" s="36">
        <v>-1.6572125601858168</v>
      </c>
    </row>
    <row r="111" spans="1:8" x14ac:dyDescent="0.25">
      <c r="A111" s="36">
        <v>0.41247717746290535</v>
      </c>
      <c r="B111" s="36">
        <v>104.94059505360231</v>
      </c>
      <c r="C111" s="36">
        <v>106.06355697780715</v>
      </c>
      <c r="D111" s="36">
        <v>-1.1229619242048443</v>
      </c>
      <c r="E111" s="36">
        <v>-1.0587632134945409E-2</v>
      </c>
      <c r="F111" s="36">
        <v>-0.19309999999999999</v>
      </c>
      <c r="G111" s="36">
        <v>104.30770926948281</v>
      </c>
      <c r="H111" s="36">
        <v>-1.6554674936007818</v>
      </c>
    </row>
    <row r="112" spans="1:8" x14ac:dyDescent="0.25">
      <c r="A112" s="36">
        <v>0.50443573082191262</v>
      </c>
      <c r="B112" s="36">
        <v>105.46995291118981</v>
      </c>
      <c r="C112" s="36">
        <v>106.06355697780715</v>
      </c>
      <c r="D112" s="36">
        <v>-0.59360406661734544</v>
      </c>
      <c r="E112" s="36">
        <v>-5.5966826262629655E-3</v>
      </c>
      <c r="F112" s="36">
        <v>-5.2600000000000001E-2</v>
      </c>
      <c r="G112" s="36">
        <v>104.88539630060411</v>
      </c>
      <c r="H112" s="36">
        <v>-1.1108063040442429</v>
      </c>
    </row>
    <row r="113" spans="1:8" x14ac:dyDescent="0.25">
      <c r="A113" s="36">
        <v>0.31496301455946824</v>
      </c>
      <c r="B113" s="36">
        <v>105.80214425433334</v>
      </c>
      <c r="C113" s="36">
        <v>106.06355697780715</v>
      </c>
      <c r="D113" s="36">
        <v>-0.26141272347381062</v>
      </c>
      <c r="E113" s="36">
        <v>-2.4646799609832895E-3</v>
      </c>
      <c r="F113" s="36">
        <v>-9.4600000000000004E-2</v>
      </c>
      <c r="G113" s="36">
        <v>105.37017833573582</v>
      </c>
      <c r="H113" s="36">
        <v>-0.65373881644985588</v>
      </c>
    </row>
    <row r="114" spans="1:8" x14ac:dyDescent="0.25">
      <c r="A114" s="36">
        <v>0.45704248479842358</v>
      </c>
      <c r="B114" s="36">
        <v>106.28570500340336</v>
      </c>
      <c r="C114" s="36">
        <v>106.28570500340336</v>
      </c>
      <c r="D114" s="36"/>
      <c r="E114" s="36">
        <v>0</v>
      </c>
      <c r="F114" s="36">
        <v>-0.2291</v>
      </c>
      <c r="G114" s="36">
        <v>105.55975154184667</v>
      </c>
      <c r="H114" s="36">
        <v>-0.47500333791926641</v>
      </c>
    </row>
    <row r="115" spans="1:8" x14ac:dyDescent="0.25">
      <c r="A115" s="36">
        <v>0.45705474022081716</v>
      </c>
      <c r="B115" s="36">
        <v>106.77148885629853</v>
      </c>
      <c r="C115" s="36">
        <v>106.77148885629853</v>
      </c>
      <c r="D115" s="36"/>
      <c r="E115" s="36">
        <v>0</v>
      </c>
      <c r="F115" s="36">
        <v>3.0499999999999999E-2</v>
      </c>
      <c r="G115" s="36">
        <v>106.31812214342941</v>
      </c>
      <c r="H115" s="36">
        <v>3.0499999999999972E-2</v>
      </c>
    </row>
    <row r="116" spans="1:8" x14ac:dyDescent="0.25">
      <c r="A116" s="36">
        <v>0.27319142026106019</v>
      </c>
      <c r="B116" s="36">
        <v>107.06317940313893</v>
      </c>
      <c r="C116" s="36">
        <v>107.06317940313893</v>
      </c>
      <c r="D116" s="36"/>
      <c r="E116" s="36">
        <v>0</v>
      </c>
      <c r="F116" s="36">
        <v>-9.8400000000000001E-2</v>
      </c>
      <c r="G116" s="36">
        <v>106.66642571126394</v>
      </c>
      <c r="H116" s="36">
        <v>-9.8399999999998489E-2</v>
      </c>
    </row>
    <row r="117" spans="1:8" x14ac:dyDescent="0.25">
      <c r="A117" s="36">
        <v>0.30177264549240551</v>
      </c>
      <c r="B117" s="36">
        <v>107.38626679197206</v>
      </c>
      <c r="C117" s="36">
        <v>107.38626679197206</v>
      </c>
      <c r="D117" s="36"/>
      <c r="E117" s="36">
        <v>0</v>
      </c>
      <c r="F117" s="36">
        <v>0.19450000000000001</v>
      </c>
      <c r="G117" s="36">
        <v>107.27141728707805</v>
      </c>
      <c r="H117" s="36">
        <v>0.19450000000000855</v>
      </c>
    </row>
    <row r="118" spans="1:8" x14ac:dyDescent="0.25">
      <c r="A118" s="36">
        <v>0.212909591317443</v>
      </c>
      <c r="B118" s="36">
        <v>107.6149024537299</v>
      </c>
      <c r="C118" s="36">
        <v>107.6149024537299</v>
      </c>
      <c r="D118" s="36"/>
      <c r="E118" s="36">
        <v>0</v>
      </c>
      <c r="F118" s="36">
        <v>6.0199999999999997E-2</v>
      </c>
      <c r="G118" s="36">
        <v>107.45091332458082</v>
      </c>
      <c r="H118" s="36">
        <v>6.0199999999999143E-2</v>
      </c>
    </row>
    <row r="119" spans="1:8" x14ac:dyDescent="0.25">
      <c r="A119" s="36">
        <v>-1.1120095634686682</v>
      </c>
      <c r="B119" s="36">
        <v>106.41821444672695</v>
      </c>
      <c r="C119" s="36">
        <v>107.6149024537299</v>
      </c>
      <c r="D119" s="36">
        <v>-1.1966880070029475</v>
      </c>
      <c r="E119" s="36">
        <v>-1.1120095634686614E-2</v>
      </c>
      <c r="F119" s="36">
        <v>-1.4047000000000001</v>
      </c>
      <c r="G119" s="36">
        <v>106.10323591896235</v>
      </c>
      <c r="H119" s="36">
        <v>-1.4047000000000032</v>
      </c>
    </row>
    <row r="120" spans="1:8" x14ac:dyDescent="0.25">
      <c r="A120" s="36">
        <v>0.55957049950000348</v>
      </c>
      <c r="B120" s="36">
        <v>107.01369938086548</v>
      </c>
      <c r="C120" s="36">
        <v>107.6149024537299</v>
      </c>
      <c r="D120" s="36">
        <v>-0.60120307286442198</v>
      </c>
      <c r="E120" s="36">
        <v>-5.5866154143745586E-3</v>
      </c>
      <c r="F120" s="36">
        <v>-0.44469999999999998</v>
      </c>
      <c r="G120" s="36">
        <v>105.94497264708235</v>
      </c>
      <c r="H120" s="36">
        <v>-1.5517644569399192</v>
      </c>
    </row>
    <row r="121" spans="1:8" x14ac:dyDescent="0.25">
      <c r="A121" s="36">
        <v>0.23459343744680256</v>
      </c>
      <c r="B121" s="36">
        <v>107.26474649678204</v>
      </c>
      <c r="C121" s="36">
        <v>107.6149024537299</v>
      </c>
      <c r="D121" s="36">
        <v>-0.35015595694785873</v>
      </c>
      <c r="E121" s="36">
        <v>-3.2537868730440171E-3</v>
      </c>
      <c r="F121" s="36">
        <v>7.4899999999999994E-2</v>
      </c>
      <c r="G121" s="36">
        <v>107.09385264170176</v>
      </c>
      <c r="H121" s="36">
        <v>-0.48417997893197562</v>
      </c>
    </row>
    <row r="122" spans="1:8" x14ac:dyDescent="0.25">
      <c r="A122" s="36">
        <v>-0.24821344046918112</v>
      </c>
      <c r="B122" s="36">
        <v>106.99850097909183</v>
      </c>
      <c r="C122" s="36">
        <v>107.6149024537299</v>
      </c>
      <c r="D122" s="36">
        <v>-0.61640147463806727</v>
      </c>
      <c r="E122" s="36">
        <v>-5.7278449413927148E-3</v>
      </c>
      <c r="F122" s="36">
        <v>-0.36499999999999999</v>
      </c>
      <c r="G122" s="36">
        <v>106.87323017206877</v>
      </c>
      <c r="H122" s="36">
        <v>-0.68919105509575029</v>
      </c>
    </row>
    <row r="123" spans="1:8" x14ac:dyDescent="0.25">
      <c r="A123" s="36">
        <v>0.32578361182952359</v>
      </c>
      <c r="B123" s="36">
        <v>107.34708456018497</v>
      </c>
      <c r="C123" s="36">
        <v>107.6149024537299</v>
      </c>
      <c r="D123" s="36">
        <v>-0.26781789354492958</v>
      </c>
      <c r="E123" s="36">
        <v>-2.488669203227504E-3</v>
      </c>
      <c r="F123" s="36">
        <v>5.7599999999999998E-2</v>
      </c>
      <c r="G123" s="36">
        <v>107.06013211565578</v>
      </c>
      <c r="H123" s="36">
        <v>-0.51551441800790077</v>
      </c>
    </row>
    <row r="124" spans="1:8" x14ac:dyDescent="0.25">
      <c r="A124" s="36">
        <v>0.45839944122449544</v>
      </c>
      <c r="B124" s="36">
        <v>107.83916299597965</v>
      </c>
      <c r="C124" s="36">
        <v>107.83916299597965</v>
      </c>
      <c r="D124" s="36"/>
      <c r="E124" s="36">
        <v>0</v>
      </c>
      <c r="F124" s="36">
        <v>-0.15909999999999999</v>
      </c>
      <c r="G124" s="36">
        <v>107.17629534864972</v>
      </c>
      <c r="H124" s="36">
        <v>-0.40757097305251788</v>
      </c>
    </row>
    <row r="125" spans="1:8" x14ac:dyDescent="0.25">
      <c r="A125" s="36">
        <v>-1.1920774804688838</v>
      </c>
      <c r="B125" s="36">
        <v>106.55363661877844</v>
      </c>
      <c r="C125" s="36">
        <v>107.83916299597965</v>
      </c>
      <c r="D125" s="36">
        <v>-1.285526377201208</v>
      </c>
      <c r="E125" s="36">
        <v>-1.1920774804688847E-2</v>
      </c>
      <c r="F125" s="36">
        <v>-1.3117000000000001</v>
      </c>
      <c r="G125" s="36">
        <v>106.42463669496138</v>
      </c>
      <c r="H125" s="36">
        <v>-1.3117000000000045</v>
      </c>
    </row>
    <row r="126" spans="1:8" x14ac:dyDescent="0.25">
      <c r="A126" s="36">
        <v>-0.17198259777164326</v>
      </c>
      <c r="B126" s="36">
        <v>106.37038290650131</v>
      </c>
      <c r="C126" s="36">
        <v>107.83916299597965</v>
      </c>
      <c r="D126" s="36">
        <v>-1.4687800894783436</v>
      </c>
      <c r="E126" s="36">
        <v>-1.3620099124221701E-2</v>
      </c>
      <c r="F126" s="36">
        <v>-1.7065999999999999</v>
      </c>
      <c r="G126" s="36">
        <v>104.73519225624237</v>
      </c>
      <c r="H126" s="36">
        <v>-2.8783334861872012</v>
      </c>
    </row>
    <row r="127" spans="1:8" x14ac:dyDescent="0.25">
      <c r="A127" s="36">
        <v>0.58800360772724836</v>
      </c>
      <c r="B127" s="36">
        <v>106.99584459554481</v>
      </c>
      <c r="C127" s="36">
        <v>107.83916299597965</v>
      </c>
      <c r="D127" s="36">
        <v>-0.84331840043483908</v>
      </c>
      <c r="E127" s="36">
        <v>-7.8201497211757738E-3</v>
      </c>
      <c r="F127" s="36">
        <v>-0.65259999999999996</v>
      </c>
      <c r="G127" s="36">
        <v>105.67620978765348</v>
      </c>
      <c r="H127" s="36">
        <v>-2.0057214357337094</v>
      </c>
    </row>
    <row r="128" spans="1:8" x14ac:dyDescent="0.25">
      <c r="A128" s="36">
        <v>0.15020057412041807</v>
      </c>
      <c r="B128" s="36">
        <v>107.1565529684123</v>
      </c>
      <c r="C128" s="36">
        <v>107.83916299597965</v>
      </c>
      <c r="D128" s="36">
        <v>-0.68261002756734968</v>
      </c>
      <c r="E128" s="36">
        <v>-6.3298898897499612E-3</v>
      </c>
      <c r="F128" s="36">
        <v>-0.37790000000000001</v>
      </c>
      <c r="G128" s="36">
        <v>106.59150729881824</v>
      </c>
      <c r="H128" s="36">
        <v>-1.1569597375379437</v>
      </c>
    </row>
    <row r="129" spans="1:8" x14ac:dyDescent="0.25">
      <c r="A129" s="36">
        <v>1.2938593463041468</v>
      </c>
      <c r="B129" s="36">
        <v>108.54300804417146</v>
      </c>
      <c r="C129" s="36">
        <v>108.54300804417146</v>
      </c>
      <c r="D129" s="36"/>
      <c r="E129" s="36">
        <v>0</v>
      </c>
      <c r="F129" s="36">
        <v>-4.6899999999999997E-2</v>
      </c>
      <c r="G129" s="36">
        <v>107.10629654507011</v>
      </c>
      <c r="H129" s="36">
        <v>-0.67959211713917167</v>
      </c>
    </row>
    <row r="130" spans="1:8" x14ac:dyDescent="0.25">
      <c r="A130" s="36">
        <v>0.23734068990675086</v>
      </c>
      <c r="B130" s="36">
        <v>108.80062476830904</v>
      </c>
      <c r="C130" s="36">
        <v>108.80062476830904</v>
      </c>
      <c r="D130" s="36"/>
      <c r="E130" s="36">
        <v>0</v>
      </c>
      <c r="F130" s="36">
        <v>-0.48149999999999998</v>
      </c>
      <c r="G130" s="36">
        <v>108.02037346043878</v>
      </c>
      <c r="H130" s="36">
        <v>-0.48150000000000137</v>
      </c>
    </row>
    <row r="131" spans="1:8" x14ac:dyDescent="0.25">
      <c r="A131" s="36">
        <v>0.69116142133374237</v>
      </c>
      <c r="B131" s="36">
        <v>109.55261271287767</v>
      </c>
      <c r="C131" s="36">
        <v>109.55261271287767</v>
      </c>
      <c r="D131" s="36"/>
      <c r="E131" s="36">
        <v>0</v>
      </c>
      <c r="F131" s="36">
        <v>-0.17899999999999999</v>
      </c>
      <c r="G131" s="36">
        <v>108.60587164997376</v>
      </c>
      <c r="H131" s="36">
        <v>-0.17899999999999583</v>
      </c>
    </row>
    <row r="132" spans="1:8" x14ac:dyDescent="0.25">
      <c r="A132" s="36">
        <v>7.4359524912701008E-2</v>
      </c>
      <c r="B132" s="36">
        <v>109.63407551522043</v>
      </c>
      <c r="C132" s="36">
        <v>109.63407551522043</v>
      </c>
      <c r="D132" s="36"/>
      <c r="E132" s="36">
        <v>0</v>
      </c>
      <c r="F132" s="36">
        <v>-0.14580000000000001</v>
      </c>
      <c r="G132" s="36">
        <v>109.3928850035423</v>
      </c>
      <c r="H132" s="36">
        <v>-0.14579999999999593</v>
      </c>
    </row>
    <row r="133" spans="1:8" x14ac:dyDescent="0.25">
      <c r="A133" s="36">
        <v>-0.30786599894355265</v>
      </c>
      <c r="B133" s="36">
        <v>109.29654947345297</v>
      </c>
      <c r="C133" s="36">
        <v>109.63407551522043</v>
      </c>
      <c r="D133" s="36">
        <v>-0.33752604176746104</v>
      </c>
      <c r="E133" s="36">
        <v>-3.0786599894355154E-3</v>
      </c>
      <c r="F133" s="36">
        <v>-0.4541</v>
      </c>
      <c r="G133" s="36">
        <v>109.13622717830582</v>
      </c>
      <c r="H133" s="36">
        <v>-0.45410000000000172</v>
      </c>
    </row>
    <row r="134" spans="1:8" x14ac:dyDescent="0.25">
      <c r="A134" s="36">
        <v>0.98240866651633285</v>
      </c>
      <c r="B134" s="36">
        <v>110.37028824768348</v>
      </c>
      <c r="C134" s="36">
        <v>110.37028824768348</v>
      </c>
      <c r="D134" s="36"/>
      <c r="E134" s="36">
        <v>0</v>
      </c>
      <c r="F134" s="36">
        <v>-0.17630000000000001</v>
      </c>
      <c r="G134" s="36">
        <v>109.10385965673127</v>
      </c>
      <c r="H134" s="36">
        <v>-0.48362323118741335</v>
      </c>
    </row>
    <row r="135" spans="1:8" x14ac:dyDescent="0.25">
      <c r="A135" s="36">
        <v>0.2950030776117733</v>
      </c>
      <c r="B135" s="36">
        <v>110.69588399478312</v>
      </c>
      <c r="C135" s="36">
        <v>110.69588399478312</v>
      </c>
      <c r="D135" s="36"/>
      <c r="E135" s="36">
        <v>0</v>
      </c>
      <c r="F135" s="36">
        <v>5.4000000000000003E-3</v>
      </c>
      <c r="G135" s="36">
        <v>110.37624824324885</v>
      </c>
      <c r="H135" s="36">
        <v>5.3999999999998494E-3</v>
      </c>
    </row>
    <row r="136" spans="1:8" x14ac:dyDescent="0.25">
      <c r="A136" s="36">
        <v>-1.9785040969473682</v>
      </c>
      <c r="B136" s="36">
        <v>108.50576139479423</v>
      </c>
      <c r="C136" s="36">
        <v>110.69588399478312</v>
      </c>
      <c r="D136" s="36">
        <v>-2.1901225999888823</v>
      </c>
      <c r="E136" s="36">
        <v>-1.9785040969473613E-2</v>
      </c>
      <c r="F136" s="36">
        <v>-2.2553000000000001</v>
      </c>
      <c r="G136" s="36">
        <v>108.19935972304877</v>
      </c>
      <c r="H136" s="36">
        <v>-2.2553000000000045</v>
      </c>
    </row>
    <row r="137" spans="1:8" x14ac:dyDescent="0.25">
      <c r="A137" s="36">
        <v>-0.37913054546611696</v>
      </c>
      <c r="B137" s="36">
        <v>108.09438290975598</v>
      </c>
      <c r="C137" s="36">
        <v>110.69588399478312</v>
      </c>
      <c r="D137" s="36">
        <v>-2.6015010850271381</v>
      </c>
      <c r="E137" s="36">
        <v>-2.3501335290386605E-2</v>
      </c>
      <c r="F137" s="36">
        <v>-0.97850000000000004</v>
      </c>
      <c r="G137" s="36">
        <v>107.44403251954617</v>
      </c>
      <c r="H137" s="36">
        <v>-2.9376444343587327</v>
      </c>
    </row>
    <row r="138" spans="1:8" x14ac:dyDescent="0.25">
      <c r="A138" s="36">
        <v>0.30358393889858099</v>
      </c>
      <c r="B138" s="36">
        <v>108.42254009512152</v>
      </c>
      <c r="C138" s="36">
        <v>110.69588399478312</v>
      </c>
      <c r="D138" s="36">
        <v>-2.2733438996615973</v>
      </c>
      <c r="E138" s="36">
        <v>-2.0536842180769212E-2</v>
      </c>
      <c r="F138" s="36">
        <v>0.122</v>
      </c>
      <c r="G138" s="36">
        <v>108.22625805690588</v>
      </c>
      <c r="H138" s="36">
        <v>-2.2310006919440961</v>
      </c>
    </row>
    <row r="139" spans="1:8" x14ac:dyDescent="0.25">
      <c r="A139" s="36">
        <v>0.25026304773326391</v>
      </c>
      <c r="B139" s="36">
        <v>108.69388164839339</v>
      </c>
      <c r="C139" s="36">
        <v>110.69588399478312</v>
      </c>
      <c r="D139" s="36">
        <v>-2.0020023463897303</v>
      </c>
      <c r="E139" s="36">
        <v>-1.8085607830586374E-2</v>
      </c>
      <c r="F139" s="36">
        <v>-0.20319999999999999</v>
      </c>
      <c r="G139" s="36">
        <v>108.20222549364823</v>
      </c>
      <c r="H139" s="36">
        <v>-2.2527111317457882</v>
      </c>
    </row>
    <row r="140" spans="1:8" x14ac:dyDescent="0.25">
      <c r="A140" s="36">
        <v>0.13627950180010981</v>
      </c>
      <c r="B140" s="36">
        <v>108.84200912879102</v>
      </c>
      <c r="C140" s="36">
        <v>110.69588399478312</v>
      </c>
      <c r="D140" s="36">
        <v>-1.8538748659920969</v>
      </c>
      <c r="E140" s="36">
        <v>-1.6747459788834303E-2</v>
      </c>
      <c r="F140" s="36">
        <v>1.9699999999999999E-2</v>
      </c>
      <c r="G140" s="36">
        <v>108.71529434307811</v>
      </c>
      <c r="H140" s="36">
        <v>-1.7892170695329002</v>
      </c>
    </row>
    <row r="141" spans="1:8" x14ac:dyDescent="0.25">
      <c r="A141" s="36">
        <v>-0.97744510580693966</v>
      </c>
      <c r="B141" s="36">
        <v>99.022554894193064</v>
      </c>
      <c r="C141" s="36">
        <v>100</v>
      </c>
      <c r="D141" s="36">
        <v>-0.977445105806936</v>
      </c>
      <c r="E141" s="36">
        <v>-9.7744510580693601E-3</v>
      </c>
      <c r="F141" s="36">
        <v>-1.5491999999999999</v>
      </c>
      <c r="G141" s="36">
        <v>98.450800000000001</v>
      </c>
      <c r="H141" s="36">
        <v>-1.549199999999995</v>
      </c>
    </row>
    <row r="142" spans="1:8" x14ac:dyDescent="0.25">
      <c r="A142" s="36">
        <v>0.24033180136755969</v>
      </c>
      <c r="B142" s="36">
        <v>99.260537584130461</v>
      </c>
      <c r="C142" s="36">
        <v>100</v>
      </c>
      <c r="D142" s="36">
        <v>-0.73946241586953931</v>
      </c>
      <c r="E142" s="36">
        <v>-7.3946241586953934E-3</v>
      </c>
      <c r="F142" s="36">
        <v>-1.0792999999999999</v>
      </c>
      <c r="G142" s="36">
        <v>97.953804459220038</v>
      </c>
      <c r="H142" s="36">
        <v>-2.0461955407799604</v>
      </c>
    </row>
    <row r="143" spans="1:8" x14ac:dyDescent="0.25">
      <c r="A143" s="36">
        <v>0.55494120641155287</v>
      </c>
      <c r="B143" s="36">
        <v>99.811375208890425</v>
      </c>
      <c r="C143" s="36">
        <v>100</v>
      </c>
      <c r="D143" s="36">
        <v>-0.18862479110957509</v>
      </c>
      <c r="E143" s="36">
        <v>-1.8862479110957509E-3</v>
      </c>
      <c r="F143" s="36">
        <v>-0.38779999999999998</v>
      </c>
      <c r="G143" s="36">
        <v>98.875605219379196</v>
      </c>
      <c r="H143" s="36">
        <v>-1.1243947806208077</v>
      </c>
    </row>
    <row r="144" spans="1:8" x14ac:dyDescent="0.25">
      <c r="A144" s="36">
        <v>0.63072807474372494</v>
      </c>
      <c r="B144" s="36">
        <v>100.4409135741207</v>
      </c>
      <c r="C144" s="36">
        <v>100.4409135741207</v>
      </c>
      <c r="D144" s="36"/>
      <c r="E144" s="36">
        <v>0</v>
      </c>
      <c r="F144" s="36">
        <v>0.03</v>
      </c>
      <c r="G144" s="36">
        <v>99.841318621453084</v>
      </c>
      <c r="H144" s="36">
        <v>-0.15868137854692099</v>
      </c>
    </row>
    <row r="145" spans="1:8" x14ac:dyDescent="0.25">
      <c r="A145" s="36">
        <v>0.50668649160537749</v>
      </c>
      <c r="B145" s="36">
        <v>100.94983411524579</v>
      </c>
      <c r="C145" s="36">
        <v>100.94983411524579</v>
      </c>
      <c r="D145" s="36"/>
      <c r="E145" s="36">
        <v>0</v>
      </c>
      <c r="F145" s="36">
        <v>-1.17E-2</v>
      </c>
      <c r="G145" s="36">
        <v>100.42916198723252</v>
      </c>
      <c r="H145" s="36">
        <v>-1.1700000000003374E-2</v>
      </c>
    </row>
    <row r="146" spans="1:8" x14ac:dyDescent="0.25">
      <c r="A146" s="36">
        <v>-0.64677927432715143</v>
      </c>
      <c r="B146" s="36">
        <v>100.29691151072075</v>
      </c>
      <c r="C146" s="36">
        <v>100.94983411524579</v>
      </c>
      <c r="D146" s="36">
        <v>-0.65292260452504536</v>
      </c>
      <c r="E146" s="36">
        <v>-6.4677927432714695E-3</v>
      </c>
      <c r="F146" s="36">
        <v>-0.78349999999999997</v>
      </c>
      <c r="G146" s="36">
        <v>100.15889216495283</v>
      </c>
      <c r="H146" s="36">
        <v>-0.78350000000001474</v>
      </c>
    </row>
    <row r="147" spans="1:8" x14ac:dyDescent="0.25">
      <c r="A147" s="36">
        <v>1.5765458253137015</v>
      </c>
      <c r="B147" s="36">
        <v>101.8781382820616</v>
      </c>
      <c r="C147" s="36">
        <v>101.8781382820616</v>
      </c>
      <c r="D147" s="36"/>
      <c r="E147" s="36">
        <v>0</v>
      </c>
      <c r="F147" s="36">
        <v>-0.83599999999999997</v>
      </c>
      <c r="G147" s="36">
        <v>99.458429330491114</v>
      </c>
      <c r="H147" s="36">
        <v>-1.477372199593785</v>
      </c>
    </row>
    <row r="148" spans="1:8" x14ac:dyDescent="0.25">
      <c r="A148" s="36">
        <v>-2.3465541031383386</v>
      </c>
      <c r="B148" s="36">
        <v>99.487512648002934</v>
      </c>
      <c r="C148" s="36">
        <v>101.8781382820616</v>
      </c>
      <c r="D148" s="36">
        <v>-2.3906256340586651</v>
      </c>
      <c r="E148" s="36">
        <v>-2.3465541031383368E-2</v>
      </c>
      <c r="F148" s="36">
        <v>-8.1290999999999993</v>
      </c>
      <c r="G148" s="36">
        <v>93.596362542974532</v>
      </c>
      <c r="H148" s="36">
        <v>-8.1291000000000011</v>
      </c>
    </row>
    <row r="149" spans="1:8" x14ac:dyDescent="0.25">
      <c r="A149" s="36">
        <v>0.62598500907368804</v>
      </c>
      <c r="B149" s="36">
        <v>100.11028956307973</v>
      </c>
      <c r="C149" s="36">
        <v>101.8781382820616</v>
      </c>
      <c r="D149" s="36">
        <v>-1.7678487189818668</v>
      </c>
      <c r="E149" s="36">
        <v>-1.735258170980088E-2</v>
      </c>
      <c r="F149" s="36">
        <v>6.0000000000000001E-3</v>
      </c>
      <c r="G149" s="36">
        <v>99.493481898761814</v>
      </c>
      <c r="H149" s="36">
        <v>-2.3406948963845209</v>
      </c>
    </row>
    <row r="150" spans="1:8" x14ac:dyDescent="0.25">
      <c r="A150" s="36">
        <v>0.41562634847778995</v>
      </c>
      <c r="B150" s="36">
        <v>100.5263743040413</v>
      </c>
      <c r="C150" s="36">
        <v>101.8781382820616</v>
      </c>
      <c r="D150" s="36">
        <v>-1.3517639780203012</v>
      </c>
      <c r="E150" s="36">
        <v>-1.3268440126750096E-2</v>
      </c>
      <c r="F150" s="36">
        <v>-0.29239999999999999</v>
      </c>
      <c r="G150" s="36">
        <v>99.817567076397282</v>
      </c>
      <c r="H150" s="36">
        <v>-2.0225842760881463</v>
      </c>
    </row>
    <row r="151" spans="1:8" x14ac:dyDescent="0.25">
      <c r="A151" s="36">
        <v>0.88389333253297719</v>
      </c>
      <c r="B151" s="36">
        <v>101.41492022395187</v>
      </c>
      <c r="C151" s="36">
        <v>101.8781382820616</v>
      </c>
      <c r="D151" s="36">
        <v>-0.4632180581097316</v>
      </c>
      <c r="E151" s="36">
        <v>-4.5467856590317539E-3</v>
      </c>
      <c r="F151" s="36">
        <v>0.1361</v>
      </c>
      <c r="G151" s="36">
        <v>100.6631906994691</v>
      </c>
      <c r="H151" s="36">
        <v>-1.1925498473762564</v>
      </c>
    </row>
    <row r="152" spans="1:8" x14ac:dyDescent="0.25">
      <c r="A152" s="36">
        <v>-0.10548478429741191</v>
      </c>
      <c r="B152" s="36">
        <v>101.30794291410824</v>
      </c>
      <c r="C152" s="36">
        <v>101.8781382820616</v>
      </c>
      <c r="D152" s="36">
        <v>-0.57019536795336023</v>
      </c>
      <c r="E152" s="36">
        <v>-5.5968373349609838E-3</v>
      </c>
      <c r="F152" s="36">
        <v>-0.47949999999999998</v>
      </c>
      <c r="G152" s="36">
        <v>100.92863568147801</v>
      </c>
      <c r="H152" s="36">
        <v>-0.93199838217967734</v>
      </c>
    </row>
    <row r="153" spans="1:8" x14ac:dyDescent="0.25">
      <c r="A153" s="36">
        <v>1.0648069399557747</v>
      </c>
      <c r="B153" s="36">
        <v>102.38667692098409</v>
      </c>
      <c r="C153" s="36">
        <v>102.38667692098409</v>
      </c>
      <c r="D153" s="36"/>
      <c r="E153" s="36">
        <v>0</v>
      </c>
      <c r="F153" s="36">
        <v>-0.47899999999999998</v>
      </c>
      <c r="G153" s="36">
        <v>100.82267786754966</v>
      </c>
      <c r="H153" s="36">
        <v>-1.0360028484126538</v>
      </c>
    </row>
    <row r="154" spans="1:8" x14ac:dyDescent="0.25">
      <c r="A154" s="36">
        <v>0.77758412655851994</v>
      </c>
      <c r="B154" s="36">
        <v>103.18281946843243</v>
      </c>
      <c r="C154" s="36">
        <v>103.18281946843243</v>
      </c>
      <c r="D154" s="36"/>
      <c r="E154" s="36">
        <v>0</v>
      </c>
      <c r="F154" s="36">
        <v>-0.22370000000000001</v>
      </c>
      <c r="G154" s="36">
        <v>102.15763792471184</v>
      </c>
      <c r="H154" s="36">
        <v>-0.22370000000000445</v>
      </c>
    </row>
    <row r="155" spans="1:8" x14ac:dyDescent="0.25">
      <c r="A155" s="36">
        <v>0.24915137343917951</v>
      </c>
      <c r="B155" s="36">
        <v>103.43990088029129</v>
      </c>
      <c r="C155" s="36">
        <v>103.43990088029129</v>
      </c>
      <c r="D155" s="36"/>
      <c r="E155" s="36">
        <v>0</v>
      </c>
      <c r="F155" s="36">
        <v>-7.8700000000000006E-2</v>
      </c>
      <c r="G155" s="36">
        <v>103.10161458951077</v>
      </c>
      <c r="H155" s="36">
        <v>-7.8699999999998216E-2</v>
      </c>
    </row>
    <row r="156" spans="1:8" x14ac:dyDescent="0.25">
      <c r="A156" s="36">
        <v>0.32466596668931297</v>
      </c>
      <c r="B156" s="36">
        <v>103.77573503442676</v>
      </c>
      <c r="C156" s="36">
        <v>103.77573503442676</v>
      </c>
      <c r="D156" s="36"/>
      <c r="E156" s="36">
        <v>0</v>
      </c>
      <c r="F156" s="36">
        <v>-0.34129999999999999</v>
      </c>
      <c r="G156" s="36">
        <v>103.08686049858686</v>
      </c>
      <c r="H156" s="36">
        <v>-0.34129999999999994</v>
      </c>
    </row>
    <row r="157" spans="1:8" x14ac:dyDescent="0.25">
      <c r="A157" s="36">
        <v>0.74965723788204874</v>
      </c>
      <c r="B157" s="36">
        <v>104.55369734327763</v>
      </c>
      <c r="C157" s="36">
        <v>104.55369734327763</v>
      </c>
      <c r="D157" s="36"/>
      <c r="E157" s="36">
        <v>0</v>
      </c>
      <c r="F157" s="36">
        <v>-0.31219999999999998</v>
      </c>
      <c r="G157" s="36">
        <v>103.45174718964928</v>
      </c>
      <c r="H157" s="36">
        <v>-0.31219999999999581</v>
      </c>
    </row>
    <row r="158" spans="1:8" x14ac:dyDescent="0.25">
      <c r="A158" s="36">
        <v>0.1673669097520204</v>
      </c>
      <c r="B158" s="36">
        <v>104.72868563555257</v>
      </c>
      <c r="C158" s="36">
        <v>104.72868563555257</v>
      </c>
      <c r="D158" s="36"/>
      <c r="E158" s="36">
        <v>0</v>
      </c>
      <c r="F158" s="36">
        <v>-9.7999999999999997E-3</v>
      </c>
      <c r="G158" s="36">
        <v>104.54345108093798</v>
      </c>
      <c r="H158" s="36">
        <v>-9.8000000000042498E-3</v>
      </c>
    </row>
    <row r="159" spans="1:8" x14ac:dyDescent="0.25">
      <c r="A159" s="36">
        <v>0.25128996871571935</v>
      </c>
      <c r="B159" s="36">
        <v>104.99185831692255</v>
      </c>
      <c r="C159" s="36">
        <v>104.99185831692255</v>
      </c>
      <c r="D159" s="36"/>
      <c r="E159" s="36">
        <v>0</v>
      </c>
      <c r="F159" s="36">
        <v>-0.68779999999999997</v>
      </c>
      <c r="G159" s="36">
        <v>104.00836173575124</v>
      </c>
      <c r="H159" s="36">
        <v>-0.68779999999999397</v>
      </c>
    </row>
    <row r="160" spans="1:8" x14ac:dyDescent="0.25">
      <c r="A160" s="36">
        <v>0.86919122616585087</v>
      </c>
      <c r="B160" s="36">
        <v>105.9044383376017</v>
      </c>
      <c r="C160" s="36">
        <v>105.9044383376017</v>
      </c>
      <c r="D160" s="36"/>
      <c r="E160" s="36">
        <v>0</v>
      </c>
      <c r="F160" s="36">
        <v>-0.69610000000000005</v>
      </c>
      <c r="G160" s="36">
        <v>104.26100999117845</v>
      </c>
      <c r="H160" s="36">
        <v>-0.69609999999998839</v>
      </c>
    </row>
    <row r="161" spans="1:8" x14ac:dyDescent="0.25">
      <c r="A161" s="36">
        <v>0.22971751389680226</v>
      </c>
      <c r="B161" s="36">
        <v>106.1477193804572</v>
      </c>
      <c r="C161" s="36">
        <v>106.1477193804572</v>
      </c>
      <c r="D161" s="36"/>
      <c r="E161" s="36">
        <v>0</v>
      </c>
      <c r="F161" s="36">
        <v>-6.93E-2</v>
      </c>
      <c r="G161" s="36">
        <v>105.83104656183374</v>
      </c>
      <c r="H161" s="36">
        <v>-6.9300000000005468E-2</v>
      </c>
    </row>
    <row r="162" spans="1:8" x14ac:dyDescent="0.25">
      <c r="A162" s="36">
        <v>-2.2301577282009046</v>
      </c>
      <c r="B162" s="36">
        <v>103.78045781338493</v>
      </c>
      <c r="C162" s="36">
        <v>106.1477193804572</v>
      </c>
      <c r="D162" s="36">
        <v>-2.3672615670722763</v>
      </c>
      <c r="E162" s="36">
        <v>-2.2301577282009051E-2</v>
      </c>
      <c r="F162" s="36">
        <v>-4.0247000000000002</v>
      </c>
      <c r="G162" s="36">
        <v>101.87559211855194</v>
      </c>
      <c r="H162" s="36">
        <v>-4.0247000000000028</v>
      </c>
    </row>
    <row r="163" spans="1:8" x14ac:dyDescent="0.25">
      <c r="A163" s="36">
        <v>-0.35579792159687212</v>
      </c>
      <c r="B163" s="36">
        <v>103.4112091014612</v>
      </c>
      <c r="C163" s="36">
        <v>106.1477193804572</v>
      </c>
      <c r="D163" s="36">
        <v>-2.7365102789960076</v>
      </c>
      <c r="E163" s="36">
        <v>-2.5780207949524962E-2</v>
      </c>
      <c r="F163" s="36">
        <v>-0.79759999999999998</v>
      </c>
      <c r="G163" s="36">
        <v>102.95270488186537</v>
      </c>
      <c r="H163" s="36">
        <v>-3.0099699901607768</v>
      </c>
    </row>
    <row r="164" spans="1:8" x14ac:dyDescent="0.25">
      <c r="A164" s="36">
        <v>0.2868801524503915</v>
      </c>
      <c r="B164" s="36">
        <v>103.70787533578226</v>
      </c>
      <c r="C164" s="36">
        <v>106.1477193804572</v>
      </c>
      <c r="D164" s="36">
        <v>-2.4398440446749419</v>
      </c>
      <c r="E164" s="36">
        <v>-2.2985364724888664E-2</v>
      </c>
      <c r="F164" s="36">
        <v>8.0000000000000004E-4</v>
      </c>
      <c r="G164" s="36">
        <v>103.41203639113401</v>
      </c>
      <c r="H164" s="36">
        <v>-2.5772414191188586</v>
      </c>
    </row>
    <row r="165" spans="1:8" x14ac:dyDescent="0.25">
      <c r="A165" s="36">
        <v>0.28340155208700485</v>
      </c>
      <c r="B165" s="36">
        <v>104.00178506412034</v>
      </c>
      <c r="C165" s="36">
        <v>106.1477193804572</v>
      </c>
      <c r="D165" s="36">
        <v>-2.1459343163368629</v>
      </c>
      <c r="E165" s="36">
        <v>-2.0216490084401659E-2</v>
      </c>
      <c r="F165" s="36">
        <v>-4.4999999999999998E-2</v>
      </c>
      <c r="G165" s="36">
        <v>103.66120679188117</v>
      </c>
      <c r="H165" s="36">
        <v>-2.3425021310762406</v>
      </c>
    </row>
    <row r="166" spans="1:8" x14ac:dyDescent="0.25">
      <c r="A166" s="36">
        <v>0.76785815213441955</v>
      </c>
      <c r="B166" s="36">
        <v>104.80037124910051</v>
      </c>
      <c r="C166" s="36">
        <v>106.1477193804572</v>
      </c>
      <c r="D166" s="36">
        <v>-1.3473481313566964</v>
      </c>
      <c r="E166" s="36">
        <v>-1.2693142530245977E-2</v>
      </c>
      <c r="F166" s="36">
        <v>4.1799999999999997E-2</v>
      </c>
      <c r="G166" s="36">
        <v>104.04525781027715</v>
      </c>
      <c r="H166" s="36">
        <v>-1.9806940577256849</v>
      </c>
    </row>
    <row r="167" spans="1:8" x14ac:dyDescent="0.25">
      <c r="A167" s="36">
        <v>0.48777859162912868</v>
      </c>
      <c r="B167" s="36">
        <v>105.31156502400145</v>
      </c>
      <c r="C167" s="36">
        <v>106.1477193804572</v>
      </c>
      <c r="D167" s="36">
        <v>-0.83615435645575076</v>
      </c>
      <c r="E167" s="36">
        <v>-7.8772710458223441E-3</v>
      </c>
      <c r="F167" s="36">
        <v>-0.30059999999999998</v>
      </c>
      <c r="G167" s="36">
        <v>104.48534133312572</v>
      </c>
      <c r="H167" s="36">
        <v>-1.5660986943800026</v>
      </c>
    </row>
    <row r="168" spans="1:8" x14ac:dyDescent="0.25">
      <c r="A168" s="36">
        <v>-0.9248492977812347</v>
      </c>
      <c r="B168" s="36">
        <v>104.33759175439454</v>
      </c>
      <c r="C168" s="36">
        <v>106.1477193804572</v>
      </c>
      <c r="D168" s="36">
        <v>-1.8101276260626662</v>
      </c>
      <c r="E168" s="36">
        <v>-1.7052911137683167E-2</v>
      </c>
      <c r="F168" s="36">
        <v>-1.4139999999999999</v>
      </c>
      <c r="G168" s="36">
        <v>103.82245949456207</v>
      </c>
      <c r="H168" s="36">
        <v>-2.1905886433234434</v>
      </c>
    </row>
    <row r="169" spans="1:8" x14ac:dyDescent="0.25">
      <c r="A169" s="36">
        <v>0.99002947615120518</v>
      </c>
      <c r="B169" s="36">
        <v>105.37056466746935</v>
      </c>
      <c r="C169" s="36">
        <v>106.1477193804572</v>
      </c>
      <c r="D169" s="36">
        <v>-0.77715471298785133</v>
      </c>
      <c r="E169" s="36">
        <v>-7.3214452229760562E-3</v>
      </c>
      <c r="F169" s="36">
        <v>0.17599999999999999</v>
      </c>
      <c r="G169" s="36">
        <v>104.52122591588227</v>
      </c>
      <c r="H169" s="36">
        <v>-1.5322924261285564</v>
      </c>
    </row>
    <row r="170" spans="1:8" x14ac:dyDescent="0.25">
      <c r="A170" s="36">
        <v>0.16995616194478688</v>
      </c>
      <c r="B170" s="36">
        <v>105.54964843499774</v>
      </c>
      <c r="C170" s="36">
        <v>106.1477193804572</v>
      </c>
      <c r="D170" s="36">
        <v>-0.59807094545946882</v>
      </c>
      <c r="E170" s="36">
        <v>-5.634326850828029E-3</v>
      </c>
      <c r="F170" s="36">
        <v>-3.78E-2</v>
      </c>
      <c r="G170" s="36">
        <v>105.33073459402505</v>
      </c>
      <c r="H170" s="36">
        <v>-0.76966777166818101</v>
      </c>
    </row>
    <row r="171" spans="1:8" x14ac:dyDescent="0.25">
      <c r="A171" s="36">
        <v>0.88897470401989154</v>
      </c>
      <c r="B171" s="36">
        <v>106.48795810976679</v>
      </c>
      <c r="C171" s="36">
        <v>106.48795810976679</v>
      </c>
      <c r="D171" s="36"/>
      <c r="E171" s="36">
        <v>0</v>
      </c>
      <c r="F171" s="36">
        <v>0.18840000000000001</v>
      </c>
      <c r="G171" s="36">
        <v>105.74850397264927</v>
      </c>
      <c r="H171" s="36">
        <v>-0.3760941922615002</v>
      </c>
    </row>
    <row r="172" spans="1:8" x14ac:dyDescent="0.25">
      <c r="A172" s="36">
        <v>0.80978017482876752</v>
      </c>
      <c r="B172" s="36">
        <v>107.35027648311966</v>
      </c>
      <c r="C172" s="36">
        <v>107.35027648311966</v>
      </c>
      <c r="D172" s="36"/>
      <c r="E172" s="36">
        <v>0</v>
      </c>
      <c r="F172" s="36">
        <v>0.21540000000000001</v>
      </c>
      <c r="G172" s="36">
        <v>106.71733317153523</v>
      </c>
      <c r="H172" s="36">
        <v>0.21539999999999893</v>
      </c>
    </row>
    <row r="173" spans="1:8" x14ac:dyDescent="0.25">
      <c r="A173" s="36">
        <v>-0.46761766871826221</v>
      </c>
      <c r="B173" s="36">
        <v>106.84828762286668</v>
      </c>
      <c r="C173" s="36">
        <v>107.35027648311966</v>
      </c>
      <c r="D173" s="36">
        <v>-0.50198886025297895</v>
      </c>
      <c r="E173" s="36">
        <v>-4.6761766871826777E-3</v>
      </c>
      <c r="F173" s="36">
        <v>-0.79469999999999996</v>
      </c>
      <c r="G173" s="36">
        <v>106.4971638359083</v>
      </c>
      <c r="H173" s="36">
        <v>-0.79470000000000374</v>
      </c>
    </row>
    <row r="174" spans="1:8" x14ac:dyDescent="0.25">
      <c r="A174" s="36">
        <v>-2.9338796522062727</v>
      </c>
      <c r="B174" s="36">
        <v>103.71348745356856</v>
      </c>
      <c r="C174" s="36">
        <v>107.35027648311966</v>
      </c>
      <c r="D174" s="36">
        <v>-3.6367890295510961</v>
      </c>
      <c r="E174" s="36">
        <v>-3.3877779812918923E-2</v>
      </c>
      <c r="F174" s="36">
        <v>-3.8155999999999999</v>
      </c>
      <c r="G174" s="36">
        <v>102.77138436032858</v>
      </c>
      <c r="H174" s="36">
        <v>-4.2653752489506536</v>
      </c>
    </row>
    <row r="175" spans="1:8" x14ac:dyDescent="0.25">
      <c r="A175" s="36">
        <v>0.33904479033862445</v>
      </c>
      <c r="B175" s="36">
        <v>104.06512262965838</v>
      </c>
      <c r="C175" s="36">
        <v>107.35027648311966</v>
      </c>
      <c r="D175" s="36">
        <v>-3.2851538534612814</v>
      </c>
      <c r="E175" s="36">
        <v>-3.0602192757070885E-2</v>
      </c>
      <c r="F175" s="36">
        <v>-0.13009999999999999</v>
      </c>
      <c r="G175" s="36">
        <v>103.57855620639147</v>
      </c>
      <c r="H175" s="36">
        <v>-3.5134704821382368</v>
      </c>
    </row>
    <row r="176" spans="1:8" x14ac:dyDescent="0.25">
      <c r="A176" s="36">
        <v>-1.8599352056160472</v>
      </c>
      <c r="B176" s="36">
        <v>102.12957877710184</v>
      </c>
      <c r="C176" s="36">
        <v>107.35027648311966</v>
      </c>
      <c r="D176" s="36">
        <v>-5.2206977060178161</v>
      </c>
      <c r="E176" s="36">
        <v>-4.8632363856452171E-2</v>
      </c>
      <c r="F176" s="36">
        <v>-1.9823</v>
      </c>
      <c r="G176" s="36">
        <v>102.00223970377066</v>
      </c>
      <c r="H176" s="36">
        <v>-4.9818565490047479</v>
      </c>
    </row>
    <row r="177" spans="1:8" x14ac:dyDescent="0.25">
      <c r="A177" s="36">
        <v>1.0844877330113974E-2</v>
      </c>
      <c r="B177" s="36">
        <v>102.14065460463799</v>
      </c>
      <c r="C177" s="36">
        <v>107.35027648311966</v>
      </c>
      <c r="D177" s="36">
        <v>-5.2096218784816699</v>
      </c>
      <c r="E177" s="36">
        <v>-4.8529189203353931E-2</v>
      </c>
      <c r="F177" s="36">
        <v>-1.2587999999999999</v>
      </c>
      <c r="G177" s="36">
        <v>100.84397163945567</v>
      </c>
      <c r="H177" s="36">
        <v>-6.060817966022725</v>
      </c>
    </row>
    <row r="178" spans="1:8" x14ac:dyDescent="0.25">
      <c r="A178" s="36">
        <v>0.59057099485022091</v>
      </c>
      <c r="B178" s="36">
        <v>102.74386768468312</v>
      </c>
      <c r="C178" s="36">
        <v>107.35027648311966</v>
      </c>
      <c r="D178" s="36">
        <v>-4.6064087984365329</v>
      </c>
      <c r="E178" s="36">
        <v>-4.2910078570322731E-2</v>
      </c>
      <c r="F178" s="36">
        <v>-2.0636000000000001</v>
      </c>
      <c r="G178" s="36">
        <v>100.03288005621668</v>
      </c>
      <c r="H178" s="36">
        <v>-6.8163740854953474</v>
      </c>
    </row>
    <row r="179" spans="1:8" x14ac:dyDescent="0.25">
      <c r="A179" s="36">
        <v>-3.3607593514961787</v>
      </c>
      <c r="B179" s="36">
        <v>99.290893543381273</v>
      </c>
      <c r="C179" s="36">
        <v>107.35027648311966</v>
      </c>
      <c r="D179" s="36">
        <v>-8.0593829397383843</v>
      </c>
      <c r="E179" s="36">
        <v>-7.5075567606998059E-2</v>
      </c>
      <c r="F179" s="36">
        <v>-3.5895000000000001</v>
      </c>
      <c r="G179" s="36">
        <v>99.05587655414142</v>
      </c>
      <c r="H179" s="36">
        <v>-7.7264821300040971</v>
      </c>
    </row>
    <row r="180" spans="1:8" x14ac:dyDescent="0.25">
      <c r="A180" s="36">
        <v>-4.966244394404698E-2</v>
      </c>
      <c r="B180" s="36">
        <v>99.241583259033746</v>
      </c>
      <c r="C180" s="36">
        <v>107.35027648311966</v>
      </c>
      <c r="D180" s="36">
        <v>-8.1086932240859113</v>
      </c>
      <c r="E180" s="36">
        <v>-7.5534907684760053E-2</v>
      </c>
      <c r="F180" s="36">
        <v>-0.67379999999999995</v>
      </c>
      <c r="G180" s="36">
        <v>98.621871502685963</v>
      </c>
      <c r="H180" s="36">
        <v>-8.130770843246216</v>
      </c>
    </row>
    <row r="181" spans="1:8" x14ac:dyDescent="0.25">
      <c r="A181" s="36">
        <v>0.80936284201798581</v>
      </c>
      <c r="B181" s="36">
        <v>100.0448077577627</v>
      </c>
      <c r="C181" s="36">
        <v>107.35027648311966</v>
      </c>
      <c r="D181" s="36">
        <v>-7.3054687253569597</v>
      </c>
      <c r="E181" s="36">
        <v>-6.8052630740133319E-2</v>
      </c>
      <c r="F181" s="36">
        <v>-0.81359999999999999</v>
      </c>
      <c r="G181" s="36">
        <v>98.434153737638241</v>
      </c>
      <c r="H181" s="36">
        <v>-8.3056355675836908</v>
      </c>
    </row>
    <row r="182" spans="1:8" x14ac:dyDescent="0.25">
      <c r="A182" s="36">
        <v>0.2827594139852973</v>
      </c>
      <c r="B182" s="36">
        <v>100.32769386990127</v>
      </c>
      <c r="C182" s="36">
        <v>107.35027648311966</v>
      </c>
      <c r="D182" s="36">
        <v>-7.0225826132183897</v>
      </c>
      <c r="E182" s="36">
        <v>-6.5417461820162698E-2</v>
      </c>
      <c r="F182" s="36">
        <v>0.22</v>
      </c>
      <c r="G182" s="36">
        <v>100.26490633482977</v>
      </c>
      <c r="H182" s="36">
        <v>-6.6002346527761606</v>
      </c>
    </row>
    <row r="183" spans="1:8" x14ac:dyDescent="0.25">
      <c r="A183" s="36">
        <v>0.26711364508977414</v>
      </c>
      <c r="B183" s="36">
        <v>100.59568283003168</v>
      </c>
      <c r="C183" s="36">
        <v>107.35027648311966</v>
      </c>
      <c r="D183" s="36">
        <v>-6.75459365308798</v>
      </c>
      <c r="E183" s="36">
        <v>-6.2921064336057944E-2</v>
      </c>
      <c r="F183" s="36">
        <v>-0.1042</v>
      </c>
      <c r="G183" s="36">
        <v>100.22315241288884</v>
      </c>
      <c r="H183" s="36">
        <v>-6.6391296824946044</v>
      </c>
    </row>
    <row r="184" spans="1:8" x14ac:dyDescent="0.25">
      <c r="A184" s="36">
        <v>0.43419334374188978</v>
      </c>
      <c r="B184" s="36">
        <v>101.03246258897137</v>
      </c>
      <c r="C184" s="36">
        <v>107.35027648311966</v>
      </c>
      <c r="D184" s="36">
        <v>-6.3178138941482871</v>
      </c>
      <c r="E184" s="36">
        <v>-5.8852329971797832E-2</v>
      </c>
      <c r="F184" s="36">
        <v>-1.2166999999999999</v>
      </c>
      <c r="G184" s="36">
        <v>99.371735157038671</v>
      </c>
      <c r="H184" s="36">
        <v>-7.4322503746281239</v>
      </c>
    </row>
    <row r="185" spans="1:8" x14ac:dyDescent="0.25">
      <c r="A185" s="36">
        <v>0.89629282986171432</v>
      </c>
      <c r="B185" s="36">
        <v>101.93800930698904</v>
      </c>
      <c r="C185" s="36">
        <v>107.35027648311966</v>
      </c>
      <c r="D185" s="36">
        <v>-5.4122671761306123</v>
      </c>
      <c r="E185" s="36">
        <v>-5.0416890886924422E-2</v>
      </c>
      <c r="F185" s="36">
        <v>-0.62570000000000003</v>
      </c>
      <c r="G185" s="36">
        <v>100.40030247055218</v>
      </c>
      <c r="H185" s="36">
        <v>-6.474109094316427</v>
      </c>
    </row>
    <row r="186" spans="1:8" x14ac:dyDescent="0.25">
      <c r="A186" s="36">
        <v>-0.61622933389606283</v>
      </c>
      <c r="B186" s="36">
        <v>101.30983739124967</v>
      </c>
      <c r="C186" s="36">
        <v>107.35027648311966</v>
      </c>
      <c r="D186" s="36">
        <v>-6.0404390918699846</v>
      </c>
      <c r="E186" s="36">
        <v>-5.6268500555001516E-2</v>
      </c>
      <c r="F186" s="36">
        <v>-1.0212000000000001</v>
      </c>
      <c r="G186" s="36">
        <v>100.89701835594607</v>
      </c>
      <c r="H186" s="36">
        <v>-6.0114033597187149</v>
      </c>
    </row>
    <row r="187" spans="1:8" x14ac:dyDescent="0.25">
      <c r="A187" s="36">
        <v>-0.30538641299070002</v>
      </c>
      <c r="B187" s="36">
        <v>101.00045091283381</v>
      </c>
      <c r="C187" s="36">
        <v>107.35027648311966</v>
      </c>
      <c r="D187" s="36">
        <v>-6.3498255702858444</v>
      </c>
      <c r="E187" s="36">
        <v>-5.9150528329420055E-2</v>
      </c>
      <c r="F187" s="36">
        <v>-1.2875000000000001</v>
      </c>
      <c r="G187" s="36">
        <v>100.00547323483734</v>
      </c>
      <c r="H187" s="36">
        <v>-6.8419043610355779</v>
      </c>
    </row>
    <row r="188" spans="1:8" x14ac:dyDescent="0.25">
      <c r="A188" s="36">
        <v>-9.356173072343868E-2</v>
      </c>
      <c r="B188" s="36">
        <v>100.90595314292129</v>
      </c>
      <c r="C188" s="36">
        <v>107.35027648311966</v>
      </c>
      <c r="D188" s="36">
        <v>-6.4443233401983662</v>
      </c>
      <c r="E188" s="36">
        <v>-6.0030803378617353E-2</v>
      </c>
      <c r="F188" s="36">
        <v>-0.78710000000000002</v>
      </c>
      <c r="G188" s="36">
        <v>100.20547636369891</v>
      </c>
      <c r="H188" s="36">
        <v>-6.6555954520939098</v>
      </c>
    </row>
    <row r="189" spans="1:8" x14ac:dyDescent="0.25">
      <c r="A189" s="36">
        <v>-0.62331654573787121</v>
      </c>
      <c r="B189" s="36">
        <v>99.376683454262121</v>
      </c>
      <c r="C189" s="36">
        <v>100</v>
      </c>
      <c r="D189" s="36">
        <v>-0.62331654573787887</v>
      </c>
      <c r="E189" s="36">
        <v>-6.2331654573787891E-3</v>
      </c>
      <c r="F189" s="36">
        <v>-1.2546999999999999</v>
      </c>
      <c r="G189" s="36">
        <v>98.7453</v>
      </c>
      <c r="H189" s="36">
        <v>-1.2546999999999975</v>
      </c>
    </row>
    <row r="190" spans="1:8" x14ac:dyDescent="0.25">
      <c r="A190" s="36">
        <v>-2.9570531900987262</v>
      </c>
      <c r="B190" s="36">
        <v>96.43806206596355</v>
      </c>
      <c r="C190" s="36">
        <v>100</v>
      </c>
      <c r="D190" s="36">
        <v>-3.5619379340364503</v>
      </c>
      <c r="E190" s="36">
        <v>-3.56193793403645E-2</v>
      </c>
      <c r="F190" s="36">
        <v>-6.2489999999999997</v>
      </c>
      <c r="G190" s="36">
        <v>93.16663450520528</v>
      </c>
      <c r="H190" s="36">
        <v>-6.8333654947947187</v>
      </c>
    </row>
    <row r="191" spans="1:8" x14ac:dyDescent="0.25">
      <c r="A191" s="36">
        <v>0.92785495111122951</v>
      </c>
      <c r="B191" s="36">
        <v>97.332867399598314</v>
      </c>
      <c r="C191" s="36">
        <v>100</v>
      </c>
      <c r="D191" s="36">
        <v>-2.6671326004016862</v>
      </c>
      <c r="E191" s="36">
        <v>-2.6671326004016862E-2</v>
      </c>
      <c r="F191" s="36">
        <v>-0.65810000000000002</v>
      </c>
      <c r="G191" s="36">
        <v>95.803403179507455</v>
      </c>
      <c r="H191" s="36">
        <v>-4.1965968204925481</v>
      </c>
    </row>
    <row r="192" spans="1:8" x14ac:dyDescent="0.25">
      <c r="A192" s="36">
        <v>1.6952456463507319</v>
      </c>
      <c r="B192" s="36">
        <v>98.98289859665833</v>
      </c>
      <c r="C192" s="36">
        <v>100</v>
      </c>
      <c r="D192" s="36">
        <v>-1.0171014033416697</v>
      </c>
      <c r="E192" s="36">
        <v>-1.0171014033416697E-2</v>
      </c>
      <c r="F192" s="36">
        <v>1.1735</v>
      </c>
      <c r="G192" s="36">
        <v>98.475068598532602</v>
      </c>
      <c r="H192" s="36">
        <v>-1.5249314014673998</v>
      </c>
    </row>
    <row r="193" spans="1:8" x14ac:dyDescent="0.25">
      <c r="A193" s="36">
        <v>0.27455628403822785</v>
      </c>
      <c r="B193" s="36">
        <v>99.254662364878641</v>
      </c>
      <c r="C193" s="36">
        <v>100</v>
      </c>
      <c r="D193" s="36">
        <v>-0.7453376351213592</v>
      </c>
      <c r="E193" s="36">
        <v>-7.4533763512135923E-3</v>
      </c>
      <c r="F193" s="36">
        <v>-0.1706</v>
      </c>
      <c r="G193" s="36">
        <v>98.814033771652433</v>
      </c>
      <c r="H193" s="36">
        <v>-1.185966228347568</v>
      </c>
    </row>
    <row r="194" spans="1:8" x14ac:dyDescent="0.25">
      <c r="A194" s="36">
        <v>1.1270544262966564</v>
      </c>
      <c r="B194" s="36">
        <v>100.37331643036781</v>
      </c>
      <c r="C194" s="36">
        <v>100.37331643036781</v>
      </c>
      <c r="D194" s="36"/>
      <c r="E194" s="36">
        <v>0</v>
      </c>
      <c r="F194" s="36">
        <v>-0.32919999999999999</v>
      </c>
      <c r="G194" s="36">
        <v>98.927916016373459</v>
      </c>
      <c r="H194" s="36">
        <v>-1.0720839836265372</v>
      </c>
    </row>
    <row r="195" spans="1:8" x14ac:dyDescent="0.25">
      <c r="A195" s="36">
        <v>0.94899095031161351</v>
      </c>
      <c r="B195" s="36">
        <v>101.32585011981965</v>
      </c>
      <c r="C195" s="36">
        <v>101.32585011981965</v>
      </c>
      <c r="D195" s="36"/>
      <c r="E195" s="36">
        <v>0</v>
      </c>
      <c r="F195" s="36">
        <v>6.7500000000000004E-2</v>
      </c>
      <c r="G195" s="36">
        <v>100.44106841895831</v>
      </c>
      <c r="H195" s="36">
        <v>6.7499999999998117E-2</v>
      </c>
    </row>
    <row r="196" spans="1:8" x14ac:dyDescent="0.25">
      <c r="A196" s="36">
        <v>0.2530512257751637</v>
      </c>
      <c r="B196" s="36">
        <v>101.58225642557497</v>
      </c>
      <c r="C196" s="36">
        <v>101.58225642557497</v>
      </c>
      <c r="D196" s="36"/>
      <c r="E196" s="36">
        <v>0</v>
      </c>
      <c r="F196" s="36">
        <v>-7.2099999999999997E-2</v>
      </c>
      <c r="G196" s="36">
        <v>101.25279418188326</v>
      </c>
      <c r="H196" s="36">
        <v>-7.2099999999997166E-2</v>
      </c>
    </row>
    <row r="197" spans="1:8" x14ac:dyDescent="0.25">
      <c r="A197" s="36">
        <v>0.24949699843190934</v>
      </c>
      <c r="B197" s="36">
        <v>101.83570110629618</v>
      </c>
      <c r="C197" s="36">
        <v>101.83570110629618</v>
      </c>
      <c r="D197" s="36"/>
      <c r="E197" s="36">
        <v>0</v>
      </c>
      <c r="F197" s="36">
        <v>-1.6616</v>
      </c>
      <c r="G197" s="36">
        <v>99.894365652807622</v>
      </c>
      <c r="H197" s="36">
        <v>-1.6615999999999964</v>
      </c>
    </row>
    <row r="198" spans="1:8" x14ac:dyDescent="0.25">
      <c r="A198" s="36">
        <v>0.3907798955865705</v>
      </c>
      <c r="B198" s="36">
        <v>102.23365455274923</v>
      </c>
      <c r="C198" s="36">
        <v>102.23365455274923</v>
      </c>
      <c r="D198" s="36"/>
      <c r="E198" s="36">
        <v>0</v>
      </c>
      <c r="F198" s="36">
        <v>-0.30099999999999999</v>
      </c>
      <c r="G198" s="36">
        <v>101.52917564596623</v>
      </c>
      <c r="H198" s="36">
        <v>-0.30099999999999572</v>
      </c>
    </row>
    <row r="199" spans="1:8" x14ac:dyDescent="0.25">
      <c r="A199" s="36">
        <v>1.3616963759092993</v>
      </c>
      <c r="B199" s="36">
        <v>103.62576652175365</v>
      </c>
      <c r="C199" s="36">
        <v>103.62576652175365</v>
      </c>
      <c r="D199" s="36"/>
      <c r="E199" s="36">
        <v>0</v>
      </c>
      <c r="F199" s="36">
        <v>-1.7072000000000001</v>
      </c>
      <c r="G199" s="36">
        <v>100.4883216022247</v>
      </c>
      <c r="H199" s="36">
        <v>-1.7071999999999976</v>
      </c>
    </row>
    <row r="200" spans="1:8" x14ac:dyDescent="0.25">
      <c r="A200" s="36">
        <v>-0.92057276516868802</v>
      </c>
      <c r="B200" s="36">
        <v>102.67181593745708</v>
      </c>
      <c r="C200" s="36">
        <v>103.62576652175365</v>
      </c>
      <c r="D200" s="36">
        <v>-0.95395058429656387</v>
      </c>
      <c r="E200" s="36">
        <v>-9.2057276516869548E-3</v>
      </c>
      <c r="F200" s="36">
        <v>-1.4652000000000001</v>
      </c>
      <c r="G200" s="36">
        <v>102.10744179067692</v>
      </c>
      <c r="H200" s="36">
        <v>-1.4651999999999998</v>
      </c>
    </row>
    <row r="201" spans="1:8" x14ac:dyDescent="0.25">
      <c r="A201" s="36">
        <v>0.96668004491849391</v>
      </c>
      <c r="B201" s="36">
        <v>103.66432389387992</v>
      </c>
      <c r="C201" s="36">
        <v>103.66432389387992</v>
      </c>
      <c r="D201" s="36"/>
      <c r="E201" s="36">
        <v>0</v>
      </c>
      <c r="F201" s="36">
        <v>-0.39019999999999999</v>
      </c>
      <c r="G201" s="36">
        <v>102.27119051166913</v>
      </c>
      <c r="H201" s="36">
        <v>-1.307180690238996</v>
      </c>
    </row>
    <row r="202" spans="1:8" x14ac:dyDescent="0.25">
      <c r="A202" s="36">
        <v>-0.78844151128596562</v>
      </c>
      <c r="B202" s="36">
        <v>102.84699133190664</v>
      </c>
      <c r="C202" s="36">
        <v>103.66432389387992</v>
      </c>
      <c r="D202" s="36">
        <v>-0.81733256197328785</v>
      </c>
      <c r="E202" s="36">
        <v>-7.8844151128596822E-3</v>
      </c>
      <c r="F202" s="36">
        <v>-1.2112000000000001</v>
      </c>
      <c r="G202" s="36">
        <v>102.40874160287724</v>
      </c>
      <c r="H202" s="36">
        <v>-1.2112000000000123</v>
      </c>
    </row>
    <row r="203" spans="1:8" x14ac:dyDescent="0.25">
      <c r="A203" s="36">
        <v>3.42556154021307E-2</v>
      </c>
      <c r="B203" s="36">
        <v>102.88222220170996</v>
      </c>
      <c r="C203" s="36">
        <v>103.66432389387992</v>
      </c>
      <c r="D203" s="36">
        <v>-0.78210169216995951</v>
      </c>
      <c r="E203" s="36">
        <v>-7.5445598137560688E-3</v>
      </c>
      <c r="F203" s="36">
        <v>-1.0232000000000001</v>
      </c>
      <c r="G203" s="36">
        <v>101.79466091659856</v>
      </c>
      <c r="H203" s="36">
        <v>-1.8035741777424952</v>
      </c>
    </row>
    <row r="204" spans="1:8" x14ac:dyDescent="0.25">
      <c r="A204" s="36">
        <v>-0.21896822334758781</v>
      </c>
      <c r="B204" s="36">
        <v>102.65694282761436</v>
      </c>
      <c r="C204" s="36">
        <v>103.66432389387992</v>
      </c>
      <c r="D204" s="36">
        <v>-1.007381066265566</v>
      </c>
      <c r="E204" s="36">
        <v>-9.7177218586484131E-3</v>
      </c>
      <c r="F204" s="36">
        <v>-0.73970000000000002</v>
      </c>
      <c r="G204" s="36">
        <v>102.12120240408392</v>
      </c>
      <c r="H204" s="36">
        <v>-1.4885752704813737</v>
      </c>
    </row>
    <row r="205" spans="1:8" x14ac:dyDescent="0.25">
      <c r="A205" s="36">
        <v>1.0030381556607988</v>
      </c>
      <c r="B205" s="36">
        <v>103.68663113361023</v>
      </c>
      <c r="C205" s="36">
        <v>103.68663113361023</v>
      </c>
      <c r="D205" s="36"/>
      <c r="E205" s="36">
        <v>0</v>
      </c>
      <c r="F205" s="36">
        <v>1.4200000000000001E-2</v>
      </c>
      <c r="G205" s="36">
        <v>102.67152011349589</v>
      </c>
      <c r="H205" s="36">
        <v>-0.95771017751522525</v>
      </c>
    </row>
    <row r="206" spans="1:8" x14ac:dyDescent="0.25">
      <c r="A206" s="36">
        <v>0.29256430715452719</v>
      </c>
      <c r="B206" s="36">
        <v>103.98998120759815</v>
      </c>
      <c r="C206" s="36">
        <v>103.98998120759815</v>
      </c>
      <c r="D206" s="36"/>
      <c r="E206" s="36">
        <v>0</v>
      </c>
      <c r="F206" s="36">
        <v>8.0799999999999997E-2</v>
      </c>
      <c r="G206" s="36">
        <v>103.77040993156618</v>
      </c>
      <c r="H206" s="36">
        <v>8.0799999999991989E-2</v>
      </c>
    </row>
    <row r="207" spans="1:8" x14ac:dyDescent="0.25">
      <c r="A207" s="36">
        <v>-0.2519748303594867</v>
      </c>
      <c r="B207" s="36">
        <v>103.72795262885944</v>
      </c>
      <c r="C207" s="36">
        <v>103.98998120759815</v>
      </c>
      <c r="D207" s="36">
        <v>-0.26202857873870755</v>
      </c>
      <c r="E207" s="36">
        <v>-2.5197483035948672E-3</v>
      </c>
      <c r="F207" s="36">
        <v>-1.4481999999999999</v>
      </c>
      <c r="G207" s="36">
        <v>102.48399829974971</v>
      </c>
      <c r="H207" s="36">
        <v>-1.4481999999999995</v>
      </c>
    </row>
    <row r="208" spans="1:8" x14ac:dyDescent="0.25">
      <c r="A208" s="36">
        <v>0.86530536573963046</v>
      </c>
      <c r="B208" s="36">
        <v>104.62551616872882</v>
      </c>
      <c r="C208" s="36">
        <v>104.62551616872882</v>
      </c>
      <c r="D208" s="36"/>
      <c r="E208" s="36">
        <v>0</v>
      </c>
      <c r="F208" s="36">
        <v>-0.18459999999999999</v>
      </c>
      <c r="G208" s="36">
        <v>103.53647082830656</v>
      </c>
      <c r="H208" s="36">
        <v>-0.43610968482264978</v>
      </c>
    </row>
    <row r="209" spans="1:8" x14ac:dyDescent="0.25">
      <c r="A209" s="36">
        <v>0.64928083337315434</v>
      </c>
      <c r="B209" s="36">
        <v>105.3048295920301</v>
      </c>
      <c r="C209" s="36">
        <v>105.3048295920301</v>
      </c>
      <c r="D209" s="36"/>
      <c r="E209" s="36">
        <v>0</v>
      </c>
      <c r="F209" s="36">
        <v>-0.93679999999999997</v>
      </c>
      <c r="G209" s="36">
        <v>103.64538433326017</v>
      </c>
      <c r="H209" s="36">
        <v>-0.9368000000000043</v>
      </c>
    </row>
    <row r="210" spans="1:8" x14ac:dyDescent="0.25">
      <c r="A210" s="36">
        <v>0.68826191584388829</v>
      </c>
      <c r="B210" s="36">
        <v>106.02960262965634</v>
      </c>
      <c r="C210" s="36">
        <v>106.02960262965634</v>
      </c>
      <c r="D210" s="36"/>
      <c r="E210" s="36">
        <v>0</v>
      </c>
      <c r="F210" s="36">
        <v>4.6300000000000001E-2</v>
      </c>
      <c r="G210" s="36">
        <v>105.35358572813122</v>
      </c>
      <c r="H210" s="36">
        <v>4.6300000000010222E-2</v>
      </c>
    </row>
    <row r="211" spans="1:8" x14ac:dyDescent="0.25">
      <c r="A211" s="36">
        <v>-6.927864104270226E-2</v>
      </c>
      <c r="B211" s="36">
        <v>105.95614676185153</v>
      </c>
      <c r="C211" s="36">
        <v>106.02960262965634</v>
      </c>
      <c r="D211" s="36">
        <v>-7.3455867804810282E-2</v>
      </c>
      <c r="E211" s="36">
        <v>-6.9278641042708926E-4</v>
      </c>
      <c r="F211" s="36">
        <v>-0.31940000000000002</v>
      </c>
      <c r="G211" s="36">
        <v>105.69094407885721</v>
      </c>
      <c r="H211" s="36">
        <v>-0.31940000000000301</v>
      </c>
    </row>
    <row r="212" spans="1:8" x14ac:dyDescent="0.25">
      <c r="A212" s="36">
        <v>0.41959031013538461</v>
      </c>
      <c r="B212" s="36">
        <v>106.40072848665709</v>
      </c>
      <c r="C212" s="36">
        <v>106.40072848665709</v>
      </c>
      <c r="D212" s="36"/>
      <c r="E212" s="36">
        <v>0</v>
      </c>
      <c r="F212" s="36">
        <v>-0.29370000000000002</v>
      </c>
      <c r="G212" s="36">
        <v>105.64495355881198</v>
      </c>
      <c r="H212" s="36">
        <v>-0.36277516967395673</v>
      </c>
    </row>
    <row r="213" spans="1:8" x14ac:dyDescent="0.25">
      <c r="A213" s="36">
        <v>-0.71223617429669372</v>
      </c>
      <c r="B213" s="36">
        <v>105.6429040086599</v>
      </c>
      <c r="C213" s="36">
        <v>106.40072848665709</v>
      </c>
      <c r="D213" s="36">
        <v>-0.75782447799718966</v>
      </c>
      <c r="E213" s="36">
        <v>-7.1223617429670392E-3</v>
      </c>
      <c r="F213" s="36">
        <v>-1.4690000000000001</v>
      </c>
      <c r="G213" s="36">
        <v>104.8377017851881</v>
      </c>
      <c r="H213" s="36">
        <v>-1.4689999999999981</v>
      </c>
    </row>
    <row r="214" spans="1:8" x14ac:dyDescent="0.25">
      <c r="A214" s="36">
        <v>0.28280127954688333</v>
      </c>
      <c r="B214" s="36">
        <v>105.94166349294686</v>
      </c>
      <c r="C214" s="36">
        <v>106.40072848665709</v>
      </c>
      <c r="D214" s="36">
        <v>-0.45906499371022846</v>
      </c>
      <c r="E214" s="36">
        <v>-4.3144910776414126E-3</v>
      </c>
      <c r="F214" s="36">
        <v>-0.62129999999999996</v>
      </c>
      <c r="G214" s="36">
        <v>104.98654464605409</v>
      </c>
      <c r="H214" s="36">
        <v>-1.3291110509458082</v>
      </c>
    </row>
    <row r="215" spans="1:8" x14ac:dyDescent="0.25">
      <c r="A215" s="36">
        <v>-1.112415195936542</v>
      </c>
      <c r="B215" s="36">
        <v>104.76315232942336</v>
      </c>
      <c r="C215" s="36">
        <v>106.40072848665709</v>
      </c>
      <c r="D215" s="36">
        <v>-1.637576157233724</v>
      </c>
      <c r="E215" s="36">
        <v>-1.5390647982631811E-2</v>
      </c>
      <c r="F215" s="36">
        <v>-2.0400999999999998</v>
      </c>
      <c r="G215" s="36">
        <v>103.78034761602724</v>
      </c>
      <c r="H215" s="36">
        <v>-2.4627471145166502</v>
      </c>
    </row>
    <row r="216" spans="1:8" x14ac:dyDescent="0.25">
      <c r="A216" s="36">
        <v>-0.8642106936015016</v>
      </c>
      <c r="B216" s="36">
        <v>103.85777796403846</v>
      </c>
      <c r="C216" s="36">
        <v>106.40072848665709</v>
      </c>
      <c r="D216" s="36">
        <v>-2.5429505226186251</v>
      </c>
      <c r="E216" s="36">
        <v>-2.3899747292966299E-2</v>
      </c>
      <c r="F216" s="36">
        <v>-1.0905</v>
      </c>
      <c r="G216" s="36">
        <v>103.62071015327099</v>
      </c>
      <c r="H216" s="36">
        <v>-2.6127812966381336</v>
      </c>
    </row>
    <row r="217" spans="1:8" x14ac:dyDescent="0.25">
      <c r="A217" s="36">
        <v>0.49401404725280984</v>
      </c>
      <c r="B217" s="36">
        <v>104.37084997634544</v>
      </c>
      <c r="C217" s="36">
        <v>106.40072848665709</v>
      </c>
      <c r="D217" s="36">
        <v>-2.0298785103116472</v>
      </c>
      <c r="E217" s="36">
        <v>-1.907767492932343E-2</v>
      </c>
      <c r="F217" s="36">
        <v>-0.63949999999999996</v>
      </c>
      <c r="G217" s="36">
        <v>103.19360747395844</v>
      </c>
      <c r="H217" s="36">
        <v>-3.0141908409027751</v>
      </c>
    </row>
    <row r="218" spans="1:8" x14ac:dyDescent="0.25">
      <c r="A218" s="36">
        <v>0.26137976835294191</v>
      </c>
      <c r="B218" s="36">
        <v>104.64365426224161</v>
      </c>
      <c r="C218" s="36">
        <v>106.40072848665709</v>
      </c>
      <c r="D218" s="36">
        <v>-1.7570742244154758</v>
      </c>
      <c r="E218" s="36">
        <v>-1.6513742428331375E-2</v>
      </c>
      <c r="F218" s="36">
        <v>-5.3199999999999997E-2</v>
      </c>
      <c r="G218" s="36">
        <v>104.31532468415803</v>
      </c>
      <c r="H218" s="36">
        <v>-1.9599525606260992</v>
      </c>
    </row>
    <row r="219" spans="1:8" x14ac:dyDescent="0.25">
      <c r="A219" s="36">
        <v>0.30610665696558464</v>
      </c>
      <c r="B219" s="36">
        <v>104.96397545403038</v>
      </c>
      <c r="C219" s="36">
        <v>106.40072848665709</v>
      </c>
      <c r="D219" s="36">
        <v>-1.4367530326267115</v>
      </c>
      <c r="E219" s="36">
        <v>-1.3503225523562876E-2</v>
      </c>
      <c r="F219" s="36">
        <v>-2.63E-2</v>
      </c>
      <c r="G219" s="36">
        <v>104.61613298117064</v>
      </c>
      <c r="H219" s="36">
        <v>-1.6772399314072817</v>
      </c>
    </row>
    <row r="220" spans="1:8" x14ac:dyDescent="0.25">
      <c r="A220" s="36">
        <v>-0.91255481416575679</v>
      </c>
      <c r="B220" s="36">
        <v>104.00612164288486</v>
      </c>
      <c r="C220" s="36">
        <v>106.40072848665709</v>
      </c>
      <c r="D220" s="36">
        <v>-2.3946068437722232</v>
      </c>
      <c r="E220" s="36">
        <v>-2.2505549330637458E-2</v>
      </c>
      <c r="F220" s="36">
        <v>-0.99860000000000004</v>
      </c>
      <c r="G220" s="36">
        <v>103.91580519514642</v>
      </c>
      <c r="H220" s="36">
        <v>-2.3354382313484634</v>
      </c>
    </row>
    <row r="221" spans="1:8" x14ac:dyDescent="0.25">
      <c r="A221" s="36">
        <v>0.11532835195785052</v>
      </c>
      <c r="B221" s="36">
        <v>104.12607018891087</v>
      </c>
      <c r="C221" s="36">
        <v>106.40072848665709</v>
      </c>
      <c r="D221" s="36">
        <v>-2.274658297746214</v>
      </c>
      <c r="E221" s="36">
        <v>-2.1378221090201103E-2</v>
      </c>
      <c r="F221" s="36">
        <v>-0.51590000000000003</v>
      </c>
      <c r="G221" s="36">
        <v>103.46955406132922</v>
      </c>
      <c r="H221" s="36">
        <v>-2.7548443201640738</v>
      </c>
    </row>
    <row r="222" spans="1:8" x14ac:dyDescent="0.25">
      <c r="A222" s="36">
        <v>0.51126799742538598</v>
      </c>
      <c r="B222" s="36">
        <v>104.65843346276347</v>
      </c>
      <c r="C222" s="36">
        <v>106.40072848665709</v>
      </c>
      <c r="D222" s="36">
        <v>-1.7422950238936181</v>
      </c>
      <c r="E222" s="36">
        <v>-1.6374841118800294E-2</v>
      </c>
      <c r="F222" s="36">
        <v>-0.23899999999999999</v>
      </c>
      <c r="G222" s="36">
        <v>103.87720888115938</v>
      </c>
      <c r="H222" s="36">
        <v>-2.3717127141795524</v>
      </c>
    </row>
    <row r="223" spans="1:8" x14ac:dyDescent="0.25">
      <c r="A223" s="36">
        <v>0.43333205506768407</v>
      </c>
      <c r="B223" s="36">
        <v>105.1119520032893</v>
      </c>
      <c r="C223" s="36">
        <v>106.40072848665709</v>
      </c>
      <c r="D223" s="36">
        <v>-1.2887764833677835</v>
      </c>
      <c r="E223" s="36">
        <v>-1.2112478003657647E-2</v>
      </c>
      <c r="F223" s="36">
        <v>2.2200000000000001E-2</v>
      </c>
      <c r="G223" s="36">
        <v>104.68166763499219</v>
      </c>
      <c r="H223" s="36">
        <v>-1.6156476333528791</v>
      </c>
    </row>
    <row r="224" spans="1:8" x14ac:dyDescent="0.25">
      <c r="A224" s="36">
        <v>4.6985745002787294E-2</v>
      </c>
      <c r="B224" s="36">
        <v>105.16133963702502</v>
      </c>
      <c r="C224" s="36">
        <v>106.40072848665709</v>
      </c>
      <c r="D224" s="36">
        <v>-1.2393888496320642</v>
      </c>
      <c r="E224" s="36">
        <v>-1.1648311691658076E-2</v>
      </c>
      <c r="F224" s="36">
        <v>-4.1000000000000002E-2</v>
      </c>
      <c r="G224" s="36">
        <v>105.06885610296796</v>
      </c>
      <c r="H224" s="36">
        <v>-1.2517511887676136</v>
      </c>
    </row>
    <row r="225" spans="1:8" x14ac:dyDescent="0.25">
      <c r="A225" s="36">
        <v>0.34285098846393186</v>
      </c>
      <c r="B225" s="36">
        <v>105.52188632945249</v>
      </c>
      <c r="C225" s="36">
        <v>106.40072848665709</v>
      </c>
      <c r="D225" s="36">
        <v>-0.8788421572046019</v>
      </c>
      <c r="E225" s="36">
        <v>-8.2597381587928773E-3</v>
      </c>
      <c r="F225" s="36">
        <v>-1.7399999999999999E-2</v>
      </c>
      <c r="G225" s="36">
        <v>105.14304156392818</v>
      </c>
      <c r="H225" s="36">
        <v>-1.1820284885423749</v>
      </c>
    </row>
    <row r="226" spans="1:8" x14ac:dyDescent="0.25">
      <c r="A226" s="36">
        <v>-9.119530995548801E-2</v>
      </c>
      <c r="B226" s="36">
        <v>105.42565531814347</v>
      </c>
      <c r="C226" s="36">
        <v>106.40072848665709</v>
      </c>
      <c r="D226" s="36">
        <v>-0.97507316851361736</v>
      </c>
      <c r="E226" s="36">
        <v>-9.1641587645322747E-3</v>
      </c>
      <c r="F226" s="36">
        <v>-0.19320000000000001</v>
      </c>
      <c r="G226" s="36">
        <v>105.31801804506398</v>
      </c>
      <c r="H226" s="36">
        <v>-1.0175780344670149</v>
      </c>
    </row>
    <row r="227" spans="1:8" x14ac:dyDescent="0.25">
      <c r="A227" s="36">
        <v>-1.3901481409471739</v>
      </c>
      <c r="B227" s="36">
        <v>103.96008253065692</v>
      </c>
      <c r="C227" s="36">
        <v>106.40072848665709</v>
      </c>
      <c r="D227" s="36">
        <v>-2.4406459560001679</v>
      </c>
      <c r="E227" s="36">
        <v>-2.2938244791305455E-2</v>
      </c>
      <c r="F227" s="36">
        <v>-1.5336000000000001</v>
      </c>
      <c r="G227" s="36">
        <v>103.80884746818442</v>
      </c>
      <c r="H227" s="36">
        <v>-2.4359617225719332</v>
      </c>
    </row>
    <row r="228" spans="1:8" x14ac:dyDescent="0.25">
      <c r="A228" s="36">
        <v>0.47209446760490192</v>
      </c>
      <c r="B228" s="36">
        <v>104.45087232880164</v>
      </c>
      <c r="C228" s="36">
        <v>106.40072848665709</v>
      </c>
      <c r="D228" s="36">
        <v>-1.9498561578554501</v>
      </c>
      <c r="E228" s="36">
        <v>-1.8325590299881893E-2</v>
      </c>
      <c r="F228" s="36">
        <v>-0.16619999999999999</v>
      </c>
      <c r="G228" s="36">
        <v>103.78730087349096</v>
      </c>
      <c r="H228" s="36">
        <v>-2.4562121428462369</v>
      </c>
    </row>
    <row r="229" spans="1:8" x14ac:dyDescent="0.25">
      <c r="A229" s="36">
        <v>0.21310141900238005</v>
      </c>
      <c r="B229" s="36">
        <v>104.67345861989467</v>
      </c>
      <c r="C229" s="36">
        <v>106.40072848665709</v>
      </c>
      <c r="D229" s="36">
        <v>-1.7272698667624127</v>
      </c>
      <c r="E229" s="36">
        <v>-1.6233628202827734E-2</v>
      </c>
      <c r="F229" s="36">
        <v>-3.15E-2</v>
      </c>
      <c r="G229" s="36">
        <v>104.41797030401807</v>
      </c>
      <c r="H229" s="36">
        <v>-1.8634817738937381</v>
      </c>
    </row>
    <row r="230" spans="1:8" x14ac:dyDescent="0.25">
      <c r="A230" s="36">
        <v>0.36426858178497579</v>
      </c>
      <c r="B230" s="36">
        <v>105.05475114311464</v>
      </c>
      <c r="C230" s="36">
        <v>106.40072848665709</v>
      </c>
      <c r="D230" s="36">
        <v>-1.3459773435424438</v>
      </c>
      <c r="E230" s="36">
        <v>-1.2650076392204708E-2</v>
      </c>
      <c r="F230" s="36">
        <v>-0.17610000000000001</v>
      </c>
      <c r="G230" s="36">
        <v>104.48912865926503</v>
      </c>
      <c r="H230" s="36">
        <v>-1.7966040783562565</v>
      </c>
    </row>
    <row r="231" spans="1:8" x14ac:dyDescent="0.25">
      <c r="A231" s="36">
        <v>0.49807054645057847</v>
      </c>
      <c r="B231" s="36">
        <v>105.57799791620543</v>
      </c>
      <c r="C231" s="36">
        <v>106.40072848665709</v>
      </c>
      <c r="D231" s="36">
        <v>-0.82273057045165388</v>
      </c>
      <c r="E231" s="36">
        <v>-7.7323772323121482E-3</v>
      </c>
      <c r="F231" s="36">
        <v>-0.48320000000000002</v>
      </c>
      <c r="G231" s="36">
        <v>104.54712658559112</v>
      </c>
      <c r="H231" s="36">
        <v>-1.7420951223077519</v>
      </c>
    </row>
    <row r="232" spans="1:8" x14ac:dyDescent="0.25">
      <c r="A232" s="36">
        <v>0.19073452333957389</v>
      </c>
      <c r="B232" s="36">
        <v>105.77937160728237</v>
      </c>
      <c r="C232" s="36">
        <v>106.40072848665709</v>
      </c>
      <c r="D232" s="36">
        <v>-0.62135687937471573</v>
      </c>
      <c r="E232" s="36">
        <v>-5.8397803117732922E-3</v>
      </c>
      <c r="F232" s="36">
        <v>-0.1235</v>
      </c>
      <c r="G232" s="36">
        <v>105.44760908877892</v>
      </c>
      <c r="H232" s="36">
        <v>-0.89578277464302802</v>
      </c>
    </row>
    <row r="233" spans="1:8" x14ac:dyDescent="0.25">
      <c r="A233" s="36">
        <v>0.3076641831827101</v>
      </c>
      <c r="B233" s="36">
        <v>106.10481684691372</v>
      </c>
      <c r="C233" s="36">
        <v>106.40072848665709</v>
      </c>
      <c r="D233" s="36">
        <v>-0.29591163974336609</v>
      </c>
      <c r="E233" s="36">
        <v>-2.7811053923420658E-3</v>
      </c>
      <c r="F233" s="36">
        <v>9.3899999999999997E-2</v>
      </c>
      <c r="G233" s="36">
        <v>105.87869843722162</v>
      </c>
      <c r="H233" s="36">
        <v>-0.49062638654859825</v>
      </c>
    </row>
    <row r="234" spans="1:8" x14ac:dyDescent="0.25">
      <c r="A234" s="36">
        <v>-0.52279803820758264</v>
      </c>
      <c r="B234" s="36">
        <v>105.55010294599431</v>
      </c>
      <c r="C234" s="36">
        <v>106.40072848665709</v>
      </c>
      <c r="D234" s="36">
        <v>-0.85062554066277585</v>
      </c>
      <c r="E234" s="36">
        <v>-7.9945462099862072E-3</v>
      </c>
      <c r="F234" s="36">
        <v>-0.88290000000000002</v>
      </c>
      <c r="G234" s="36">
        <v>105.16801741897233</v>
      </c>
      <c r="H234" s="36">
        <v>-1.1585551012832984</v>
      </c>
    </row>
    <row r="235" spans="1:8" x14ac:dyDescent="0.25">
      <c r="A235" s="36">
        <v>-0.31265343986709804</v>
      </c>
      <c r="B235" s="36">
        <v>105.22009691835041</v>
      </c>
      <c r="C235" s="36">
        <v>106.40072848665709</v>
      </c>
      <c r="D235" s="36">
        <v>-1.1806315683066799</v>
      </c>
      <c r="E235" s="36">
        <v>-1.1096085384929804E-2</v>
      </c>
      <c r="F235" s="36">
        <v>-1.3718999999999999</v>
      </c>
      <c r="G235" s="36">
        <v>104.10206108367821</v>
      </c>
      <c r="H235" s="36">
        <v>-2.1603869030531464</v>
      </c>
    </row>
    <row r="236" spans="1:8" x14ac:dyDescent="0.25">
      <c r="A236" s="36">
        <v>0.48818445043569048</v>
      </c>
      <c r="B236" s="36">
        <v>105.73376507023914</v>
      </c>
      <c r="C236" s="36">
        <v>106.40072848665709</v>
      </c>
      <c r="D236" s="36">
        <v>-0.66696341641794277</v>
      </c>
      <c r="E236" s="36">
        <v>-6.2684102440293127E-3</v>
      </c>
      <c r="F236" s="36">
        <v>-0.37519999999999998</v>
      </c>
      <c r="G236" s="36">
        <v>104.82531111471276</v>
      </c>
      <c r="H236" s="36">
        <v>-1.4806452872565545</v>
      </c>
    </row>
    <row r="237" spans="1:8" x14ac:dyDescent="0.25">
      <c r="A237" s="36">
        <v>0.33989287287736036</v>
      </c>
      <c r="B237" s="36">
        <v>106.09314660193779</v>
      </c>
      <c r="C237" s="36">
        <v>106.40072848665709</v>
      </c>
      <c r="D237" s="36">
        <v>-0.3075818847192977</v>
      </c>
      <c r="E237" s="36">
        <v>-2.8907873949177822E-3</v>
      </c>
      <c r="F237" s="36">
        <v>-0.33350000000000002</v>
      </c>
      <c r="G237" s="36">
        <v>105.3811429637299</v>
      </c>
      <c r="H237" s="36">
        <v>-0.95825050958654456</v>
      </c>
    </row>
    <row r="238" spans="1:8" x14ac:dyDescent="0.25">
      <c r="A238" s="36">
        <v>0.22815120639515327</v>
      </c>
      <c r="B238" s="36">
        <v>106.33519939581268</v>
      </c>
      <c r="C238" s="36">
        <v>106.40072848665709</v>
      </c>
      <c r="D238" s="36">
        <v>-6.5529090844407278E-2</v>
      </c>
      <c r="E238" s="36">
        <v>-6.1587069728215999E-4</v>
      </c>
      <c r="F238" s="36">
        <v>-0.2041</v>
      </c>
      <c r="G238" s="36">
        <v>105.87661048972323</v>
      </c>
      <c r="H238" s="36">
        <v>-0.4925887297844711</v>
      </c>
    </row>
    <row r="239" spans="1:8" x14ac:dyDescent="0.25">
      <c r="A239" s="36">
        <v>0.63464242377549651</v>
      </c>
      <c r="B239" s="36">
        <v>107.01004768258477</v>
      </c>
      <c r="C239" s="36">
        <v>107.01004768258477</v>
      </c>
      <c r="D239" s="36"/>
      <c r="E239" s="36">
        <v>0</v>
      </c>
      <c r="F239" s="36">
        <v>-0.2286</v>
      </c>
      <c r="G239" s="36">
        <v>106.09211712999385</v>
      </c>
      <c r="H239" s="36">
        <v>-0.29004628168681768</v>
      </c>
    </row>
    <row r="240" spans="1:8" x14ac:dyDescent="0.25">
      <c r="A240" s="36">
        <v>-0.60303907242390375</v>
      </c>
      <c r="B240" s="36">
        <v>106.36473528363933</v>
      </c>
      <c r="C240" s="36">
        <v>107.01004768258477</v>
      </c>
      <c r="D240" s="36">
        <v>-0.64531239894543546</v>
      </c>
      <c r="E240" s="36">
        <v>-6.0303907242390299E-3</v>
      </c>
      <c r="F240" s="36">
        <v>-0.7681</v>
      </c>
      <c r="G240" s="36">
        <v>106.18810350633483</v>
      </c>
      <c r="H240" s="36">
        <v>-0.76810000000000489</v>
      </c>
    </row>
    <row r="241" spans="1:8" x14ac:dyDescent="0.25">
      <c r="A241" s="36">
        <v>0.40638584313506454</v>
      </c>
      <c r="B241" s="36">
        <v>106.79698650992013</v>
      </c>
      <c r="C241" s="36">
        <v>107.01004768258477</v>
      </c>
      <c r="D241" s="36">
        <v>-0.21306117266463787</v>
      </c>
      <c r="E241" s="36">
        <v>-1.9910389470774179E-3</v>
      </c>
      <c r="F241" s="36">
        <v>-0.72489999999999999</v>
      </c>
      <c r="G241" s="36">
        <v>105.59369731756824</v>
      </c>
      <c r="H241" s="36">
        <v>-1.323567642187895</v>
      </c>
    </row>
    <row r="242" spans="1:8" x14ac:dyDescent="0.25">
      <c r="A242" s="36">
        <v>0.26280098204577507</v>
      </c>
      <c r="B242" s="36">
        <v>107.0776500392635</v>
      </c>
      <c r="C242" s="36">
        <v>107.0776500392635</v>
      </c>
      <c r="D242" s="36"/>
      <c r="E242" s="36">
        <v>0</v>
      </c>
      <c r="F242" s="36">
        <v>-0.45300000000000001</v>
      </c>
      <c r="G242" s="36">
        <v>106.31319616103019</v>
      </c>
      <c r="H242" s="36">
        <v>-0.65120195406471737</v>
      </c>
    </row>
    <row r="243" spans="1:8" x14ac:dyDescent="0.25">
      <c r="A243" s="36">
        <v>-0.25675902859500843</v>
      </c>
      <c r="B243" s="36">
        <v>106.80271850518032</v>
      </c>
      <c r="C243" s="36">
        <v>107.0776500392635</v>
      </c>
      <c r="D243" s="36">
        <v>-0.27493153408317994</v>
      </c>
      <c r="E243" s="36">
        <v>-2.5675902859501245E-3</v>
      </c>
      <c r="F243" s="36">
        <v>-0.33300000000000002</v>
      </c>
      <c r="G243" s="36">
        <v>106.72108146463275</v>
      </c>
      <c r="H243" s="36">
        <v>-0.33300000000000551</v>
      </c>
    </row>
    <row r="244" spans="1:8" x14ac:dyDescent="0.25">
      <c r="A244" s="36">
        <v>0.28640703720978639</v>
      </c>
      <c r="B244" s="36">
        <v>107.10860900691053</v>
      </c>
      <c r="C244" s="36">
        <v>107.10860900691053</v>
      </c>
      <c r="D244" s="36"/>
      <c r="E244" s="36">
        <v>0</v>
      </c>
      <c r="F244" s="36">
        <v>-0.10829999999999999</v>
      </c>
      <c r="G244" s="36">
        <v>106.68705116103922</v>
      </c>
      <c r="H244" s="36">
        <v>-0.36478095856703474</v>
      </c>
    </row>
    <row r="245" spans="1:8" x14ac:dyDescent="0.25">
      <c r="A245" s="36">
        <v>-0.14338047480776572</v>
      </c>
      <c r="B245" s="36">
        <v>106.95503617475643</v>
      </c>
      <c r="C245" s="36">
        <v>107.10860900691053</v>
      </c>
      <c r="D245" s="36">
        <v>-0.15357283215409723</v>
      </c>
      <c r="E245" s="36">
        <v>-1.433804748077616E-3</v>
      </c>
      <c r="F245" s="36">
        <v>-0.25869999999999999</v>
      </c>
      <c r="G245" s="36">
        <v>106.83151903540964</v>
      </c>
      <c r="H245" s="36">
        <v>-0.2587000000000117</v>
      </c>
    </row>
    <row r="246" spans="1:8" x14ac:dyDescent="0.25">
      <c r="A246" s="36">
        <v>-1.4717927033214859</v>
      </c>
      <c r="B246" s="36">
        <v>105.38087975650151</v>
      </c>
      <c r="C246" s="36">
        <v>107.10860900691053</v>
      </c>
      <c r="D246" s="36">
        <v>-1.7277292504090127</v>
      </c>
      <c r="E246" s="36">
        <v>-1.6130629147630342E-2</v>
      </c>
      <c r="F246" s="36">
        <v>-2.6743999999999999</v>
      </c>
      <c r="G246" s="36">
        <v>104.09463068729875</v>
      </c>
      <c r="H246" s="36">
        <v>-2.8139459073895035</v>
      </c>
    </row>
    <row r="247" spans="1:8" x14ac:dyDescent="0.25">
      <c r="A247" s="36">
        <v>-0.51453553183858236</v>
      </c>
      <c r="B247" s="36">
        <v>104.83865768639022</v>
      </c>
      <c r="C247" s="36">
        <v>107.10860900691053</v>
      </c>
      <c r="D247" s="36">
        <v>-2.2699513205203061</v>
      </c>
      <c r="E247" s="36">
        <v>-2.119298664754251E-2</v>
      </c>
      <c r="F247" s="36">
        <v>-0.85089999999999999</v>
      </c>
      <c r="G247" s="36">
        <v>104.48419385065344</v>
      </c>
      <c r="H247" s="36">
        <v>-2.4502373624213147</v>
      </c>
    </row>
    <row r="248" spans="1:8" x14ac:dyDescent="0.25">
      <c r="A248" s="36">
        <v>-1.6630513376717282</v>
      </c>
      <c r="B248" s="36">
        <v>103.09513698733963</v>
      </c>
      <c r="C248" s="36">
        <v>107.10860900691053</v>
      </c>
      <c r="D248" s="36">
        <v>-4.0134720195708979</v>
      </c>
      <c r="E248" s="36">
        <v>-3.7471049776325198E-2</v>
      </c>
      <c r="F248" s="36">
        <v>-2.1516000000000002</v>
      </c>
      <c r="G248" s="36">
        <v>102.58294912760985</v>
      </c>
      <c r="H248" s="36">
        <v>-4.2252998346833941</v>
      </c>
    </row>
    <row r="249" spans="1:8" x14ac:dyDescent="0.25">
      <c r="A249" s="36">
        <v>0.82719028770013547</v>
      </c>
      <c r="B249" s="36">
        <v>103.94792994759004</v>
      </c>
      <c r="C249" s="36">
        <v>107.10860900691053</v>
      </c>
      <c r="D249" s="36">
        <v>-3.1606790593204863</v>
      </c>
      <c r="E249" s="36">
        <v>-2.9509103783773E-2</v>
      </c>
      <c r="F249" s="36">
        <v>-0.38290000000000002</v>
      </c>
      <c r="G249" s="36">
        <v>102.7003857078151</v>
      </c>
      <c r="H249" s="36">
        <v>-4.1156573126731715</v>
      </c>
    </row>
    <row r="250" spans="1:8" x14ac:dyDescent="0.25">
      <c r="A250" s="36">
        <v>-0.7714237799765219</v>
      </c>
      <c r="B250" s="36">
        <v>103.146050897181</v>
      </c>
      <c r="C250" s="36">
        <v>107.10860900691053</v>
      </c>
      <c r="D250" s="36">
        <v>-3.9625581097295282</v>
      </c>
      <c r="E250" s="36">
        <v>-3.6995701339692204E-2</v>
      </c>
      <c r="F250" s="36">
        <v>-2.7995999999999999</v>
      </c>
      <c r="G250" s="36">
        <v>101.0378037007773</v>
      </c>
      <c r="H250" s="36">
        <v>-5.6678966914242572</v>
      </c>
    </row>
    <row r="251" spans="1:8" x14ac:dyDescent="0.25">
      <c r="A251" s="36">
        <v>1.3133559732784872</v>
      </c>
      <c r="B251" s="36">
        <v>104.50072571784</v>
      </c>
      <c r="C251" s="36">
        <v>107.10860900691053</v>
      </c>
      <c r="D251" s="36">
        <v>-2.6078832890705286</v>
      </c>
      <c r="E251" s="36">
        <v>-2.434802686030841E-2</v>
      </c>
      <c r="F251" s="36">
        <v>1.0388999999999999</v>
      </c>
      <c r="G251" s="36">
        <v>104.21763521995182</v>
      </c>
      <c r="H251" s="36">
        <v>-2.6991049680910262</v>
      </c>
    </row>
    <row r="252" spans="1:8" x14ac:dyDescent="0.25">
      <c r="A252" s="36">
        <v>0.21785984285328372</v>
      </c>
      <c r="B252" s="36">
        <v>104.72839083466941</v>
      </c>
      <c r="C252" s="36">
        <v>107.10860900691053</v>
      </c>
      <c r="D252" s="36">
        <v>-2.3802181722411149</v>
      </c>
      <c r="E252" s="36">
        <v>-2.222247300483144E-2</v>
      </c>
      <c r="F252" s="36">
        <v>-0.1011</v>
      </c>
      <c r="G252" s="36">
        <v>104.39507548413927</v>
      </c>
      <c r="H252" s="36">
        <v>-2.5334411005152546</v>
      </c>
    </row>
    <row r="253" spans="1:8" x14ac:dyDescent="0.25">
      <c r="A253" s="36">
        <v>-0.37209140497848636</v>
      </c>
      <c r="B253" s="36">
        <v>104.33870549380133</v>
      </c>
      <c r="C253" s="36">
        <v>107.10860900691053</v>
      </c>
      <c r="D253" s="36">
        <v>-2.7699035131091989</v>
      </c>
      <c r="E253" s="36">
        <v>-2.5860699142591682E-2</v>
      </c>
      <c r="F253" s="36">
        <v>-1.4802</v>
      </c>
      <c r="G253" s="36">
        <v>103.17820119353463</v>
      </c>
      <c r="H253" s="36">
        <v>-3.6695535959413994</v>
      </c>
    </row>
    <row r="254" spans="1:8" x14ac:dyDescent="0.25">
      <c r="A254" s="36">
        <v>0.24666361662983913</v>
      </c>
      <c r="B254" s="36">
        <v>104.5960711183171</v>
      </c>
      <c r="C254" s="36">
        <v>107.10860900691053</v>
      </c>
      <c r="D254" s="36">
        <v>-2.5125378885934282</v>
      </c>
      <c r="E254" s="36">
        <v>-2.3457851912084136E-2</v>
      </c>
      <c r="F254" s="36">
        <v>-0.95140000000000002</v>
      </c>
      <c r="G254" s="36">
        <v>103.34602704973329</v>
      </c>
      <c r="H254" s="36">
        <v>-3.512866045094909</v>
      </c>
    </row>
    <row r="255" spans="1:8" x14ac:dyDescent="0.25">
      <c r="A255" s="36">
        <v>-1.6415820791039555</v>
      </c>
      <c r="B255" s="36">
        <v>102.87904075939198</v>
      </c>
      <c r="C255" s="36">
        <v>107.10860900691053</v>
      </c>
      <c r="D255" s="36">
        <v>-4.229568247518543</v>
      </c>
      <c r="E255" s="36">
        <v>-3.9488592809992111E-2</v>
      </c>
      <c r="F255" s="36">
        <v>-1.839</v>
      </c>
      <c r="G255" s="36">
        <v>102.67254937045125</v>
      </c>
      <c r="H255" s="36">
        <v>-4.141646201542093</v>
      </c>
    </row>
    <row r="256" spans="1:8" x14ac:dyDescent="0.25">
      <c r="A256" s="36">
        <v>-4.1902564275685945</v>
      </c>
      <c r="B256" s="36">
        <v>98.568145141350641</v>
      </c>
      <c r="C256" s="36">
        <v>107.10860900691053</v>
      </c>
      <c r="D256" s="36">
        <v>-8.5404638655598859</v>
      </c>
      <c r="E256" s="36">
        <v>-7.9736483787301027E-2</v>
      </c>
      <c r="F256" s="36">
        <v>-5.4526000000000003</v>
      </c>
      <c r="G256" s="36">
        <v>97.269458182945385</v>
      </c>
      <c r="H256" s="36">
        <v>-9.1861437798434373</v>
      </c>
    </row>
    <row r="257" spans="1:8" x14ac:dyDescent="0.25">
      <c r="A257" s="36">
        <v>-8.3860321582483799E-2</v>
      </c>
      <c r="B257" s="36">
        <v>98.485485577857219</v>
      </c>
      <c r="C257" s="36">
        <v>107.10860900691053</v>
      </c>
      <c r="D257" s="36">
        <v>-8.6231234290533081</v>
      </c>
      <c r="E257" s="36">
        <v>-8.0508219731403236E-2</v>
      </c>
      <c r="F257" s="36">
        <v>-1.6387</v>
      </c>
      <c r="G257" s="36">
        <v>96.952908946919322</v>
      </c>
      <c r="H257" s="36">
        <v>-9.4816842027478536</v>
      </c>
    </row>
    <row r="258" spans="1:8" x14ac:dyDescent="0.25">
      <c r="A258" s="36">
        <v>1.3774734287960082</v>
      </c>
      <c r="B258" s="36">
        <v>99.842096972912941</v>
      </c>
      <c r="C258" s="36">
        <v>107.10860900691053</v>
      </c>
      <c r="D258" s="36">
        <v>-7.2665120339975857</v>
      </c>
      <c r="E258" s="36">
        <v>-6.7842464778239797E-2</v>
      </c>
      <c r="F258" s="36">
        <v>-3.0300000000000001E-2</v>
      </c>
      <c r="G258" s="36">
        <v>98.455644475727127</v>
      </c>
      <c r="H258" s="36">
        <v>-8.0786825740824639</v>
      </c>
    </row>
    <row r="259" spans="1:8" x14ac:dyDescent="0.25">
      <c r="A259" s="36">
        <v>-2.4449276215629707</v>
      </c>
      <c r="B259" s="36">
        <v>97.401029966074503</v>
      </c>
      <c r="C259" s="36">
        <v>107.10860900691053</v>
      </c>
      <c r="D259" s="36">
        <v>-9.7075790408360234</v>
      </c>
      <c r="E259" s="36">
        <v>-9.0633041833357214E-2</v>
      </c>
      <c r="F259" s="36">
        <v>-3.3653</v>
      </c>
      <c r="G259" s="36">
        <v>96.4821108834835</v>
      </c>
      <c r="H259" s="36">
        <v>-9.9212362311057678</v>
      </c>
    </row>
    <row r="260" spans="1:8" x14ac:dyDescent="0.25">
      <c r="A260" s="36">
        <v>0.57047490264631184</v>
      </c>
      <c r="B260" s="36">
        <v>100.57047490264632</v>
      </c>
      <c r="C260" s="36">
        <v>100.57047490264632</v>
      </c>
      <c r="D260" s="36"/>
      <c r="E260" s="36">
        <v>0</v>
      </c>
      <c r="F260" s="36">
        <v>0.14380000000000001</v>
      </c>
      <c r="G260" s="36">
        <v>100.1438</v>
      </c>
      <c r="H260" s="36">
        <v>0.14380000000000503</v>
      </c>
    </row>
    <row r="261" spans="1:8" x14ac:dyDescent="0.25">
      <c r="A261" s="36">
        <v>-0.82713843270741694</v>
      </c>
      <c r="B261" s="36">
        <v>99.738617852770162</v>
      </c>
      <c r="C261" s="36">
        <v>100.57047490264632</v>
      </c>
      <c r="D261" s="36">
        <v>-0.83185704987616305</v>
      </c>
      <c r="E261" s="36">
        <v>-8.271384327074251E-3</v>
      </c>
      <c r="F261" s="36">
        <v>-0.9103</v>
      </c>
      <c r="G261" s="36">
        <v>99.654981869607539</v>
      </c>
      <c r="H261" s="36">
        <v>-0.91029999999999722</v>
      </c>
    </row>
    <row r="262" spans="1:8" x14ac:dyDescent="0.25">
      <c r="A262" s="36">
        <v>-0.46691594043462659</v>
      </c>
      <c r="B262" s="36">
        <v>99.272922347246393</v>
      </c>
      <c r="C262" s="36">
        <v>100.57047490264632</v>
      </c>
      <c r="D262" s="36">
        <v>-1.2975525553999319</v>
      </c>
      <c r="E262" s="36">
        <v>-1.2901923319502882E-2</v>
      </c>
      <c r="F262" s="36">
        <v>-1.9378</v>
      </c>
      <c r="G262" s="36">
        <v>97.805882916019186</v>
      </c>
      <c r="H262" s="36">
        <v>-2.7489101441584118</v>
      </c>
    </row>
    <row r="263" spans="1:8" x14ac:dyDescent="0.25">
      <c r="A263" s="36">
        <v>0.48160778352596939</v>
      </c>
      <c r="B263" s="36">
        <v>99.751028468204424</v>
      </c>
      <c r="C263" s="36">
        <v>100.57047490264632</v>
      </c>
      <c r="D263" s="36">
        <v>-0.81944643444190035</v>
      </c>
      <c r="E263" s="36">
        <v>-8.1479821511744512E-3</v>
      </c>
      <c r="F263" s="36">
        <v>-0.13339999999999999</v>
      </c>
      <c r="G263" s="36">
        <v>99.140492268835175</v>
      </c>
      <c r="H263" s="36">
        <v>-1.4218712153794555</v>
      </c>
    </row>
    <row r="264" spans="1:8" x14ac:dyDescent="0.25">
      <c r="A264" s="36">
        <v>-0.88320842886687156</v>
      </c>
      <c r="B264" s="36">
        <v>98.870018976891856</v>
      </c>
      <c r="C264" s="36">
        <v>100.57047490264632</v>
      </c>
      <c r="D264" s="36">
        <v>-1.7004559257544685</v>
      </c>
      <c r="E264" s="36">
        <v>-1.6908102774701367E-2</v>
      </c>
      <c r="F264" s="36">
        <v>-1.0301</v>
      </c>
      <c r="G264" s="36">
        <v>98.723493123953446</v>
      </c>
      <c r="H264" s="36">
        <v>-1.8365049787035237</v>
      </c>
    </row>
    <row r="265" spans="1:8" x14ac:dyDescent="0.25">
      <c r="A265" s="36">
        <v>-0.77878422416668802</v>
      </c>
      <c r="B265" s="36">
        <v>98.100034866669219</v>
      </c>
      <c r="C265" s="36">
        <v>100.57047490264632</v>
      </c>
      <c r="D265" s="36">
        <v>-2.4704400359771057</v>
      </c>
      <c r="E265" s="36">
        <v>-2.4564267379352911E-2</v>
      </c>
      <c r="F265" s="36">
        <v>-0.98240000000000005</v>
      </c>
      <c r="G265" s="36">
        <v>97.898719910462859</v>
      </c>
      <c r="H265" s="36">
        <v>-2.6565997573042788</v>
      </c>
    </row>
    <row r="266" spans="1:8" x14ac:dyDescent="0.25">
      <c r="A266" s="36">
        <v>1.3460623621502399</v>
      </c>
      <c r="B266" s="36">
        <v>99.420522513265723</v>
      </c>
      <c r="C266" s="36">
        <v>100.57047490264632</v>
      </c>
      <c r="D266" s="36">
        <v>-1.1499523893806014</v>
      </c>
      <c r="E266" s="36">
        <v>-1.1434294115581854E-2</v>
      </c>
      <c r="F266" s="36">
        <v>-4.9299999999999997E-2</v>
      </c>
      <c r="G266" s="36">
        <v>98.051671549479948</v>
      </c>
      <c r="H266" s="36">
        <v>-2.5045157195534906</v>
      </c>
    </row>
    <row r="267" spans="1:8" x14ac:dyDescent="0.25">
      <c r="A267" s="36">
        <v>0.2988625443954806</v>
      </c>
      <c r="B267" s="36">
        <v>99.717653216500153</v>
      </c>
      <c r="C267" s="36">
        <v>100.57047490264632</v>
      </c>
      <c r="D267" s="36">
        <v>-0.85282168614617149</v>
      </c>
      <c r="E267" s="36">
        <v>-8.4798414939545146E-3</v>
      </c>
      <c r="F267" s="36">
        <v>0.27029999999999998</v>
      </c>
      <c r="G267" s="36">
        <v>99.689256185619072</v>
      </c>
      <c r="H267" s="36">
        <v>-0.87622010125762984</v>
      </c>
    </row>
    <row r="268" spans="1:8" x14ac:dyDescent="0.25">
      <c r="A268" s="36">
        <v>1.0015133793635422</v>
      </c>
      <c r="B268" s="36">
        <v>100.71633885505074</v>
      </c>
      <c r="C268" s="36">
        <v>100.71633885505074</v>
      </c>
      <c r="D268" s="36"/>
      <c r="E268" s="36">
        <v>0</v>
      </c>
      <c r="F268" s="36">
        <v>0.1056</v>
      </c>
      <c r="G268" s="36">
        <v>99.82295505829677</v>
      </c>
      <c r="H268" s="36">
        <v>-0.74327962065722231</v>
      </c>
    </row>
    <row r="269" spans="1:8" x14ac:dyDescent="0.25">
      <c r="A269" s="36">
        <v>5.6893412777226086E-2</v>
      </c>
      <c r="B269" s="36">
        <v>100.77363981744966</v>
      </c>
      <c r="C269" s="36">
        <v>100.77363981744966</v>
      </c>
      <c r="D269" s="36"/>
      <c r="E269" s="36">
        <v>0</v>
      </c>
      <c r="F269" s="36">
        <v>-0.74209999999999998</v>
      </c>
      <c r="G269" s="36">
        <v>99.968922904407407</v>
      </c>
      <c r="H269" s="36">
        <v>-0.74210000000000109</v>
      </c>
    </row>
    <row r="270" spans="1:8" x14ac:dyDescent="0.25">
      <c r="A270" s="36">
        <v>8.4014786602442021E-2</v>
      </c>
      <c r="B270" s="36">
        <v>100.85830457589381</v>
      </c>
      <c r="C270" s="36">
        <v>100.85830457589381</v>
      </c>
      <c r="D270" s="36"/>
      <c r="E270" s="36">
        <v>0</v>
      </c>
      <c r="F270" s="36">
        <v>-0.61760000000000004</v>
      </c>
      <c r="G270" s="36">
        <v>100.1512618179371</v>
      </c>
      <c r="H270" s="36">
        <v>-0.61759999999999593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80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104" t="s">
        <v>203</v>
      </c>
      <c r="B1" s="104"/>
      <c r="C1" s="104"/>
      <c r="D1" s="104"/>
      <c r="E1" s="104"/>
      <c r="G1" s="38" t="s">
        <v>78</v>
      </c>
      <c r="H1" s="38" t="s">
        <v>204</v>
      </c>
      <c r="I1" s="38" t="s">
        <v>80</v>
      </c>
      <c r="J1" s="38" t="s">
        <v>205</v>
      </c>
      <c r="K1" s="38" t="s">
        <v>206</v>
      </c>
      <c r="L1" s="38" t="s">
        <v>77</v>
      </c>
      <c r="M1" s="38" t="s">
        <v>207</v>
      </c>
      <c r="N1" s="38" t="s">
        <v>208</v>
      </c>
      <c r="O1" s="38" t="s">
        <v>209</v>
      </c>
      <c r="P1" s="38" t="s">
        <v>210</v>
      </c>
      <c r="Q1" s="38" t="s">
        <v>211</v>
      </c>
      <c r="R1" s="38" t="s">
        <v>212</v>
      </c>
      <c r="S1" s="38" t="s">
        <v>187</v>
      </c>
    </row>
    <row r="2" spans="1:58" x14ac:dyDescent="0.25">
      <c r="A2" s="105"/>
      <c r="B2" s="105"/>
      <c r="C2" s="105"/>
      <c r="D2" s="105"/>
      <c r="E2" s="105"/>
      <c r="G2" s="39">
        <v>0.63451776649746194</v>
      </c>
      <c r="H2" s="39">
        <v>6.4000256553062643E-3</v>
      </c>
      <c r="I2" s="39">
        <v>0.36548223350253806</v>
      </c>
      <c r="J2" s="39">
        <v>-9.8071861389949153E-3</v>
      </c>
      <c r="K2" s="40">
        <v>4.8594742989678141E-2</v>
      </c>
      <c r="L2" s="41">
        <v>266</v>
      </c>
      <c r="M2" s="42">
        <v>-0.46481569274760581</v>
      </c>
      <c r="N2" s="42">
        <v>-0.50137518346509047</v>
      </c>
      <c r="O2" s="40">
        <v>1.5151216061095627</v>
      </c>
      <c r="P2" s="40">
        <v>0.10794794480824996</v>
      </c>
      <c r="Q2" s="40">
        <v>1.7136204990189325</v>
      </c>
      <c r="R2" s="42">
        <v>0.63662703467471449</v>
      </c>
      <c r="S2" s="39">
        <v>2.212219911915958E-2</v>
      </c>
    </row>
    <row r="3" spans="1:58" x14ac:dyDescent="0.25">
      <c r="A3" s="43" t="s">
        <v>121</v>
      </c>
      <c r="B3" s="44" t="s">
        <v>213</v>
      </c>
      <c r="C3" s="44" t="s">
        <v>214</v>
      </c>
      <c r="D3" s="44" t="s">
        <v>215</v>
      </c>
      <c r="E3" s="44" t="s">
        <v>216</v>
      </c>
      <c r="F3" s="45" t="s">
        <v>217</v>
      </c>
      <c r="G3" s="44" t="s">
        <v>218</v>
      </c>
      <c r="H3" s="44" t="s">
        <v>219</v>
      </c>
      <c r="I3" s="44" t="s">
        <v>220</v>
      </c>
      <c r="J3" s="45" t="s">
        <v>221</v>
      </c>
      <c r="K3" s="44" t="s">
        <v>222</v>
      </c>
      <c r="L3" s="44" t="s">
        <v>223</v>
      </c>
      <c r="M3" s="44" t="s">
        <v>224</v>
      </c>
      <c r="N3" s="45" t="s">
        <v>225</v>
      </c>
      <c r="O3" s="44" t="s">
        <v>226</v>
      </c>
      <c r="P3" s="44" t="s">
        <v>227</v>
      </c>
      <c r="Q3" s="44" t="s">
        <v>228</v>
      </c>
      <c r="R3" s="45" t="s">
        <v>229</v>
      </c>
      <c r="S3" s="44" t="s">
        <v>230</v>
      </c>
      <c r="T3" s="44" t="s">
        <v>231</v>
      </c>
      <c r="U3" s="44" t="s">
        <v>232</v>
      </c>
      <c r="V3" s="44" t="s">
        <v>233</v>
      </c>
      <c r="W3" s="45" t="s">
        <v>234</v>
      </c>
      <c r="X3" s="44" t="s">
        <v>235</v>
      </c>
      <c r="Y3" s="44" t="s">
        <v>236</v>
      </c>
      <c r="Z3" s="44" t="s">
        <v>237</v>
      </c>
      <c r="AA3" s="45" t="s">
        <v>238</v>
      </c>
      <c r="AB3" s="44" t="s">
        <v>239</v>
      </c>
      <c r="AC3" s="44" t="s">
        <v>240</v>
      </c>
      <c r="AD3" s="44" t="s">
        <v>241</v>
      </c>
      <c r="AE3" s="45" t="s">
        <v>242</v>
      </c>
      <c r="AF3" s="44" t="s">
        <v>243</v>
      </c>
      <c r="AG3" s="44" t="s">
        <v>244</v>
      </c>
      <c r="AH3" s="44" t="s">
        <v>245</v>
      </c>
      <c r="AI3" s="44" t="s">
        <v>246</v>
      </c>
      <c r="AJ3" s="45" t="s">
        <v>247</v>
      </c>
      <c r="AK3" s="44" t="s">
        <v>248</v>
      </c>
      <c r="AL3" s="44" t="s">
        <v>249</v>
      </c>
      <c r="AM3" s="44" t="s">
        <v>250</v>
      </c>
      <c r="AN3" s="45" t="s">
        <v>251</v>
      </c>
      <c r="AO3" s="44" t="s">
        <v>252</v>
      </c>
      <c r="AP3" s="44" t="s">
        <v>253</v>
      </c>
      <c r="AQ3" s="44" t="s">
        <v>254</v>
      </c>
      <c r="AR3" s="44" t="s">
        <v>255</v>
      </c>
      <c r="AS3" s="45" t="s">
        <v>256</v>
      </c>
      <c r="AT3" s="44" t="s">
        <v>257</v>
      </c>
      <c r="AU3" s="44" t="s">
        <v>258</v>
      </c>
      <c r="AV3" s="44" t="s">
        <v>259</v>
      </c>
      <c r="AW3" s="45" t="s">
        <v>260</v>
      </c>
      <c r="AX3" s="44" t="s">
        <v>261</v>
      </c>
      <c r="AY3" s="44" t="s">
        <v>262</v>
      </c>
      <c r="AZ3" s="44" t="s">
        <v>263</v>
      </c>
      <c r="BA3" s="44" t="s">
        <v>264</v>
      </c>
      <c r="BB3" s="45" t="s">
        <v>265</v>
      </c>
      <c r="BC3" s="106" t="s">
        <v>134</v>
      </c>
      <c r="BD3" s="106" t="s">
        <v>135</v>
      </c>
      <c r="BE3" s="106" t="s">
        <v>266</v>
      </c>
      <c r="BF3" s="106" t="s">
        <v>136</v>
      </c>
    </row>
    <row r="4" spans="1:58" x14ac:dyDescent="0.25">
      <c r="A4" s="46" t="s">
        <v>267</v>
      </c>
      <c r="B4" s="46" t="s">
        <v>122</v>
      </c>
      <c r="C4" s="47"/>
      <c r="D4" s="47"/>
      <c r="E4" s="47"/>
      <c r="F4" s="48"/>
      <c r="G4" s="46" t="s">
        <v>123</v>
      </c>
      <c r="H4" s="47"/>
      <c r="I4" s="47"/>
      <c r="J4" s="48"/>
      <c r="K4" s="46" t="s">
        <v>124</v>
      </c>
      <c r="L4" s="47"/>
      <c r="M4" s="47"/>
      <c r="N4" s="48"/>
      <c r="O4" s="46" t="s">
        <v>125</v>
      </c>
      <c r="P4" s="47"/>
      <c r="Q4" s="47"/>
      <c r="R4" s="48"/>
      <c r="S4" s="46" t="s">
        <v>126</v>
      </c>
      <c r="T4" s="47"/>
      <c r="U4" s="47"/>
      <c r="V4" s="47"/>
      <c r="W4" s="48"/>
      <c r="X4" s="46" t="s">
        <v>127</v>
      </c>
      <c r="Y4" s="47"/>
      <c r="Z4" s="47"/>
      <c r="AA4" s="48"/>
      <c r="AB4" s="46" t="s">
        <v>128</v>
      </c>
      <c r="AC4" s="47"/>
      <c r="AD4" s="47"/>
      <c r="AE4" s="48"/>
      <c r="AF4" s="46" t="s">
        <v>129</v>
      </c>
      <c r="AG4" s="47"/>
      <c r="AH4" s="47"/>
      <c r="AI4" s="47"/>
      <c r="AJ4" s="48"/>
      <c r="AK4" s="46" t="s">
        <v>130</v>
      </c>
      <c r="AL4" s="47"/>
      <c r="AM4" s="47"/>
      <c r="AN4" s="48"/>
      <c r="AO4" s="46" t="s">
        <v>131</v>
      </c>
      <c r="AP4" s="47"/>
      <c r="AQ4" s="47"/>
      <c r="AR4" s="47"/>
      <c r="AS4" s="48"/>
      <c r="AT4" s="46" t="s">
        <v>132</v>
      </c>
      <c r="AU4" s="47"/>
      <c r="AV4" s="47"/>
      <c r="AW4" s="48"/>
      <c r="AX4" s="46" t="s">
        <v>133</v>
      </c>
      <c r="AY4" s="47"/>
      <c r="AZ4" s="47"/>
      <c r="BA4" s="47"/>
      <c r="BB4" s="48"/>
      <c r="BC4" s="106"/>
      <c r="BD4" s="106"/>
      <c r="BE4" s="106"/>
      <c r="BF4" s="106"/>
    </row>
    <row r="5" spans="1:58" x14ac:dyDescent="0.25">
      <c r="A5" s="49">
        <v>2019</v>
      </c>
      <c r="B5" s="50"/>
      <c r="C5" s="50"/>
      <c r="D5" s="50"/>
      <c r="E5" s="50"/>
      <c r="F5" s="51"/>
      <c r="G5" s="50"/>
      <c r="H5" s="50"/>
      <c r="I5" s="50"/>
      <c r="J5" s="51"/>
      <c r="K5" s="50"/>
      <c r="L5" s="50"/>
      <c r="M5" s="50"/>
      <c r="N5" s="51"/>
      <c r="O5" s="52">
        <v>4.9379999999999997E-3</v>
      </c>
      <c r="P5" s="52">
        <v>2.4949999999999998E-3</v>
      </c>
      <c r="Q5" s="52">
        <v>6.2459999999999998E-3</v>
      </c>
      <c r="R5" s="53">
        <v>-4.6999999999999997E-5</v>
      </c>
      <c r="S5" s="52">
        <v>2.5630000000000002E-3</v>
      </c>
      <c r="T5" s="54">
        <v>-2.1978000000000001E-2</v>
      </c>
      <c r="U5" s="55">
        <v>-4.8459999999999996E-3</v>
      </c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7">
        <v>-6.0610000000000004E-3</v>
      </c>
      <c r="AP5" s="52">
        <v>2.5000000000000001E-3</v>
      </c>
      <c r="AQ5" s="52">
        <v>7.2379999999999996E-3</v>
      </c>
      <c r="AR5" s="52">
        <v>1.0808999999999999E-2</v>
      </c>
      <c r="AS5" s="58">
        <v>1.009E-2</v>
      </c>
      <c r="AT5" s="52">
        <v>6.5560000000000002E-3</v>
      </c>
      <c r="AU5" s="59">
        <v>-4.7930000000000004E-3</v>
      </c>
      <c r="AV5" s="52">
        <v>5.8060000000000004E-3</v>
      </c>
      <c r="AW5" s="58">
        <v>6.1419999999999999E-3</v>
      </c>
      <c r="AX5" s="52">
        <v>9.4600000000000001E-4</v>
      </c>
      <c r="AY5" s="59">
        <v>-3.8899999999999998E-3</v>
      </c>
      <c r="AZ5" s="52">
        <v>9.5340000000000008E-3</v>
      </c>
      <c r="BA5" s="52">
        <v>3.392E-3</v>
      </c>
      <c r="BB5" s="51"/>
      <c r="BC5" s="60">
        <v>3.764E-2</v>
      </c>
      <c r="BD5" s="61">
        <v>-3.2899999999999999E-2</v>
      </c>
      <c r="BE5" s="61">
        <v>-2.8400000000000002E-2</v>
      </c>
      <c r="BF5" s="62">
        <v>1.1399999999999999</v>
      </c>
    </row>
    <row r="6" spans="1:58" x14ac:dyDescent="0.25">
      <c r="A6" s="49">
        <v>2020</v>
      </c>
      <c r="B6" s="52">
        <v>1.4E-3</v>
      </c>
      <c r="C6" s="54">
        <v>-9.8709999999999996E-3</v>
      </c>
      <c r="D6" s="63">
        <v>8.5220000000000001E-3</v>
      </c>
      <c r="E6" s="55">
        <v>-1.0573000000000001E-2</v>
      </c>
      <c r="F6" s="55">
        <v>-2.0999999999999999E-5</v>
      </c>
      <c r="G6" s="63">
        <v>2.9759999999999999E-3</v>
      </c>
      <c r="H6" s="63">
        <v>7.8580000000000004E-3</v>
      </c>
      <c r="I6" s="55">
        <v>-7.54E-4</v>
      </c>
      <c r="J6" s="55">
        <v>-2.8221E-2</v>
      </c>
      <c r="K6" s="57">
        <v>-2.9874999999999999E-2</v>
      </c>
      <c r="L6" s="50"/>
      <c r="M6" s="50"/>
      <c r="N6" s="51"/>
      <c r="O6" s="50"/>
      <c r="P6" s="50"/>
      <c r="Q6" s="50"/>
      <c r="R6" s="51"/>
      <c r="S6" s="50"/>
      <c r="T6" s="50"/>
      <c r="U6" s="50"/>
      <c r="V6" s="50"/>
      <c r="W6" s="51"/>
      <c r="X6" s="50"/>
      <c r="Y6" s="50"/>
      <c r="Z6" s="50"/>
      <c r="AA6" s="51"/>
      <c r="AB6" s="50"/>
      <c r="AC6" s="50"/>
      <c r="AD6" s="50"/>
      <c r="AE6" s="51"/>
      <c r="AF6" s="50"/>
      <c r="AG6" s="50"/>
      <c r="AH6" s="50"/>
      <c r="AI6" s="50"/>
      <c r="AJ6" s="51"/>
      <c r="AK6" s="50"/>
      <c r="AL6" s="50"/>
      <c r="AM6" s="50"/>
      <c r="AN6" s="51"/>
      <c r="AO6" s="50"/>
      <c r="AP6" s="50"/>
      <c r="AQ6" s="50"/>
      <c r="AR6" s="50"/>
      <c r="AS6" s="51"/>
      <c r="AT6" s="50"/>
      <c r="AU6" s="50"/>
      <c r="AV6" s="50"/>
      <c r="AW6" s="51"/>
      <c r="AX6" s="50"/>
      <c r="AY6" s="50"/>
      <c r="AZ6" s="50"/>
      <c r="BA6" s="50"/>
      <c r="BB6" s="51"/>
      <c r="BC6" s="64">
        <v>-5.8557999999999999E-2</v>
      </c>
      <c r="BD6" s="61">
        <v>-0.06</v>
      </c>
      <c r="BE6" s="61">
        <v>-6.1400000000000003E-2</v>
      </c>
      <c r="BF6" s="65">
        <v>-0.98</v>
      </c>
    </row>
    <row r="7" spans="1:58" x14ac:dyDescent="0.25">
      <c r="A7" s="49">
        <v>2022</v>
      </c>
      <c r="B7" s="50"/>
      <c r="C7" s="50"/>
      <c r="D7" s="50"/>
      <c r="E7" s="50"/>
      <c r="F7" s="51"/>
      <c r="G7" s="50"/>
      <c r="H7" s="50"/>
      <c r="I7" s="50"/>
      <c r="J7" s="51"/>
      <c r="K7" s="50"/>
      <c r="L7" s="50"/>
      <c r="M7" s="50"/>
      <c r="N7" s="51"/>
      <c r="O7" s="50"/>
      <c r="P7" s="50"/>
      <c r="Q7" s="50"/>
      <c r="R7" s="51"/>
      <c r="S7" s="50"/>
      <c r="T7" s="50"/>
      <c r="U7" s="50"/>
      <c r="V7" s="50"/>
      <c r="W7" s="51"/>
      <c r="X7" s="50"/>
      <c r="Y7" s="50"/>
      <c r="Z7" s="50"/>
      <c r="AA7" s="51"/>
      <c r="AB7" s="50"/>
      <c r="AC7" s="50"/>
      <c r="AD7" s="50"/>
      <c r="AE7" s="51"/>
      <c r="AF7" s="52">
        <v>7.6020000000000003E-3</v>
      </c>
      <c r="AG7" s="52">
        <v>1.0924E-2</v>
      </c>
      <c r="AH7" s="52">
        <v>7.1170000000000001E-3</v>
      </c>
      <c r="AI7" s="59">
        <v>-6.3920000000000001E-3</v>
      </c>
      <c r="AJ7" s="58">
        <v>7.4380000000000002E-3</v>
      </c>
      <c r="AK7" s="59">
        <v>-2.6830000000000001E-3</v>
      </c>
      <c r="AL7" s="52">
        <v>5.3870000000000003E-3</v>
      </c>
      <c r="AM7" s="54">
        <v>-1.444E-3</v>
      </c>
      <c r="AN7" s="57">
        <v>-4.4073000000000001E-2</v>
      </c>
      <c r="AO7" s="52">
        <v>2.1603000000000001E-2</v>
      </c>
      <c r="AP7" s="59">
        <v>-3.7190000000000001E-3</v>
      </c>
      <c r="AQ7" s="52">
        <v>9.4540000000000006E-3</v>
      </c>
      <c r="AR7" s="52">
        <v>1.0600999999999999E-2</v>
      </c>
      <c r="AS7" s="58">
        <v>1.4815E-2</v>
      </c>
      <c r="AT7" s="52">
        <v>7.4710000000000002E-3</v>
      </c>
      <c r="AU7" s="52">
        <v>1.047E-2</v>
      </c>
      <c r="AV7" s="52">
        <v>1.73E-3</v>
      </c>
      <c r="AW7" s="58">
        <v>8.2869999999999992E-3</v>
      </c>
      <c r="AX7" s="59">
        <v>-4.3449999999999999E-3</v>
      </c>
      <c r="AY7" s="52">
        <v>5.4010000000000004E-3</v>
      </c>
      <c r="AZ7" s="59">
        <v>-1.8822999999999999E-2</v>
      </c>
      <c r="BA7" s="59">
        <v>-1.5383000000000001E-2</v>
      </c>
      <c r="BB7" s="51"/>
      <c r="BC7" s="60">
        <v>3.1439000000000002E-2</v>
      </c>
      <c r="BD7" s="61">
        <v>-4.5499999999999999E-2</v>
      </c>
      <c r="BE7" s="61">
        <v>-0.05</v>
      </c>
      <c r="BF7" s="62">
        <v>0.69</v>
      </c>
    </row>
    <row r="8" spans="1:58" x14ac:dyDescent="0.25">
      <c r="A8" s="49">
        <v>2023</v>
      </c>
      <c r="B8" s="50"/>
      <c r="C8" s="50"/>
      <c r="D8" s="50"/>
      <c r="E8" s="50"/>
      <c r="F8" s="51"/>
      <c r="G8" s="50"/>
      <c r="H8" s="50"/>
      <c r="I8" s="50"/>
      <c r="J8" s="51"/>
      <c r="K8" s="50"/>
      <c r="L8" s="50"/>
      <c r="M8" s="50"/>
      <c r="N8" s="51"/>
      <c r="O8" s="50"/>
      <c r="P8" s="50"/>
      <c r="Q8" s="50"/>
      <c r="R8" s="51"/>
      <c r="S8" s="52">
        <v>1.921E-3</v>
      </c>
      <c r="T8" s="52">
        <v>4.9919999999999999E-3</v>
      </c>
      <c r="U8" s="52">
        <v>7.3700000000000002E-4</v>
      </c>
      <c r="V8" s="52">
        <v>4.9500000000000004E-3</v>
      </c>
      <c r="W8" s="58">
        <v>7.234E-3</v>
      </c>
      <c r="X8" s="52">
        <v>3.9280000000000001E-3</v>
      </c>
      <c r="Y8" s="52">
        <v>3.2490000000000002E-3</v>
      </c>
      <c r="Z8" s="52">
        <v>4.8729999999999997E-3</v>
      </c>
      <c r="AA8" s="58">
        <v>1.27E-4</v>
      </c>
      <c r="AB8" s="52">
        <v>8.3000000000000001E-3</v>
      </c>
      <c r="AC8" s="52">
        <v>3.2139999999999998E-3</v>
      </c>
      <c r="AD8" s="52">
        <v>6.9109999999999996E-3</v>
      </c>
      <c r="AE8" s="58">
        <v>2.5000000000000001E-5</v>
      </c>
      <c r="AF8" s="59">
        <v>-5.5950000000000001E-3</v>
      </c>
      <c r="AG8" s="52">
        <v>3.3240000000000001E-3</v>
      </c>
      <c r="AH8" s="59">
        <v>-3.4459999999999998E-3</v>
      </c>
      <c r="AI8" s="52">
        <v>2.0600000000000002E-3</v>
      </c>
      <c r="AJ8" s="58">
        <v>7.3499999999999998E-4</v>
      </c>
      <c r="AK8" s="52">
        <v>4.6290000000000003E-3</v>
      </c>
      <c r="AL8" s="52">
        <v>6.8440000000000003E-3</v>
      </c>
      <c r="AM8" s="54">
        <v>-3.3159999999999999E-3</v>
      </c>
      <c r="AN8" s="55">
        <v>-4.8840000000000003E-3</v>
      </c>
      <c r="AO8" s="55">
        <v>-9.3200000000000002E-3</v>
      </c>
      <c r="AP8" s="63">
        <v>1.0411999999999999E-2</v>
      </c>
      <c r="AQ8" s="63">
        <v>5.1000000000000004E-4</v>
      </c>
      <c r="AR8" s="57">
        <v>-1.9757E-2</v>
      </c>
      <c r="AS8" s="58">
        <v>1.1529999999999999E-3</v>
      </c>
      <c r="AT8" s="52">
        <v>1.0761E-2</v>
      </c>
      <c r="AU8" s="52">
        <v>4.1250000000000002E-3</v>
      </c>
      <c r="AV8" s="52">
        <v>5.0439999999999999E-3</v>
      </c>
      <c r="AW8" s="58">
        <v>3.15E-3</v>
      </c>
      <c r="AX8" s="52">
        <v>9.1409999999999998E-3</v>
      </c>
      <c r="AY8" s="52">
        <v>2.7320000000000001E-3</v>
      </c>
      <c r="AZ8" s="59">
        <v>-5.973E-3</v>
      </c>
      <c r="BA8" s="52">
        <v>7.9419999999999994E-3</v>
      </c>
      <c r="BB8" s="51"/>
      <c r="BC8" s="60">
        <v>7.0732000000000003E-2</v>
      </c>
      <c r="BD8" s="61">
        <v>-2.64E-2</v>
      </c>
      <c r="BE8" s="61">
        <v>-3.2800000000000003E-2</v>
      </c>
      <c r="BF8" s="62">
        <v>2.68</v>
      </c>
    </row>
    <row r="9" spans="1:58" x14ac:dyDescent="0.25">
      <c r="A9" s="49">
        <v>2024</v>
      </c>
      <c r="B9" s="59">
        <v>-2.4819999999999998E-3</v>
      </c>
      <c r="C9" s="52">
        <v>3.258E-3</v>
      </c>
      <c r="D9" s="59">
        <v>-7.3369999999999998E-3</v>
      </c>
      <c r="E9" s="59">
        <v>-1.72E-3</v>
      </c>
      <c r="F9" s="58">
        <v>7.3819999999999997E-3</v>
      </c>
      <c r="G9" s="52">
        <v>1.2939000000000001E-2</v>
      </c>
      <c r="H9" s="52">
        <v>2.3730000000000001E-3</v>
      </c>
      <c r="I9" s="52">
        <v>7.6550000000000003E-3</v>
      </c>
      <c r="J9" s="53">
        <v>-3.0790000000000001E-3</v>
      </c>
      <c r="K9" s="52">
        <v>1.2774000000000001E-2</v>
      </c>
      <c r="L9" s="59">
        <v>-1.9785000000000001E-2</v>
      </c>
      <c r="M9" s="59">
        <v>-3.7910000000000001E-3</v>
      </c>
      <c r="N9" s="58">
        <v>5.5380000000000004E-3</v>
      </c>
      <c r="O9" s="52">
        <v>1.3630000000000001E-3</v>
      </c>
      <c r="P9" s="50"/>
      <c r="Q9" s="50"/>
      <c r="R9" s="51"/>
      <c r="S9" s="50"/>
      <c r="T9" s="59">
        <v>-9.7739999999999997E-3</v>
      </c>
      <c r="U9" s="52">
        <v>2.4030000000000002E-3</v>
      </c>
      <c r="V9" s="52">
        <v>1.1856999999999999E-2</v>
      </c>
      <c r="W9" s="53">
        <v>-1.4009999999999999E-3</v>
      </c>
      <c r="X9" s="59">
        <v>-7.7000000000000002E-3</v>
      </c>
      <c r="Y9" s="52">
        <v>1.0416E-2</v>
      </c>
      <c r="Z9" s="52">
        <v>7.7840000000000001E-3</v>
      </c>
      <c r="AA9" s="58">
        <v>1.0647999999999999E-2</v>
      </c>
      <c r="AB9" s="52">
        <v>1.0267E-2</v>
      </c>
      <c r="AC9" s="52">
        <v>3.2469999999999999E-3</v>
      </c>
      <c r="AD9" s="52">
        <v>9.1699999999999993E-3</v>
      </c>
      <c r="AE9" s="58">
        <v>2.513E-3</v>
      </c>
      <c r="AF9" s="52">
        <v>1.0989000000000001E-2</v>
      </c>
      <c r="AG9" s="59">
        <v>-2.2301999999999999E-2</v>
      </c>
      <c r="AH9" s="59">
        <v>-3.558E-3</v>
      </c>
      <c r="AI9" s="52">
        <v>5.7029999999999997E-3</v>
      </c>
      <c r="AJ9" s="58">
        <v>7.6790000000000001E-3</v>
      </c>
      <c r="AK9" s="52">
        <v>4.8780000000000004E-3</v>
      </c>
      <c r="AL9" s="59">
        <v>-9.2479999999999993E-3</v>
      </c>
      <c r="AM9" s="52">
        <v>1.1599999999999999E-2</v>
      </c>
      <c r="AN9" s="58">
        <v>1.6988E-2</v>
      </c>
      <c r="AO9" s="54">
        <v>-4.6759999999999996E-3</v>
      </c>
      <c r="AP9" s="55">
        <v>-2.9339E-2</v>
      </c>
      <c r="AQ9" s="63">
        <v>3.3899999999999998E-3</v>
      </c>
      <c r="AR9" s="55">
        <v>-1.8599000000000001E-2</v>
      </c>
      <c r="AS9" s="63">
        <v>1.08E-4</v>
      </c>
      <c r="AT9" s="63">
        <v>5.9059999999999998E-3</v>
      </c>
      <c r="AU9" s="55">
        <v>-3.3607999999999999E-2</v>
      </c>
      <c r="AV9" s="57">
        <v>-4.9700000000000005E-4</v>
      </c>
      <c r="AW9" s="58">
        <v>1.3592E-2</v>
      </c>
      <c r="AX9" s="52">
        <v>4.3420000000000004E-3</v>
      </c>
      <c r="AY9" s="52">
        <v>8.9630000000000005E-3</v>
      </c>
      <c r="AZ9" s="59">
        <v>-6.1619999999999999E-3</v>
      </c>
      <c r="BA9" s="59">
        <v>-3.0539999999999999E-3</v>
      </c>
      <c r="BB9" s="51"/>
      <c r="BC9" s="60">
        <v>2.7612999999999999E-2</v>
      </c>
      <c r="BD9" s="61">
        <v>-7.7299999999999994E-2</v>
      </c>
      <c r="BE9" s="61">
        <v>-8.3099999999999993E-2</v>
      </c>
      <c r="BF9" s="62">
        <v>0.36</v>
      </c>
    </row>
    <row r="10" spans="1:58" x14ac:dyDescent="0.25">
      <c r="A10" s="49">
        <v>2025</v>
      </c>
      <c r="B10" s="54">
        <v>-9.3599999999999998E-4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5">
        <v>-6.2329999999999998E-3</v>
      </c>
      <c r="P10" s="57">
        <v>-2.9571E-2</v>
      </c>
      <c r="Q10" s="52">
        <v>2.8976999999999999E-2</v>
      </c>
      <c r="R10" s="58">
        <v>2.3290999999999999E-2</v>
      </c>
      <c r="S10" s="52">
        <v>2.4949999999999998E-3</v>
      </c>
      <c r="T10" s="52">
        <v>3.908E-3</v>
      </c>
      <c r="U10" s="52">
        <v>4.411E-3</v>
      </c>
      <c r="V10" s="52">
        <v>1.7819999999999999E-3</v>
      </c>
      <c r="W10" s="58">
        <v>3.4299999999999999E-4</v>
      </c>
      <c r="X10" s="59">
        <v>-2.1900000000000001E-3</v>
      </c>
      <c r="Y10" s="52">
        <v>1.2956000000000001E-2</v>
      </c>
      <c r="Z10" s="59">
        <v>-2.5200000000000001E-3</v>
      </c>
      <c r="AA10" s="58">
        <v>1.5146E-2</v>
      </c>
      <c r="AB10" s="52">
        <v>6.1900000000000002E-3</v>
      </c>
      <c r="AC10" s="52">
        <v>4.1960000000000001E-3</v>
      </c>
      <c r="AD10" s="59">
        <v>-7.1219999999999999E-3</v>
      </c>
      <c r="AE10" s="58">
        <v>2.8279999999999998E-3</v>
      </c>
      <c r="AF10" s="59">
        <v>-1.1124E-2</v>
      </c>
      <c r="AG10" s="59">
        <v>-8.6420000000000004E-3</v>
      </c>
      <c r="AH10" s="52">
        <v>4.9399999999999999E-3</v>
      </c>
      <c r="AI10" s="52">
        <v>5.6750000000000004E-3</v>
      </c>
      <c r="AJ10" s="53">
        <v>-9.1260000000000004E-3</v>
      </c>
      <c r="AK10" s="52">
        <v>1.1529999999999999E-3</v>
      </c>
      <c r="AL10" s="52">
        <v>5.1130000000000004E-3</v>
      </c>
      <c r="AM10" s="52">
        <v>4.803E-3</v>
      </c>
      <c r="AN10" s="58">
        <v>2.5170000000000001E-3</v>
      </c>
      <c r="AO10" s="59">
        <v>-1.3901E-2</v>
      </c>
      <c r="AP10" s="52">
        <v>6.8519999999999996E-3</v>
      </c>
      <c r="AQ10" s="52">
        <v>3.643E-3</v>
      </c>
      <c r="AR10" s="52">
        <v>6.888E-3</v>
      </c>
      <c r="AS10" s="58">
        <v>3.0769999999999999E-3</v>
      </c>
      <c r="AT10" s="59">
        <v>-5.228E-3</v>
      </c>
      <c r="AU10" s="59">
        <v>-3.127E-3</v>
      </c>
      <c r="AV10" s="52">
        <v>8.2810000000000002E-3</v>
      </c>
      <c r="AW10" s="58">
        <v>2.2820000000000002E-3</v>
      </c>
      <c r="AX10" s="52">
        <v>6.3460000000000001E-3</v>
      </c>
      <c r="AY10" s="59">
        <v>-6.0299999999999998E-3</v>
      </c>
      <c r="AZ10" s="52">
        <v>4.0639999999999999E-3</v>
      </c>
      <c r="BA10" s="52">
        <v>2.6280000000000001E-3</v>
      </c>
      <c r="BB10" s="51"/>
      <c r="BC10" s="60">
        <v>6.9032999999999997E-2</v>
      </c>
      <c r="BD10" s="61">
        <v>-3.6700000000000003E-2</v>
      </c>
      <c r="BE10" s="61">
        <v>-6.83E-2</v>
      </c>
      <c r="BF10" s="62">
        <v>1.88</v>
      </c>
    </row>
    <row r="11" spans="1:58" x14ac:dyDescent="0.25">
      <c r="A11" s="49">
        <v>2026</v>
      </c>
      <c r="B11" s="54">
        <v>-2.568E-3</v>
      </c>
      <c r="C11" s="63">
        <v>1.4300000000000001E-3</v>
      </c>
      <c r="D11" s="55">
        <v>-1.4718E-2</v>
      </c>
      <c r="E11" s="55">
        <v>-5.1450000000000003E-3</v>
      </c>
      <c r="F11" s="55">
        <v>-1.6631E-2</v>
      </c>
      <c r="G11" s="63">
        <v>5.5800000000000001E-4</v>
      </c>
      <c r="H11" s="63">
        <v>1.5311999999999999E-2</v>
      </c>
      <c r="I11" s="55">
        <v>-3.7209999999999999E-3</v>
      </c>
      <c r="J11" s="63">
        <v>2.467E-3</v>
      </c>
      <c r="K11" s="55">
        <v>-1.6416E-2</v>
      </c>
      <c r="L11" s="55">
        <v>-4.1903000000000003E-2</v>
      </c>
      <c r="M11" s="55">
        <v>-8.3900000000000001E-4</v>
      </c>
      <c r="N11" s="55">
        <v>-1.0675E-2</v>
      </c>
      <c r="O11" s="56"/>
      <c r="P11" s="56"/>
      <c r="Q11" s="56"/>
      <c r="R11" s="56"/>
      <c r="S11" s="56"/>
      <c r="T11" s="63">
        <v>5.705E-3</v>
      </c>
      <c r="U11" s="55">
        <v>-8.2710000000000006E-3</v>
      </c>
      <c r="V11" s="55">
        <v>-4.6690000000000004E-3</v>
      </c>
      <c r="W11" s="63">
        <v>4.816E-3</v>
      </c>
      <c r="X11" s="55">
        <v>-8.8319999999999996E-3</v>
      </c>
      <c r="Y11" s="57">
        <v>-7.7879999999999998E-3</v>
      </c>
      <c r="Z11" s="52">
        <v>1.6448999999999998E-2</v>
      </c>
      <c r="AA11" s="58">
        <v>1.0584E-2</v>
      </c>
      <c r="AB11" s="52">
        <v>8.4000000000000003E-4</v>
      </c>
      <c r="AC11" s="50"/>
      <c r="AD11" s="50"/>
      <c r="AE11" s="51"/>
      <c r="AF11" s="50"/>
      <c r="AG11" s="50"/>
      <c r="AH11" s="50"/>
      <c r="AI11" s="50"/>
      <c r="AJ11" s="51"/>
      <c r="AK11" s="50"/>
      <c r="AL11" s="50"/>
      <c r="AM11" s="50"/>
      <c r="AN11" s="51"/>
      <c r="AO11" s="50"/>
      <c r="AP11" s="50"/>
      <c r="AQ11" s="50"/>
      <c r="AR11" s="50"/>
      <c r="AS11" s="51"/>
      <c r="AT11" s="50"/>
      <c r="AU11" s="50"/>
      <c r="AV11" s="50"/>
      <c r="AW11" s="51"/>
      <c r="AX11" s="50"/>
      <c r="AY11" s="50"/>
      <c r="AZ11" s="50"/>
      <c r="BA11" s="50"/>
      <c r="BB11" s="51"/>
      <c r="BC11" s="64">
        <v>-8.4013000000000004E-2</v>
      </c>
      <c r="BD11" s="61">
        <v>-0.1119</v>
      </c>
      <c r="BE11" s="61">
        <v>-9.9199999999999997E-2</v>
      </c>
      <c r="BF11" s="65">
        <v>-0.75</v>
      </c>
    </row>
    <row r="12" spans="1:58" x14ac:dyDescent="0.25">
      <c r="A12" s="43" t="s">
        <v>134</v>
      </c>
      <c r="BC12" s="66">
        <v>9.3885999999999997E-2</v>
      </c>
      <c r="BD12" s="61">
        <v>-5.5814000000000002E-2</v>
      </c>
      <c r="BE12" s="61">
        <v>-6.0456999999999997E-2</v>
      </c>
      <c r="BF12" s="62">
        <v>0.72</v>
      </c>
    </row>
    <row r="16" spans="1:58" x14ac:dyDescent="0.25">
      <c r="A16" s="107" t="s">
        <v>268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</row>
    <row r="17" spans="1:55" x14ac:dyDescent="0.25">
      <c r="A17" s="46" t="s">
        <v>267</v>
      </c>
      <c r="B17" s="46" t="s">
        <v>122</v>
      </c>
      <c r="C17" s="67"/>
      <c r="D17" s="67"/>
      <c r="E17" s="67"/>
      <c r="F17" s="68"/>
      <c r="G17" s="46" t="s">
        <v>123</v>
      </c>
      <c r="H17" s="67"/>
      <c r="I17" s="67"/>
      <c r="J17" s="68"/>
      <c r="K17" s="46" t="s">
        <v>124</v>
      </c>
      <c r="L17" s="67"/>
      <c r="M17" s="67"/>
      <c r="N17" s="68"/>
      <c r="O17" s="46" t="s">
        <v>125</v>
      </c>
      <c r="P17" s="67"/>
      <c r="Q17" s="67"/>
      <c r="R17" s="68"/>
      <c r="S17" s="46" t="s">
        <v>126</v>
      </c>
      <c r="T17" s="67"/>
      <c r="U17" s="67"/>
      <c r="V17" s="67"/>
      <c r="W17" s="68"/>
      <c r="X17" s="46" t="s">
        <v>127</v>
      </c>
      <c r="Y17" s="67"/>
      <c r="Z17" s="67"/>
      <c r="AA17" s="68"/>
      <c r="AB17" s="46" t="s">
        <v>128</v>
      </c>
      <c r="AC17" s="67"/>
      <c r="AD17" s="67"/>
      <c r="AE17" s="68"/>
      <c r="AF17" s="46" t="s">
        <v>129</v>
      </c>
      <c r="AG17" s="67"/>
      <c r="AH17" s="67"/>
      <c r="AI17" s="67"/>
      <c r="AJ17" s="68"/>
      <c r="AK17" s="46" t="s">
        <v>130</v>
      </c>
      <c r="AL17" s="67"/>
      <c r="AM17" s="67"/>
      <c r="AN17" s="68"/>
      <c r="AO17" s="46" t="s">
        <v>131</v>
      </c>
      <c r="AP17" s="67"/>
      <c r="AQ17" s="67"/>
      <c r="AR17" s="67"/>
      <c r="AS17" s="68"/>
      <c r="AT17" s="46" t="s">
        <v>132</v>
      </c>
      <c r="AU17" s="67"/>
      <c r="AV17" s="67"/>
      <c r="AW17" s="68"/>
      <c r="AX17" s="46" t="s">
        <v>133</v>
      </c>
      <c r="AY17" s="67"/>
      <c r="AZ17" s="67"/>
      <c r="BA17" s="67"/>
      <c r="BB17" s="68"/>
      <c r="BC17" s="67"/>
    </row>
    <row r="18" spans="1:55" x14ac:dyDescent="0.25">
      <c r="A18" s="46" t="s">
        <v>121</v>
      </c>
      <c r="B18" s="69" t="s">
        <v>213</v>
      </c>
      <c r="C18" s="69" t="s">
        <v>214</v>
      </c>
      <c r="D18" s="69" t="s">
        <v>215</v>
      </c>
      <c r="E18" s="69" t="s">
        <v>216</v>
      </c>
      <c r="F18" s="70" t="s">
        <v>217</v>
      </c>
      <c r="G18" s="69" t="s">
        <v>218</v>
      </c>
      <c r="H18" s="69" t="s">
        <v>219</v>
      </c>
      <c r="I18" s="69" t="s">
        <v>220</v>
      </c>
      <c r="J18" s="70" t="s">
        <v>221</v>
      </c>
      <c r="K18" s="69" t="s">
        <v>222</v>
      </c>
      <c r="L18" s="69" t="s">
        <v>223</v>
      </c>
      <c r="M18" s="69" t="s">
        <v>224</v>
      </c>
      <c r="N18" s="70" t="s">
        <v>225</v>
      </c>
      <c r="O18" s="69" t="s">
        <v>226</v>
      </c>
      <c r="P18" s="69" t="s">
        <v>227</v>
      </c>
      <c r="Q18" s="69" t="s">
        <v>228</v>
      </c>
      <c r="R18" s="70" t="s">
        <v>229</v>
      </c>
      <c r="S18" s="69" t="s">
        <v>230</v>
      </c>
      <c r="T18" s="69" t="s">
        <v>231</v>
      </c>
      <c r="U18" s="69" t="s">
        <v>232</v>
      </c>
      <c r="V18" s="69" t="s">
        <v>233</v>
      </c>
      <c r="W18" s="70" t="s">
        <v>234</v>
      </c>
      <c r="X18" s="69" t="s">
        <v>235</v>
      </c>
      <c r="Y18" s="69" t="s">
        <v>236</v>
      </c>
      <c r="Z18" s="69" t="s">
        <v>237</v>
      </c>
      <c r="AA18" s="70" t="s">
        <v>238</v>
      </c>
      <c r="AB18" s="69" t="s">
        <v>239</v>
      </c>
      <c r="AC18" s="69" t="s">
        <v>240</v>
      </c>
      <c r="AD18" s="69" t="s">
        <v>241</v>
      </c>
      <c r="AE18" s="70" t="s">
        <v>242</v>
      </c>
      <c r="AF18" s="69" t="s">
        <v>243</v>
      </c>
      <c r="AG18" s="69" t="s">
        <v>244</v>
      </c>
      <c r="AH18" s="69" t="s">
        <v>245</v>
      </c>
      <c r="AI18" s="69" t="s">
        <v>246</v>
      </c>
      <c r="AJ18" s="70" t="s">
        <v>247</v>
      </c>
      <c r="AK18" s="69" t="s">
        <v>248</v>
      </c>
      <c r="AL18" s="69" t="s">
        <v>249</v>
      </c>
      <c r="AM18" s="69" t="s">
        <v>250</v>
      </c>
      <c r="AN18" s="70" t="s">
        <v>251</v>
      </c>
      <c r="AO18" s="69" t="s">
        <v>252</v>
      </c>
      <c r="AP18" s="69" t="s">
        <v>253</v>
      </c>
      <c r="AQ18" s="69" t="s">
        <v>254</v>
      </c>
      <c r="AR18" s="69" t="s">
        <v>255</v>
      </c>
      <c r="AS18" s="70" t="s">
        <v>256</v>
      </c>
      <c r="AT18" s="69" t="s">
        <v>257</v>
      </c>
      <c r="AU18" s="69" t="s">
        <v>258</v>
      </c>
      <c r="AV18" s="69" t="s">
        <v>259</v>
      </c>
      <c r="AW18" s="70" t="s">
        <v>260</v>
      </c>
      <c r="AX18" s="69" t="s">
        <v>261</v>
      </c>
      <c r="AY18" s="69" t="s">
        <v>262</v>
      </c>
      <c r="AZ18" s="69" t="s">
        <v>263</v>
      </c>
      <c r="BA18" s="69" t="s">
        <v>264</v>
      </c>
      <c r="BB18" s="70" t="s">
        <v>265</v>
      </c>
      <c r="BC18" s="46" t="s">
        <v>269</v>
      </c>
    </row>
    <row r="19" spans="1:55" x14ac:dyDescent="0.25">
      <c r="A19" s="71">
        <v>2019</v>
      </c>
      <c r="B19" s="50"/>
      <c r="C19" s="50"/>
      <c r="D19" s="50"/>
      <c r="E19" s="50"/>
      <c r="F19" s="51"/>
      <c r="G19" s="50"/>
      <c r="H19" s="50"/>
      <c r="I19" s="50"/>
      <c r="J19" s="51"/>
      <c r="K19" s="50"/>
      <c r="L19" s="50"/>
      <c r="M19" s="50"/>
      <c r="N19" s="51"/>
      <c r="O19" s="72">
        <v>0.1114</v>
      </c>
      <c r="P19" s="73">
        <v>-0.1885</v>
      </c>
      <c r="Q19" s="73">
        <v>-0.1187</v>
      </c>
      <c r="R19" s="74">
        <v>-1.3243</v>
      </c>
      <c r="S19" s="73">
        <v>-0.28310000000000002</v>
      </c>
      <c r="T19" s="75">
        <v>-2.3220999999999998</v>
      </c>
      <c r="U19" s="73">
        <v>-0.66159999999999997</v>
      </c>
      <c r="V19" s="50"/>
      <c r="W19" s="51"/>
      <c r="X19" s="50"/>
      <c r="Y19" s="50"/>
      <c r="Z19" s="50"/>
      <c r="AA19" s="51"/>
      <c r="AB19" s="50"/>
      <c r="AC19" s="50"/>
      <c r="AD19" s="50"/>
      <c r="AE19" s="51"/>
      <c r="AF19" s="50"/>
      <c r="AG19" s="50"/>
      <c r="AH19" s="50"/>
      <c r="AI19" s="50"/>
      <c r="AJ19" s="51"/>
      <c r="AK19" s="50"/>
      <c r="AL19" s="50"/>
      <c r="AM19" s="50"/>
      <c r="AN19" s="51"/>
      <c r="AO19" s="73">
        <v>-1.5709</v>
      </c>
      <c r="AP19" s="73">
        <v>-1.6496999999999999</v>
      </c>
      <c r="AQ19" s="73">
        <v>-0.59</v>
      </c>
      <c r="AR19" s="73">
        <v>-0.1497</v>
      </c>
      <c r="AS19" s="74">
        <v>-0.42049999999999998</v>
      </c>
      <c r="AT19" s="72">
        <v>0.1009</v>
      </c>
      <c r="AU19" s="73">
        <v>-0.60709999999999997</v>
      </c>
      <c r="AV19" s="73">
        <v>-6.88E-2</v>
      </c>
      <c r="AW19" s="74">
        <v>-0.56499999999999995</v>
      </c>
      <c r="AX19" s="73">
        <v>-0.74050000000000005</v>
      </c>
      <c r="AY19" s="73">
        <v>-0.88060000000000005</v>
      </c>
      <c r="AZ19" s="73">
        <v>-0.14560000000000001</v>
      </c>
      <c r="BA19" s="73">
        <v>-8.6300000000000002E-2</v>
      </c>
      <c r="BB19" s="51"/>
      <c r="BC19" s="76">
        <v>-2.3220999999999998</v>
      </c>
    </row>
    <row r="20" spans="1:55" x14ac:dyDescent="0.25">
      <c r="A20" s="71">
        <v>2020</v>
      </c>
      <c r="B20" s="73">
        <v>-0.33929999999999999</v>
      </c>
      <c r="C20" s="73">
        <v>-1.7163999999999999</v>
      </c>
      <c r="D20" s="73">
        <v>-0.4667</v>
      </c>
      <c r="E20" s="73">
        <v>-1.3213999999999999</v>
      </c>
      <c r="F20" s="74">
        <v>-1.1206</v>
      </c>
      <c r="G20" s="75">
        <v>-3.6789999999999998</v>
      </c>
      <c r="H20" s="73">
        <v>-0.39369999999999999</v>
      </c>
      <c r="I20" s="73">
        <v>-1.7781</v>
      </c>
      <c r="J20" s="77">
        <v>-3.3201999999999998</v>
      </c>
      <c r="K20" s="75">
        <v>-3.2204000000000002</v>
      </c>
      <c r="L20" s="50"/>
      <c r="M20" s="50"/>
      <c r="N20" s="51"/>
      <c r="O20" s="50"/>
      <c r="P20" s="50"/>
      <c r="Q20" s="50"/>
      <c r="R20" s="51"/>
      <c r="S20" s="50"/>
      <c r="T20" s="50"/>
      <c r="U20" s="50"/>
      <c r="V20" s="50"/>
      <c r="W20" s="51"/>
      <c r="X20" s="50"/>
      <c r="Y20" s="50"/>
      <c r="Z20" s="50"/>
      <c r="AA20" s="51"/>
      <c r="AB20" s="50"/>
      <c r="AC20" s="50"/>
      <c r="AD20" s="50"/>
      <c r="AE20" s="51"/>
      <c r="AF20" s="50"/>
      <c r="AG20" s="50"/>
      <c r="AH20" s="50"/>
      <c r="AI20" s="50"/>
      <c r="AJ20" s="51"/>
      <c r="AK20" s="50"/>
      <c r="AL20" s="50"/>
      <c r="AM20" s="50"/>
      <c r="AN20" s="51"/>
      <c r="AO20" s="50"/>
      <c r="AP20" s="50"/>
      <c r="AQ20" s="50"/>
      <c r="AR20" s="50"/>
      <c r="AS20" s="51"/>
      <c r="AT20" s="50"/>
      <c r="AU20" s="50"/>
      <c r="AV20" s="50"/>
      <c r="AW20" s="51"/>
      <c r="AX20" s="50"/>
      <c r="AY20" s="50"/>
      <c r="AZ20" s="50"/>
      <c r="BA20" s="50"/>
      <c r="BB20" s="51"/>
      <c r="BC20" s="76">
        <v>-3.6789999999999998</v>
      </c>
    </row>
    <row r="21" spans="1:55" x14ac:dyDescent="0.25">
      <c r="A21" s="71">
        <v>2022</v>
      </c>
      <c r="B21" s="50"/>
      <c r="C21" s="50"/>
      <c r="D21" s="50"/>
      <c r="E21" s="50"/>
      <c r="F21" s="51"/>
      <c r="G21" s="50"/>
      <c r="H21" s="50"/>
      <c r="I21" s="50"/>
      <c r="J21" s="51"/>
      <c r="K21" s="50"/>
      <c r="L21" s="50"/>
      <c r="M21" s="50"/>
      <c r="N21" s="51"/>
      <c r="O21" s="50"/>
      <c r="P21" s="50"/>
      <c r="Q21" s="50"/>
      <c r="R21" s="51"/>
      <c r="S21" s="50"/>
      <c r="T21" s="50"/>
      <c r="U21" s="50"/>
      <c r="V21" s="50"/>
      <c r="W21" s="51"/>
      <c r="X21" s="50"/>
      <c r="Y21" s="50"/>
      <c r="Z21" s="50"/>
      <c r="AA21" s="51"/>
      <c r="AB21" s="50"/>
      <c r="AC21" s="50"/>
      <c r="AD21" s="50"/>
      <c r="AE21" s="51"/>
      <c r="AF21" s="73">
        <v>-0.36249999999999999</v>
      </c>
      <c r="AG21" s="73">
        <v>-1.1148</v>
      </c>
      <c r="AH21" s="78">
        <v>3.73E-2</v>
      </c>
      <c r="AI21" s="73">
        <v>-1.9036999999999999</v>
      </c>
      <c r="AJ21" s="74">
        <v>-1.9074</v>
      </c>
      <c r="AK21" s="73">
        <v>-1.4809000000000001</v>
      </c>
      <c r="AL21" s="73">
        <v>-1.2761</v>
      </c>
      <c r="AM21" s="73">
        <v>-1.3674999999999999</v>
      </c>
      <c r="AN21" s="79">
        <v>-4.5292000000000003</v>
      </c>
      <c r="AO21" s="73">
        <v>-1.0658000000000001</v>
      </c>
      <c r="AP21" s="73">
        <v>-1.3902000000000001</v>
      </c>
      <c r="AQ21" s="73">
        <v>-0.30859999999999999</v>
      </c>
      <c r="AR21" s="73">
        <v>-0.41539999999999999</v>
      </c>
      <c r="AS21" s="80">
        <v>3.5400000000000001E-2</v>
      </c>
      <c r="AT21" s="73">
        <v>-0.37630000000000002</v>
      </c>
      <c r="AU21" s="73">
        <v>-0.67410000000000003</v>
      </c>
      <c r="AV21" s="73">
        <v>-0.51060000000000005</v>
      </c>
      <c r="AW21" s="74">
        <v>-9.06E-2</v>
      </c>
      <c r="AX21" s="73">
        <v>-0.57569999999999999</v>
      </c>
      <c r="AY21" s="73">
        <v>-0.56540000000000001</v>
      </c>
      <c r="AZ21" s="75">
        <v>-2.1074000000000002</v>
      </c>
      <c r="BA21" s="73">
        <v>-1.7212000000000001</v>
      </c>
      <c r="BB21" s="51"/>
      <c r="BC21" s="81">
        <v>-4.5292000000000003</v>
      </c>
    </row>
    <row r="22" spans="1:55" x14ac:dyDescent="0.25">
      <c r="A22" s="71">
        <v>2023</v>
      </c>
      <c r="B22" s="50"/>
      <c r="C22" s="50"/>
      <c r="D22" s="50"/>
      <c r="E22" s="50"/>
      <c r="F22" s="51"/>
      <c r="G22" s="50"/>
      <c r="H22" s="50"/>
      <c r="I22" s="50"/>
      <c r="J22" s="51"/>
      <c r="K22" s="50"/>
      <c r="L22" s="50"/>
      <c r="M22" s="50"/>
      <c r="N22" s="51"/>
      <c r="O22" s="50"/>
      <c r="P22" s="50"/>
      <c r="Q22" s="50"/>
      <c r="R22" s="51"/>
      <c r="S22" s="73">
        <v>-3.5200000000000002E-2</v>
      </c>
      <c r="T22" s="73">
        <v>-0.17269999999999999</v>
      </c>
      <c r="U22" s="73">
        <v>-0.2064</v>
      </c>
      <c r="V22" s="73">
        <v>-0.33829999999999999</v>
      </c>
      <c r="W22" s="74">
        <v>-0.2412</v>
      </c>
      <c r="X22" s="73">
        <v>-0.15190000000000001</v>
      </c>
      <c r="Y22" s="73">
        <v>-0.4</v>
      </c>
      <c r="Z22" s="73">
        <v>-0.18690000000000001</v>
      </c>
      <c r="AA22" s="74">
        <v>-0.75460000000000005</v>
      </c>
      <c r="AB22" s="73">
        <v>-0.14230000000000001</v>
      </c>
      <c r="AC22" s="73">
        <v>-8.6300000000000002E-2</v>
      </c>
      <c r="AD22" s="73">
        <v>-3.8600000000000002E-2</v>
      </c>
      <c r="AE22" s="74">
        <v>-0.6915</v>
      </c>
      <c r="AF22" s="73">
        <v>-1.0064</v>
      </c>
      <c r="AG22" s="73">
        <v>-0.45169999999999999</v>
      </c>
      <c r="AH22" s="73">
        <v>-1.2431000000000001</v>
      </c>
      <c r="AI22" s="73">
        <v>-0.68020000000000003</v>
      </c>
      <c r="AJ22" s="74">
        <v>-0.63980000000000004</v>
      </c>
      <c r="AK22" s="73">
        <v>-0.33639999999999998</v>
      </c>
      <c r="AL22" s="73">
        <v>-0.13919999999999999</v>
      </c>
      <c r="AM22" s="73">
        <v>-0.55110000000000003</v>
      </c>
      <c r="AN22" s="74">
        <v>-1.3676999999999999</v>
      </c>
      <c r="AO22" s="73">
        <v>-1.4234</v>
      </c>
      <c r="AP22" s="73">
        <v>-0.65790000000000004</v>
      </c>
      <c r="AQ22" s="73">
        <v>-0.3024</v>
      </c>
      <c r="AR22" s="75">
        <v>-2.2686000000000002</v>
      </c>
      <c r="AS22" s="74">
        <v>-0.67279999999999995</v>
      </c>
      <c r="AT22" s="82">
        <v>0.15959999999999999</v>
      </c>
      <c r="AU22" s="73">
        <v>-0.19309999999999999</v>
      </c>
      <c r="AV22" s="73">
        <v>-5.2600000000000001E-2</v>
      </c>
      <c r="AW22" s="74">
        <v>-9.4600000000000004E-2</v>
      </c>
      <c r="AX22" s="73">
        <v>-0.2291</v>
      </c>
      <c r="AY22" s="73">
        <v>-9.8400000000000001E-2</v>
      </c>
      <c r="AZ22" s="73">
        <v>-1.4047000000000001</v>
      </c>
      <c r="BA22" s="73">
        <v>-0.44469999999999998</v>
      </c>
      <c r="BB22" s="51"/>
      <c r="BC22" s="76">
        <v>-2.2686000000000002</v>
      </c>
    </row>
    <row r="23" spans="1:55" x14ac:dyDescent="0.25">
      <c r="A23" s="71">
        <v>2024</v>
      </c>
      <c r="B23" s="73">
        <v>-0.36499999999999999</v>
      </c>
      <c r="C23" s="83">
        <v>5.7599999999999998E-2</v>
      </c>
      <c r="D23" s="73">
        <v>-1.3117000000000001</v>
      </c>
      <c r="E23" s="73">
        <v>-1.7065999999999999</v>
      </c>
      <c r="F23" s="74">
        <v>-0.65259999999999996</v>
      </c>
      <c r="G23" s="73">
        <v>-4.6899999999999997E-2</v>
      </c>
      <c r="H23" s="73">
        <v>-0.48149999999999998</v>
      </c>
      <c r="I23" s="73">
        <v>-0.17899999999999999</v>
      </c>
      <c r="J23" s="74">
        <v>-0.4541</v>
      </c>
      <c r="K23" s="73">
        <v>-0.17630000000000001</v>
      </c>
      <c r="L23" s="75">
        <v>-2.2553000000000001</v>
      </c>
      <c r="M23" s="73">
        <v>-0.97850000000000004</v>
      </c>
      <c r="N23" s="74">
        <v>-0.20319999999999999</v>
      </c>
      <c r="O23" s="78">
        <v>1.9699999999999999E-2</v>
      </c>
      <c r="P23" s="50"/>
      <c r="Q23" s="50"/>
      <c r="R23" s="51"/>
      <c r="S23" s="50"/>
      <c r="T23" s="73">
        <v>-1.5491999999999999</v>
      </c>
      <c r="U23" s="73">
        <v>-1.0792999999999999</v>
      </c>
      <c r="V23" s="73">
        <v>-0.38779999999999998</v>
      </c>
      <c r="W23" s="74">
        <v>-0.78349999999999997</v>
      </c>
      <c r="X23" s="84">
        <v>-8.1290999999999993</v>
      </c>
      <c r="Y23" s="73">
        <v>-0.29239999999999999</v>
      </c>
      <c r="Z23" s="73">
        <v>-0.47949999999999998</v>
      </c>
      <c r="AA23" s="74">
        <v>-0.47899999999999998</v>
      </c>
      <c r="AB23" s="73">
        <v>-0.22370000000000001</v>
      </c>
      <c r="AC23" s="73">
        <v>-0.34129999999999999</v>
      </c>
      <c r="AD23" s="73">
        <v>-0.31219999999999998</v>
      </c>
      <c r="AE23" s="74">
        <v>-0.68779999999999997</v>
      </c>
      <c r="AF23" s="73">
        <v>-0.69610000000000005</v>
      </c>
      <c r="AG23" s="75">
        <v>-4.0247000000000002</v>
      </c>
      <c r="AH23" s="73">
        <v>-0.79759999999999998</v>
      </c>
      <c r="AI23" s="73">
        <v>-4.4999999999999998E-2</v>
      </c>
      <c r="AJ23" s="80">
        <v>4.1799999999999997E-2</v>
      </c>
      <c r="AK23" s="73">
        <v>-0.30059999999999998</v>
      </c>
      <c r="AL23" s="73">
        <v>-1.4139999999999999</v>
      </c>
      <c r="AM23" s="73">
        <v>-3.78E-2</v>
      </c>
      <c r="AN23" s="85">
        <v>0.18840000000000001</v>
      </c>
      <c r="AO23" s="73">
        <v>-0.79469999999999996</v>
      </c>
      <c r="AP23" s="75">
        <v>-3.8155999999999999</v>
      </c>
      <c r="AQ23" s="73">
        <v>-0.13009999999999999</v>
      </c>
      <c r="AR23" s="73">
        <v>-1.9823</v>
      </c>
      <c r="AS23" s="74">
        <v>-1.2587999999999999</v>
      </c>
      <c r="AT23" s="75">
        <v>-2.0636000000000001</v>
      </c>
      <c r="AU23" s="75">
        <v>-3.5895000000000001</v>
      </c>
      <c r="AV23" s="73">
        <v>-0.67379999999999995</v>
      </c>
      <c r="AW23" s="74">
        <v>-0.81359999999999999</v>
      </c>
      <c r="AX23" s="73">
        <v>-1.2166999999999999</v>
      </c>
      <c r="AY23" s="73">
        <v>-0.62570000000000003</v>
      </c>
      <c r="AZ23" s="73">
        <v>-1.0212000000000001</v>
      </c>
      <c r="BA23" s="73">
        <v>-1.2875000000000001</v>
      </c>
      <c r="BB23" s="51"/>
      <c r="BC23" s="86">
        <v>-8.1290999999999993</v>
      </c>
    </row>
    <row r="24" spans="1:55" x14ac:dyDescent="0.25">
      <c r="A24" s="71">
        <v>2025</v>
      </c>
      <c r="B24" s="73">
        <v>-0.78710000000000002</v>
      </c>
      <c r="C24" s="50"/>
      <c r="D24" s="50"/>
      <c r="E24" s="50"/>
      <c r="F24" s="51"/>
      <c r="G24" s="50"/>
      <c r="H24" s="50"/>
      <c r="I24" s="50"/>
      <c r="J24" s="51"/>
      <c r="K24" s="50"/>
      <c r="L24" s="50"/>
      <c r="M24" s="50"/>
      <c r="N24" s="51"/>
      <c r="O24" s="73">
        <v>-1.2546999999999999</v>
      </c>
      <c r="P24" s="84">
        <v>-6.2489999999999997</v>
      </c>
      <c r="Q24" s="73">
        <v>-0.65810000000000002</v>
      </c>
      <c r="R24" s="74">
        <v>-0.32919999999999999</v>
      </c>
      <c r="S24" s="73">
        <v>-1.6616</v>
      </c>
      <c r="T24" s="73">
        <v>-0.30099999999999999</v>
      </c>
      <c r="U24" s="73">
        <v>-1.7072000000000001</v>
      </c>
      <c r="V24" s="73">
        <v>-1.2112000000000001</v>
      </c>
      <c r="W24" s="74">
        <v>-1.0232000000000001</v>
      </c>
      <c r="X24" s="73">
        <v>-0.73970000000000002</v>
      </c>
      <c r="Y24" s="78">
        <v>1.4200000000000001E-2</v>
      </c>
      <c r="Z24" s="73">
        <v>-1.4481999999999999</v>
      </c>
      <c r="AA24" s="74">
        <v>-0.93679999999999997</v>
      </c>
      <c r="AB24" s="73">
        <v>-0.31940000000000002</v>
      </c>
      <c r="AC24" s="73">
        <v>-0.29370000000000002</v>
      </c>
      <c r="AD24" s="73">
        <v>-1.4690000000000001</v>
      </c>
      <c r="AE24" s="74">
        <v>-0.62129999999999996</v>
      </c>
      <c r="AF24" s="75">
        <v>-2.0400999999999998</v>
      </c>
      <c r="AG24" s="73">
        <v>-1.0905</v>
      </c>
      <c r="AH24" s="73">
        <v>-0.63949999999999996</v>
      </c>
      <c r="AI24" s="73">
        <v>-5.3199999999999997E-2</v>
      </c>
      <c r="AJ24" s="74">
        <v>-0.99860000000000004</v>
      </c>
      <c r="AK24" s="73">
        <v>-0.51590000000000003</v>
      </c>
      <c r="AL24" s="73">
        <v>-0.23899999999999999</v>
      </c>
      <c r="AM24" s="73">
        <v>-4.1000000000000002E-2</v>
      </c>
      <c r="AN24" s="74">
        <v>-0.19320000000000001</v>
      </c>
      <c r="AO24" s="73">
        <v>-1.5336000000000001</v>
      </c>
      <c r="AP24" s="73">
        <v>-0.16619999999999999</v>
      </c>
      <c r="AQ24" s="73">
        <v>-0.17610000000000001</v>
      </c>
      <c r="AR24" s="73">
        <v>-0.48320000000000002</v>
      </c>
      <c r="AS24" s="87">
        <v>9.3899999999999997E-2</v>
      </c>
      <c r="AT24" s="73">
        <v>-0.88290000000000002</v>
      </c>
      <c r="AU24" s="73">
        <v>-1.3718999999999999</v>
      </c>
      <c r="AV24" s="73">
        <v>-0.37519999999999998</v>
      </c>
      <c r="AW24" s="74">
        <v>-0.2041</v>
      </c>
      <c r="AX24" s="73">
        <v>-0.2286</v>
      </c>
      <c r="AY24" s="73">
        <v>-0.7681</v>
      </c>
      <c r="AZ24" s="73">
        <v>-0.72489999999999999</v>
      </c>
      <c r="BA24" s="73">
        <v>-0.45300000000000001</v>
      </c>
      <c r="BB24" s="51"/>
      <c r="BC24" s="86">
        <v>-6.2489999999999997</v>
      </c>
    </row>
    <row r="25" spans="1:55" x14ac:dyDescent="0.25">
      <c r="A25" s="71">
        <v>2026</v>
      </c>
      <c r="B25" s="73">
        <v>-0.33300000000000002</v>
      </c>
      <c r="C25" s="73">
        <v>-0.25869999999999999</v>
      </c>
      <c r="D25" s="75">
        <v>-2.6743999999999999</v>
      </c>
      <c r="E25" s="73">
        <v>-0.85089999999999999</v>
      </c>
      <c r="F25" s="77">
        <v>-2.1516000000000002</v>
      </c>
      <c r="G25" s="75">
        <v>-2.7995999999999999</v>
      </c>
      <c r="H25" s="73">
        <v>-0.1011</v>
      </c>
      <c r="I25" s="73">
        <v>-1.4802</v>
      </c>
      <c r="J25" s="74">
        <v>-0.95140000000000002</v>
      </c>
      <c r="K25" s="73">
        <v>-1.839</v>
      </c>
      <c r="L25" s="88">
        <v>-5.4526000000000003</v>
      </c>
      <c r="M25" s="73">
        <v>-1.6387</v>
      </c>
      <c r="N25" s="77">
        <v>-3.3653</v>
      </c>
      <c r="O25" s="50"/>
      <c r="P25" s="50"/>
      <c r="Q25" s="50"/>
      <c r="R25" s="51"/>
      <c r="S25" s="50"/>
      <c r="T25" s="82">
        <v>0.14380000000000001</v>
      </c>
      <c r="U25" s="73">
        <v>-0.9103</v>
      </c>
      <c r="V25" s="73">
        <v>-1.9378</v>
      </c>
      <c r="W25" s="74">
        <v>-0.13339999999999999</v>
      </c>
      <c r="X25" s="73">
        <v>-1.0301</v>
      </c>
      <c r="Y25" s="73">
        <v>-0.98240000000000005</v>
      </c>
      <c r="Z25" s="73">
        <v>-4.9299999999999997E-2</v>
      </c>
      <c r="AA25" s="74">
        <v>-0.74209999999999998</v>
      </c>
      <c r="AB25" s="73">
        <v>-0.61760000000000004</v>
      </c>
      <c r="AC25" s="50"/>
      <c r="AD25" s="50"/>
      <c r="AE25" s="51"/>
      <c r="AF25" s="50"/>
      <c r="AG25" s="50"/>
      <c r="AH25" s="50"/>
      <c r="AI25" s="50"/>
      <c r="AJ25" s="51"/>
      <c r="AK25" s="50"/>
      <c r="AL25" s="50"/>
      <c r="AM25" s="50"/>
      <c r="AN25" s="51"/>
      <c r="AO25" s="50"/>
      <c r="AP25" s="50"/>
      <c r="AQ25" s="50"/>
      <c r="AR25" s="50"/>
      <c r="AS25" s="51"/>
      <c r="AT25" s="50"/>
      <c r="AU25" s="50"/>
      <c r="AV25" s="50"/>
      <c r="AW25" s="51"/>
      <c r="AX25" s="50"/>
      <c r="AY25" s="50"/>
      <c r="AZ25" s="50"/>
      <c r="BA25" s="50"/>
      <c r="BB25" s="51"/>
      <c r="BC25" s="81">
        <v>-5.4526000000000003</v>
      </c>
    </row>
    <row r="26" spans="1:55" x14ac:dyDescent="0.25">
      <c r="A26" s="46" t="s">
        <v>269</v>
      </c>
      <c r="B26" s="73">
        <v>-0.78710000000000002</v>
      </c>
      <c r="C26" s="73">
        <v>-1.7163999999999999</v>
      </c>
      <c r="D26" s="75">
        <v>-2.6743999999999999</v>
      </c>
      <c r="E26" s="73">
        <v>-1.7065999999999999</v>
      </c>
      <c r="F26" s="77">
        <v>-2.1516000000000002</v>
      </c>
      <c r="G26" s="75">
        <v>-3.6789999999999998</v>
      </c>
      <c r="H26" s="73">
        <v>-0.48149999999999998</v>
      </c>
      <c r="I26" s="73">
        <v>-1.7781</v>
      </c>
      <c r="J26" s="77">
        <v>-3.3201999999999998</v>
      </c>
      <c r="K26" s="75">
        <v>-3.2204000000000002</v>
      </c>
      <c r="L26" s="88">
        <v>-5.4526000000000003</v>
      </c>
      <c r="M26" s="73">
        <v>-1.6387</v>
      </c>
      <c r="N26" s="77">
        <v>-3.3653</v>
      </c>
      <c r="O26" s="73">
        <v>-1.2546999999999999</v>
      </c>
      <c r="P26" s="84">
        <v>-6.2489999999999997</v>
      </c>
      <c r="Q26" s="73">
        <v>-0.65810000000000002</v>
      </c>
      <c r="R26" s="74">
        <v>-1.3243</v>
      </c>
      <c r="S26" s="73">
        <v>-1.6616</v>
      </c>
      <c r="T26" s="75">
        <v>-2.3220999999999998</v>
      </c>
      <c r="U26" s="73">
        <v>-1.7072000000000001</v>
      </c>
      <c r="V26" s="73">
        <v>-1.9378</v>
      </c>
      <c r="W26" s="74">
        <v>-1.0232000000000001</v>
      </c>
      <c r="X26" s="84">
        <v>-8.1290999999999993</v>
      </c>
      <c r="Y26" s="73">
        <v>-0.98240000000000005</v>
      </c>
      <c r="Z26" s="73">
        <v>-1.4481999999999999</v>
      </c>
      <c r="AA26" s="74">
        <v>-0.93679999999999997</v>
      </c>
      <c r="AB26" s="73">
        <v>-0.61760000000000004</v>
      </c>
      <c r="AC26" s="73">
        <v>-0.34129999999999999</v>
      </c>
      <c r="AD26" s="73">
        <v>-1.4690000000000001</v>
      </c>
      <c r="AE26" s="74">
        <v>-0.6915</v>
      </c>
      <c r="AF26" s="75">
        <v>-2.0400999999999998</v>
      </c>
      <c r="AG26" s="75">
        <v>-4.0247000000000002</v>
      </c>
      <c r="AH26" s="73">
        <v>-1.2431000000000001</v>
      </c>
      <c r="AI26" s="73">
        <v>-1.9036999999999999</v>
      </c>
      <c r="AJ26" s="74">
        <v>-1.9074</v>
      </c>
      <c r="AK26" s="73">
        <v>-1.4809000000000001</v>
      </c>
      <c r="AL26" s="73">
        <v>-1.4139999999999999</v>
      </c>
      <c r="AM26" s="73">
        <v>-1.3674999999999999</v>
      </c>
      <c r="AN26" s="79">
        <v>-4.5292000000000003</v>
      </c>
      <c r="AO26" s="73">
        <v>-1.5709</v>
      </c>
      <c r="AP26" s="75">
        <v>-3.8155999999999999</v>
      </c>
      <c r="AQ26" s="73">
        <v>-0.59</v>
      </c>
      <c r="AR26" s="75">
        <v>-2.2686000000000002</v>
      </c>
      <c r="AS26" s="74">
        <v>-1.2587999999999999</v>
      </c>
      <c r="AT26" s="75">
        <v>-2.0636000000000001</v>
      </c>
      <c r="AU26" s="75">
        <v>-3.5895000000000001</v>
      </c>
      <c r="AV26" s="73">
        <v>-0.67379999999999995</v>
      </c>
      <c r="AW26" s="74">
        <v>-0.81359999999999999</v>
      </c>
      <c r="AX26" s="73">
        <v>-1.2166999999999999</v>
      </c>
      <c r="AY26" s="73">
        <v>-0.88060000000000005</v>
      </c>
      <c r="AZ26" s="75">
        <v>-2.1074000000000002</v>
      </c>
      <c r="BA26" s="73">
        <v>-1.7212000000000001</v>
      </c>
      <c r="BB26" s="51"/>
      <c r="BC26" s="86">
        <v>-8.1290999999999993</v>
      </c>
    </row>
    <row r="30" spans="1:55" x14ac:dyDescent="0.25">
      <c r="A30" s="107" t="s">
        <v>270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</row>
    <row r="31" spans="1:55" x14ac:dyDescent="0.25">
      <c r="A31" s="46" t="s">
        <v>267</v>
      </c>
      <c r="B31" s="46" t="s">
        <v>122</v>
      </c>
      <c r="C31" s="67"/>
      <c r="D31" s="67"/>
      <c r="E31" s="67"/>
      <c r="F31" s="68"/>
      <c r="G31" s="46" t="s">
        <v>123</v>
      </c>
      <c r="H31" s="67"/>
      <c r="I31" s="67"/>
      <c r="J31" s="68"/>
      <c r="K31" s="46" t="s">
        <v>124</v>
      </c>
      <c r="L31" s="67"/>
      <c r="M31" s="67"/>
      <c r="N31" s="68"/>
      <c r="O31" s="46" t="s">
        <v>125</v>
      </c>
      <c r="P31" s="67"/>
      <c r="Q31" s="67"/>
      <c r="R31" s="68"/>
      <c r="S31" s="46" t="s">
        <v>126</v>
      </c>
      <c r="T31" s="67"/>
      <c r="U31" s="67"/>
      <c r="V31" s="67"/>
      <c r="W31" s="68"/>
      <c r="X31" s="46" t="s">
        <v>127</v>
      </c>
      <c r="Y31" s="67"/>
      <c r="Z31" s="67"/>
      <c r="AA31" s="68"/>
      <c r="AB31" s="46" t="s">
        <v>128</v>
      </c>
      <c r="AC31" s="67"/>
      <c r="AD31" s="67"/>
      <c r="AE31" s="68"/>
      <c r="AF31" s="46" t="s">
        <v>129</v>
      </c>
      <c r="AG31" s="67"/>
      <c r="AH31" s="67"/>
      <c r="AI31" s="67"/>
      <c r="AJ31" s="68"/>
      <c r="AK31" s="46" t="s">
        <v>130</v>
      </c>
      <c r="AL31" s="67"/>
      <c r="AM31" s="67"/>
      <c r="AN31" s="68"/>
      <c r="AO31" s="46" t="s">
        <v>131</v>
      </c>
      <c r="AP31" s="67"/>
      <c r="AQ31" s="67"/>
      <c r="AR31" s="67"/>
      <c r="AS31" s="68"/>
      <c r="AT31" s="46" t="s">
        <v>132</v>
      </c>
      <c r="AU31" s="67"/>
      <c r="AV31" s="67"/>
      <c r="AW31" s="68"/>
      <c r="AX31" s="46" t="s">
        <v>133</v>
      </c>
      <c r="AY31" s="67"/>
      <c r="AZ31" s="67"/>
      <c r="BA31" s="67"/>
      <c r="BB31" s="68"/>
      <c r="BC31" s="67"/>
    </row>
    <row r="32" spans="1:55" x14ac:dyDescent="0.25">
      <c r="A32" s="46" t="s">
        <v>121</v>
      </c>
      <c r="B32" s="69" t="s">
        <v>213</v>
      </c>
      <c r="C32" s="69" t="s">
        <v>214</v>
      </c>
      <c r="D32" s="69" t="s">
        <v>215</v>
      </c>
      <c r="E32" s="69" t="s">
        <v>216</v>
      </c>
      <c r="F32" s="70" t="s">
        <v>217</v>
      </c>
      <c r="G32" s="69" t="s">
        <v>218</v>
      </c>
      <c r="H32" s="69" t="s">
        <v>219</v>
      </c>
      <c r="I32" s="69" t="s">
        <v>220</v>
      </c>
      <c r="J32" s="70" t="s">
        <v>221</v>
      </c>
      <c r="K32" s="69" t="s">
        <v>222</v>
      </c>
      <c r="L32" s="69" t="s">
        <v>223</v>
      </c>
      <c r="M32" s="69" t="s">
        <v>224</v>
      </c>
      <c r="N32" s="70" t="s">
        <v>225</v>
      </c>
      <c r="O32" s="69" t="s">
        <v>226</v>
      </c>
      <c r="P32" s="69" t="s">
        <v>227</v>
      </c>
      <c r="Q32" s="69" t="s">
        <v>228</v>
      </c>
      <c r="R32" s="70" t="s">
        <v>229</v>
      </c>
      <c r="S32" s="69" t="s">
        <v>230</v>
      </c>
      <c r="T32" s="69" t="s">
        <v>231</v>
      </c>
      <c r="U32" s="69" t="s">
        <v>232</v>
      </c>
      <c r="V32" s="69" t="s">
        <v>233</v>
      </c>
      <c r="W32" s="70" t="s">
        <v>234</v>
      </c>
      <c r="X32" s="69" t="s">
        <v>235</v>
      </c>
      <c r="Y32" s="69" t="s">
        <v>236</v>
      </c>
      <c r="Z32" s="69" t="s">
        <v>237</v>
      </c>
      <c r="AA32" s="70" t="s">
        <v>238</v>
      </c>
      <c r="AB32" s="69" t="s">
        <v>239</v>
      </c>
      <c r="AC32" s="69" t="s">
        <v>240</v>
      </c>
      <c r="AD32" s="69" t="s">
        <v>241</v>
      </c>
      <c r="AE32" s="70" t="s">
        <v>242</v>
      </c>
      <c r="AF32" s="69" t="s">
        <v>243</v>
      </c>
      <c r="AG32" s="69" t="s">
        <v>244</v>
      </c>
      <c r="AH32" s="69" t="s">
        <v>245</v>
      </c>
      <c r="AI32" s="69" t="s">
        <v>246</v>
      </c>
      <c r="AJ32" s="70" t="s">
        <v>247</v>
      </c>
      <c r="AK32" s="69" t="s">
        <v>248</v>
      </c>
      <c r="AL32" s="69" t="s">
        <v>249</v>
      </c>
      <c r="AM32" s="69" t="s">
        <v>250</v>
      </c>
      <c r="AN32" s="70" t="s">
        <v>251</v>
      </c>
      <c r="AO32" s="69" t="s">
        <v>252</v>
      </c>
      <c r="AP32" s="69" t="s">
        <v>253</v>
      </c>
      <c r="AQ32" s="69" t="s">
        <v>254</v>
      </c>
      <c r="AR32" s="69" t="s">
        <v>255</v>
      </c>
      <c r="AS32" s="70" t="s">
        <v>256</v>
      </c>
      <c r="AT32" s="69" t="s">
        <v>257</v>
      </c>
      <c r="AU32" s="69" t="s">
        <v>258</v>
      </c>
      <c r="AV32" s="69" t="s">
        <v>259</v>
      </c>
      <c r="AW32" s="70" t="s">
        <v>260</v>
      </c>
      <c r="AX32" s="69" t="s">
        <v>261</v>
      </c>
      <c r="AY32" s="69" t="s">
        <v>262</v>
      </c>
      <c r="AZ32" s="69" t="s">
        <v>263</v>
      </c>
      <c r="BA32" s="69" t="s">
        <v>264</v>
      </c>
      <c r="BB32" s="70" t="s">
        <v>265</v>
      </c>
      <c r="BC32" s="46" t="s">
        <v>269</v>
      </c>
    </row>
    <row r="33" spans="1:55" x14ac:dyDescent="0.25">
      <c r="A33" s="71">
        <v>2019</v>
      </c>
      <c r="B33" s="50"/>
      <c r="C33" s="50"/>
      <c r="D33" s="50"/>
      <c r="E33" s="50"/>
      <c r="F33" s="51"/>
      <c r="G33" s="50"/>
      <c r="H33" s="50"/>
      <c r="I33" s="50"/>
      <c r="J33" s="51"/>
      <c r="K33" s="50"/>
      <c r="L33" s="50"/>
      <c r="M33" s="50"/>
      <c r="N33" s="51"/>
      <c r="O33" s="82">
        <v>0.11</v>
      </c>
      <c r="P33" s="73">
        <v>-0.19</v>
      </c>
      <c r="Q33" s="73">
        <v>-0.12</v>
      </c>
      <c r="R33" s="74">
        <v>-1.33</v>
      </c>
      <c r="S33" s="73">
        <v>-0.28999999999999998</v>
      </c>
      <c r="T33" s="73">
        <v>-2.3199999999999998</v>
      </c>
      <c r="U33" s="75">
        <v>-2.84</v>
      </c>
      <c r="V33" s="50"/>
      <c r="W33" s="51"/>
      <c r="X33" s="50"/>
      <c r="Y33" s="50"/>
      <c r="Z33" s="50"/>
      <c r="AA33" s="51"/>
      <c r="AB33" s="50"/>
      <c r="AC33" s="50"/>
      <c r="AD33" s="50"/>
      <c r="AE33" s="51"/>
      <c r="AF33" s="50"/>
      <c r="AG33" s="50"/>
      <c r="AH33" s="50"/>
      <c r="AI33" s="50"/>
      <c r="AJ33" s="51"/>
      <c r="AK33" s="50"/>
      <c r="AL33" s="50"/>
      <c r="AM33" s="50"/>
      <c r="AN33" s="51"/>
      <c r="AO33" s="73">
        <v>-1.57</v>
      </c>
      <c r="AP33" s="73">
        <v>-2.25</v>
      </c>
      <c r="AQ33" s="73">
        <v>-0.95</v>
      </c>
      <c r="AR33" s="73">
        <v>-0.15</v>
      </c>
      <c r="AS33" s="74">
        <v>-0.42</v>
      </c>
      <c r="AT33" s="72">
        <v>0.1</v>
      </c>
      <c r="AU33" s="73">
        <v>-0.61</v>
      </c>
      <c r="AV33" s="73">
        <v>-0.54</v>
      </c>
      <c r="AW33" s="74">
        <v>-0.56000000000000005</v>
      </c>
      <c r="AX33" s="73">
        <v>-0.74</v>
      </c>
      <c r="AY33" s="73">
        <v>-0.88</v>
      </c>
      <c r="AZ33" s="73">
        <v>-0.26</v>
      </c>
      <c r="BA33" s="73">
        <v>-0.09</v>
      </c>
      <c r="BB33" s="51"/>
      <c r="BC33" s="76">
        <v>-2.84</v>
      </c>
    </row>
    <row r="34" spans="1:55" x14ac:dyDescent="0.25">
      <c r="A34" s="71">
        <v>2020</v>
      </c>
      <c r="B34" s="73">
        <v>-0.34</v>
      </c>
      <c r="C34" s="73">
        <v>-1.71</v>
      </c>
      <c r="D34" s="73">
        <v>-0.78</v>
      </c>
      <c r="E34" s="73">
        <v>-1.46</v>
      </c>
      <c r="F34" s="74">
        <v>-1.9</v>
      </c>
      <c r="G34" s="75">
        <v>-4.84</v>
      </c>
      <c r="H34" s="73">
        <v>-1.3</v>
      </c>
      <c r="I34" s="73">
        <v>-1.9</v>
      </c>
      <c r="J34" s="77">
        <v>-3.51</v>
      </c>
      <c r="K34" s="88">
        <v>-6.14</v>
      </c>
      <c r="L34" s="50"/>
      <c r="M34" s="50"/>
      <c r="N34" s="51"/>
      <c r="O34" s="50"/>
      <c r="P34" s="50"/>
      <c r="Q34" s="50"/>
      <c r="R34" s="51"/>
      <c r="S34" s="50"/>
      <c r="T34" s="50"/>
      <c r="U34" s="50"/>
      <c r="V34" s="50"/>
      <c r="W34" s="51"/>
      <c r="X34" s="50"/>
      <c r="Y34" s="50"/>
      <c r="Z34" s="50"/>
      <c r="AA34" s="51"/>
      <c r="AB34" s="50"/>
      <c r="AC34" s="50"/>
      <c r="AD34" s="50"/>
      <c r="AE34" s="51"/>
      <c r="AF34" s="50"/>
      <c r="AG34" s="50"/>
      <c r="AH34" s="50"/>
      <c r="AI34" s="50"/>
      <c r="AJ34" s="51"/>
      <c r="AK34" s="50"/>
      <c r="AL34" s="50"/>
      <c r="AM34" s="50"/>
      <c r="AN34" s="51"/>
      <c r="AO34" s="50"/>
      <c r="AP34" s="50"/>
      <c r="AQ34" s="50"/>
      <c r="AR34" s="50"/>
      <c r="AS34" s="51"/>
      <c r="AT34" s="50"/>
      <c r="AU34" s="50"/>
      <c r="AV34" s="50"/>
      <c r="AW34" s="51"/>
      <c r="AX34" s="50"/>
      <c r="AY34" s="50"/>
      <c r="AZ34" s="50"/>
      <c r="BA34" s="50"/>
      <c r="BB34" s="51"/>
      <c r="BC34" s="81">
        <v>-6.14</v>
      </c>
    </row>
    <row r="35" spans="1:55" x14ac:dyDescent="0.25">
      <c r="A35" s="71">
        <v>2022</v>
      </c>
      <c r="B35" s="50"/>
      <c r="C35" s="50"/>
      <c r="D35" s="50"/>
      <c r="E35" s="50"/>
      <c r="F35" s="51"/>
      <c r="G35" s="50"/>
      <c r="H35" s="50"/>
      <c r="I35" s="50"/>
      <c r="J35" s="51"/>
      <c r="K35" s="50"/>
      <c r="L35" s="50"/>
      <c r="M35" s="50"/>
      <c r="N35" s="51"/>
      <c r="O35" s="50"/>
      <c r="P35" s="50"/>
      <c r="Q35" s="50"/>
      <c r="R35" s="51"/>
      <c r="S35" s="50"/>
      <c r="T35" s="50"/>
      <c r="U35" s="50"/>
      <c r="V35" s="50"/>
      <c r="W35" s="51"/>
      <c r="X35" s="50"/>
      <c r="Y35" s="50"/>
      <c r="Z35" s="50"/>
      <c r="AA35" s="51"/>
      <c r="AB35" s="50"/>
      <c r="AC35" s="50"/>
      <c r="AD35" s="50"/>
      <c r="AE35" s="51"/>
      <c r="AF35" s="73">
        <v>-0.36</v>
      </c>
      <c r="AG35" s="73">
        <v>-1.1100000000000001</v>
      </c>
      <c r="AH35" s="83">
        <v>0.04</v>
      </c>
      <c r="AI35" s="73">
        <v>-1.9</v>
      </c>
      <c r="AJ35" s="77">
        <v>-2.5299999999999998</v>
      </c>
      <c r="AK35" s="73">
        <v>-1.48</v>
      </c>
      <c r="AL35" s="73">
        <v>-1.27</v>
      </c>
      <c r="AM35" s="73">
        <v>-1.49</v>
      </c>
      <c r="AN35" s="77">
        <v>-4.79</v>
      </c>
      <c r="AO35" s="88">
        <v>-5</v>
      </c>
      <c r="AP35" s="75">
        <v>-3.95</v>
      </c>
      <c r="AQ35" s="75">
        <v>-3.26</v>
      </c>
      <c r="AR35" s="73">
        <v>-2.4500000000000002</v>
      </c>
      <c r="AS35" s="74">
        <v>-0.97</v>
      </c>
      <c r="AT35" s="73">
        <v>-0.38</v>
      </c>
      <c r="AU35" s="73">
        <v>-0.68</v>
      </c>
      <c r="AV35" s="73">
        <v>-0.51</v>
      </c>
      <c r="AW35" s="74">
        <v>-0.09</v>
      </c>
      <c r="AX35" s="73">
        <v>-0.56999999999999995</v>
      </c>
      <c r="AY35" s="73">
        <v>-1</v>
      </c>
      <c r="AZ35" s="73">
        <v>-2.11</v>
      </c>
      <c r="BA35" s="75">
        <v>-3.57</v>
      </c>
      <c r="BB35" s="51"/>
      <c r="BC35" s="81">
        <v>-5</v>
      </c>
    </row>
    <row r="36" spans="1:55" x14ac:dyDescent="0.25">
      <c r="A36" s="71">
        <v>2023</v>
      </c>
      <c r="B36" s="50"/>
      <c r="C36" s="50"/>
      <c r="D36" s="50"/>
      <c r="E36" s="50"/>
      <c r="F36" s="51"/>
      <c r="G36" s="50"/>
      <c r="H36" s="50"/>
      <c r="I36" s="50"/>
      <c r="J36" s="51"/>
      <c r="K36" s="50"/>
      <c r="L36" s="50"/>
      <c r="M36" s="50"/>
      <c r="N36" s="51"/>
      <c r="O36" s="50"/>
      <c r="P36" s="50"/>
      <c r="Q36" s="50"/>
      <c r="R36" s="51"/>
      <c r="S36" s="73">
        <v>-0.04</v>
      </c>
      <c r="T36" s="73">
        <v>-0.17</v>
      </c>
      <c r="U36" s="73">
        <v>-0.21</v>
      </c>
      <c r="V36" s="73">
        <v>-0.33</v>
      </c>
      <c r="W36" s="74">
        <v>-0.24</v>
      </c>
      <c r="X36" s="73">
        <v>-0.16</v>
      </c>
      <c r="Y36" s="73">
        <v>-0.4</v>
      </c>
      <c r="Z36" s="73">
        <v>-0.19</v>
      </c>
      <c r="AA36" s="74">
        <v>-0.76</v>
      </c>
      <c r="AB36" s="73">
        <v>-0.15</v>
      </c>
      <c r="AC36" s="73">
        <v>-0.08</v>
      </c>
      <c r="AD36" s="73">
        <v>-0.03</v>
      </c>
      <c r="AE36" s="74">
        <v>-0.69</v>
      </c>
      <c r="AF36" s="73">
        <v>-1</v>
      </c>
      <c r="AG36" s="73">
        <v>-1.01</v>
      </c>
      <c r="AH36" s="73">
        <v>-1.47</v>
      </c>
      <c r="AI36" s="73">
        <v>-1.25</v>
      </c>
      <c r="AJ36" s="74">
        <v>-1</v>
      </c>
      <c r="AK36" s="73">
        <v>-0.4</v>
      </c>
      <c r="AL36" s="73">
        <v>-0.14000000000000001</v>
      </c>
      <c r="AM36" s="73">
        <v>-0.55000000000000004</v>
      </c>
      <c r="AN36" s="74">
        <v>-1.69</v>
      </c>
      <c r="AO36" s="73">
        <v>-2.23</v>
      </c>
      <c r="AP36" s="73">
        <v>-1.81</v>
      </c>
      <c r="AQ36" s="73">
        <v>-1.02</v>
      </c>
      <c r="AR36" s="75">
        <v>-2.92</v>
      </c>
      <c r="AS36" s="77">
        <v>-3.28</v>
      </c>
      <c r="AT36" s="73">
        <v>-2.2200000000000002</v>
      </c>
      <c r="AU36" s="73">
        <v>-1.65</v>
      </c>
      <c r="AV36" s="73">
        <v>-1.1100000000000001</v>
      </c>
      <c r="AW36" s="74">
        <v>-0.65</v>
      </c>
      <c r="AX36" s="73">
        <v>-0.47</v>
      </c>
      <c r="AY36" s="73">
        <v>-0.1</v>
      </c>
      <c r="AZ36" s="73">
        <v>-1.41</v>
      </c>
      <c r="BA36" s="73">
        <v>-1.56</v>
      </c>
      <c r="BB36" s="51"/>
      <c r="BC36" s="76">
        <v>-3.28</v>
      </c>
    </row>
    <row r="37" spans="1:55" x14ac:dyDescent="0.25">
      <c r="A37" s="71">
        <v>2024</v>
      </c>
      <c r="B37" s="73">
        <v>-0.69</v>
      </c>
      <c r="C37" s="73">
        <v>-0.52</v>
      </c>
      <c r="D37" s="73">
        <v>-1.32</v>
      </c>
      <c r="E37" s="75">
        <v>-2.87</v>
      </c>
      <c r="F37" s="74">
        <v>-2</v>
      </c>
      <c r="G37" s="73">
        <v>-0.68</v>
      </c>
      <c r="H37" s="73">
        <v>-0.48</v>
      </c>
      <c r="I37" s="73">
        <v>-0.18</v>
      </c>
      <c r="J37" s="74">
        <v>-0.45</v>
      </c>
      <c r="K37" s="73">
        <v>-0.49</v>
      </c>
      <c r="L37" s="73">
        <v>-2.25</v>
      </c>
      <c r="M37" s="75">
        <v>-2.94</v>
      </c>
      <c r="N37" s="74">
        <v>-2.25</v>
      </c>
      <c r="O37" s="73">
        <v>-1.78</v>
      </c>
      <c r="P37" s="50"/>
      <c r="Q37" s="50"/>
      <c r="R37" s="51"/>
      <c r="S37" s="50"/>
      <c r="T37" s="73">
        <v>-1.55</v>
      </c>
      <c r="U37" s="73">
        <v>-2.0499999999999998</v>
      </c>
      <c r="V37" s="73">
        <v>-1.1200000000000001</v>
      </c>
      <c r="W37" s="74">
        <v>-0.78</v>
      </c>
      <c r="X37" s="84">
        <v>-8.1300000000000008</v>
      </c>
      <c r="Y37" s="73">
        <v>-2.34</v>
      </c>
      <c r="Z37" s="73">
        <v>-1.2</v>
      </c>
      <c r="AA37" s="74">
        <v>-1.04</v>
      </c>
      <c r="AB37" s="73">
        <v>-0.22</v>
      </c>
      <c r="AC37" s="73">
        <v>-0.34</v>
      </c>
      <c r="AD37" s="73">
        <v>-0.31</v>
      </c>
      <c r="AE37" s="74">
        <v>-0.69</v>
      </c>
      <c r="AF37" s="73">
        <v>-0.7</v>
      </c>
      <c r="AG37" s="75">
        <v>-4.0199999999999996</v>
      </c>
      <c r="AH37" s="75">
        <v>-3.01</v>
      </c>
      <c r="AI37" s="75">
        <v>-2.58</v>
      </c>
      <c r="AJ37" s="74">
        <v>-1.98</v>
      </c>
      <c r="AK37" s="73">
        <v>-1.56</v>
      </c>
      <c r="AL37" s="73">
        <v>-2.19</v>
      </c>
      <c r="AM37" s="73">
        <v>-1.53</v>
      </c>
      <c r="AN37" s="74">
        <v>-0.37</v>
      </c>
      <c r="AO37" s="73">
        <v>-0.79</v>
      </c>
      <c r="AP37" s="75">
        <v>-4.2699999999999996</v>
      </c>
      <c r="AQ37" s="75">
        <v>-3.51</v>
      </c>
      <c r="AR37" s="88">
        <v>-4.9800000000000004</v>
      </c>
      <c r="AS37" s="79">
        <v>-6.06</v>
      </c>
      <c r="AT37" s="88">
        <v>-6.82</v>
      </c>
      <c r="AU37" s="84">
        <v>-7.72</v>
      </c>
      <c r="AV37" s="84">
        <v>-8.1300000000000008</v>
      </c>
      <c r="AW37" s="89">
        <v>-8.31</v>
      </c>
      <c r="AX37" s="88">
        <v>-7.43</v>
      </c>
      <c r="AY37" s="88">
        <v>-6.47</v>
      </c>
      <c r="AZ37" s="88">
        <v>-6.01</v>
      </c>
      <c r="BA37" s="88">
        <v>-6.84</v>
      </c>
      <c r="BB37" s="51"/>
      <c r="BC37" s="86">
        <v>-8.31</v>
      </c>
    </row>
    <row r="38" spans="1:55" x14ac:dyDescent="0.25">
      <c r="A38" s="71">
        <v>2025</v>
      </c>
      <c r="B38" s="88">
        <v>-6.65</v>
      </c>
      <c r="C38" s="50"/>
      <c r="D38" s="50"/>
      <c r="E38" s="50"/>
      <c r="F38" s="51"/>
      <c r="G38" s="50"/>
      <c r="H38" s="50"/>
      <c r="I38" s="50"/>
      <c r="J38" s="51"/>
      <c r="K38" s="50"/>
      <c r="L38" s="50"/>
      <c r="M38" s="50"/>
      <c r="N38" s="51"/>
      <c r="O38" s="73">
        <v>-1.25</v>
      </c>
      <c r="P38" s="88">
        <v>-6.83</v>
      </c>
      <c r="Q38" s="75">
        <v>-4.2</v>
      </c>
      <c r="R38" s="74">
        <v>-1.07</v>
      </c>
      <c r="S38" s="73">
        <v>-1.67</v>
      </c>
      <c r="T38" s="73">
        <v>-0.3</v>
      </c>
      <c r="U38" s="73">
        <v>-1.71</v>
      </c>
      <c r="V38" s="73">
        <v>-1.31</v>
      </c>
      <c r="W38" s="74">
        <v>-1.81</v>
      </c>
      <c r="X38" s="73">
        <v>-1.49</v>
      </c>
      <c r="Y38" s="73">
        <v>-0.96</v>
      </c>
      <c r="Z38" s="73">
        <v>-1.45</v>
      </c>
      <c r="AA38" s="74">
        <v>-0.93</v>
      </c>
      <c r="AB38" s="73">
        <v>-0.32</v>
      </c>
      <c r="AC38" s="73">
        <v>-0.37</v>
      </c>
      <c r="AD38" s="73">
        <v>-1.47</v>
      </c>
      <c r="AE38" s="74">
        <v>-1.33</v>
      </c>
      <c r="AF38" s="73">
        <v>-2.46</v>
      </c>
      <c r="AG38" s="75">
        <v>-2.61</v>
      </c>
      <c r="AH38" s="75">
        <v>-3.02</v>
      </c>
      <c r="AI38" s="73">
        <v>-1.96</v>
      </c>
      <c r="AJ38" s="74">
        <v>-2.33</v>
      </c>
      <c r="AK38" s="75">
        <v>-2.75</v>
      </c>
      <c r="AL38" s="73">
        <v>-2.37</v>
      </c>
      <c r="AM38" s="73">
        <v>-1.62</v>
      </c>
      <c r="AN38" s="74">
        <v>-1.18</v>
      </c>
      <c r="AO38" s="73">
        <v>-2.4300000000000002</v>
      </c>
      <c r="AP38" s="73">
        <v>-2.4500000000000002</v>
      </c>
      <c r="AQ38" s="73">
        <v>-1.8</v>
      </c>
      <c r="AR38" s="73">
        <v>-1.74</v>
      </c>
      <c r="AS38" s="74">
        <v>-0.49</v>
      </c>
      <c r="AT38" s="73">
        <v>-1.1599999999999999</v>
      </c>
      <c r="AU38" s="73">
        <v>-2.16</v>
      </c>
      <c r="AV38" s="73">
        <v>-1.48</v>
      </c>
      <c r="AW38" s="74">
        <v>-0.49</v>
      </c>
      <c r="AX38" s="73">
        <v>-0.28999999999999998</v>
      </c>
      <c r="AY38" s="73">
        <v>-0.77</v>
      </c>
      <c r="AZ38" s="73">
        <v>-1.33</v>
      </c>
      <c r="BA38" s="73">
        <v>-0.65</v>
      </c>
      <c r="BB38" s="51"/>
      <c r="BC38" s="81">
        <v>-6.83</v>
      </c>
    </row>
    <row r="39" spans="1:55" x14ac:dyDescent="0.25">
      <c r="A39" s="71">
        <v>2026</v>
      </c>
      <c r="B39" s="73">
        <v>-0.33</v>
      </c>
      <c r="C39" s="73">
        <v>-0.36</v>
      </c>
      <c r="D39" s="75">
        <v>-2.82</v>
      </c>
      <c r="E39" s="73">
        <v>-2.4500000000000002</v>
      </c>
      <c r="F39" s="77">
        <v>-4.2300000000000004</v>
      </c>
      <c r="G39" s="88">
        <v>-5.67</v>
      </c>
      <c r="H39" s="75">
        <v>-2.7</v>
      </c>
      <c r="I39" s="75">
        <v>-3.67</v>
      </c>
      <c r="J39" s="77">
        <v>-3.51</v>
      </c>
      <c r="K39" s="75">
        <v>-4.1399999999999997</v>
      </c>
      <c r="L39" s="84">
        <v>-9.19</v>
      </c>
      <c r="M39" s="84">
        <v>-9.48</v>
      </c>
      <c r="N39" s="89">
        <v>-9.92</v>
      </c>
      <c r="O39" s="50"/>
      <c r="P39" s="50"/>
      <c r="Q39" s="50"/>
      <c r="R39" s="51"/>
      <c r="S39" s="50"/>
      <c r="T39" s="82">
        <v>0.14000000000000001</v>
      </c>
      <c r="U39" s="73">
        <v>-0.92</v>
      </c>
      <c r="V39" s="75">
        <v>-2.74</v>
      </c>
      <c r="W39" s="74">
        <v>-1.42</v>
      </c>
      <c r="X39" s="73">
        <v>-1.84</v>
      </c>
      <c r="Y39" s="75">
        <v>-2.66</v>
      </c>
      <c r="Z39" s="75">
        <v>-2.5099999999999998</v>
      </c>
      <c r="AA39" s="74">
        <v>-0.75</v>
      </c>
      <c r="AB39" s="73">
        <v>-0.62</v>
      </c>
      <c r="AC39" s="50"/>
      <c r="AD39" s="50"/>
      <c r="AE39" s="51"/>
      <c r="AF39" s="50"/>
      <c r="AG39" s="50"/>
      <c r="AH39" s="50"/>
      <c r="AI39" s="50"/>
      <c r="AJ39" s="51"/>
      <c r="AK39" s="50"/>
      <c r="AL39" s="50"/>
      <c r="AM39" s="50"/>
      <c r="AN39" s="51"/>
      <c r="AO39" s="50"/>
      <c r="AP39" s="50"/>
      <c r="AQ39" s="50"/>
      <c r="AR39" s="50"/>
      <c r="AS39" s="51"/>
      <c r="AT39" s="50"/>
      <c r="AU39" s="50"/>
      <c r="AV39" s="50"/>
      <c r="AW39" s="51"/>
      <c r="AX39" s="50"/>
      <c r="AY39" s="50"/>
      <c r="AZ39" s="50"/>
      <c r="BA39" s="50"/>
      <c r="BB39" s="51"/>
      <c r="BC39" s="86">
        <v>-9.92</v>
      </c>
    </row>
    <row r="40" spans="1:55" x14ac:dyDescent="0.25">
      <c r="A40" s="46" t="s">
        <v>269</v>
      </c>
      <c r="B40" s="88">
        <v>-6.65</v>
      </c>
      <c r="C40" s="73">
        <v>-1.71</v>
      </c>
      <c r="D40" s="75">
        <v>-2.82</v>
      </c>
      <c r="E40" s="75">
        <v>-2.87</v>
      </c>
      <c r="F40" s="77">
        <v>-4.2300000000000004</v>
      </c>
      <c r="G40" s="88">
        <v>-5.67</v>
      </c>
      <c r="H40" s="75">
        <v>-2.7</v>
      </c>
      <c r="I40" s="75">
        <v>-3.67</v>
      </c>
      <c r="J40" s="77">
        <v>-3.51</v>
      </c>
      <c r="K40" s="88">
        <v>-6.14</v>
      </c>
      <c r="L40" s="84">
        <v>-9.19</v>
      </c>
      <c r="M40" s="84">
        <v>-9.48</v>
      </c>
      <c r="N40" s="89">
        <v>-9.92</v>
      </c>
      <c r="O40" s="73">
        <v>-1.78</v>
      </c>
      <c r="P40" s="88">
        <v>-6.83</v>
      </c>
      <c r="Q40" s="75">
        <v>-4.2</v>
      </c>
      <c r="R40" s="74">
        <v>-1.33</v>
      </c>
      <c r="S40" s="73">
        <v>-1.67</v>
      </c>
      <c r="T40" s="73">
        <v>-2.3199999999999998</v>
      </c>
      <c r="U40" s="75">
        <v>-2.84</v>
      </c>
      <c r="V40" s="75">
        <v>-2.74</v>
      </c>
      <c r="W40" s="74">
        <v>-1.81</v>
      </c>
      <c r="X40" s="84">
        <v>-8.1300000000000008</v>
      </c>
      <c r="Y40" s="75">
        <v>-2.66</v>
      </c>
      <c r="Z40" s="75">
        <v>-2.5099999999999998</v>
      </c>
      <c r="AA40" s="74">
        <v>-1.04</v>
      </c>
      <c r="AB40" s="73">
        <v>-0.62</v>
      </c>
      <c r="AC40" s="73">
        <v>-0.37</v>
      </c>
      <c r="AD40" s="73">
        <v>-1.47</v>
      </c>
      <c r="AE40" s="74">
        <v>-1.33</v>
      </c>
      <c r="AF40" s="73">
        <v>-2.46</v>
      </c>
      <c r="AG40" s="75">
        <v>-4.0199999999999996</v>
      </c>
      <c r="AH40" s="75">
        <v>-3.02</v>
      </c>
      <c r="AI40" s="75">
        <v>-2.58</v>
      </c>
      <c r="AJ40" s="77">
        <v>-2.5299999999999998</v>
      </c>
      <c r="AK40" s="75">
        <v>-2.75</v>
      </c>
      <c r="AL40" s="73">
        <v>-2.37</v>
      </c>
      <c r="AM40" s="73">
        <v>-1.62</v>
      </c>
      <c r="AN40" s="77">
        <v>-4.79</v>
      </c>
      <c r="AO40" s="88">
        <v>-5</v>
      </c>
      <c r="AP40" s="75">
        <v>-4.2699999999999996</v>
      </c>
      <c r="AQ40" s="75">
        <v>-3.51</v>
      </c>
      <c r="AR40" s="88">
        <v>-4.9800000000000004</v>
      </c>
      <c r="AS40" s="79">
        <v>-6.06</v>
      </c>
      <c r="AT40" s="88">
        <v>-6.82</v>
      </c>
      <c r="AU40" s="84">
        <v>-7.72</v>
      </c>
      <c r="AV40" s="84">
        <v>-8.1300000000000008</v>
      </c>
      <c r="AW40" s="89">
        <v>-8.31</v>
      </c>
      <c r="AX40" s="88">
        <v>-7.43</v>
      </c>
      <c r="AY40" s="88">
        <v>-6.47</v>
      </c>
      <c r="AZ40" s="88">
        <v>-6.01</v>
      </c>
      <c r="BA40" s="88">
        <v>-6.84</v>
      </c>
      <c r="BB40" s="51"/>
      <c r="BC40" s="86">
        <v>-9.92</v>
      </c>
    </row>
    <row r="44" spans="1:55" x14ac:dyDescent="0.25">
      <c r="A44" s="104" t="s">
        <v>203</v>
      </c>
      <c r="B44" s="104"/>
      <c r="C44" s="104"/>
      <c r="D44" s="104"/>
      <c r="F44" s="38" t="s">
        <v>78</v>
      </c>
      <c r="G44" s="38" t="s">
        <v>204</v>
      </c>
      <c r="H44" s="38" t="s">
        <v>80</v>
      </c>
      <c r="I44" s="38" t="s">
        <v>205</v>
      </c>
      <c r="J44" s="38" t="s">
        <v>206</v>
      </c>
      <c r="K44" s="38" t="s">
        <v>77</v>
      </c>
      <c r="L44" s="38" t="s">
        <v>207</v>
      </c>
      <c r="M44" s="38" t="s">
        <v>208</v>
      </c>
      <c r="N44" s="38" t="s">
        <v>209</v>
      </c>
      <c r="O44" s="38" t="s">
        <v>210</v>
      </c>
      <c r="P44" s="38" t="s">
        <v>211</v>
      </c>
      <c r="Q44" s="38" t="s">
        <v>212</v>
      </c>
      <c r="R44" s="38" t="s">
        <v>187</v>
      </c>
    </row>
    <row r="45" spans="1:55" x14ac:dyDescent="0.25">
      <c r="A45" s="105"/>
      <c r="B45" s="105"/>
      <c r="C45" s="105"/>
      <c r="D45" s="105"/>
      <c r="F45" s="39">
        <v>0.57777777777777772</v>
      </c>
      <c r="G45" s="39">
        <v>1.762372067627398E-2</v>
      </c>
      <c r="H45" s="39">
        <v>0.42222222222222222</v>
      </c>
      <c r="I45" s="39">
        <v>-1.9175312246182866E-2</v>
      </c>
      <c r="J45" s="40">
        <v>0.10880402849976295</v>
      </c>
      <c r="K45" s="41">
        <v>266</v>
      </c>
      <c r="L45" s="42">
        <v>-0.44923049005914772</v>
      </c>
      <c r="M45" s="42">
        <v>-0.60677843619350158</v>
      </c>
      <c r="N45" s="40">
        <v>1.4042480968285864</v>
      </c>
      <c r="O45" s="40">
        <v>0.20933294678556177</v>
      </c>
      <c r="P45" s="40">
        <v>3.3230575104414855</v>
      </c>
      <c r="Q45" s="42">
        <v>0.62292402273732794</v>
      </c>
      <c r="R45" s="39">
        <v>2.2202601477035122E-2</v>
      </c>
    </row>
    <row r="46" spans="1:55" x14ac:dyDescent="0.25">
      <c r="A46" s="90" t="s">
        <v>121</v>
      </c>
      <c r="B46" s="90" t="s">
        <v>122</v>
      </c>
      <c r="C46" s="90" t="s">
        <v>123</v>
      </c>
      <c r="D46" s="90" t="s">
        <v>124</v>
      </c>
      <c r="E46" s="90" t="s">
        <v>125</v>
      </c>
      <c r="F46" s="90" t="s">
        <v>126</v>
      </c>
      <c r="G46" s="90" t="s">
        <v>127</v>
      </c>
      <c r="H46" s="90" t="s">
        <v>128</v>
      </c>
      <c r="I46" s="90" t="s">
        <v>129</v>
      </c>
      <c r="J46" s="90" t="s">
        <v>130</v>
      </c>
      <c r="K46" s="90" t="s">
        <v>131</v>
      </c>
      <c r="L46" s="90" t="s">
        <v>132</v>
      </c>
      <c r="M46" s="90" t="s">
        <v>133</v>
      </c>
      <c r="N46" s="90" t="s">
        <v>134</v>
      </c>
      <c r="O46" s="90" t="s">
        <v>135</v>
      </c>
      <c r="P46" s="90" t="s">
        <v>266</v>
      </c>
      <c r="Q46" s="90" t="s">
        <v>136</v>
      </c>
    </row>
    <row r="47" spans="1:55" x14ac:dyDescent="0.25">
      <c r="A47" s="49">
        <v>2019</v>
      </c>
      <c r="B47" s="91"/>
      <c r="C47" s="91"/>
      <c r="D47" s="91"/>
      <c r="E47" s="66">
        <v>1.6194E-2</v>
      </c>
      <c r="F47" s="61">
        <v>-2.6824000000000001E-2</v>
      </c>
      <c r="G47" s="91"/>
      <c r="H47" s="91"/>
      <c r="I47" s="91"/>
      <c r="J47" s="91"/>
      <c r="K47" s="66">
        <v>2.4576000000000001E-2</v>
      </c>
      <c r="L47" s="66">
        <v>1.3712E-2</v>
      </c>
      <c r="M47" s="66">
        <v>9.9819999999999996E-3</v>
      </c>
      <c r="N47" s="66">
        <v>3.764E-2</v>
      </c>
      <c r="O47" s="61">
        <v>-2.6717999999999999E-2</v>
      </c>
      <c r="P47" s="61">
        <v>-2.8400000000000002E-2</v>
      </c>
      <c r="Q47" s="62">
        <v>1.41</v>
      </c>
    </row>
    <row r="48" spans="1:55" x14ac:dyDescent="0.25">
      <c r="A48" s="49">
        <v>2020</v>
      </c>
      <c r="B48" s="61">
        <v>-1.0541999999999999E-2</v>
      </c>
      <c r="C48" s="61">
        <v>-4.8016000000000003E-2</v>
      </c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61">
        <v>-5.8557999999999999E-2</v>
      </c>
      <c r="O48" s="61">
        <v>-5.9173999999999997E-2</v>
      </c>
      <c r="P48" s="61">
        <v>-6.1400000000000003E-2</v>
      </c>
      <c r="Q48" s="65">
        <v>-0.99</v>
      </c>
    </row>
    <row r="49" spans="1:17" x14ac:dyDescent="0.25">
      <c r="A49" s="49">
        <v>2022</v>
      </c>
      <c r="B49" s="91"/>
      <c r="C49" s="91"/>
      <c r="D49" s="91"/>
      <c r="E49" s="91"/>
      <c r="F49" s="91"/>
      <c r="G49" s="91"/>
      <c r="H49" s="91"/>
      <c r="I49" s="66">
        <v>2.6689999999999998E-2</v>
      </c>
      <c r="J49" s="61">
        <v>-3.1641000000000002E-2</v>
      </c>
      <c r="K49" s="66">
        <v>3.7855E-2</v>
      </c>
      <c r="L49" s="66">
        <v>3.1683999999999997E-2</v>
      </c>
      <c r="M49" s="61">
        <v>-3.3148999999999998E-2</v>
      </c>
      <c r="N49" s="66">
        <v>3.1439000000000002E-2</v>
      </c>
      <c r="O49" s="61">
        <v>-4.6691999999999997E-2</v>
      </c>
      <c r="P49" s="61">
        <v>-0.05</v>
      </c>
      <c r="Q49" s="62">
        <v>0.67</v>
      </c>
    </row>
    <row r="50" spans="1:17" x14ac:dyDescent="0.25">
      <c r="A50" s="49">
        <v>2023</v>
      </c>
      <c r="B50" s="91"/>
      <c r="C50" s="91"/>
      <c r="D50" s="91"/>
      <c r="E50" s="91"/>
      <c r="F50" s="66">
        <v>1.9834000000000001E-2</v>
      </c>
      <c r="G50" s="66">
        <v>1.5746E-2</v>
      </c>
      <c r="H50" s="66">
        <v>1.4881999999999999E-2</v>
      </c>
      <c r="I50" s="61">
        <v>-2.921E-3</v>
      </c>
      <c r="J50" s="66">
        <v>3.2720000000000002E-3</v>
      </c>
      <c r="K50" s="61">
        <v>-1.8155000000000001E-2</v>
      </c>
      <c r="L50" s="66">
        <v>2.4233000000000001E-2</v>
      </c>
      <c r="M50" s="66">
        <v>1.3840999999999999E-2</v>
      </c>
      <c r="N50" s="66">
        <v>7.0732000000000003E-2</v>
      </c>
      <c r="O50" s="61">
        <v>-2.6290000000000001E-2</v>
      </c>
      <c r="P50" s="61">
        <v>-3.2800000000000003E-2</v>
      </c>
      <c r="Q50" s="62">
        <v>2.69</v>
      </c>
    </row>
    <row r="51" spans="1:17" x14ac:dyDescent="0.25">
      <c r="A51" s="49">
        <v>2024</v>
      </c>
      <c r="B51" s="61">
        <v>-8.9899999999999995E-4</v>
      </c>
      <c r="C51" s="66">
        <v>1.9889E-2</v>
      </c>
      <c r="D51" s="61">
        <v>-3.901E-3</v>
      </c>
      <c r="E51" s="91"/>
      <c r="F51" s="66">
        <v>3.0850000000000001E-3</v>
      </c>
      <c r="G51" s="66">
        <v>2.1148E-2</v>
      </c>
      <c r="H51" s="66">
        <v>3.6186000000000003E-2</v>
      </c>
      <c r="I51" s="61">
        <v>-1.2478E-2</v>
      </c>
      <c r="J51" s="66">
        <v>2.4216999999999999E-2</v>
      </c>
      <c r="K51" s="61">
        <v>-4.9114999999999999E-2</v>
      </c>
      <c r="L51" s="61">
        <v>-1.4605999999999999E-2</v>
      </c>
      <c r="M51" s="66">
        <v>3.153E-3</v>
      </c>
      <c r="N51" s="66">
        <v>2.6678E-2</v>
      </c>
      <c r="O51" s="61">
        <v>-7.5535000000000005E-2</v>
      </c>
      <c r="P51" s="61">
        <v>-8.3099999999999993E-2</v>
      </c>
      <c r="Q51" s="62">
        <v>0.35</v>
      </c>
    </row>
    <row r="52" spans="1:17" x14ac:dyDescent="0.25">
      <c r="A52" s="49">
        <v>2025</v>
      </c>
      <c r="B52" s="91"/>
      <c r="C52" s="91"/>
      <c r="D52" s="91"/>
      <c r="E52" s="66">
        <v>1.8959E-2</v>
      </c>
      <c r="F52" s="66">
        <v>1.0444E-2</v>
      </c>
      <c r="G52" s="66">
        <v>3.0275E-2</v>
      </c>
      <c r="H52" s="61">
        <v>-1.1915E-2</v>
      </c>
      <c r="I52" s="61">
        <v>-7.1529999999999996E-3</v>
      </c>
      <c r="J52" s="61">
        <v>-3.1599999999999998E-4</v>
      </c>
      <c r="K52" s="66">
        <v>2.0459000000000001E-2</v>
      </c>
      <c r="L52" s="66">
        <v>2.2079999999999999E-3</v>
      </c>
      <c r="M52" s="66">
        <v>4.4400000000000004E-3</v>
      </c>
      <c r="N52" s="66">
        <v>6.7401000000000003E-2</v>
      </c>
      <c r="O52" s="61">
        <v>-3.5618999999999998E-2</v>
      </c>
      <c r="P52" s="61">
        <v>-6.83E-2</v>
      </c>
      <c r="Q52" s="62">
        <v>1.89</v>
      </c>
    </row>
    <row r="53" spans="1:17" x14ac:dyDescent="0.25">
      <c r="A53" s="49">
        <v>2026</v>
      </c>
      <c r="B53" s="61">
        <v>-2.6792E-2</v>
      </c>
      <c r="C53" s="61">
        <v>-1.0071999999999999E-2</v>
      </c>
      <c r="D53" s="61">
        <v>-5.3415999999999998E-2</v>
      </c>
      <c r="E53" s="91"/>
      <c r="F53" s="61">
        <v>-2.4199999999999998E-3</v>
      </c>
      <c r="G53" s="66">
        <v>1.1254E-2</v>
      </c>
      <c r="H53" s="91"/>
      <c r="I53" s="91"/>
      <c r="J53" s="91"/>
      <c r="K53" s="91"/>
      <c r="L53" s="91"/>
      <c r="M53" s="91"/>
      <c r="N53" s="61">
        <v>-8.1446000000000005E-2</v>
      </c>
      <c r="O53" s="61">
        <v>-9.0633000000000005E-2</v>
      </c>
      <c r="P53" s="61">
        <v>-9.9199999999999997E-2</v>
      </c>
      <c r="Q53" s="65">
        <v>-0.9</v>
      </c>
    </row>
    <row r="54" spans="1:17" x14ac:dyDescent="0.25">
      <c r="A54" s="43" t="s">
        <v>134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66">
        <v>9.3885999999999997E-2</v>
      </c>
      <c r="O54" s="61">
        <v>-5.1522999999999999E-2</v>
      </c>
      <c r="P54" s="61">
        <v>-6.0456999999999997E-2</v>
      </c>
      <c r="Q54" s="62">
        <v>0.73</v>
      </c>
    </row>
    <row r="58" spans="1:17" x14ac:dyDescent="0.25">
      <c r="A58" s="107" t="s">
        <v>268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</row>
    <row r="59" spans="1:17" x14ac:dyDescent="0.25">
      <c r="A59" s="46" t="s">
        <v>121</v>
      </c>
      <c r="B59" s="46" t="s">
        <v>122</v>
      </c>
      <c r="C59" s="46" t="s">
        <v>123</v>
      </c>
      <c r="D59" s="46" t="s">
        <v>124</v>
      </c>
      <c r="E59" s="46" t="s">
        <v>125</v>
      </c>
      <c r="F59" s="46" t="s">
        <v>126</v>
      </c>
      <c r="G59" s="46" t="s">
        <v>127</v>
      </c>
      <c r="H59" s="46" t="s">
        <v>128</v>
      </c>
      <c r="I59" s="46" t="s">
        <v>129</v>
      </c>
      <c r="J59" s="46" t="s">
        <v>130</v>
      </c>
      <c r="K59" s="46" t="s">
        <v>131</v>
      </c>
      <c r="L59" s="46" t="s">
        <v>132</v>
      </c>
      <c r="M59" s="46" t="s">
        <v>133</v>
      </c>
      <c r="N59" s="46" t="s">
        <v>269</v>
      </c>
    </row>
    <row r="60" spans="1:17" x14ac:dyDescent="0.25">
      <c r="A60" s="71">
        <v>2019</v>
      </c>
      <c r="B60" s="91"/>
      <c r="C60" s="91"/>
      <c r="D60" s="91"/>
      <c r="E60" s="92">
        <v>-1.3243</v>
      </c>
      <c r="F60" s="76">
        <v>-2.3220999999999998</v>
      </c>
      <c r="G60" s="91"/>
      <c r="H60" s="91"/>
      <c r="I60" s="91"/>
      <c r="J60" s="91"/>
      <c r="K60" s="92">
        <v>-1.6496999999999999</v>
      </c>
      <c r="L60" s="92">
        <v>-0.60709999999999997</v>
      </c>
      <c r="M60" s="92">
        <v>-0.88060000000000005</v>
      </c>
      <c r="N60" s="76">
        <v>-2.3220999999999998</v>
      </c>
    </row>
    <row r="61" spans="1:17" x14ac:dyDescent="0.25">
      <c r="A61" s="71">
        <v>2020</v>
      </c>
      <c r="B61" s="92">
        <v>-1.7163999999999999</v>
      </c>
      <c r="C61" s="76">
        <v>-3.6789999999999998</v>
      </c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76">
        <v>-3.6789999999999998</v>
      </c>
    </row>
    <row r="62" spans="1:17" x14ac:dyDescent="0.25">
      <c r="A62" s="71">
        <v>2022</v>
      </c>
      <c r="B62" s="91"/>
      <c r="C62" s="91"/>
      <c r="D62" s="91"/>
      <c r="E62" s="91"/>
      <c r="F62" s="91"/>
      <c r="G62" s="91"/>
      <c r="H62" s="91"/>
      <c r="I62" s="92">
        <v>-1.9074</v>
      </c>
      <c r="J62" s="81">
        <v>-4.5292000000000003</v>
      </c>
      <c r="K62" s="92">
        <v>-1.3902000000000001</v>
      </c>
      <c r="L62" s="92">
        <v>-0.67410000000000003</v>
      </c>
      <c r="M62" s="76">
        <v>-2.1074000000000002</v>
      </c>
      <c r="N62" s="81">
        <v>-4.5292000000000003</v>
      </c>
    </row>
    <row r="63" spans="1:17" x14ac:dyDescent="0.25">
      <c r="A63" s="71">
        <v>2023</v>
      </c>
      <c r="B63" s="91"/>
      <c r="C63" s="91"/>
      <c r="D63" s="91"/>
      <c r="E63" s="91"/>
      <c r="F63" s="92">
        <v>-0.33829999999999999</v>
      </c>
      <c r="G63" s="92">
        <v>-0.75460000000000005</v>
      </c>
      <c r="H63" s="92">
        <v>-0.6915</v>
      </c>
      <c r="I63" s="92">
        <v>-1.2431000000000001</v>
      </c>
      <c r="J63" s="92">
        <v>-1.3676999999999999</v>
      </c>
      <c r="K63" s="76">
        <v>-2.2686000000000002</v>
      </c>
      <c r="L63" s="92">
        <v>-0.67279999999999995</v>
      </c>
      <c r="M63" s="92">
        <v>-1.4047000000000001</v>
      </c>
      <c r="N63" s="76">
        <v>-2.2686000000000002</v>
      </c>
    </row>
    <row r="64" spans="1:17" x14ac:dyDescent="0.25">
      <c r="A64" s="71">
        <v>2024</v>
      </c>
      <c r="B64" s="92">
        <v>-1.7065999999999999</v>
      </c>
      <c r="C64" s="92">
        <v>-0.48149999999999998</v>
      </c>
      <c r="D64" s="76">
        <v>-2.2553000000000001</v>
      </c>
      <c r="E64" s="91"/>
      <c r="F64" s="92">
        <v>-1.5491999999999999</v>
      </c>
      <c r="G64" s="86">
        <v>-8.1290999999999993</v>
      </c>
      <c r="H64" s="92">
        <v>-0.69610000000000005</v>
      </c>
      <c r="I64" s="76">
        <v>-4.0247000000000002</v>
      </c>
      <c r="J64" s="92">
        <v>-1.4139999999999999</v>
      </c>
      <c r="K64" s="76">
        <v>-3.8155999999999999</v>
      </c>
      <c r="L64" s="76">
        <v>-3.5895000000000001</v>
      </c>
      <c r="M64" s="92">
        <v>-1.2875000000000001</v>
      </c>
      <c r="N64" s="86">
        <v>-8.1290999999999993</v>
      </c>
    </row>
    <row r="65" spans="1:14" x14ac:dyDescent="0.25">
      <c r="A65" s="71">
        <v>2025</v>
      </c>
      <c r="B65" s="91"/>
      <c r="C65" s="91"/>
      <c r="D65" s="91"/>
      <c r="E65" s="86">
        <v>-6.2489999999999997</v>
      </c>
      <c r="F65" s="92">
        <v>-1.7072000000000001</v>
      </c>
      <c r="G65" s="92">
        <v>-1.4481999999999999</v>
      </c>
      <c r="H65" s="76">
        <v>-2.0400999999999998</v>
      </c>
      <c r="I65" s="92">
        <v>-1.0905</v>
      </c>
      <c r="J65" s="92">
        <v>-1.5336000000000001</v>
      </c>
      <c r="K65" s="92">
        <v>-0.48320000000000002</v>
      </c>
      <c r="L65" s="92">
        <v>-1.3718999999999999</v>
      </c>
      <c r="M65" s="92">
        <v>-0.7681</v>
      </c>
      <c r="N65" s="86">
        <v>-6.2489999999999997</v>
      </c>
    </row>
    <row r="66" spans="1:14" x14ac:dyDescent="0.25">
      <c r="A66" s="71">
        <v>2026</v>
      </c>
      <c r="B66" s="76">
        <v>-2.6743999999999999</v>
      </c>
      <c r="C66" s="76">
        <v>-2.7995999999999999</v>
      </c>
      <c r="D66" s="81">
        <v>-5.4526000000000003</v>
      </c>
      <c r="E66" s="91"/>
      <c r="F66" s="92">
        <v>-1.9378</v>
      </c>
      <c r="G66" s="92">
        <v>-1.0301</v>
      </c>
      <c r="H66" s="91"/>
      <c r="I66" s="91"/>
      <c r="J66" s="91"/>
      <c r="K66" s="91"/>
      <c r="L66" s="91"/>
      <c r="M66" s="91"/>
      <c r="N66" s="81">
        <v>-5.4526000000000003</v>
      </c>
    </row>
    <row r="67" spans="1:14" x14ac:dyDescent="0.25">
      <c r="A67" s="46" t="s">
        <v>269</v>
      </c>
      <c r="B67" s="76">
        <v>-2.6743999999999999</v>
      </c>
      <c r="C67" s="76">
        <v>-3.6789999999999998</v>
      </c>
      <c r="D67" s="81">
        <v>-5.4526000000000003</v>
      </c>
      <c r="E67" s="86">
        <v>-6.2489999999999997</v>
      </c>
      <c r="F67" s="76">
        <v>-2.3220999999999998</v>
      </c>
      <c r="G67" s="86">
        <v>-8.1290999999999993</v>
      </c>
      <c r="H67" s="76">
        <v>-2.0400999999999998</v>
      </c>
      <c r="I67" s="76">
        <v>-4.0247000000000002</v>
      </c>
      <c r="J67" s="81">
        <v>-4.5292000000000003</v>
      </c>
      <c r="K67" s="76">
        <v>-3.8155999999999999</v>
      </c>
      <c r="L67" s="76">
        <v>-3.5895000000000001</v>
      </c>
      <c r="M67" s="76">
        <v>-2.1074000000000002</v>
      </c>
      <c r="N67" s="86">
        <v>-8.1290999999999993</v>
      </c>
    </row>
    <row r="71" spans="1:14" x14ac:dyDescent="0.25">
      <c r="A71" s="107" t="s">
        <v>270</v>
      </c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</row>
    <row r="72" spans="1:14" x14ac:dyDescent="0.25">
      <c r="A72" s="46" t="s">
        <v>121</v>
      </c>
      <c r="B72" s="46" t="s">
        <v>122</v>
      </c>
      <c r="C72" s="46" t="s">
        <v>123</v>
      </c>
      <c r="D72" s="46" t="s">
        <v>124</v>
      </c>
      <c r="E72" s="46" t="s">
        <v>125</v>
      </c>
      <c r="F72" s="46" t="s">
        <v>126</v>
      </c>
      <c r="G72" s="46" t="s">
        <v>127</v>
      </c>
      <c r="H72" s="46" t="s">
        <v>128</v>
      </c>
      <c r="I72" s="46" t="s">
        <v>129</v>
      </c>
      <c r="J72" s="46" t="s">
        <v>130</v>
      </c>
      <c r="K72" s="46" t="s">
        <v>131</v>
      </c>
      <c r="L72" s="46" t="s">
        <v>132</v>
      </c>
      <c r="M72" s="46" t="s">
        <v>133</v>
      </c>
      <c r="N72" s="46" t="s">
        <v>269</v>
      </c>
    </row>
    <row r="73" spans="1:14" x14ac:dyDescent="0.25">
      <c r="A73" s="71">
        <v>2019</v>
      </c>
      <c r="B73" s="91"/>
      <c r="C73" s="91"/>
      <c r="D73" s="91"/>
      <c r="E73" s="92">
        <v>-1.33</v>
      </c>
      <c r="F73" s="76">
        <v>-2.84</v>
      </c>
      <c r="G73" s="91"/>
      <c r="H73" s="91"/>
      <c r="I73" s="91"/>
      <c r="J73" s="91"/>
      <c r="K73" s="92">
        <v>-2.25</v>
      </c>
      <c r="L73" s="92">
        <v>-0.61</v>
      </c>
      <c r="M73" s="92">
        <v>-0.88</v>
      </c>
      <c r="N73" s="76">
        <v>-2.84</v>
      </c>
    </row>
    <row r="74" spans="1:14" x14ac:dyDescent="0.25">
      <c r="A74" s="71">
        <v>2020</v>
      </c>
      <c r="B74" s="92">
        <v>-1.9</v>
      </c>
      <c r="C74" s="81">
        <v>-6.14</v>
      </c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81">
        <v>-6.14</v>
      </c>
    </row>
    <row r="75" spans="1:14" x14ac:dyDescent="0.25">
      <c r="A75" s="71">
        <v>2022</v>
      </c>
      <c r="B75" s="91"/>
      <c r="C75" s="91"/>
      <c r="D75" s="91"/>
      <c r="E75" s="91"/>
      <c r="F75" s="91"/>
      <c r="G75" s="91"/>
      <c r="H75" s="91"/>
      <c r="I75" s="76">
        <v>-2.5299999999999998</v>
      </c>
      <c r="J75" s="81">
        <v>-5</v>
      </c>
      <c r="K75" s="76">
        <v>-4.63</v>
      </c>
      <c r="L75" s="92">
        <v>-0.68</v>
      </c>
      <c r="M75" s="76">
        <v>-3.57</v>
      </c>
      <c r="N75" s="81">
        <v>-5</v>
      </c>
    </row>
    <row r="76" spans="1:14" x14ac:dyDescent="0.25">
      <c r="A76" s="71">
        <v>2023</v>
      </c>
      <c r="B76" s="91"/>
      <c r="C76" s="91"/>
      <c r="D76" s="91"/>
      <c r="E76" s="91"/>
      <c r="F76" s="92">
        <v>-0.33</v>
      </c>
      <c r="G76" s="92">
        <v>-0.76</v>
      </c>
      <c r="H76" s="92">
        <v>-0.69</v>
      </c>
      <c r="I76" s="92">
        <v>-1.47</v>
      </c>
      <c r="J76" s="92">
        <v>-1.69</v>
      </c>
      <c r="K76" s="76">
        <v>-2.92</v>
      </c>
      <c r="L76" s="76">
        <v>-3.28</v>
      </c>
      <c r="M76" s="92">
        <v>-1.56</v>
      </c>
      <c r="N76" s="76">
        <v>-3.28</v>
      </c>
    </row>
    <row r="77" spans="1:14" x14ac:dyDescent="0.25">
      <c r="A77" s="71">
        <v>2024</v>
      </c>
      <c r="B77" s="76">
        <v>-2.87</v>
      </c>
      <c r="C77" s="92">
        <v>-0.68</v>
      </c>
      <c r="D77" s="76">
        <v>-2.94</v>
      </c>
      <c r="E77" s="91"/>
      <c r="F77" s="92">
        <v>-2.0499999999999998</v>
      </c>
      <c r="G77" s="86">
        <v>-8.1300000000000008</v>
      </c>
      <c r="H77" s="92">
        <v>-0.7</v>
      </c>
      <c r="I77" s="76">
        <v>-4.0199999999999996</v>
      </c>
      <c r="J77" s="92">
        <v>-2.19</v>
      </c>
      <c r="K77" s="81">
        <v>-6.06</v>
      </c>
      <c r="L77" s="86">
        <v>-8.31</v>
      </c>
      <c r="M77" s="81">
        <v>-7.43</v>
      </c>
      <c r="N77" s="86">
        <v>-8.31</v>
      </c>
    </row>
    <row r="78" spans="1:14" x14ac:dyDescent="0.25">
      <c r="A78" s="71">
        <v>2025</v>
      </c>
      <c r="B78" s="91"/>
      <c r="C78" s="91"/>
      <c r="D78" s="91"/>
      <c r="E78" s="81">
        <v>-6.83</v>
      </c>
      <c r="F78" s="92">
        <v>-1.81</v>
      </c>
      <c r="G78" s="92">
        <v>-1.49</v>
      </c>
      <c r="H78" s="92">
        <v>-2.46</v>
      </c>
      <c r="I78" s="76">
        <v>-3.02</v>
      </c>
      <c r="J78" s="76">
        <v>-2.75</v>
      </c>
      <c r="K78" s="92">
        <v>-2.4500000000000002</v>
      </c>
      <c r="L78" s="92">
        <v>-2.16</v>
      </c>
      <c r="M78" s="92">
        <v>-1.33</v>
      </c>
      <c r="N78" s="81">
        <v>-6.83</v>
      </c>
    </row>
    <row r="79" spans="1:14" x14ac:dyDescent="0.25">
      <c r="A79" s="71">
        <v>2026</v>
      </c>
      <c r="B79" s="76">
        <v>-4.2300000000000004</v>
      </c>
      <c r="C79" s="81">
        <v>-5.67</v>
      </c>
      <c r="D79" s="86">
        <v>-9.92</v>
      </c>
      <c r="E79" s="91"/>
      <c r="F79" s="76">
        <v>-2.74</v>
      </c>
      <c r="G79" s="76">
        <v>-2.66</v>
      </c>
      <c r="H79" s="91"/>
      <c r="I79" s="91"/>
      <c r="J79" s="91"/>
      <c r="K79" s="91"/>
      <c r="L79" s="91"/>
      <c r="M79" s="91"/>
      <c r="N79" s="86">
        <v>-9.92</v>
      </c>
    </row>
    <row r="80" spans="1:14" x14ac:dyDescent="0.25">
      <c r="A80" s="46" t="s">
        <v>269</v>
      </c>
      <c r="B80" s="76">
        <v>-4.2300000000000004</v>
      </c>
      <c r="C80" s="81">
        <v>-6.14</v>
      </c>
      <c r="D80" s="86">
        <v>-9.92</v>
      </c>
      <c r="E80" s="81">
        <v>-6.83</v>
      </c>
      <c r="F80" s="76">
        <v>-2.84</v>
      </c>
      <c r="G80" s="86">
        <v>-8.1300000000000008</v>
      </c>
      <c r="H80" s="92">
        <v>-2.46</v>
      </c>
      <c r="I80" s="76">
        <v>-4.0199999999999996</v>
      </c>
      <c r="J80" s="81">
        <v>-5</v>
      </c>
      <c r="K80" s="81">
        <v>-6.06</v>
      </c>
      <c r="L80" s="86">
        <v>-8.31</v>
      </c>
      <c r="M80" s="81">
        <v>-7.43</v>
      </c>
      <c r="N80" s="86">
        <v>-9.92</v>
      </c>
    </row>
  </sheetData>
  <mergeCells count="12">
    <mergeCell ref="A58:N58"/>
    <mergeCell ref="A71:N71"/>
    <mergeCell ref="BF3:BF4"/>
    <mergeCell ref="A16:BC16"/>
    <mergeCell ref="A30:BC30"/>
    <mergeCell ref="A44:D44"/>
    <mergeCell ref="A45:D45"/>
    <mergeCell ref="A1:E1"/>
    <mergeCell ref="A2:E2"/>
    <mergeCell ref="BC3:BC4"/>
    <mergeCell ref="BD3:BD4"/>
    <mergeCell ref="BE3:B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AFF115</dc:creator>
  <cp:lastModifiedBy>AFF115</cp:lastModifiedBy>
  <dcterms:created xsi:type="dcterms:W3CDTF">2026-08-05T11:00:59Z</dcterms:created>
  <dcterms:modified xsi:type="dcterms:W3CDTF">2026-08-05T11:09:24Z</dcterms:modified>
</cp:coreProperties>
</file>