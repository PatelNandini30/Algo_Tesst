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Nandini Patel\Algo test\Yearly Expiry\"/>
    </mc:Choice>
  </mc:AlternateContent>
  <bookViews>
    <workbookView xWindow="0" yWindow="0" windowWidth="20490" windowHeight="7560" activeTab="1"/>
  </bookViews>
  <sheets>
    <sheet name="Rules" sheetId="1" r:id="rId1"/>
    <sheet name="Trade Sheet" sheetId="2" r:id="rId2"/>
    <sheet name="Summary" sheetId="3" r:id="rId3"/>
    <sheet name="Patch wise" sheetId="4" r:id="rId4"/>
    <sheet name="WOW &amp; MOM Summary" sheetId="5" r:id="rId5"/>
  </sheets>
  <definedNames>
    <definedName name="_xlnm._FilterDatabase" localSheetId="1" hidden="1">'Trade Sheet'!$A$1:$AV$631</definedName>
  </definedNames>
  <calcPr calcId="162913"/>
</workbook>
</file>

<file path=xl/calcChain.xml><?xml version="1.0" encoding="utf-8"?>
<calcChain xmlns="http://schemas.openxmlformats.org/spreadsheetml/2006/main">
  <c r="K93" i="2" l="1"/>
  <c r="K91" i="2"/>
  <c r="K89" i="2"/>
  <c r="O87" i="2"/>
  <c r="K87" i="2"/>
  <c r="K85" i="2"/>
  <c r="K83" i="2"/>
  <c r="K81" i="2"/>
  <c r="K79" i="2"/>
  <c r="K77" i="2"/>
  <c r="K75" i="2"/>
  <c r="K73" i="2"/>
  <c r="K71" i="2"/>
  <c r="K69" i="2"/>
  <c r="K67" i="2"/>
  <c r="K65" i="2"/>
  <c r="K63" i="2"/>
  <c r="K61" i="2"/>
  <c r="K59" i="2"/>
  <c r="K57" i="2"/>
  <c r="K55" i="2"/>
  <c r="K53" i="2"/>
  <c r="K51" i="2"/>
  <c r="K49" i="2"/>
  <c r="K47" i="2"/>
  <c r="K45" i="2"/>
  <c r="K43" i="2"/>
  <c r="K41" i="2"/>
  <c r="L31" i="2"/>
  <c r="O143" i="2"/>
  <c r="P143" i="2" s="1"/>
  <c r="K141" i="2"/>
  <c r="K139" i="2"/>
  <c r="K137" i="2"/>
  <c r="K135" i="2"/>
  <c r="K133" i="2"/>
  <c r="K131" i="2"/>
  <c r="K129" i="2"/>
  <c r="K127" i="2"/>
  <c r="K125" i="2"/>
  <c r="K123" i="2"/>
  <c r="K121" i="2"/>
  <c r="K119" i="2"/>
  <c r="K31" i="2"/>
  <c r="K29" i="2"/>
  <c r="K27" i="2"/>
  <c r="O27" i="2"/>
  <c r="K25" i="2"/>
  <c r="K23" i="2"/>
  <c r="K21" i="2"/>
  <c r="K17" i="2"/>
  <c r="K15" i="2"/>
  <c r="K13" i="2"/>
  <c r="P27" i="2"/>
  <c r="O615" i="2"/>
  <c r="P615" i="2" s="1"/>
  <c r="O603" i="2"/>
  <c r="O605" i="2" s="1"/>
  <c r="O607" i="2" s="1"/>
  <c r="O609" i="2" s="1"/>
  <c r="O611" i="2" s="1"/>
  <c r="O587" i="2"/>
  <c r="O577" i="2"/>
  <c r="O579" i="2" s="1"/>
  <c r="O565" i="2"/>
  <c r="O553" i="2"/>
  <c r="O555" i="2" s="1"/>
  <c r="O535" i="2"/>
  <c r="O537" i="2" s="1"/>
  <c r="O539" i="2" s="1"/>
  <c r="O523" i="2"/>
  <c r="O507" i="2"/>
  <c r="O509" i="2" s="1"/>
  <c r="O511" i="2" s="1"/>
  <c r="O513" i="2" s="1"/>
  <c r="O515" i="2" s="1"/>
  <c r="O517" i="2" s="1"/>
  <c r="O519" i="2" s="1"/>
  <c r="O521" i="2" s="1"/>
  <c r="P521" i="2" s="1"/>
  <c r="O493" i="2"/>
  <c r="P493" i="2" s="1"/>
  <c r="O469" i="2"/>
  <c r="P469" i="2" s="1"/>
  <c r="O447" i="2"/>
  <c r="O449" i="2" s="1"/>
  <c r="O451" i="2" s="1"/>
  <c r="O431" i="2"/>
  <c r="P431" i="2" s="1"/>
  <c r="O415" i="2"/>
  <c r="O417" i="2" s="1"/>
  <c r="O419" i="2" s="1"/>
  <c r="O399" i="2"/>
  <c r="P399" i="2" s="1"/>
  <c r="O387" i="2"/>
  <c r="O389" i="2" s="1"/>
  <c r="O391" i="2" s="1"/>
  <c r="O393" i="2" s="1"/>
  <c r="O395" i="2" s="1"/>
  <c r="O397" i="2" s="1"/>
  <c r="P397" i="2" s="1"/>
  <c r="O371" i="2"/>
  <c r="O353" i="2"/>
  <c r="O355" i="2" s="1"/>
  <c r="O357" i="2" s="1"/>
  <c r="O359" i="2" s="1"/>
  <c r="P359" i="2" s="1"/>
  <c r="O339" i="2"/>
  <c r="O341" i="2" s="1"/>
  <c r="O343" i="2" s="1"/>
  <c r="O345" i="2" s="1"/>
  <c r="O347" i="2" s="1"/>
  <c r="O349" i="2" s="1"/>
  <c r="O351" i="2" s="1"/>
  <c r="P351" i="2" s="1"/>
  <c r="O323" i="2"/>
  <c r="O325" i="2" s="1"/>
  <c r="O327" i="2" s="1"/>
  <c r="O329" i="2" s="1"/>
  <c r="O331" i="2" s="1"/>
  <c r="O311" i="2"/>
  <c r="O313" i="2" s="1"/>
  <c r="O315" i="2" s="1"/>
  <c r="O293" i="2"/>
  <c r="P293" i="2" s="1"/>
  <c r="O275" i="2"/>
  <c r="O263" i="2"/>
  <c r="P263" i="2" s="1"/>
  <c r="O247" i="2"/>
  <c r="O249" i="2" s="1"/>
  <c r="O251" i="2" s="1"/>
  <c r="O235" i="2"/>
  <c r="O217" i="2"/>
  <c r="O219" i="2" s="1"/>
  <c r="O203" i="2"/>
  <c r="O195" i="2"/>
  <c r="O181" i="2"/>
  <c r="P181" i="2" s="1"/>
  <c r="O165" i="2"/>
  <c r="P165" i="2" s="1"/>
  <c r="O145" i="2"/>
  <c r="O147" i="2" s="1"/>
  <c r="O119" i="2"/>
  <c r="O121" i="2" s="1"/>
  <c r="O103" i="2"/>
  <c r="O105" i="2" s="1"/>
  <c r="O101" i="2"/>
  <c r="P101" i="2" s="1"/>
  <c r="O83" i="2"/>
  <c r="O61" i="2"/>
  <c r="P61" i="2" s="1"/>
  <c r="O49" i="2"/>
  <c r="O51" i="2" s="1"/>
  <c r="O41" i="2"/>
  <c r="O43" i="2" s="1"/>
  <c r="O29" i="2"/>
  <c r="O21" i="2"/>
  <c r="P21" i="2" s="1"/>
  <c r="O13" i="2"/>
  <c r="P13" i="2" s="1"/>
  <c r="O3" i="2"/>
  <c r="O5" i="2" s="1"/>
  <c r="K11" i="2"/>
  <c r="K9" i="2"/>
  <c r="K7" i="2"/>
  <c r="K5" i="2"/>
  <c r="K3" i="2"/>
  <c r="O23" i="2" l="1"/>
  <c r="O15" i="2"/>
  <c r="O7" i="2"/>
  <c r="P5" i="2"/>
  <c r="P119" i="2"/>
  <c r="P3" i="2"/>
  <c r="P41" i="2"/>
  <c r="P103" i="2"/>
  <c r="O433" i="2"/>
  <c r="O435" i="2" s="1"/>
  <c r="P435" i="2" s="1"/>
  <c r="P511" i="2"/>
  <c r="O495" i="2"/>
  <c r="P495" i="2" s="1"/>
  <c r="P393" i="2"/>
  <c r="O183" i="2"/>
  <c r="O185" i="2" s="1"/>
  <c r="O187" i="2" s="1"/>
  <c r="P187" i="2" s="1"/>
  <c r="P247" i="2"/>
  <c r="P535" i="2"/>
  <c r="O265" i="2"/>
  <c r="O361" i="2"/>
  <c r="O363" i="2" s="1"/>
  <c r="O365" i="2" s="1"/>
  <c r="O401" i="2"/>
  <c r="O403" i="2" s="1"/>
  <c r="O405" i="2" s="1"/>
  <c r="P327" i="2"/>
  <c r="P353" i="2"/>
  <c r="P513" i="2"/>
  <c r="P553" i="2"/>
  <c r="O617" i="2"/>
  <c r="O619" i="2" s="1"/>
  <c r="O621" i="2" s="1"/>
  <c r="P343" i="2"/>
  <c r="P519" i="2"/>
  <c r="P607" i="2"/>
  <c r="P313" i="2"/>
  <c r="P217" i="2"/>
  <c r="P311" i="2"/>
  <c r="P345" i="2"/>
  <c r="P391" i="2"/>
  <c r="P447" i="2"/>
  <c r="O45" i="2"/>
  <c r="P43" i="2"/>
  <c r="O107" i="2"/>
  <c r="P105" i="2"/>
  <c r="O123" i="2"/>
  <c r="P121" i="2"/>
  <c r="O31" i="2"/>
  <c r="P29" i="2"/>
  <c r="O53" i="2"/>
  <c r="P51" i="2"/>
  <c r="O149" i="2"/>
  <c r="P147" i="2"/>
  <c r="O189" i="2"/>
  <c r="O237" i="2"/>
  <c r="P235" i="2"/>
  <c r="O277" i="2"/>
  <c r="P275" i="2"/>
  <c r="O525" i="2"/>
  <c r="P523" i="2"/>
  <c r="O581" i="2"/>
  <c r="P579" i="2"/>
  <c r="O197" i="2"/>
  <c r="P195" i="2"/>
  <c r="O253" i="2"/>
  <c r="P251" i="2"/>
  <c r="O333" i="2"/>
  <c r="P331" i="2"/>
  <c r="O453" i="2"/>
  <c r="P451" i="2"/>
  <c r="O541" i="2"/>
  <c r="P539" i="2"/>
  <c r="O589" i="2"/>
  <c r="P587" i="2"/>
  <c r="P249" i="2"/>
  <c r="P329" i="2"/>
  <c r="P537" i="2"/>
  <c r="O63" i="2"/>
  <c r="O85" i="2"/>
  <c r="P83" i="2"/>
  <c r="O167" i="2"/>
  <c r="O205" i="2"/>
  <c r="P203" i="2"/>
  <c r="O373" i="2"/>
  <c r="P371" i="2"/>
  <c r="O421" i="2"/>
  <c r="P419" i="2"/>
  <c r="O497" i="2"/>
  <c r="O557" i="2"/>
  <c r="P555" i="2"/>
  <c r="O613" i="2"/>
  <c r="P613" i="2" s="1"/>
  <c r="P611" i="2"/>
  <c r="P415" i="2"/>
  <c r="O221" i="2"/>
  <c r="P219" i="2"/>
  <c r="O317" i="2"/>
  <c r="P315" i="2"/>
  <c r="O471" i="2"/>
  <c r="P565" i="2"/>
  <c r="O567" i="2"/>
  <c r="P49" i="2"/>
  <c r="P145" i="2"/>
  <c r="P417" i="2"/>
  <c r="P449" i="2"/>
  <c r="P577" i="2"/>
  <c r="P609" i="2"/>
  <c r="P323" i="2"/>
  <c r="P339" i="2"/>
  <c r="P347" i="2"/>
  <c r="P355" i="2"/>
  <c r="P387" i="2"/>
  <c r="P395" i="2"/>
  <c r="P507" i="2"/>
  <c r="P515" i="2"/>
  <c r="P603" i="2"/>
  <c r="O295" i="2"/>
  <c r="P325" i="2"/>
  <c r="P341" i="2"/>
  <c r="P349" i="2"/>
  <c r="P357" i="2"/>
  <c r="P389" i="2"/>
  <c r="P509" i="2"/>
  <c r="P517" i="2"/>
  <c r="P605" i="2"/>
  <c r="P15" i="2" l="1"/>
  <c r="O17" i="2"/>
  <c r="P23" i="2"/>
  <c r="O25" i="2"/>
  <c r="P25" i="2" s="1"/>
  <c r="P433" i="2"/>
  <c r="P363" i="2"/>
  <c r="O437" i="2"/>
  <c r="P437" i="2" s="1"/>
  <c r="P361" i="2"/>
  <c r="P183" i="2"/>
  <c r="P7" i="2"/>
  <c r="O9" i="2"/>
  <c r="P185" i="2"/>
  <c r="P619" i="2"/>
  <c r="P401" i="2"/>
  <c r="P617" i="2"/>
  <c r="P403" i="2"/>
  <c r="O267" i="2"/>
  <c r="P265" i="2"/>
  <c r="O569" i="2"/>
  <c r="P567" i="2"/>
  <c r="O319" i="2"/>
  <c r="P317" i="2"/>
  <c r="O223" i="2"/>
  <c r="P221" i="2"/>
  <c r="O423" i="2"/>
  <c r="P421" i="2"/>
  <c r="O207" i="2"/>
  <c r="P205" i="2"/>
  <c r="O65" i="2"/>
  <c r="P63" i="2"/>
  <c r="O591" i="2"/>
  <c r="P589" i="2"/>
  <c r="O455" i="2"/>
  <c r="P453" i="2"/>
  <c r="O367" i="2"/>
  <c r="P365" i="2"/>
  <c r="O255" i="2"/>
  <c r="P253" i="2"/>
  <c r="O559" i="2"/>
  <c r="P557" i="2"/>
  <c r="O169" i="2"/>
  <c r="P167" i="2"/>
  <c r="O623" i="2"/>
  <c r="P621" i="2"/>
  <c r="O527" i="2"/>
  <c r="P525" i="2"/>
  <c r="O279" i="2"/>
  <c r="P277" i="2"/>
  <c r="O191" i="2"/>
  <c r="P189" i="2"/>
  <c r="O55" i="2"/>
  <c r="P53" i="2"/>
  <c r="O125" i="2"/>
  <c r="P123" i="2"/>
  <c r="O47" i="2"/>
  <c r="P47" i="2" s="1"/>
  <c r="P45" i="2"/>
  <c r="O297" i="2"/>
  <c r="P295" i="2"/>
  <c r="O473" i="2"/>
  <c r="P471" i="2"/>
  <c r="O499" i="2"/>
  <c r="P497" i="2"/>
  <c r="O375" i="2"/>
  <c r="P373" i="2"/>
  <c r="O543" i="2"/>
  <c r="P541" i="2"/>
  <c r="O407" i="2"/>
  <c r="P405" i="2"/>
  <c r="O335" i="2"/>
  <c r="P333" i="2"/>
  <c r="O199" i="2"/>
  <c r="P197" i="2"/>
  <c r="P85" i="2"/>
  <c r="O583" i="2"/>
  <c r="P581" i="2"/>
  <c r="O439" i="2"/>
  <c r="O239" i="2"/>
  <c r="P237" i="2"/>
  <c r="O151" i="2"/>
  <c r="P149" i="2"/>
  <c r="P31" i="2"/>
  <c r="O33" i="2"/>
  <c r="O109" i="2"/>
  <c r="P107" i="2"/>
  <c r="O19" i="2" l="1"/>
  <c r="P19" i="2" s="1"/>
  <c r="P17" i="2"/>
  <c r="O11" i="2"/>
  <c r="P11" i="2" s="1"/>
  <c r="P9" i="2"/>
  <c r="O269" i="2"/>
  <c r="P267" i="2"/>
  <c r="O241" i="2"/>
  <c r="P239" i="2"/>
  <c r="O585" i="2"/>
  <c r="P585" i="2" s="1"/>
  <c r="P583" i="2"/>
  <c r="O201" i="2"/>
  <c r="P201" i="2" s="1"/>
  <c r="P199" i="2"/>
  <c r="O409" i="2"/>
  <c r="P407" i="2"/>
  <c r="O377" i="2"/>
  <c r="P375" i="2"/>
  <c r="O299" i="2"/>
  <c r="P297" i="2"/>
  <c r="O127" i="2"/>
  <c r="P125" i="2"/>
  <c r="O193" i="2"/>
  <c r="P193" i="2" s="1"/>
  <c r="P191" i="2"/>
  <c r="O529" i="2"/>
  <c r="P527" i="2"/>
  <c r="O171" i="2"/>
  <c r="P169" i="2"/>
  <c r="O257" i="2"/>
  <c r="P255" i="2"/>
  <c r="O457" i="2"/>
  <c r="P455" i="2"/>
  <c r="P65" i="2"/>
  <c r="O67" i="2"/>
  <c r="O425" i="2"/>
  <c r="P423" i="2"/>
  <c r="O321" i="2"/>
  <c r="P321" i="2" s="1"/>
  <c r="P319" i="2"/>
  <c r="O111" i="2"/>
  <c r="P109" i="2"/>
  <c r="O153" i="2"/>
  <c r="P151" i="2"/>
  <c r="O441" i="2"/>
  <c r="P439" i="2"/>
  <c r="O89" i="2"/>
  <c r="P87" i="2"/>
  <c r="P335" i="2"/>
  <c r="O337" i="2"/>
  <c r="P337" i="2" s="1"/>
  <c r="O545" i="2"/>
  <c r="P543" i="2"/>
  <c r="O501" i="2"/>
  <c r="P499" i="2"/>
  <c r="O475" i="2"/>
  <c r="P473" i="2"/>
  <c r="O57" i="2"/>
  <c r="P55" i="2"/>
  <c r="O281" i="2"/>
  <c r="P279" i="2"/>
  <c r="O625" i="2"/>
  <c r="P623" i="2"/>
  <c r="O561" i="2"/>
  <c r="P559" i="2"/>
  <c r="O369" i="2"/>
  <c r="P369" i="2" s="1"/>
  <c r="P367" i="2"/>
  <c r="O593" i="2"/>
  <c r="P591" i="2"/>
  <c r="O209" i="2"/>
  <c r="P207" i="2"/>
  <c r="O225" i="2"/>
  <c r="P223" i="2"/>
  <c r="O571" i="2"/>
  <c r="P569" i="2"/>
  <c r="O35" i="2"/>
  <c r="P33" i="2"/>
  <c r="O271" i="2" l="1"/>
  <c r="P269" i="2"/>
  <c r="O573" i="2"/>
  <c r="P571" i="2"/>
  <c r="O211" i="2"/>
  <c r="P209" i="2"/>
  <c r="O627" i="2"/>
  <c r="P625" i="2"/>
  <c r="O59" i="2"/>
  <c r="P59" i="2" s="1"/>
  <c r="P57" i="2"/>
  <c r="O503" i="2"/>
  <c r="P501" i="2"/>
  <c r="O443" i="2"/>
  <c r="P441" i="2"/>
  <c r="P111" i="2"/>
  <c r="O113" i="2"/>
  <c r="O427" i="2"/>
  <c r="P425" i="2"/>
  <c r="O459" i="2"/>
  <c r="P457" i="2"/>
  <c r="O173" i="2"/>
  <c r="P171" i="2"/>
  <c r="O301" i="2"/>
  <c r="P299" i="2"/>
  <c r="O379" i="2"/>
  <c r="P377" i="2"/>
  <c r="O243" i="2"/>
  <c r="P241" i="2"/>
  <c r="O69" i="2"/>
  <c r="P67" i="2"/>
  <c r="O37" i="2"/>
  <c r="P35" i="2"/>
  <c r="O227" i="2"/>
  <c r="P225" i="2"/>
  <c r="O595" i="2"/>
  <c r="P593" i="2"/>
  <c r="O563" i="2"/>
  <c r="P563" i="2" s="1"/>
  <c r="P561" i="2"/>
  <c r="O283" i="2"/>
  <c r="P281" i="2"/>
  <c r="O477" i="2"/>
  <c r="P475" i="2"/>
  <c r="O547" i="2"/>
  <c r="P545" i="2"/>
  <c r="O91" i="2"/>
  <c r="P89" i="2"/>
  <c r="O155" i="2"/>
  <c r="P153" i="2"/>
  <c r="O259" i="2"/>
  <c r="P257" i="2"/>
  <c r="O531" i="2"/>
  <c r="P529" i="2"/>
  <c r="O129" i="2"/>
  <c r="P127" i="2"/>
  <c r="O411" i="2"/>
  <c r="P409" i="2"/>
  <c r="O273" i="2" l="1"/>
  <c r="P273" i="2" s="1"/>
  <c r="P271" i="2"/>
  <c r="O131" i="2"/>
  <c r="P129" i="2"/>
  <c r="O261" i="2"/>
  <c r="P261" i="2" s="1"/>
  <c r="P259" i="2"/>
  <c r="O93" i="2"/>
  <c r="P91" i="2"/>
  <c r="O479" i="2"/>
  <c r="P477" i="2"/>
  <c r="O229" i="2"/>
  <c r="P227" i="2"/>
  <c r="O71" i="2"/>
  <c r="P69" i="2"/>
  <c r="O381" i="2"/>
  <c r="P379" i="2"/>
  <c r="O175" i="2"/>
  <c r="P173" i="2"/>
  <c r="O429" i="2"/>
  <c r="P429" i="2" s="1"/>
  <c r="P427" i="2"/>
  <c r="O445" i="2"/>
  <c r="P445" i="2" s="1"/>
  <c r="P443" i="2"/>
  <c r="O213" i="2"/>
  <c r="P211" i="2"/>
  <c r="O115" i="2"/>
  <c r="P113" i="2"/>
  <c r="O413" i="2"/>
  <c r="P413" i="2" s="1"/>
  <c r="P411" i="2"/>
  <c r="O533" i="2"/>
  <c r="P533" i="2" s="1"/>
  <c r="P531" i="2"/>
  <c r="O157" i="2"/>
  <c r="P155" i="2"/>
  <c r="O549" i="2"/>
  <c r="P547" i="2"/>
  <c r="O285" i="2"/>
  <c r="P283" i="2"/>
  <c r="O597" i="2"/>
  <c r="P595" i="2"/>
  <c r="O39" i="2"/>
  <c r="P39" i="2" s="1"/>
  <c r="P37" i="2"/>
  <c r="O245" i="2"/>
  <c r="P245" i="2" s="1"/>
  <c r="P243" i="2"/>
  <c r="O303" i="2"/>
  <c r="P301" i="2"/>
  <c r="O461" i="2"/>
  <c r="P459" i="2"/>
  <c r="O505" i="2"/>
  <c r="P505" i="2" s="1"/>
  <c r="P503" i="2"/>
  <c r="O629" i="2"/>
  <c r="P627" i="2"/>
  <c r="O575" i="2"/>
  <c r="P575" i="2" s="1"/>
  <c r="P573" i="2"/>
  <c r="O305" i="2" l="1"/>
  <c r="P303" i="2"/>
  <c r="O287" i="2"/>
  <c r="P285" i="2"/>
  <c r="O159" i="2"/>
  <c r="P157" i="2"/>
  <c r="O215" i="2"/>
  <c r="P215" i="2" s="1"/>
  <c r="P213" i="2"/>
  <c r="O383" i="2"/>
  <c r="P381" i="2"/>
  <c r="O231" i="2"/>
  <c r="P229" i="2"/>
  <c r="O95" i="2"/>
  <c r="P93" i="2"/>
  <c r="O133" i="2"/>
  <c r="P131" i="2"/>
  <c r="O631" i="2"/>
  <c r="P631" i="2" s="1"/>
  <c r="P629" i="2"/>
  <c r="O463" i="2"/>
  <c r="P461" i="2"/>
  <c r="O599" i="2"/>
  <c r="P597" i="2"/>
  <c r="O551" i="2"/>
  <c r="P551" i="2" s="1"/>
  <c r="P549" i="2"/>
  <c r="O117" i="2"/>
  <c r="P117" i="2" s="1"/>
  <c r="P115" i="2"/>
  <c r="O177" i="2"/>
  <c r="P175" i="2"/>
  <c r="O73" i="2"/>
  <c r="P71" i="2"/>
  <c r="O481" i="2"/>
  <c r="P479" i="2"/>
  <c r="O483" i="2" l="1"/>
  <c r="P481" i="2"/>
  <c r="O179" i="2"/>
  <c r="P179" i="2" s="1"/>
  <c r="P177" i="2"/>
  <c r="O465" i="2"/>
  <c r="P463" i="2"/>
  <c r="O135" i="2"/>
  <c r="P133" i="2"/>
  <c r="O233" i="2"/>
  <c r="P233" i="2" s="1"/>
  <c r="P231" i="2"/>
  <c r="O289" i="2"/>
  <c r="P287" i="2"/>
  <c r="O75" i="2"/>
  <c r="P73" i="2"/>
  <c r="O601" i="2"/>
  <c r="P601" i="2" s="1"/>
  <c r="P599" i="2"/>
  <c r="O97" i="2"/>
  <c r="P95" i="2"/>
  <c r="O385" i="2"/>
  <c r="P385" i="2" s="1"/>
  <c r="P383" i="2"/>
  <c r="O161" i="2"/>
  <c r="P159" i="2"/>
  <c r="O307" i="2"/>
  <c r="P305" i="2"/>
  <c r="O163" i="2" l="1"/>
  <c r="P163" i="2" s="1"/>
  <c r="P161" i="2"/>
  <c r="O99" i="2"/>
  <c r="P99" i="2" s="1"/>
  <c r="P97" i="2"/>
  <c r="O77" i="2"/>
  <c r="P75" i="2"/>
  <c r="O467" i="2"/>
  <c r="P467" i="2" s="1"/>
  <c r="P465" i="2"/>
  <c r="O485" i="2"/>
  <c r="P483" i="2"/>
  <c r="O309" i="2"/>
  <c r="P309" i="2" s="1"/>
  <c r="P307" i="2"/>
  <c r="O291" i="2"/>
  <c r="P291" i="2" s="1"/>
  <c r="P289" i="2"/>
  <c r="O137" i="2"/>
  <c r="P135" i="2"/>
  <c r="O139" i="2" l="1"/>
  <c r="P137" i="2"/>
  <c r="O487" i="2"/>
  <c r="P485" i="2"/>
  <c r="O79" i="2"/>
  <c r="P77" i="2"/>
  <c r="O81" i="2" l="1"/>
  <c r="P81" i="2" s="1"/>
  <c r="P79" i="2"/>
  <c r="O141" i="2"/>
  <c r="P139" i="2"/>
  <c r="O489" i="2"/>
  <c r="P487" i="2"/>
  <c r="P141" i="2" l="1"/>
  <c r="O491" i="2"/>
  <c r="P491" i="2" s="1"/>
  <c r="P489" i="2"/>
</calcChain>
</file>

<file path=xl/sharedStrings.xml><?xml version="1.0" encoding="utf-8"?>
<sst xmlns="http://schemas.openxmlformats.org/spreadsheetml/2006/main" count="3000" uniqueCount="631">
  <si>
    <t>STRATEGY RULES</t>
  </si>
  <si>
    <t xml:space="preserve">  Strategy</t>
  </si>
  <si>
    <t>Index</t>
  </si>
  <si>
    <t>NIFTY</t>
  </si>
  <si>
    <t>Backtest Date Range</t>
  </si>
  <si>
    <t>2019-03-29 → 2026-06-30</t>
  </si>
  <si>
    <t>Expiry</t>
  </si>
  <si>
    <t>Weekly</t>
  </si>
  <si>
    <t>Entry / Exit DTE</t>
  </si>
  <si>
    <t>T-1 to T-1</t>
  </si>
  <si>
    <t>Square-off Mode</t>
  </si>
  <si>
    <t>partial</t>
  </si>
  <si>
    <t>Rollover</t>
  </si>
  <si>
    <t>Yes (min 0 days to expiry)</t>
  </si>
  <si>
    <t>Spot Adjustment</t>
  </si>
  <si>
    <t>No</t>
  </si>
  <si>
    <t>Strike Shift Fallback</t>
  </si>
  <si>
    <t>1 step(s)</t>
  </si>
  <si>
    <t>Cost / Charges</t>
  </si>
  <si>
    <t>Disabled</t>
  </si>
  <si>
    <t>Filter</t>
  </si>
  <si>
    <t>Base 2 Bull With MFI_Ex TROC_Ex 1st Month</t>
  </si>
  <si>
    <t xml:space="preserve">  Leg 1 — CE Sell (Options)</t>
  </si>
  <si>
    <t>Position</t>
  </si>
  <si>
    <t>Sell</t>
  </si>
  <si>
    <t>Lots</t>
  </si>
  <si>
    <t>1</t>
  </si>
  <si>
    <t>Option Type</t>
  </si>
  <si>
    <t>CE</t>
  </si>
  <si>
    <t>Strike Selection</t>
  </si>
  <si>
    <t>ATM</t>
  </si>
  <si>
    <t>Strike Gap</t>
  </si>
  <si>
    <t>100</t>
  </si>
  <si>
    <t>Rollover Strike Mode</t>
  </si>
  <si>
    <t>Fresh</t>
  </si>
  <si>
    <t>Yes (Rise or Fall 1%)</t>
  </si>
  <si>
    <t>Slippage</t>
  </si>
  <si>
    <t xml:space="preserve">  Leg 2 — PE Buy (Options)</t>
  </si>
  <si>
    <t>Buy</t>
  </si>
  <si>
    <t>Monthly</t>
  </si>
  <si>
    <t>PE</t>
  </si>
  <si>
    <t>Yes (Rise or Fall 3%)</t>
  </si>
  <si>
    <t xml:space="preserve">  Leg 3 — NIFTYMIDCAP100 Buy (Midcap Overlay)</t>
  </si>
  <si>
    <t>Pricing Mode</t>
  </si>
  <si>
    <t>Hypothetical Future</t>
  </si>
  <si>
    <t>Cost % / month</t>
  </si>
  <si>
    <t>0.5</t>
  </si>
  <si>
    <t>Trade</t>
  </si>
  <si>
    <t>Leg</t>
  </si>
  <si>
    <t>Entry Date</t>
  </si>
  <si>
    <t>Exit Date</t>
  </si>
  <si>
    <t>Entry Spot</t>
  </si>
  <si>
    <t>Exit Spot</t>
  </si>
  <si>
    <t>Spot P&amp;L</t>
  </si>
  <si>
    <t>Spot P&amp;L %</t>
  </si>
  <si>
    <t>Type</t>
  </si>
  <si>
    <t>Strike</t>
  </si>
  <si>
    <t>B/S</t>
  </si>
  <si>
    <t>Qty</t>
  </si>
  <si>
    <t>Entry Price</t>
  </si>
  <si>
    <t>Exit Price</t>
  </si>
  <si>
    <t>MAE</t>
  </si>
  <si>
    <t>MFE</t>
  </si>
  <si>
    <t>CE P&amp;L</t>
  </si>
  <si>
    <t>CE P&amp;L %</t>
  </si>
  <si>
    <t>PE P&amp;L</t>
  </si>
  <si>
    <t>PE P&amp;L %</t>
  </si>
  <si>
    <t>Midcap Entry Spot</t>
  </si>
  <si>
    <t>Midcap Exit Spot</t>
  </si>
  <si>
    <t>Midcap Spot P&amp;L</t>
  </si>
  <si>
    <t>Midcap Spot P&amp;L %</t>
  </si>
  <si>
    <t>Midcap No Of Days</t>
  </si>
  <si>
    <t>Midcap Rollover Cost %</t>
  </si>
  <si>
    <t>Midcap Hypo P&amp;L</t>
  </si>
  <si>
    <t>Midcap Hypo P&amp;L %</t>
  </si>
  <si>
    <t>Midcap MAE</t>
  </si>
  <si>
    <t>Midcap MFE</t>
  </si>
  <si>
    <t>Combined Net P&amp;L</t>
  </si>
  <si>
    <t>Combined Net P&amp;L %</t>
  </si>
  <si>
    <t>Combined Cumulative</t>
  </si>
  <si>
    <t>Combined Peak</t>
  </si>
  <si>
    <t>Combined DD</t>
  </si>
  <si>
    <t>Combined %DD</t>
  </si>
  <si>
    <t>Combined Net MAE 1</t>
  </si>
  <si>
    <t>Combined Net MAE 2</t>
  </si>
  <si>
    <t>Combined Final MAE</t>
  </si>
  <si>
    <t>Combined Lowest NAV</t>
  </si>
  <si>
    <t>Combined Actual Live DD</t>
  </si>
  <si>
    <t>Exit Reason</t>
  </si>
  <si>
    <t>SELL</t>
  </si>
  <si>
    <t>SCHEDULED_EXIT</t>
  </si>
  <si>
    <t>BUY</t>
  </si>
  <si>
    <t>SCHEDULED_EXIT+SPOT_ADJ_RISE (Leg 1 CE Weekly)</t>
  </si>
  <si>
    <t>SPOT_ADJ_FALL (Leg 1 CE Weekly)</t>
  </si>
  <si>
    <t>FILTER_END</t>
  </si>
  <si>
    <t>SPOT_ADJ_FALL (Leg 2 PE Monthly)</t>
  </si>
  <si>
    <t>SPOT_ADJ_RISE (Leg 1 CE Weekly)</t>
  </si>
  <si>
    <t>SCHEDULED_EXIT+SPOT_ADJ_FALL (Leg 1 CE Weekly)</t>
  </si>
  <si>
    <t>SPOT_ADJ_FALL (Leg 1 CE Weekly) + SPOT_ADJ_FALL (Leg 2 PE Monthly)</t>
  </si>
  <si>
    <t>FILTER_END+SPOT_ADJ_FALL (Leg 1 CE Weekly) + SPOT_ADJ_FALL (Leg 2 PE Monthly)</t>
  </si>
  <si>
    <t>SPOT_ADJ_RISE (Leg 2 PE Monthly)</t>
  </si>
  <si>
    <t>SPOT_ADJ_RISE (Leg 1 CE Weekly) + SPOT_ADJ_RISE (Leg 2 PE Monthly)</t>
  </si>
  <si>
    <t>FILTER_END+SPOT_ADJ_FALL (Leg 1 CE Weekly)</t>
  </si>
  <si>
    <t>SCHEDULED_EXIT+SPOT_ADJ_RISE (Leg 2 PE Monthly)</t>
  </si>
  <si>
    <t>SCHEDULED_EXIT+SPOT_ADJ_FALL (Leg 1 CE Weekly) + SPOT_ADJ_FALL (Leg 2 PE Monthly)</t>
  </si>
  <si>
    <t xml:space="preserve">  BACKTEST SUMMARY REPORT</t>
  </si>
  <si>
    <t>NIFTY_SELL_CE_ATM_WEEKLY_BUY_PE_ATM_MONTHLY_BUY_MIDCAP100_Hypothetical_Future_T1_T1   ·   2019-03-29 → 2026-06-30   ·   Generated: 29 Jul 2026</t>
  </si>
  <si>
    <t xml:space="preserve">  PERFORMANCE OVERVIEW</t>
  </si>
  <si>
    <t>Overall Profit</t>
  </si>
  <si>
    <t>+30.52%</t>
  </si>
  <si>
    <t>No. of Trades</t>
  </si>
  <si>
    <t>Win %</t>
  </si>
  <si>
    <t>55.56%</t>
  </si>
  <si>
    <t>Loss %</t>
  </si>
  <si>
    <t>44.44%</t>
  </si>
  <si>
    <t>Avg Profit on Winners</t>
  </si>
  <si>
    <t>0.81%</t>
  </si>
  <si>
    <t>Avg Loss on Losers</t>
  </si>
  <si>
    <t>-0.80%</t>
  </si>
  <si>
    <t>Avg Profit per Trade</t>
  </si>
  <si>
    <t>+50.41</t>
  </si>
  <si>
    <t>Expectancy Ratio</t>
  </si>
  <si>
    <t>0.1218</t>
  </si>
  <si>
    <t>Net P/L Avg %</t>
  </si>
  <si>
    <t>+0.0969%</t>
  </si>
  <si>
    <t>Max Profit (Single Trade)</t>
  </si>
  <si>
    <t>₹1,381.36</t>
  </si>
  <si>
    <t>Max Loss (Single Trade)</t>
  </si>
  <si>
    <t>₹-3,152.29</t>
  </si>
  <si>
    <t>CAGR (Options)</t>
  </si>
  <si>
    <t>+0.25%</t>
  </si>
  <si>
    <t>CAGR (Spot)</t>
  </si>
  <si>
    <t>+10.47%</t>
  </si>
  <si>
    <t>Sum</t>
  </si>
  <si>
    <t>%</t>
  </si>
  <si>
    <t>ROI vs Spot</t>
  </si>
  <si>
    <t>7,346.70</t>
  </si>
  <si>
    <t>+34.83%</t>
  </si>
  <si>
    <t>-40.90</t>
  </si>
  <si>
    <t>-0.46%</t>
  </si>
  <si>
    <t>-3,305.55</t>
  </si>
  <si>
    <t>-15.36%</t>
  </si>
  <si>
    <t>CE + PE P&amp;L</t>
  </si>
  <si>
    <t>-3,346.45</t>
  </si>
  <si>
    <t>-15.82%</t>
  </si>
  <si>
    <t>NIFTYMIDCAP100 Hypothetical Future P&amp;L</t>
  </si>
  <si>
    <t>19,225.98</t>
  </si>
  <si>
    <t>+46.33%</t>
  </si>
  <si>
    <t>CE + PE + NIFTYMIDCAP100 Hypothetical Future P&amp;L</t>
  </si>
  <si>
    <t>15,879.53</t>
  </si>
  <si>
    <t>+30.51%</t>
  </si>
  <si>
    <t>Net P&amp;L</t>
  </si>
  <si>
    <t xml:space="preserve">  RISK METRICS</t>
  </si>
  <si>
    <t>Max Drawdown</t>
  </si>
  <si>
    <t>-8.10%</t>
  </si>
  <si>
    <t>Max DD Days</t>
  </si>
  <si>
    <t>107</t>
  </si>
  <si>
    <t>Drawdown Period:  2022-09-07  →  2022-12-23</t>
  </si>
  <si>
    <t>Return / MaxDD</t>
  </si>
  <si>
    <t>0.0003</t>
  </si>
  <si>
    <t xml:space="preserve">  CONSISTENCY &amp; STREAKS</t>
  </si>
  <si>
    <t>Max Win Streak</t>
  </si>
  <si>
    <t>12 trades</t>
  </si>
  <si>
    <t>Max Losing Streak</t>
  </si>
  <si>
    <t>5 trades</t>
  </si>
  <si>
    <t xml:space="preserve">  MONTHLY RETURNS (₹ Net P&amp;L)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</si>
  <si>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</si>
  <si>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</si>
  <si>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</si>
  <si>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</si>
  <si>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</si>
  <si>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</si>
  <si>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</si>
  <si>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</si>
  <si>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</si>
  <si>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</si>
  <si>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</si>
  <si>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</si>
  <si>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</si>
  <si>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</si>
  <si>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Max DD</t>
  </si>
  <si>
    <t>R/MDD</t>
  </si>
  <si>
    <t>2019</t>
  </si>
  <si>
    <t>2020</t>
  </si>
  <si>
    <t>2022</t>
  </si>
  <si>
    <t>2023</t>
  </si>
  <si>
    <t>2024</t>
  </si>
  <si>
    <t>2025</t>
  </si>
  <si>
    <t>2026</t>
  </si>
  <si>
    <t xml:space="preserve">  MONTHLY RETURNS (% Net P&amp;L)</t>
  </si>
  <si>
    <t xml:space="preserve">  LIVE DD &amp; OUTLIER ANALYSIS</t>
  </si>
  <si>
    <t>Actual Live DD (min)</t>
  </si>
  <si>
    <t>-8.17%</t>
  </si>
  <si>
    <t>Avg Actual Live DD</t>
  </si>
  <si>
    <t>-1.93%</t>
  </si>
  <si>
    <t>Avg Combined Final MAE</t>
  </si>
  <si>
    <t>-0.41%</t>
  </si>
  <si>
    <t>CAR/MDD (Booked)</t>
  </si>
  <si>
    <t>CAR/MDD Live</t>
  </si>
  <si>
    <t>+ve Outlier 1</t>
  </si>
  <si>
    <t>+3.17%</t>
  </si>
  <si>
    <t>-ve Outlier 1</t>
  </si>
  <si>
    <t>-4.78%</t>
  </si>
  <si>
    <t>Actual Live DD Without Outlier 1</t>
  </si>
  <si>
    <t>Avg Actual Live DD Without Outlier 1</t>
  </si>
  <si>
    <t>-1.86%</t>
  </si>
  <si>
    <t>+ve Outlier 2</t>
  </si>
  <si>
    <t>+6.31%</t>
  </si>
  <si>
    <t>-ve Outlier 2</t>
  </si>
  <si>
    <t>-8.53%</t>
  </si>
  <si>
    <t>Actual Live DD Without Outlier 2</t>
  </si>
  <si>
    <t>Avg Actual Live DD Without Outlier 2</t>
  </si>
  <si>
    <t>+ve Outlier 3</t>
  </si>
  <si>
    <t>+9.05%</t>
  </si>
  <si>
    <t>-ve Outlier 3</t>
  </si>
  <si>
    <t>-11.87%</t>
  </si>
  <si>
    <t>Actual Live DD Without Outlier 3</t>
  </si>
  <si>
    <t>Avg Actual Live DD Without Outlier 3</t>
  </si>
  <si>
    <t>-1.83%</t>
  </si>
  <si>
    <t>CE + PE + NIFTYMIDCAP100 Hypothetical Future P&amp;L % Without Top 1 Outliers</t>
  </si>
  <si>
    <t>+32.12%</t>
  </si>
  <si>
    <t>CE + PE + NIFTYMIDCAP100 Hypothetical Future P&amp;L % Without Top 2 Outliers</t>
  </si>
  <si>
    <t>+32.73%</t>
  </si>
  <si>
    <t>CE + PE + NIFTYMIDCAP100 Hypothetical Future P&amp;L % Without Top 3 Outliers</t>
  </si>
  <si>
    <t>+33.34%</t>
  </si>
  <si>
    <t>Midcap Future</t>
  </si>
  <si>
    <t>Nifty CE + PE</t>
  </si>
  <si>
    <t>Nifty CE + PE + Midcap Future</t>
  </si>
  <si>
    <t>Phase wise Distribution</t>
  </si>
  <si>
    <t>cumm</t>
  </si>
  <si>
    <t>Peak</t>
  </si>
  <si>
    <t>Close</t>
  </si>
  <si>
    <t>Hypo MAE</t>
  </si>
  <si>
    <t>Lowest NAV</t>
  </si>
  <si>
    <t>Live DD</t>
  </si>
  <si>
    <t>Entry</t>
  </si>
  <si>
    <t>Exit</t>
  </si>
  <si>
    <t>CAGR</t>
  </si>
  <si>
    <t>Future P&amp;L %</t>
  </si>
  <si>
    <t>Net P&amp;L %</t>
  </si>
  <si>
    <t>Cumulative</t>
  </si>
  <si>
    <t>DD</t>
  </si>
  <si>
    <t>%DD</t>
  </si>
  <si>
    <t>Actual Live DD</t>
  </si>
  <si>
    <t>29-03-2019</t>
  </si>
  <si>
    <t>03-04-2019</t>
  </si>
  <si>
    <t>10-05-2019</t>
  </si>
  <si>
    <t>10-04-2019</t>
  </si>
  <si>
    <t>30-09-2019</t>
  </si>
  <si>
    <t>28-02-2020</t>
  </si>
  <si>
    <t>16-04-2019</t>
  </si>
  <si>
    <t>29-07-2022</t>
  </si>
  <si>
    <t>23-12-2022</t>
  </si>
  <si>
    <t>22-04-2019</t>
  </si>
  <si>
    <t>28-04-2023</t>
  </si>
  <si>
    <t>28-03-2024</t>
  </si>
  <si>
    <t>24-04-2019</t>
  </si>
  <si>
    <t>30-04-2024</t>
  </si>
  <si>
    <t>25-10-2024</t>
  </si>
  <si>
    <t>30-04-2019</t>
  </si>
  <si>
    <t>28-03-2025</t>
  </si>
  <si>
    <t>23-01-2026</t>
  </si>
  <si>
    <t>06-05-2019</t>
  </si>
  <si>
    <t>30-04-2026</t>
  </si>
  <si>
    <t>29-06-2026</t>
  </si>
  <si>
    <t>08-05-2019</t>
  </si>
  <si>
    <t>01-10-2019</t>
  </si>
  <si>
    <t>04-10-2019</t>
  </si>
  <si>
    <t>07-10-2019</t>
  </si>
  <si>
    <t>09-10-2019</t>
  </si>
  <si>
    <t>15-10-2019</t>
  </si>
  <si>
    <t>16-10-2019</t>
  </si>
  <si>
    <t>17-10-2019</t>
  </si>
  <si>
    <t>23-10-2019</t>
  </si>
  <si>
    <t>29-10-2019</t>
  </si>
  <si>
    <t>30-10-2019</t>
  </si>
  <si>
    <t>06-11-2019</t>
  </si>
  <si>
    <t>13-11-2019</t>
  </si>
  <si>
    <t>20-11-2019</t>
  </si>
  <si>
    <t>27-11-2019</t>
  </si>
  <si>
    <t>04-12-2019</t>
  </si>
  <si>
    <t>06-12-2019</t>
  </si>
  <si>
    <t>11-12-2019</t>
  </si>
  <si>
    <t>13-12-2019</t>
  </si>
  <si>
    <t>18-12-2019</t>
  </si>
  <si>
    <t>24-12-2019</t>
  </si>
  <si>
    <t>01-01-2020</t>
  </si>
  <si>
    <t>06-01-2020</t>
  </si>
  <si>
    <t>08-01-2020</t>
  </si>
  <si>
    <t>09-01-2020</t>
  </si>
  <si>
    <t>14-01-2020</t>
  </si>
  <si>
    <t>15-01-2020</t>
  </si>
  <si>
    <t>21-01-2020</t>
  </si>
  <si>
    <t>22-01-2020</t>
  </si>
  <si>
    <t>24-01-2020</t>
  </si>
  <si>
    <t>27-01-2020</t>
  </si>
  <si>
    <t>29-01-2020</t>
  </si>
  <si>
    <t>31-01-2020</t>
  </si>
  <si>
    <t>01-02-2020</t>
  </si>
  <si>
    <t>04-02-2020</t>
  </si>
  <si>
    <t>05-02-2020</t>
  </si>
  <si>
    <t>12-02-2020</t>
  </si>
  <si>
    <t>17-02-2020</t>
  </si>
  <si>
    <t>19-02-2020</t>
  </si>
  <si>
    <t>24-02-2020</t>
  </si>
  <si>
    <t>26-02-2020</t>
  </si>
  <si>
    <t>01-08-2022</t>
  </si>
  <si>
    <t>03-08-2022</t>
  </si>
  <si>
    <t>10-08-2022</t>
  </si>
  <si>
    <t>12-08-2022</t>
  </si>
  <si>
    <t>17-08-2022</t>
  </si>
  <si>
    <t>19-08-2022</t>
  </si>
  <si>
    <t>22-08-2022</t>
  </si>
  <si>
    <t>24-08-2022</t>
  </si>
  <si>
    <t>29-08-2022</t>
  </si>
  <si>
    <t>30-08-2022</t>
  </si>
  <si>
    <t>01-09-2022</t>
  </si>
  <si>
    <t>07-09-2022</t>
  </si>
  <si>
    <t>09-09-2022</t>
  </si>
  <si>
    <t>13-09-2022</t>
  </si>
  <si>
    <t>14-09-2022</t>
  </si>
  <si>
    <t>16-09-2022</t>
  </si>
  <si>
    <t>20-09-2022</t>
  </si>
  <si>
    <t>21-09-2022</t>
  </si>
  <si>
    <t>23-09-2022</t>
  </si>
  <si>
    <t>26-09-2022</t>
  </si>
  <si>
    <t>28-09-2022</t>
  </si>
  <si>
    <t>30-09-2022</t>
  </si>
  <si>
    <t>03-10-2022</t>
  </si>
  <si>
    <t>04-10-2022</t>
  </si>
  <si>
    <t>11-10-2022</t>
  </si>
  <si>
    <t>12-10-2022</t>
  </si>
  <si>
    <t>17-10-2022</t>
  </si>
  <si>
    <t>18-10-2022</t>
  </si>
  <si>
    <t>19-10-2022</t>
  </si>
  <si>
    <t>24-10-2022</t>
  </si>
  <si>
    <t>25-10-2022</t>
  </si>
  <si>
    <t>31-10-2022</t>
  </si>
  <si>
    <t>02-11-2022</t>
  </si>
  <si>
    <t>07-11-2022</t>
  </si>
  <si>
    <t>09-11-2022</t>
  </si>
  <si>
    <t>11-11-2022</t>
  </si>
  <si>
    <t>16-11-2022</t>
  </si>
  <si>
    <t>21-11-2022</t>
  </si>
  <si>
    <t>23-11-2022</t>
  </si>
  <si>
    <t>24-11-2022</t>
  </si>
  <si>
    <t>30-11-2022</t>
  </si>
  <si>
    <t>07-12-2022</t>
  </si>
  <si>
    <t>14-12-2022</t>
  </si>
  <si>
    <t>15-12-2022</t>
  </si>
  <si>
    <t>21-12-2022</t>
  </si>
  <si>
    <t>03-05-2023</t>
  </si>
  <si>
    <t>10-05-2023</t>
  </si>
  <si>
    <t>17-05-2023</t>
  </si>
  <si>
    <t>24-05-2023</t>
  </si>
  <si>
    <t>26-05-2023</t>
  </si>
  <si>
    <t>31-05-2023</t>
  </si>
  <si>
    <t>07-06-2023</t>
  </si>
  <si>
    <t>14-06-2023</t>
  </si>
  <si>
    <t>21-06-2023</t>
  </si>
  <si>
    <t>23-06-2023</t>
  </si>
  <si>
    <t>27-06-2023</t>
  </si>
  <si>
    <t>30-06-2023</t>
  </si>
  <si>
    <t>04-07-2023</t>
  </si>
  <si>
    <t>05-07-2023</t>
  </si>
  <si>
    <t>12-07-2023</t>
  </si>
  <si>
    <t>17-07-2023</t>
  </si>
  <si>
    <t>19-07-2023</t>
  </si>
  <si>
    <t>20-07-2023</t>
  </si>
  <si>
    <t>21-07-2023</t>
  </si>
  <si>
    <t>26-07-2023</t>
  </si>
  <si>
    <t>02-08-2023</t>
  </si>
  <si>
    <t>09-08-2023</t>
  </si>
  <si>
    <t>11-08-2023</t>
  </si>
  <si>
    <t>16-08-2023</t>
  </si>
  <si>
    <t>23-08-2023</t>
  </si>
  <si>
    <t>30-08-2023</t>
  </si>
  <si>
    <t>05-09-2023</t>
  </si>
  <si>
    <t>06-09-2023</t>
  </si>
  <si>
    <t>08-09-2023</t>
  </si>
  <si>
    <t>11-09-2023</t>
  </si>
  <si>
    <t>13-09-2023</t>
  </si>
  <si>
    <t>20-09-2023</t>
  </si>
  <si>
    <t>22-09-2023</t>
  </si>
  <si>
    <t>27-09-2023</t>
  </si>
  <si>
    <t>04-10-2023</t>
  </si>
  <si>
    <t>06-10-2023</t>
  </si>
  <si>
    <t>11-10-2023</t>
  </si>
  <si>
    <t>18-10-2023</t>
  </si>
  <si>
    <t>23-10-2023</t>
  </si>
  <si>
    <t>25-10-2023</t>
  </si>
  <si>
    <t>26-10-2023</t>
  </si>
  <si>
    <t>27-10-2023</t>
  </si>
  <si>
    <t>01-11-2023</t>
  </si>
  <si>
    <t>03-11-2023</t>
  </si>
  <si>
    <t>08-11-2023</t>
  </si>
  <si>
    <t>15-11-2023</t>
  </si>
  <si>
    <t>16-11-2023</t>
  </si>
  <si>
    <t>22-11-2023</t>
  </si>
  <si>
    <t>29-11-2023</t>
  </si>
  <si>
    <t>04-12-2023</t>
  </si>
  <si>
    <t>05-12-2023</t>
  </si>
  <si>
    <t>06-12-2023</t>
  </si>
  <si>
    <t>13-12-2023</t>
  </si>
  <si>
    <t>14-12-2023</t>
  </si>
  <si>
    <t>15-12-2023</t>
  </si>
  <si>
    <t>20-12-2023</t>
  </si>
  <si>
    <t>26-12-2023</t>
  </si>
  <si>
    <t>27-12-2023</t>
  </si>
  <si>
    <t>03-01-2024</t>
  </si>
  <si>
    <t>10-01-2024</t>
  </si>
  <si>
    <t>12-01-2024</t>
  </si>
  <si>
    <t>17-01-2024</t>
  </si>
  <si>
    <t>23-01-2024</t>
  </si>
  <si>
    <t>24-01-2024</t>
  </si>
  <si>
    <t>29-01-2024</t>
  </si>
  <si>
    <t>31-01-2024</t>
  </si>
  <si>
    <t>07-02-2024</t>
  </si>
  <si>
    <t>12-02-2024</t>
  </si>
  <si>
    <t>14-02-2024</t>
  </si>
  <si>
    <t>19-02-2024</t>
  </si>
  <si>
    <t>21-02-2024</t>
  </si>
  <si>
    <t>28-02-2024</t>
  </si>
  <si>
    <t>01-03-2024</t>
  </si>
  <si>
    <t>06-03-2024</t>
  </si>
  <si>
    <t>13-03-2024</t>
  </si>
  <si>
    <t>20-03-2024</t>
  </si>
  <si>
    <t>22-03-2024</t>
  </si>
  <si>
    <t>27-03-2024</t>
  </si>
  <si>
    <t>07-05-2024</t>
  </si>
  <si>
    <t>08-05-2024</t>
  </si>
  <si>
    <t>09-05-2024</t>
  </si>
  <si>
    <t>14-05-2024</t>
  </si>
  <si>
    <t>15-05-2024</t>
  </si>
  <si>
    <t>17-05-2024</t>
  </si>
  <si>
    <t>22-05-2024</t>
  </si>
  <si>
    <t>23-05-2024</t>
  </si>
  <si>
    <t>29-05-2024</t>
  </si>
  <si>
    <t>03-06-2024</t>
  </si>
  <si>
    <t>04-06-2024</t>
  </si>
  <si>
    <t>05-06-2024</t>
  </si>
  <si>
    <t>07-06-2024</t>
  </si>
  <si>
    <t>12-06-2024</t>
  </si>
  <si>
    <t>18-06-2024</t>
  </si>
  <si>
    <t>19-06-2024</t>
  </si>
  <si>
    <t>26-06-2024</t>
  </si>
  <si>
    <t>01-07-2024</t>
  </si>
  <si>
    <t>03-07-2024</t>
  </si>
  <si>
    <t>10-07-2024</t>
  </si>
  <si>
    <t>15-07-2024</t>
  </si>
  <si>
    <t>16-07-2024</t>
  </si>
  <si>
    <t>24-07-2024</t>
  </si>
  <si>
    <t>26-07-2024</t>
  </si>
  <si>
    <t>31-07-2024</t>
  </si>
  <si>
    <t>05-08-2024</t>
  </si>
  <si>
    <t>07-08-2024</t>
  </si>
  <si>
    <t>13-08-2024</t>
  </si>
  <si>
    <t>16-08-2024</t>
  </si>
  <si>
    <t>21-08-2024</t>
  </si>
  <si>
    <t>28-08-2024</t>
  </si>
  <si>
    <t>04-09-2024</t>
  </si>
  <si>
    <t>06-09-2024</t>
  </si>
  <si>
    <t>11-09-2024</t>
  </si>
  <si>
    <t>12-09-2024</t>
  </si>
  <si>
    <t>18-09-2024</t>
  </si>
  <si>
    <t>20-09-2024</t>
  </si>
  <si>
    <t>23-09-2024</t>
  </si>
  <si>
    <t>25-09-2024</t>
  </si>
  <si>
    <t>01-10-2024</t>
  </si>
  <si>
    <t>03-10-2024</t>
  </si>
  <si>
    <t>04-10-2024</t>
  </si>
  <si>
    <t>09-10-2024</t>
  </si>
  <si>
    <t>16-10-2024</t>
  </si>
  <si>
    <t>22-10-2024</t>
  </si>
  <si>
    <t>23-10-2024</t>
  </si>
  <si>
    <t>01-04-2025</t>
  </si>
  <si>
    <t>02-04-2025</t>
  </si>
  <si>
    <t>04-04-2025</t>
  </si>
  <si>
    <t>07-04-2025</t>
  </si>
  <si>
    <t>08-04-2025</t>
  </si>
  <si>
    <t>11-04-2025</t>
  </si>
  <si>
    <t>15-04-2025</t>
  </si>
  <si>
    <t>16-04-2025</t>
  </si>
  <si>
    <t>17-04-2025</t>
  </si>
  <si>
    <t>21-04-2025</t>
  </si>
  <si>
    <t>23-04-2025</t>
  </si>
  <si>
    <t>25-04-2025</t>
  </si>
  <si>
    <t>28-04-2025</t>
  </si>
  <si>
    <t>29-04-2025</t>
  </si>
  <si>
    <t>07-05-2025</t>
  </si>
  <si>
    <t>09-05-2025</t>
  </si>
  <si>
    <t>12-05-2025</t>
  </si>
  <si>
    <t>13-05-2025</t>
  </si>
  <si>
    <t>14-05-2025</t>
  </si>
  <si>
    <t>15-05-2025</t>
  </si>
  <si>
    <t>20-05-2025</t>
  </si>
  <si>
    <t>21-05-2025</t>
  </si>
  <si>
    <t>28-05-2025</t>
  </si>
  <si>
    <t>04-06-2025</t>
  </si>
  <si>
    <t>06-06-2025</t>
  </si>
  <si>
    <t>11-06-2025</t>
  </si>
  <si>
    <t>12-06-2025</t>
  </si>
  <si>
    <t>18-06-2025</t>
  </si>
  <si>
    <t>20-06-2025</t>
  </si>
  <si>
    <t>25-06-2025</t>
  </si>
  <si>
    <t>26-06-2025</t>
  </si>
  <si>
    <t>02-07-2025</t>
  </si>
  <si>
    <t>09-07-2025</t>
  </si>
  <si>
    <t>11-07-2025</t>
  </si>
  <si>
    <t>16-07-2025</t>
  </si>
  <si>
    <t>23-07-2025</t>
  </si>
  <si>
    <t>25-07-2025</t>
  </si>
  <si>
    <t>30-07-2025</t>
  </si>
  <si>
    <t>01-08-2025</t>
  </si>
  <si>
    <t>06-08-2025</t>
  </si>
  <si>
    <t>13-08-2025</t>
  </si>
  <si>
    <t>18-08-2025</t>
  </si>
  <si>
    <t>20-08-2025</t>
  </si>
  <si>
    <t>26-08-2025</t>
  </si>
  <si>
    <t>29-08-2025</t>
  </si>
  <si>
    <t>01-09-2025</t>
  </si>
  <si>
    <t>08-09-2025</t>
  </si>
  <si>
    <t>12-09-2025</t>
  </si>
  <si>
    <t>15-09-2025</t>
  </si>
  <si>
    <t>17-09-2025</t>
  </si>
  <si>
    <t>22-09-2025</t>
  </si>
  <si>
    <t>25-09-2025</t>
  </si>
  <si>
    <t>29-09-2025</t>
  </si>
  <si>
    <t>03-10-2025</t>
  </si>
  <si>
    <t>06-10-2025</t>
  </si>
  <si>
    <t>13-10-2025</t>
  </si>
  <si>
    <t>16-10-2025</t>
  </si>
  <si>
    <t>17-10-2025</t>
  </si>
  <si>
    <t>27-10-2025</t>
  </si>
  <si>
    <t>03-11-2025</t>
  </si>
  <si>
    <t>07-11-2025</t>
  </si>
  <si>
    <t>10-11-2025</t>
  </si>
  <si>
    <t>12-11-2025</t>
  </si>
  <si>
    <t>17-11-2025</t>
  </si>
  <si>
    <t>24-11-2025</t>
  </si>
  <si>
    <t>01-12-2025</t>
  </si>
  <si>
    <t>08-12-2025</t>
  </si>
  <si>
    <t>15-12-2025</t>
  </si>
  <si>
    <t>22-12-2025</t>
  </si>
  <si>
    <t>29-12-2025</t>
  </si>
  <si>
    <t>02-01-2026</t>
  </si>
  <si>
    <t>05-01-2026</t>
  </si>
  <si>
    <t>08-01-2026</t>
  </si>
  <si>
    <t>12-01-2026</t>
  </si>
  <si>
    <t>19-01-2026</t>
  </si>
  <si>
    <t>20-01-2026</t>
  </si>
  <si>
    <t>21-01-2026</t>
  </si>
  <si>
    <t>04-05-2026</t>
  </si>
  <si>
    <t>11-05-2026</t>
  </si>
  <si>
    <t>12-05-2026</t>
  </si>
  <si>
    <t>14-05-2026</t>
  </si>
  <si>
    <t>18-05-2026</t>
  </si>
  <si>
    <t>25-05-2026</t>
  </si>
  <si>
    <t>29-05-2026</t>
  </si>
  <si>
    <t>01-06-2026</t>
  </si>
  <si>
    <t>08-06-2026</t>
  </si>
  <si>
    <t>12-06-2026</t>
  </si>
  <si>
    <t>15-06-2026</t>
  </si>
  <si>
    <t>18-06-2026</t>
  </si>
  <si>
    <t>22-06-2026</t>
  </si>
  <si>
    <t>23-06-2026</t>
  </si>
  <si>
    <t>NIFTY_SELL_CE_ATM_WEEKLY_BUY_PE_ATM_MONTHLY_BUY_MIDCAP100_Hypothetical_Future_T1_T1</t>
  </si>
  <si>
    <t>Win avg</t>
  </si>
  <si>
    <t>Loss Avg</t>
  </si>
  <si>
    <t>Expectancy</t>
  </si>
  <si>
    <t>Sharpe</t>
  </si>
  <si>
    <t>Sortino</t>
  </si>
  <si>
    <t>K1</t>
  </si>
  <si>
    <t>K2</t>
  </si>
  <si>
    <t>K3</t>
  </si>
  <si>
    <t>SQN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</si>
  <si>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</si>
  <si>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</si>
  <si>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</si>
  <si>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</si>
  <si>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</si>
  <si>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</si>
  <si>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</si>
  <si>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</si>
  <si>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</si>
  <si>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</si>
  <si>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</si>
  <si>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</si>
  <si>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</si>
  <si>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</si>
  <si>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</si>
  <si>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</si>
  <si>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</si>
  <si>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</si>
  <si>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</si>
  <si>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</si>
  <si>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</si>
  <si>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</si>
  <si>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</si>
  <si>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</si>
  <si>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</si>
  <si>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</si>
  <si>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</si>
  <si>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</si>
  <si>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</si>
  <si>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</si>
  <si>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</si>
  <si>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</si>
  <si>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</si>
  <si>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</si>
  <si>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</si>
  <si>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</si>
  <si>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</si>
  <si>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</si>
  <si>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</si>
  <si>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</si>
  <si>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</si>
  <si>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</si>
  <si>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</si>
  <si>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</si>
  <si>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</si>
  <si>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</si>
  <si>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</si>
  <si>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</si>
  <si>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</si>
  <si>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</si>
  <si>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</si>
  <si>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</si>
  <si>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</si>
  <si>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Live DD %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</si>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</sst>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6" formatCode="#,##0.0000"/>
    <numFmt numFmtId="167" formatCode="0.00&quot;%&quot;"/>
    <numFmt numFmtId="168" formatCode="0.0000"/>
  </numFmts>
  <fonts count="29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C0392B"/>
      <name val="Calibri"/>
      <family val="2"/>
    </font>
    <font>
      <b/>
      <sz val="10"/>
      <color rgb="FF1E7E34"/>
      <name val="Calibri"/>
      <family val="2"/>
    </font>
    <font>
      <b/>
      <sz val="13"/>
      <color rgb="FFFFFFFF"/>
      <name val="Calibri"/>
      <family val="2"/>
    </font>
    <font>
      <sz val="10"/>
      <color rgb="FF555555"/>
      <name val="Calibri"/>
      <family val="2"/>
    </font>
    <font>
      <b/>
      <sz val="11"/>
      <color rgb="FFFFFFFF"/>
      <name val="Calibri"/>
      <family val="2"/>
    </font>
    <font>
      <b/>
      <sz val="10"/>
      <color rgb="FF2C3E50"/>
      <name val="Calibri"/>
      <family val="2"/>
    </font>
    <font>
      <b/>
      <sz val="10"/>
      <color rgb="FF1A1A2E"/>
      <name val="Calibri"/>
      <family val="2"/>
    </font>
    <font>
      <b/>
      <sz val="11"/>
      <color rgb="FF1E7E34"/>
      <name val="Calibri"/>
      <family val="2"/>
    </font>
    <font>
      <b/>
      <sz val="10"/>
      <color rgb="FF1F3864"/>
      <name val="Calibri"/>
      <family val="2"/>
    </font>
    <font>
      <b/>
      <sz val="9"/>
      <color rgb="FF1F3864"/>
      <name val="Calibri"/>
      <family val="2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b/>
      <sz val="7"/>
      <color rgb="FFFFFFFF"/>
      <name val="Calibri"/>
      <family val="2"/>
    </font>
    <font>
      <b/>
      <sz val="8"/>
      <color rgb="FF1F3864"/>
      <name val="Calibri"/>
      <family val="2"/>
    </font>
    <font>
      <b/>
      <sz val="9"/>
      <color rgb="FF1F3864"/>
      <name val="Calibri"/>
      <family val="2"/>
    </font>
    <font>
      <sz val="7"/>
      <color rgb="FF000000"/>
      <name val="Calibri"/>
      <family val="2"/>
    </font>
    <font>
      <sz val="7"/>
      <color rgb="FFC0392B"/>
      <name val="Calibri"/>
      <family val="2"/>
    </font>
    <font>
      <sz val="7"/>
      <color rgb="FF1E7E34"/>
      <name val="Calibri"/>
      <family val="2"/>
    </font>
    <font>
      <sz val="9"/>
      <color rgb="FFC0392B"/>
      <name val="Calibri"/>
      <family val="2"/>
    </font>
    <font>
      <sz val="9"/>
      <color rgb="FF1E7E34"/>
      <name val="Calibri"/>
      <family val="2"/>
    </font>
    <font>
      <b/>
      <sz val="8"/>
      <color rgb="FFFFFFFF"/>
      <name val="Calibri"/>
      <family val="2"/>
    </font>
    <font>
      <b/>
      <sz val="14"/>
      <color rgb="FFFFFFFF"/>
      <name val="Calibri"/>
      <family val="2"/>
    </font>
    <font>
      <sz val="10"/>
      <color rgb="FF1A1A2E"/>
      <name val="Calibri"/>
      <family val="2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FFFFFF"/>
      </patternFill>
    </fill>
    <fill>
      <patternFill patternType="solid">
        <fgColor rgb="FFFDE8E8"/>
      </patternFill>
    </fill>
    <fill>
      <patternFill patternType="solid">
        <fgColor rgb="FFF9FBFD"/>
      </patternFill>
    </fill>
    <fill>
      <patternFill patternType="solid">
        <fgColor rgb="FFD4EFDF"/>
      </patternFill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2C5F8A"/>
      </patternFill>
    </fill>
    <fill>
      <patternFill patternType="solid">
        <fgColor rgb="FFF2F6FA"/>
      </patternFill>
    </fill>
    <fill>
      <patternFill patternType="solid">
        <fgColor rgb="FF1F3864"/>
      </patternFill>
    </fill>
    <fill>
      <patternFill patternType="solid">
        <fgColor rgb="FF2C5F8A"/>
      </patternFill>
    </fill>
    <fill>
      <patternFill patternType="solid">
        <fgColor rgb="FFF2F6FA"/>
      </patternFill>
    </fill>
    <fill>
      <patternFill patternType="solid">
        <fgColor rgb="FF34495E"/>
      </patternFill>
    </fill>
    <fill>
      <patternFill patternType="solid">
        <fgColor rgb="FFD6E4F7"/>
      </patternFill>
    </fill>
    <fill>
      <patternFill patternType="solid">
        <fgColor rgb="FFFDE8E8"/>
      </patternFill>
    </fill>
    <fill>
      <patternFill patternType="solid">
        <fgColor rgb="FFD4EFDF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/>
      <right/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medium">
        <color rgb="FF000000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thin">
        <color rgb="FFB0C4D8"/>
      </right>
      <top/>
      <bottom style="thin">
        <color rgb="FFB0C4D8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27" fillId="0" borderId="0" applyFont="0" applyFill="0" applyBorder="0" applyAlignment="0" applyProtection="0"/>
  </cellStyleXfs>
  <cellXfs count="106">
    <xf numFmtId="0" fontId="0" fillId="0" borderId="0" xfId="0"/>
    <xf numFmtId="0" fontId="8" fillId="10" borderId="1" xfId="0" applyFont="1" applyFill="1" applyBorder="1" applyAlignment="1">
      <alignment horizontal="left" vertical="center"/>
    </xf>
    <xf numFmtId="0" fontId="26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left" vertical="center"/>
    </xf>
    <xf numFmtId="10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left" vertical="center"/>
    </xf>
    <xf numFmtId="4" fontId="3" fillId="4" borderId="1" xfId="0" applyNumberFormat="1" applyFont="1" applyFill="1" applyBorder="1" applyAlignment="1">
      <alignment horizontal="left" vertical="center"/>
    </xf>
    <xf numFmtId="1" fontId="2" fillId="5" borderId="1" xfId="0" applyNumberFormat="1" applyFont="1" applyFill="1" applyBorder="1" applyAlignment="1">
      <alignment horizontal="left" vertical="center"/>
    </xf>
    <xf numFmtId="4" fontId="2" fillId="5" borderId="1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166" fontId="2" fillId="5" borderId="1" xfId="0" applyNumberFormat="1" applyFont="1" applyFill="1" applyBorder="1" applyAlignment="1">
      <alignment horizontal="left" vertical="center"/>
    </xf>
    <xf numFmtId="10" fontId="2" fillId="5" borderId="1" xfId="0" applyNumberFormat="1" applyFont="1" applyFill="1" applyBorder="1" applyAlignment="1">
      <alignment horizontal="left" vertical="center"/>
    </xf>
    <xf numFmtId="4" fontId="4" fillId="6" borderId="1" xfId="0" applyNumberFormat="1" applyFont="1" applyFill="1" applyBorder="1" applyAlignment="1">
      <alignment horizontal="left" vertical="center"/>
    </xf>
    <xf numFmtId="1" fontId="4" fillId="6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0" fontId="2" fillId="5" borderId="1" xfId="0" applyNumberFormat="1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center" vertical="center"/>
    </xf>
    <xf numFmtId="10" fontId="4" fillId="6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10" fontId="15" fillId="13" borderId="2" xfId="0" applyNumberFormat="1" applyFont="1" applyFill="1" applyBorder="1" applyAlignment="1">
      <alignment horizontal="center" vertical="center"/>
    </xf>
    <xf numFmtId="168" fontId="15" fillId="13" borderId="2" xfId="0" applyNumberFormat="1" applyFont="1" applyFill="1" applyBorder="1" applyAlignment="1">
      <alignment horizontal="center" vertical="center"/>
    </xf>
    <xf numFmtId="1" fontId="15" fillId="13" borderId="2" xfId="0" applyNumberFormat="1" applyFont="1" applyFill="1" applyBorder="1" applyAlignment="1">
      <alignment horizontal="center" vertical="center"/>
    </xf>
    <xf numFmtId="2" fontId="15" fillId="13" borderId="2" xfId="0" applyNumberFormat="1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0" fontId="16" fillId="14" borderId="5" xfId="0" applyFont="1" applyFill="1" applyBorder="1" applyAlignment="1">
      <alignment horizontal="center" vertical="center"/>
    </xf>
    <xf numFmtId="0" fontId="17" fillId="15" borderId="2" xfId="0" applyFont="1" applyFill="1" applyBorder="1" applyAlignment="1">
      <alignment horizontal="center" vertical="center"/>
    </xf>
    <xf numFmtId="0" fontId="14" fillId="15" borderId="2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center" vertical="center"/>
    </xf>
    <xf numFmtId="0" fontId="18" fillId="13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0" fontId="20" fillId="16" borderId="7" xfId="0" applyNumberFormat="1" applyFont="1" applyFill="1" applyBorder="1" applyAlignment="1">
      <alignment horizontal="center" vertical="center"/>
    </xf>
    <xf numFmtId="10" fontId="21" fillId="17" borderId="8" xfId="0" applyNumberFormat="1" applyFont="1" applyFill="1" applyBorder="1" applyAlignment="1">
      <alignment horizontal="center" vertical="center"/>
    </xf>
    <xf numFmtId="10" fontId="20" fillId="16" borderId="8" xfId="0" applyNumberFormat="1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0" fontId="20" fillId="16" borderId="9" xfId="0" applyNumberFormat="1" applyFont="1" applyFill="1" applyBorder="1" applyAlignment="1">
      <alignment horizontal="center" vertical="center"/>
    </xf>
    <xf numFmtId="10" fontId="21" fillId="17" borderId="2" xfId="0" applyNumberFormat="1" applyFont="1" applyFill="1" applyBorder="1" applyAlignment="1">
      <alignment horizontal="center" vertical="center"/>
    </xf>
    <xf numFmtId="10" fontId="21" fillId="17" borderId="5" xfId="0" applyNumberFormat="1" applyFont="1" applyFill="1" applyBorder="1" applyAlignment="1">
      <alignment horizontal="center" vertical="center"/>
    </xf>
    <xf numFmtId="10" fontId="20" fillId="16" borderId="2" xfId="0" applyNumberFormat="1" applyFont="1" applyFill="1" applyBorder="1" applyAlignment="1">
      <alignment horizontal="center" vertical="center"/>
    </xf>
    <xf numFmtId="10" fontId="20" fillId="16" borderId="5" xfId="0" applyNumberFormat="1" applyFont="1" applyFill="1" applyBorder="1" applyAlignment="1">
      <alignment horizontal="center" vertical="center"/>
    </xf>
    <xf numFmtId="10" fontId="22" fillId="13" borderId="2" xfId="0" applyNumberFormat="1" applyFont="1" applyFill="1" applyBorder="1" applyAlignment="1">
      <alignment horizontal="center" vertical="center"/>
    </xf>
    <xf numFmtId="10" fontId="22" fillId="16" borderId="2" xfId="0" applyNumberFormat="1" applyFont="1" applyFill="1" applyBorder="1" applyAlignment="1">
      <alignment horizontal="center" vertical="center"/>
    </xf>
    <xf numFmtId="2" fontId="22" fillId="16" borderId="2" xfId="0" applyNumberFormat="1" applyFont="1" applyFill="1" applyBorder="1" applyAlignment="1">
      <alignment horizontal="center" vertical="center"/>
    </xf>
    <xf numFmtId="10" fontId="23" fillId="13" borderId="2" xfId="0" applyNumberFormat="1" applyFont="1" applyFill="1" applyBorder="1" applyAlignment="1">
      <alignment horizontal="center" vertical="center"/>
    </xf>
    <xf numFmtId="2" fontId="23" fillId="17" borderId="2" xfId="0" applyNumberFormat="1" applyFont="1" applyFill="1" applyBorder="1" applyAlignment="1">
      <alignment horizontal="center" vertical="center"/>
    </xf>
    <xf numFmtId="10" fontId="20" fillId="16" borderId="10" xfId="0" applyNumberFormat="1" applyFont="1" applyFill="1" applyBorder="1" applyAlignment="1">
      <alignment horizontal="center" vertical="center"/>
    </xf>
    <xf numFmtId="10" fontId="23" fillId="17" borderId="2" xfId="0" applyNumberFormat="1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7" fillId="9" borderId="0" xfId="0" applyFont="1" applyFill="1" applyAlignment="1">
      <alignment horizontal="left" vertical="center"/>
    </xf>
    <xf numFmtId="0" fontId="0" fillId="0" borderId="0" xfId="0"/>
    <xf numFmtId="0" fontId="25" fillId="7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12" fillId="8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14" fillId="14" borderId="2" xfId="0" applyFont="1" applyFill="1" applyBorder="1" applyAlignment="1">
      <alignment horizontal="center" vertical="center"/>
    </xf>
    <xf numFmtId="0" fontId="0" fillId="0" borderId="6" xfId="0" applyBorder="1"/>
    <xf numFmtId="0" fontId="14" fillId="11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3" fillId="11" borderId="2" xfId="0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left" vertical="center"/>
    </xf>
    <xf numFmtId="14" fontId="2" fillId="5" borderId="1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10" fontId="2" fillId="3" borderId="2" xfId="0" applyNumberFormat="1" applyFont="1" applyFill="1" applyBorder="1" applyAlignment="1">
      <alignment horizontal="left" vertical="center"/>
    </xf>
    <xf numFmtId="10" fontId="1" fillId="2" borderId="2" xfId="1" applyNumberFormat="1" applyFont="1" applyFill="1" applyBorder="1" applyAlignment="1">
      <alignment horizontal="center" vertical="center"/>
    </xf>
    <xf numFmtId="10" fontId="2" fillId="5" borderId="2" xfId="1" applyNumberFormat="1" applyFont="1" applyFill="1" applyBorder="1" applyAlignment="1">
      <alignment horizontal="left" vertical="center"/>
    </xf>
    <xf numFmtId="10" fontId="0" fillId="0" borderId="0" xfId="1" applyNumberFormat="1" applyFont="1"/>
    <xf numFmtId="1" fontId="2" fillId="3" borderId="2" xfId="0" applyNumberFormat="1" applyFont="1" applyFill="1" applyBorder="1" applyAlignment="1">
      <alignment horizontal="left" vertical="center"/>
    </xf>
    <xf numFmtId="1" fontId="2" fillId="5" borderId="2" xfId="0" applyNumberFormat="1" applyFont="1" applyFill="1" applyBorder="1" applyAlignment="1">
      <alignment horizontal="left" vertical="center"/>
    </xf>
    <xf numFmtId="10" fontId="28" fillId="18" borderId="2" xfId="1" applyNumberFormat="1" applyFont="1" applyFill="1" applyBorder="1" applyAlignment="1">
      <alignment horizontal="left" vertical="center"/>
    </xf>
    <xf numFmtId="0" fontId="2" fillId="18" borderId="1" xfId="0" applyFont="1" applyFill="1" applyBorder="1" applyAlignment="1">
      <alignment horizontal="left" vertical="center"/>
    </xf>
    <xf numFmtId="10" fontId="2" fillId="18" borderId="2" xfId="1" applyNumberFormat="1" applyFont="1" applyFill="1" applyBorder="1" applyAlignment="1">
      <alignment horizontal="left" vertical="center"/>
    </xf>
    <xf numFmtId="10" fontId="28" fillId="0" borderId="2" xfId="1" applyNumberFormat="1" applyFont="1" applyFill="1" applyBorder="1" applyAlignment="1">
      <alignment horizontal="left" vertical="center"/>
    </xf>
    <xf numFmtId="1" fontId="2" fillId="19" borderId="1" xfId="0" applyNumberFormat="1" applyFont="1" applyFill="1" applyBorder="1" applyAlignment="1">
      <alignment horizontal="left" vertical="center"/>
    </xf>
    <xf numFmtId="14" fontId="2" fillId="19" borderId="1" xfId="0" applyNumberFormat="1" applyFont="1" applyFill="1" applyBorder="1" applyAlignment="1">
      <alignment horizontal="left" vertical="center"/>
    </xf>
    <xf numFmtId="4" fontId="2" fillId="19" borderId="1" xfId="0" applyNumberFormat="1" applyFont="1" applyFill="1" applyBorder="1" applyAlignment="1">
      <alignment horizontal="left" vertical="center"/>
    </xf>
    <xf numFmtId="10" fontId="2" fillId="19" borderId="2" xfId="1" applyNumberFormat="1" applyFont="1" applyFill="1" applyBorder="1" applyAlignment="1">
      <alignment horizontal="left" vertical="center"/>
    </xf>
    <xf numFmtId="0" fontId="2" fillId="19" borderId="1" xfId="0" applyFont="1" applyFill="1" applyBorder="1" applyAlignment="1">
      <alignment horizontal="left" vertical="center"/>
    </xf>
    <xf numFmtId="1" fontId="2" fillId="19" borderId="2" xfId="0" applyNumberFormat="1" applyFont="1" applyFill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pane ySplit="1" topLeftCell="A2" activePane="bottomLeft" state="frozen"/>
      <selection pane="bottomLeft" sqref="A1:B1"/>
    </sheetView>
  </sheetViews>
  <sheetFormatPr defaultRowHeight="15" x14ac:dyDescent="0.25"/>
  <cols>
    <col min="1" max="1" width="34" customWidth="1"/>
    <col min="2" max="2" width="58" customWidth="1"/>
  </cols>
  <sheetData>
    <row r="1" spans="1:2" ht="27.95" customHeight="1" x14ac:dyDescent="0.25">
      <c r="A1" s="71" t="s">
        <v>0</v>
      </c>
      <c r="B1" s="70"/>
    </row>
    <row r="2" spans="1:2" ht="20.100000000000001" customHeight="1" x14ac:dyDescent="0.25">
      <c r="A2" s="69" t="s">
        <v>1</v>
      </c>
      <c r="B2" s="70"/>
    </row>
    <row r="3" spans="1:2" ht="18" customHeight="1" x14ac:dyDescent="0.25">
      <c r="A3" s="1" t="s">
        <v>2</v>
      </c>
      <c r="B3" s="2" t="s">
        <v>3</v>
      </c>
    </row>
    <row r="4" spans="1:2" ht="18" customHeight="1" x14ac:dyDescent="0.25">
      <c r="A4" s="1" t="s">
        <v>4</v>
      </c>
      <c r="B4" s="2" t="s">
        <v>5</v>
      </c>
    </row>
    <row r="5" spans="1:2" ht="18" customHeight="1" x14ac:dyDescent="0.25">
      <c r="A5" s="1" t="s">
        <v>6</v>
      </c>
      <c r="B5" s="2" t="s">
        <v>7</v>
      </c>
    </row>
    <row r="6" spans="1:2" ht="18" customHeight="1" x14ac:dyDescent="0.25">
      <c r="A6" s="1" t="s">
        <v>8</v>
      </c>
      <c r="B6" s="2" t="s">
        <v>9</v>
      </c>
    </row>
    <row r="7" spans="1:2" ht="18" customHeight="1" x14ac:dyDescent="0.25">
      <c r="A7" s="1" t="s">
        <v>10</v>
      </c>
      <c r="B7" s="2" t="s">
        <v>11</v>
      </c>
    </row>
    <row r="8" spans="1:2" ht="18" customHeight="1" x14ac:dyDescent="0.25">
      <c r="A8" s="1" t="s">
        <v>12</v>
      </c>
      <c r="B8" s="2" t="s">
        <v>13</v>
      </c>
    </row>
    <row r="9" spans="1:2" ht="18" customHeight="1" x14ac:dyDescent="0.25">
      <c r="A9" s="1" t="s">
        <v>14</v>
      </c>
      <c r="B9" s="2" t="s">
        <v>15</v>
      </c>
    </row>
    <row r="10" spans="1:2" ht="18" customHeight="1" x14ac:dyDescent="0.25">
      <c r="A10" s="1" t="s">
        <v>16</v>
      </c>
      <c r="B10" s="2" t="s">
        <v>17</v>
      </c>
    </row>
    <row r="11" spans="1:2" ht="18" customHeight="1" x14ac:dyDescent="0.25">
      <c r="A11" s="1" t="s">
        <v>18</v>
      </c>
      <c r="B11" s="2" t="s">
        <v>19</v>
      </c>
    </row>
    <row r="12" spans="1:2" ht="18" customHeight="1" x14ac:dyDescent="0.25">
      <c r="A12" s="1" t="s">
        <v>20</v>
      </c>
      <c r="B12" s="2" t="s">
        <v>21</v>
      </c>
    </row>
    <row r="13" spans="1:2" ht="6" customHeight="1" x14ac:dyDescent="0.25"/>
    <row r="14" spans="1:2" ht="20.100000000000001" customHeight="1" x14ac:dyDescent="0.25">
      <c r="A14" s="69" t="s">
        <v>22</v>
      </c>
      <c r="B14" s="70"/>
    </row>
    <row r="15" spans="1:2" ht="18" customHeight="1" x14ac:dyDescent="0.25">
      <c r="A15" s="1" t="s">
        <v>23</v>
      </c>
      <c r="B15" s="2" t="s">
        <v>24</v>
      </c>
    </row>
    <row r="16" spans="1:2" ht="18" customHeight="1" x14ac:dyDescent="0.25">
      <c r="A16" s="1" t="s">
        <v>25</v>
      </c>
      <c r="B16" s="2" t="s">
        <v>26</v>
      </c>
    </row>
    <row r="17" spans="1:2" ht="18" customHeight="1" x14ac:dyDescent="0.25">
      <c r="A17" s="1" t="s">
        <v>2</v>
      </c>
      <c r="B17" s="2" t="s">
        <v>3</v>
      </c>
    </row>
    <row r="18" spans="1:2" ht="18" customHeight="1" x14ac:dyDescent="0.25">
      <c r="A18" s="1" t="s">
        <v>6</v>
      </c>
      <c r="B18" s="2" t="s">
        <v>7</v>
      </c>
    </row>
    <row r="19" spans="1:2" ht="18" customHeight="1" x14ac:dyDescent="0.25">
      <c r="A19" s="1" t="s">
        <v>27</v>
      </c>
      <c r="B19" s="2" t="s">
        <v>28</v>
      </c>
    </row>
    <row r="20" spans="1:2" ht="18" customHeight="1" x14ac:dyDescent="0.25">
      <c r="A20" s="1" t="s">
        <v>29</v>
      </c>
      <c r="B20" s="2" t="s">
        <v>30</v>
      </c>
    </row>
    <row r="21" spans="1:2" ht="18" customHeight="1" x14ac:dyDescent="0.25">
      <c r="A21" s="1" t="s">
        <v>31</v>
      </c>
      <c r="B21" s="2" t="s">
        <v>32</v>
      </c>
    </row>
    <row r="22" spans="1:2" ht="18" customHeight="1" x14ac:dyDescent="0.25">
      <c r="A22" s="1" t="s">
        <v>33</v>
      </c>
      <c r="B22" s="2" t="s">
        <v>34</v>
      </c>
    </row>
    <row r="23" spans="1:2" ht="18" customHeight="1" x14ac:dyDescent="0.25">
      <c r="A23" s="1" t="s">
        <v>14</v>
      </c>
      <c r="B23" s="2" t="s">
        <v>35</v>
      </c>
    </row>
    <row r="24" spans="1:2" ht="18" customHeight="1" x14ac:dyDescent="0.25">
      <c r="A24" s="1" t="s">
        <v>36</v>
      </c>
      <c r="B24" s="2" t="s">
        <v>15</v>
      </c>
    </row>
    <row r="25" spans="1:2" ht="20.100000000000001" customHeight="1" x14ac:dyDescent="0.25">
      <c r="A25" s="69" t="s">
        <v>37</v>
      </c>
      <c r="B25" s="70"/>
    </row>
    <row r="26" spans="1:2" ht="18" customHeight="1" x14ac:dyDescent="0.25">
      <c r="A26" s="1" t="s">
        <v>23</v>
      </c>
      <c r="B26" s="2" t="s">
        <v>38</v>
      </c>
    </row>
    <row r="27" spans="1:2" ht="18" customHeight="1" x14ac:dyDescent="0.25">
      <c r="A27" s="1" t="s">
        <v>25</v>
      </c>
      <c r="B27" s="2" t="s">
        <v>26</v>
      </c>
    </row>
    <row r="28" spans="1:2" ht="18" customHeight="1" x14ac:dyDescent="0.25">
      <c r="A28" s="1" t="s">
        <v>2</v>
      </c>
      <c r="B28" s="2" t="s">
        <v>3</v>
      </c>
    </row>
    <row r="29" spans="1:2" ht="18" customHeight="1" x14ac:dyDescent="0.25">
      <c r="A29" s="1" t="s">
        <v>6</v>
      </c>
      <c r="B29" s="2" t="s">
        <v>39</v>
      </c>
    </row>
    <row r="30" spans="1:2" ht="18" customHeight="1" x14ac:dyDescent="0.25">
      <c r="A30" s="1" t="s">
        <v>27</v>
      </c>
      <c r="B30" s="2" t="s">
        <v>40</v>
      </c>
    </row>
    <row r="31" spans="1:2" ht="18" customHeight="1" x14ac:dyDescent="0.25">
      <c r="A31" s="1" t="s">
        <v>29</v>
      </c>
      <c r="B31" s="2" t="s">
        <v>30</v>
      </c>
    </row>
    <row r="32" spans="1:2" ht="18" customHeight="1" x14ac:dyDescent="0.25">
      <c r="A32" s="1" t="s">
        <v>31</v>
      </c>
      <c r="B32" s="2" t="s">
        <v>32</v>
      </c>
    </row>
    <row r="33" spans="1:2" ht="18" customHeight="1" x14ac:dyDescent="0.25">
      <c r="A33" s="1" t="s">
        <v>33</v>
      </c>
      <c r="B33" s="2" t="s">
        <v>34</v>
      </c>
    </row>
    <row r="34" spans="1:2" ht="18" customHeight="1" x14ac:dyDescent="0.25">
      <c r="A34" s="1" t="s">
        <v>14</v>
      </c>
      <c r="B34" s="2" t="s">
        <v>41</v>
      </c>
    </row>
    <row r="35" spans="1:2" ht="18" customHeight="1" x14ac:dyDescent="0.25">
      <c r="A35" s="1" t="s">
        <v>36</v>
      </c>
      <c r="B35" s="2" t="s">
        <v>15</v>
      </c>
    </row>
    <row r="36" spans="1:2" ht="20.100000000000001" customHeight="1" x14ac:dyDescent="0.25">
      <c r="A36" s="69" t="s">
        <v>42</v>
      </c>
      <c r="B36" s="70"/>
    </row>
    <row r="37" spans="1:2" ht="18" customHeight="1" x14ac:dyDescent="0.25">
      <c r="A37" s="1" t="s">
        <v>23</v>
      </c>
      <c r="B37" s="2" t="s">
        <v>38</v>
      </c>
    </row>
    <row r="38" spans="1:2" ht="18" customHeight="1" x14ac:dyDescent="0.25">
      <c r="A38" s="1" t="s">
        <v>25</v>
      </c>
      <c r="B38" s="2" t="s">
        <v>26</v>
      </c>
    </row>
    <row r="39" spans="1:2" ht="18" customHeight="1" x14ac:dyDescent="0.25">
      <c r="A39" s="1" t="s">
        <v>43</v>
      </c>
      <c r="B39" s="2" t="s">
        <v>44</v>
      </c>
    </row>
    <row r="40" spans="1:2" ht="18" customHeight="1" x14ac:dyDescent="0.25">
      <c r="A40" s="1" t="s">
        <v>45</v>
      </c>
      <c r="B40" s="2" t="s">
        <v>46</v>
      </c>
    </row>
    <row r="41" spans="1:2" ht="18" customHeight="1" x14ac:dyDescent="0.25">
      <c r="A41" s="1" t="s">
        <v>36</v>
      </c>
      <c r="B41" s="2" t="s">
        <v>15</v>
      </c>
    </row>
  </sheetData>
  <mergeCells count="5">
    <mergeCell ref="A2:B2"/>
    <mergeCell ref="A25:B25"/>
    <mergeCell ref="A36:B36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FF00"/>
  </sheetPr>
  <dimension ref="A1:AV631"/>
  <sheetViews>
    <sheetView tabSelected="1" workbookViewId="0">
      <pane ySplit="1" topLeftCell="A65" activePane="bottomLeft" state="frozen"/>
      <selection pane="bottomLeft" activeCell="K89" sqref="K89"/>
    </sheetView>
  </sheetViews>
  <sheetFormatPr defaultRowHeight="15" x14ac:dyDescent="0.25"/>
  <cols>
    <col min="1" max="1" width="10" customWidth="1"/>
    <col min="2" max="2" width="12" customWidth="1"/>
    <col min="3" max="3" width="10" customWidth="1"/>
    <col min="4" max="5" width="13" customWidth="1"/>
    <col min="6" max="8" width="12" customWidth="1"/>
    <col min="9" max="10" width="10" hidden="1" customWidth="1"/>
    <col min="11" max="12" width="10" style="93" customWidth="1"/>
    <col min="13" max="16" width="10" customWidth="1"/>
    <col min="17" max="18" width="10" hidden="1" customWidth="1"/>
    <col min="19" max="20" width="12" hidden="1" customWidth="1"/>
    <col min="21" max="22" width="9" hidden="1" customWidth="1"/>
    <col min="23" max="26" width="10" hidden="1" customWidth="1"/>
    <col min="27" max="28" width="15" hidden="1" customWidth="1"/>
    <col min="29" max="29" width="14" hidden="1" customWidth="1"/>
    <col min="30" max="31" width="15" hidden="1" customWidth="1"/>
    <col min="32" max="32" width="18" hidden="1" customWidth="1"/>
    <col min="33" max="33" width="15" hidden="1" customWidth="1"/>
    <col min="34" max="34" width="16" hidden="1" customWidth="1"/>
    <col min="35" max="36" width="12" hidden="1" customWidth="1"/>
    <col min="37" max="37" width="15" hidden="1" customWidth="1"/>
    <col min="38" max="38" width="16" hidden="1" customWidth="1"/>
    <col min="39" max="39" width="17" hidden="1" customWidth="1"/>
    <col min="40" max="40" width="13" hidden="1" customWidth="1"/>
    <col min="41" max="42" width="12" hidden="1" customWidth="1"/>
    <col min="43" max="44" width="16" hidden="1" customWidth="1"/>
    <col min="45" max="45" width="15" hidden="1" customWidth="1"/>
    <col min="46" max="46" width="16" hidden="1" customWidth="1"/>
    <col min="47" max="47" width="18" hidden="1" customWidth="1"/>
    <col min="48" max="48" width="14" customWidth="1"/>
  </cols>
  <sheetData>
    <row r="1" spans="1:48" ht="21.95" customHeight="1" x14ac:dyDescent="0.25">
      <c r="A1" s="3" t="s">
        <v>47</v>
      </c>
      <c r="B1" s="3" t="s">
        <v>48</v>
      </c>
      <c r="C1" s="3" t="s">
        <v>2</v>
      </c>
      <c r="D1" s="3" t="s">
        <v>49</v>
      </c>
      <c r="E1" s="3" t="s">
        <v>50</v>
      </c>
      <c r="F1" s="3" t="s">
        <v>6</v>
      </c>
      <c r="G1" s="3" t="s">
        <v>51</v>
      </c>
      <c r="H1" s="3" t="s">
        <v>52</v>
      </c>
      <c r="I1" s="3" t="s">
        <v>53</v>
      </c>
      <c r="J1" s="3" t="s">
        <v>54</v>
      </c>
      <c r="K1" s="91"/>
      <c r="L1" s="91"/>
      <c r="M1" s="3" t="s">
        <v>55</v>
      </c>
      <c r="N1" s="3" t="s">
        <v>56</v>
      </c>
      <c r="O1" s="89"/>
      <c r="P1" s="89"/>
      <c r="Q1" s="3" t="s">
        <v>57</v>
      </c>
      <c r="R1" s="3" t="s">
        <v>58</v>
      </c>
      <c r="S1" s="3" t="s">
        <v>59</v>
      </c>
      <c r="T1" s="3" t="s">
        <v>60</v>
      </c>
      <c r="U1" s="3" t="s">
        <v>61</v>
      </c>
      <c r="V1" s="3" t="s">
        <v>62</v>
      </c>
      <c r="W1" s="3" t="s">
        <v>63</v>
      </c>
      <c r="X1" s="3" t="s">
        <v>64</v>
      </c>
      <c r="Y1" s="3" t="s">
        <v>65</v>
      </c>
      <c r="Z1" s="3" t="s">
        <v>66</v>
      </c>
      <c r="AA1" s="3" t="s">
        <v>67</v>
      </c>
      <c r="AB1" s="3" t="s">
        <v>68</v>
      </c>
      <c r="AC1" s="3" t="s">
        <v>69</v>
      </c>
      <c r="AD1" s="3" t="s">
        <v>70</v>
      </c>
      <c r="AE1" s="3" t="s">
        <v>71</v>
      </c>
      <c r="AF1" s="3" t="s">
        <v>72</v>
      </c>
      <c r="AG1" s="3" t="s">
        <v>73</v>
      </c>
      <c r="AH1" s="3" t="s">
        <v>74</v>
      </c>
      <c r="AI1" s="3" t="s">
        <v>75</v>
      </c>
      <c r="AJ1" s="3" t="s">
        <v>76</v>
      </c>
      <c r="AK1" s="3" t="s">
        <v>77</v>
      </c>
      <c r="AL1" s="3" t="s">
        <v>78</v>
      </c>
      <c r="AM1" s="3" t="s">
        <v>79</v>
      </c>
      <c r="AN1" s="3" t="s">
        <v>80</v>
      </c>
      <c r="AO1" s="3" t="s">
        <v>81</v>
      </c>
      <c r="AP1" s="3" t="s">
        <v>82</v>
      </c>
      <c r="AQ1" s="3" t="s">
        <v>83</v>
      </c>
      <c r="AR1" s="3" t="s">
        <v>84</v>
      </c>
      <c r="AS1" s="3" t="s">
        <v>85</v>
      </c>
      <c r="AT1" s="3" t="s">
        <v>86</v>
      </c>
      <c r="AU1" s="3" t="s">
        <v>87</v>
      </c>
      <c r="AV1" s="3" t="s">
        <v>88</v>
      </c>
    </row>
    <row r="2" spans="1:48" ht="18" hidden="1" customHeight="1" x14ac:dyDescent="0.25">
      <c r="A2" s="4">
        <v>1</v>
      </c>
      <c r="B2" s="4">
        <v>1</v>
      </c>
      <c r="C2" s="4">
        <v>1</v>
      </c>
      <c r="D2" s="87">
        <v>43553</v>
      </c>
      <c r="E2" s="87">
        <v>43558</v>
      </c>
      <c r="F2" s="87">
        <v>43559</v>
      </c>
      <c r="G2" s="5">
        <v>11623.9</v>
      </c>
      <c r="H2" s="5">
        <v>11643.95</v>
      </c>
      <c r="I2" s="5">
        <v>20.05</v>
      </c>
      <c r="J2" s="6">
        <v>1.7248943986097609E-3</v>
      </c>
      <c r="K2" s="90"/>
      <c r="L2" s="90"/>
      <c r="M2" s="7" t="s">
        <v>28</v>
      </c>
      <c r="N2" s="4">
        <v>11600</v>
      </c>
      <c r="O2" s="94"/>
      <c r="P2" s="94"/>
      <c r="Q2" s="7" t="s">
        <v>89</v>
      </c>
      <c r="R2" s="4">
        <v>65</v>
      </c>
      <c r="S2" s="5">
        <v>100.45</v>
      </c>
      <c r="T2" s="5">
        <v>78.099999999999994</v>
      </c>
      <c r="U2" s="8">
        <v>-0.65859999999999996</v>
      </c>
      <c r="V2" s="8">
        <v>0.2964</v>
      </c>
      <c r="W2" s="5">
        <v>22.35</v>
      </c>
      <c r="X2" s="6">
        <v>1.9227625839864421E-3</v>
      </c>
      <c r="Y2" s="4">
        <v>0</v>
      </c>
      <c r="Z2" s="6">
        <v>0</v>
      </c>
      <c r="AA2" s="5">
        <v>18258.5</v>
      </c>
      <c r="AB2" s="5">
        <v>18136.2</v>
      </c>
      <c r="AC2" s="5">
        <v>-122.3</v>
      </c>
      <c r="AD2" s="5">
        <v>-0.66979999999999995</v>
      </c>
      <c r="AE2" s="4">
        <v>5</v>
      </c>
      <c r="AF2" s="5">
        <v>-8.3333000000000004E-2</v>
      </c>
      <c r="AG2" s="5">
        <v>-137.5154</v>
      </c>
      <c r="AH2" s="5">
        <v>-0.75319999999999998</v>
      </c>
      <c r="AI2" s="8">
        <v>-0.90410000000000001</v>
      </c>
      <c r="AJ2" s="8">
        <v>1.0361</v>
      </c>
      <c r="AK2" s="9">
        <v>-157.96539999999999</v>
      </c>
      <c r="AL2" s="9">
        <v>-0.92910000000000004</v>
      </c>
      <c r="AM2" s="5">
        <v>99.070899999999995</v>
      </c>
      <c r="AN2" s="4">
        <v>100</v>
      </c>
      <c r="AO2" s="5">
        <v>-0.92910000000000004</v>
      </c>
      <c r="AP2" s="5">
        <v>-0.92910000000000004</v>
      </c>
      <c r="AQ2" s="8">
        <v>-0.2243</v>
      </c>
      <c r="AR2" s="8">
        <v>-0.7157</v>
      </c>
      <c r="AS2" s="8">
        <v>-0.92910000000000004</v>
      </c>
      <c r="AT2" s="5">
        <v>99.070899999999995</v>
      </c>
      <c r="AU2" s="5">
        <v>-0.92910000000000004</v>
      </c>
      <c r="AV2" s="7" t="s">
        <v>90</v>
      </c>
    </row>
    <row r="3" spans="1:48" ht="18" customHeight="1" x14ac:dyDescent="0.25">
      <c r="A3" s="10">
        <v>1</v>
      </c>
      <c r="B3" s="10">
        <v>2</v>
      </c>
      <c r="C3" s="10">
        <v>1</v>
      </c>
      <c r="D3" s="88">
        <v>43553</v>
      </c>
      <c r="E3" s="88">
        <v>43558</v>
      </c>
      <c r="F3" s="88">
        <v>43580</v>
      </c>
      <c r="G3" s="11">
        <v>11623.9</v>
      </c>
      <c r="H3" s="11">
        <v>11643.95</v>
      </c>
      <c r="I3" s="12"/>
      <c r="J3" s="12"/>
      <c r="K3" s="92">
        <f>H3/$G$3-1</f>
        <v>1.7248943986098997E-3</v>
      </c>
      <c r="L3" s="92"/>
      <c r="M3" s="12" t="s">
        <v>40</v>
      </c>
      <c r="N3" s="10">
        <v>11600</v>
      </c>
      <c r="O3" s="95">
        <f>MROUND(G3,100)</f>
        <v>11600</v>
      </c>
      <c r="P3" s="95">
        <f>O3-N3</f>
        <v>0</v>
      </c>
      <c r="Q3" s="12" t="s">
        <v>91</v>
      </c>
      <c r="R3" s="10">
        <v>65</v>
      </c>
      <c r="S3" s="11">
        <v>156.85</v>
      </c>
      <c r="T3" s="11">
        <v>114.05</v>
      </c>
      <c r="U3" s="13">
        <v>-0.6018</v>
      </c>
      <c r="V3" s="13">
        <v>-0.108</v>
      </c>
      <c r="W3" s="10">
        <v>0</v>
      </c>
      <c r="X3" s="14">
        <v>0</v>
      </c>
      <c r="Y3" s="11">
        <v>-42.8</v>
      </c>
      <c r="Z3" s="14">
        <v>-3.6820688409225821E-3</v>
      </c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 t="s">
        <v>90</v>
      </c>
    </row>
    <row r="4" spans="1:48" ht="18" hidden="1" customHeight="1" x14ac:dyDescent="0.25">
      <c r="A4" s="4">
        <v>2</v>
      </c>
      <c r="B4" s="4">
        <v>1</v>
      </c>
      <c r="C4" s="4">
        <v>2</v>
      </c>
      <c r="D4" s="87">
        <v>43558</v>
      </c>
      <c r="E4" s="87">
        <v>43565</v>
      </c>
      <c r="F4" s="87">
        <v>43566</v>
      </c>
      <c r="G4" s="5">
        <v>11643.95</v>
      </c>
      <c r="H4" s="5">
        <v>11584.3</v>
      </c>
      <c r="I4" s="5">
        <v>-59.65</v>
      </c>
      <c r="J4" s="6">
        <v>-5.1228320286500709E-3</v>
      </c>
      <c r="K4" s="90"/>
      <c r="L4" s="90"/>
      <c r="M4" s="7" t="s">
        <v>28</v>
      </c>
      <c r="N4" s="4">
        <v>11600</v>
      </c>
      <c r="O4" s="94"/>
      <c r="P4" s="94"/>
      <c r="Q4" s="7" t="s">
        <v>89</v>
      </c>
      <c r="R4" s="4">
        <v>65</v>
      </c>
      <c r="S4" s="5">
        <v>146.25</v>
      </c>
      <c r="T4" s="5">
        <v>33.6</v>
      </c>
      <c r="U4" s="8">
        <v>-0.1426</v>
      </c>
      <c r="V4" s="8">
        <v>1.0173000000000001</v>
      </c>
      <c r="W4" s="5">
        <v>112.65</v>
      </c>
      <c r="X4" s="6">
        <v>9.6745520205772095E-3</v>
      </c>
      <c r="Y4" s="4">
        <v>0</v>
      </c>
      <c r="Z4" s="6">
        <v>0</v>
      </c>
      <c r="AA4" s="5">
        <v>18136.2</v>
      </c>
      <c r="AB4" s="5">
        <v>18075.650000000001</v>
      </c>
      <c r="AC4" s="5">
        <v>-60.55</v>
      </c>
      <c r="AD4" s="5">
        <v>-0.33389999999999997</v>
      </c>
      <c r="AE4" s="4">
        <v>7</v>
      </c>
      <c r="AF4" s="5">
        <v>-0.11666700000000001</v>
      </c>
      <c r="AG4" s="5">
        <v>-81.7089</v>
      </c>
      <c r="AH4" s="5">
        <v>-0.45050000000000001</v>
      </c>
      <c r="AI4" s="8">
        <v>-1.1991000000000001</v>
      </c>
      <c r="AJ4" s="8">
        <v>0.9093</v>
      </c>
      <c r="AK4" s="15">
        <v>17.941099999999999</v>
      </c>
      <c r="AL4" s="15">
        <v>0.40529999999999999</v>
      </c>
      <c r="AM4" s="5">
        <v>99.472399999999993</v>
      </c>
      <c r="AN4" s="4">
        <v>100</v>
      </c>
      <c r="AO4" s="5">
        <v>-0.52759999999999996</v>
      </c>
      <c r="AP4" s="5">
        <v>-0.52759999999999996</v>
      </c>
      <c r="AQ4" s="8">
        <v>0.38840000000000002</v>
      </c>
      <c r="AR4" s="8">
        <v>-1.1299999999999999E-2</v>
      </c>
      <c r="AS4" s="8">
        <v>-1.1299999999999999E-2</v>
      </c>
      <c r="AT4" s="5">
        <v>99.059700000000007</v>
      </c>
      <c r="AU4" s="5">
        <v>-0.94030000000000002</v>
      </c>
      <c r="AV4" s="7" t="s">
        <v>90</v>
      </c>
    </row>
    <row r="5" spans="1:48" ht="18" customHeight="1" x14ac:dyDescent="0.25">
      <c r="A5" s="10">
        <v>2</v>
      </c>
      <c r="B5" s="10">
        <v>2</v>
      </c>
      <c r="C5" s="10">
        <v>2</v>
      </c>
      <c r="D5" s="88">
        <v>43558</v>
      </c>
      <c r="E5" s="88">
        <v>43565</v>
      </c>
      <c r="F5" s="88">
        <v>43580</v>
      </c>
      <c r="G5" s="11">
        <v>11643.95</v>
      </c>
      <c r="H5" s="11">
        <v>11584.3</v>
      </c>
      <c r="I5" s="12"/>
      <c r="J5" s="12"/>
      <c r="K5" s="92">
        <f>H5/$G$3-1</f>
        <v>-3.4067739743115499E-3</v>
      </c>
      <c r="L5" s="92"/>
      <c r="M5" s="12" t="s">
        <v>40</v>
      </c>
      <c r="N5" s="10">
        <v>11600</v>
      </c>
      <c r="O5" s="95">
        <f>IF(F5=F3,O3,MROUND(G5,100))</f>
        <v>11600</v>
      </c>
      <c r="P5" s="95">
        <f>O5-N5</f>
        <v>0</v>
      </c>
      <c r="Q5" s="12" t="s">
        <v>91</v>
      </c>
      <c r="R5" s="10">
        <v>65</v>
      </c>
      <c r="S5" s="11">
        <v>114.05</v>
      </c>
      <c r="T5" s="11">
        <v>101.05</v>
      </c>
      <c r="U5" s="13">
        <v>-0.37830000000000003</v>
      </c>
      <c r="V5" s="13">
        <v>0.17050000000000001</v>
      </c>
      <c r="W5" s="10">
        <v>0</v>
      </c>
      <c r="X5" s="14">
        <v>0</v>
      </c>
      <c r="Y5" s="10">
        <v>-13</v>
      </c>
      <c r="Z5" s="14">
        <v>-1.116459620661373E-3</v>
      </c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 t="s">
        <v>90</v>
      </c>
    </row>
    <row r="6" spans="1:48" ht="18" hidden="1" customHeight="1" x14ac:dyDescent="0.25">
      <c r="A6" s="4">
        <v>3</v>
      </c>
      <c r="B6" s="4">
        <v>1</v>
      </c>
      <c r="C6" s="4">
        <v>3</v>
      </c>
      <c r="D6" s="87">
        <v>43565</v>
      </c>
      <c r="E6" s="87">
        <v>43571</v>
      </c>
      <c r="F6" s="87">
        <v>43573</v>
      </c>
      <c r="G6" s="5">
        <v>11584.3</v>
      </c>
      <c r="H6" s="5">
        <v>11787.15</v>
      </c>
      <c r="I6" s="5">
        <v>202.85</v>
      </c>
      <c r="J6" s="6">
        <v>1.7510768885474311E-2</v>
      </c>
      <c r="K6" s="90"/>
      <c r="L6" s="90"/>
      <c r="M6" s="7" t="s">
        <v>28</v>
      </c>
      <c r="N6" s="4">
        <v>11600</v>
      </c>
      <c r="O6" s="94"/>
      <c r="P6" s="94"/>
      <c r="Q6" s="7" t="s">
        <v>89</v>
      </c>
      <c r="R6" s="4">
        <v>65</v>
      </c>
      <c r="S6" s="5">
        <v>100.4</v>
      </c>
      <c r="T6" s="5">
        <v>193.15</v>
      </c>
      <c r="U6" s="8">
        <v>-0.99790000000000001</v>
      </c>
      <c r="V6" s="8">
        <v>0.34010000000000001</v>
      </c>
      <c r="W6" s="5">
        <v>-92.75</v>
      </c>
      <c r="X6" s="6">
        <v>-8.0065260740830261E-3</v>
      </c>
      <c r="Y6" s="4">
        <v>0</v>
      </c>
      <c r="Z6" s="6">
        <v>0</v>
      </c>
      <c r="AA6" s="5">
        <v>18075.650000000001</v>
      </c>
      <c r="AB6" s="5">
        <v>18248.45</v>
      </c>
      <c r="AC6" s="5">
        <v>172.8</v>
      </c>
      <c r="AD6" s="5">
        <v>0.95599999999999996</v>
      </c>
      <c r="AE6" s="4">
        <v>6</v>
      </c>
      <c r="AF6" s="5">
        <v>-0.1</v>
      </c>
      <c r="AG6" s="5">
        <v>154.7243</v>
      </c>
      <c r="AH6" s="5">
        <v>0.85599999999999998</v>
      </c>
      <c r="AI6" s="8">
        <v>-0.49790000000000001</v>
      </c>
      <c r="AJ6" s="8">
        <v>1.2597</v>
      </c>
      <c r="AK6" s="9">
        <v>-20.2257</v>
      </c>
      <c r="AL6" s="9">
        <v>-0.6542</v>
      </c>
      <c r="AM6" s="5">
        <v>98.821700000000007</v>
      </c>
      <c r="AN6" s="4">
        <v>100</v>
      </c>
      <c r="AO6" s="5">
        <v>-1.1782999999999999</v>
      </c>
      <c r="AP6" s="5">
        <v>-1.1782999999999999</v>
      </c>
      <c r="AQ6" s="8">
        <v>-0.47239999999999999</v>
      </c>
      <c r="AR6" s="8">
        <v>-2.53E-2</v>
      </c>
      <c r="AS6" s="8">
        <v>-0.6542</v>
      </c>
      <c r="AT6" s="5">
        <v>98.821700000000007</v>
      </c>
      <c r="AU6" s="5">
        <v>-1.1782999999999999</v>
      </c>
      <c r="AV6" s="7" t="s">
        <v>92</v>
      </c>
    </row>
    <row r="7" spans="1:48" ht="18" customHeight="1" x14ac:dyDescent="0.25">
      <c r="A7" s="10">
        <v>3</v>
      </c>
      <c r="B7" s="10">
        <v>2</v>
      </c>
      <c r="C7" s="10">
        <v>3</v>
      </c>
      <c r="D7" s="88">
        <v>43565</v>
      </c>
      <c r="E7" s="88">
        <v>43571</v>
      </c>
      <c r="F7" s="88">
        <v>43580</v>
      </c>
      <c r="G7" s="11">
        <v>11584.3</v>
      </c>
      <c r="H7" s="11">
        <v>11787.15</v>
      </c>
      <c r="I7" s="12"/>
      <c r="J7" s="12"/>
      <c r="K7" s="92">
        <f>H7/$G$3-1</f>
        <v>1.4044339679453621E-2</v>
      </c>
      <c r="L7" s="92"/>
      <c r="M7" s="12" t="s">
        <v>40</v>
      </c>
      <c r="N7" s="10">
        <v>11600</v>
      </c>
      <c r="O7" s="95">
        <f>IF(F7=F5,O5,MROUND(G7,100))</f>
        <v>11600</v>
      </c>
      <c r="P7" s="95">
        <f>O7-N7</f>
        <v>0</v>
      </c>
      <c r="Q7" s="12" t="s">
        <v>91</v>
      </c>
      <c r="R7" s="10">
        <v>65</v>
      </c>
      <c r="S7" s="11">
        <v>101.05</v>
      </c>
      <c r="T7" s="11">
        <v>18.850000000000001</v>
      </c>
      <c r="U7" s="13">
        <v>-0.73419999999999996</v>
      </c>
      <c r="V7" s="13">
        <v>0.13250000000000001</v>
      </c>
      <c r="W7" s="10">
        <v>0</v>
      </c>
      <c r="X7" s="14">
        <v>0</v>
      </c>
      <c r="Y7" s="11">
        <v>-82.2</v>
      </c>
      <c r="Z7" s="14">
        <v>-7.0958107093221003E-3</v>
      </c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 t="s">
        <v>92</v>
      </c>
    </row>
    <row r="8" spans="1:48" ht="18" hidden="1" customHeight="1" x14ac:dyDescent="0.25">
      <c r="A8" s="4">
        <v>4</v>
      </c>
      <c r="B8" s="4">
        <v>1</v>
      </c>
      <c r="C8" s="4">
        <v>4</v>
      </c>
      <c r="D8" s="87">
        <v>43571</v>
      </c>
      <c r="E8" s="87">
        <v>43577</v>
      </c>
      <c r="F8" s="87">
        <v>43580</v>
      </c>
      <c r="G8" s="5">
        <v>11787.15</v>
      </c>
      <c r="H8" s="5">
        <v>11594.45</v>
      </c>
      <c r="I8" s="5">
        <v>-192.7</v>
      </c>
      <c r="J8" s="6">
        <v>-1.6348311508719241E-2</v>
      </c>
      <c r="K8" s="90"/>
      <c r="L8" s="90"/>
      <c r="M8" s="7" t="s">
        <v>28</v>
      </c>
      <c r="N8" s="4">
        <v>11800</v>
      </c>
      <c r="O8" s="94"/>
      <c r="P8" s="94"/>
      <c r="Q8" s="7" t="s">
        <v>89</v>
      </c>
      <c r="R8" s="4">
        <v>65</v>
      </c>
      <c r="S8" s="5">
        <v>85.45</v>
      </c>
      <c r="T8" s="5">
        <v>9.6</v>
      </c>
      <c r="U8" s="8">
        <v>-0.21759999999999999</v>
      </c>
      <c r="V8" s="8">
        <v>0.65069999999999995</v>
      </c>
      <c r="W8" s="5">
        <v>75.849999999999994</v>
      </c>
      <c r="X8" s="6">
        <v>6.4349736789639563E-3</v>
      </c>
      <c r="Y8" s="4">
        <v>0</v>
      </c>
      <c r="Z8" s="6">
        <v>0</v>
      </c>
      <c r="AA8" s="5">
        <v>18248.45</v>
      </c>
      <c r="AB8" s="5">
        <v>17761.25</v>
      </c>
      <c r="AC8" s="5">
        <v>-487.2</v>
      </c>
      <c r="AD8" s="5">
        <v>-2.6698</v>
      </c>
      <c r="AE8" s="4">
        <v>6</v>
      </c>
      <c r="AF8" s="5">
        <v>-0.1</v>
      </c>
      <c r="AG8" s="5">
        <v>-505.44850000000002</v>
      </c>
      <c r="AH8" s="5">
        <v>-2.7698</v>
      </c>
      <c r="AI8" s="8">
        <v>-2.9142999999999999</v>
      </c>
      <c r="AJ8" s="8">
        <v>0.27429999999999999</v>
      </c>
      <c r="AK8" s="9">
        <v>-400.99849999999998</v>
      </c>
      <c r="AL8" s="9">
        <v>-1.8836999999999999</v>
      </c>
      <c r="AM8" s="5">
        <v>96.9602</v>
      </c>
      <c r="AN8" s="4">
        <v>100</v>
      </c>
      <c r="AO8" s="5">
        <v>-3.0398000000000001</v>
      </c>
      <c r="AP8" s="5">
        <v>-3.0398000000000001</v>
      </c>
      <c r="AQ8" s="8">
        <v>-1.8800000000000001E-2</v>
      </c>
      <c r="AR8" s="8">
        <v>-1.9781</v>
      </c>
      <c r="AS8" s="8">
        <v>-1.9781</v>
      </c>
      <c r="AT8" s="5">
        <v>96.866900000000001</v>
      </c>
      <c r="AU8" s="5">
        <v>-3.1331000000000002</v>
      </c>
      <c r="AV8" s="7" t="s">
        <v>93</v>
      </c>
    </row>
    <row r="9" spans="1:48" ht="18" customHeight="1" x14ac:dyDescent="0.25">
      <c r="A9" s="10">
        <v>4</v>
      </c>
      <c r="B9" s="10">
        <v>2</v>
      </c>
      <c r="C9" s="10">
        <v>4</v>
      </c>
      <c r="D9" s="88">
        <v>43571</v>
      </c>
      <c r="E9" s="88">
        <v>43577</v>
      </c>
      <c r="F9" s="88">
        <v>43580</v>
      </c>
      <c r="G9" s="11">
        <v>11787.15</v>
      </c>
      <c r="H9" s="11">
        <v>11594.45</v>
      </c>
      <c r="I9" s="12"/>
      <c r="J9" s="12"/>
      <c r="K9" s="92">
        <f>H9/$G$3-1</f>
        <v>-2.5335730692795932E-3</v>
      </c>
      <c r="L9" s="92"/>
      <c r="M9" s="12" t="s">
        <v>40</v>
      </c>
      <c r="N9" s="10">
        <v>11600</v>
      </c>
      <c r="O9" s="95">
        <f>IF(F9=F7,O7,MROUND(G9,100))</f>
        <v>11600</v>
      </c>
      <c r="P9" s="95">
        <f>O9-N9</f>
        <v>0</v>
      </c>
      <c r="Q9" s="12" t="s">
        <v>91</v>
      </c>
      <c r="R9" s="10">
        <v>65</v>
      </c>
      <c r="S9" s="11">
        <v>18.850000000000001</v>
      </c>
      <c r="T9" s="11">
        <v>47.45</v>
      </c>
      <c r="U9" s="13">
        <v>-7.5499999999999998E-2</v>
      </c>
      <c r="V9" s="13">
        <v>0.28549999999999998</v>
      </c>
      <c r="W9" s="10">
        <v>0</v>
      </c>
      <c r="X9" s="14">
        <v>0</v>
      </c>
      <c r="Y9" s="11">
        <v>28.6</v>
      </c>
      <c r="Z9" s="14">
        <v>2.426371090552E-3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 t="s">
        <v>93</v>
      </c>
    </row>
    <row r="10" spans="1:48" ht="18" hidden="1" customHeight="1" x14ac:dyDescent="0.25">
      <c r="A10" s="4">
        <v>5</v>
      </c>
      <c r="B10" s="4">
        <v>1</v>
      </c>
      <c r="C10" s="4">
        <v>5</v>
      </c>
      <c r="D10" s="87">
        <v>43577</v>
      </c>
      <c r="E10" s="87">
        <v>43579</v>
      </c>
      <c r="F10" s="87">
        <v>43580</v>
      </c>
      <c r="G10" s="5">
        <v>11594.45</v>
      </c>
      <c r="H10" s="5">
        <v>11726.15</v>
      </c>
      <c r="I10" s="5">
        <v>131.69999999999999</v>
      </c>
      <c r="J10" s="6">
        <v>1.13588829138079E-2</v>
      </c>
      <c r="K10" s="90"/>
      <c r="L10" s="90"/>
      <c r="M10" s="7" t="s">
        <v>28</v>
      </c>
      <c r="N10" s="4">
        <v>11600</v>
      </c>
      <c r="O10" s="94"/>
      <c r="P10" s="94"/>
      <c r="Q10" s="7" t="s">
        <v>89</v>
      </c>
      <c r="R10" s="4">
        <v>65</v>
      </c>
      <c r="S10" s="5">
        <v>66.7</v>
      </c>
      <c r="T10" s="5">
        <v>133.4</v>
      </c>
      <c r="U10" s="8">
        <v>-0.73609999999999998</v>
      </c>
      <c r="V10" s="8">
        <v>0.33679999999999999</v>
      </c>
      <c r="W10" s="5">
        <v>-66.7</v>
      </c>
      <c r="X10" s="6">
        <v>-5.7527523944645928E-3</v>
      </c>
      <c r="Y10" s="4">
        <v>0</v>
      </c>
      <c r="Z10" s="6">
        <v>0</v>
      </c>
      <c r="AA10" s="5">
        <v>17761.25</v>
      </c>
      <c r="AB10" s="5">
        <v>17844.45</v>
      </c>
      <c r="AC10" s="5">
        <v>83.2</v>
      </c>
      <c r="AD10" s="5">
        <v>0.46839999999999998</v>
      </c>
      <c r="AE10" s="4">
        <v>2</v>
      </c>
      <c r="AF10" s="5">
        <v>-3.3333000000000002E-2</v>
      </c>
      <c r="AG10" s="5">
        <v>77.279600000000002</v>
      </c>
      <c r="AH10" s="5">
        <v>0.43509999999999999</v>
      </c>
      <c r="AI10" s="8">
        <v>-0.37830000000000003</v>
      </c>
      <c r="AJ10" s="8">
        <v>0.55269999999999997</v>
      </c>
      <c r="AK10" s="9">
        <v>-32.320399999999999</v>
      </c>
      <c r="AL10" s="9">
        <v>-0.51019999999999999</v>
      </c>
      <c r="AM10" s="5">
        <v>96.465500000000006</v>
      </c>
      <c r="AN10" s="4">
        <v>100</v>
      </c>
      <c r="AO10" s="5">
        <v>-3.5345</v>
      </c>
      <c r="AP10" s="5">
        <v>-3.5345</v>
      </c>
      <c r="AQ10" s="8">
        <v>-0.56499999999999995</v>
      </c>
      <c r="AR10" s="8">
        <v>6.6699999999999995E-2</v>
      </c>
      <c r="AS10" s="8">
        <v>-0.56499999999999995</v>
      </c>
      <c r="AT10" s="5">
        <v>96.412400000000005</v>
      </c>
      <c r="AU10" s="5">
        <v>-3.5876000000000001</v>
      </c>
      <c r="AV10" s="7" t="s">
        <v>90</v>
      </c>
    </row>
    <row r="11" spans="1:48" ht="18" customHeight="1" x14ac:dyDescent="0.25">
      <c r="A11" s="10">
        <v>5</v>
      </c>
      <c r="B11" s="10">
        <v>2</v>
      </c>
      <c r="C11" s="10">
        <v>5</v>
      </c>
      <c r="D11" s="88">
        <v>43577</v>
      </c>
      <c r="E11" s="88">
        <v>43579</v>
      </c>
      <c r="F11" s="88">
        <v>43580</v>
      </c>
      <c r="G11" s="11">
        <v>11594.45</v>
      </c>
      <c r="H11" s="11">
        <v>11726.15</v>
      </c>
      <c r="I11" s="12"/>
      <c r="J11" s="12"/>
      <c r="K11" s="92">
        <f>H11/$G$3-1</f>
        <v>8.7965312846807198E-3</v>
      </c>
      <c r="L11" s="92"/>
      <c r="M11" s="12" t="s">
        <v>40</v>
      </c>
      <c r="N11" s="10">
        <v>11600</v>
      </c>
      <c r="O11" s="95">
        <f>IF(F11=F9,O9,MROUND(G11,100))</f>
        <v>11600</v>
      </c>
      <c r="P11" s="95">
        <f>O11-N11</f>
        <v>0</v>
      </c>
      <c r="Q11" s="12" t="s">
        <v>91</v>
      </c>
      <c r="R11" s="10">
        <v>65</v>
      </c>
      <c r="S11" s="11">
        <v>47.45</v>
      </c>
      <c r="T11" s="11">
        <v>4.55</v>
      </c>
      <c r="U11" s="13">
        <v>-0.38159999999999999</v>
      </c>
      <c r="V11" s="13">
        <v>0.1082</v>
      </c>
      <c r="W11" s="10">
        <v>0</v>
      </c>
      <c r="X11" s="14">
        <v>0</v>
      </c>
      <c r="Y11" s="11">
        <v>-42.9</v>
      </c>
      <c r="Z11" s="14">
        <v>-3.7000461427665822E-3</v>
      </c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 t="s">
        <v>90</v>
      </c>
    </row>
    <row r="12" spans="1:48" ht="18" hidden="1" customHeight="1" x14ac:dyDescent="0.25">
      <c r="A12" s="4">
        <v>6</v>
      </c>
      <c r="B12" s="4">
        <v>1</v>
      </c>
      <c r="C12" s="4">
        <v>6</v>
      </c>
      <c r="D12" s="87">
        <v>43579</v>
      </c>
      <c r="E12" s="87">
        <v>43585</v>
      </c>
      <c r="F12" s="87">
        <v>43587</v>
      </c>
      <c r="G12" s="5">
        <v>11726.15</v>
      </c>
      <c r="H12" s="5">
        <v>11748.15</v>
      </c>
      <c r="I12" s="4">
        <v>22</v>
      </c>
      <c r="J12" s="6">
        <v>1.876148608025652E-3</v>
      </c>
      <c r="K12" s="90"/>
      <c r="L12" s="90"/>
      <c r="M12" s="7" t="s">
        <v>28</v>
      </c>
      <c r="N12" s="4">
        <v>11700</v>
      </c>
      <c r="O12" s="94"/>
      <c r="P12" s="94"/>
      <c r="Q12" s="7" t="s">
        <v>89</v>
      </c>
      <c r="R12" s="4">
        <v>65</v>
      </c>
      <c r="S12" s="5">
        <v>88.25</v>
      </c>
      <c r="T12" s="4">
        <v>52</v>
      </c>
      <c r="U12" s="8">
        <v>-0.28739999999999999</v>
      </c>
      <c r="V12" s="8">
        <v>0.52110000000000001</v>
      </c>
      <c r="W12" s="5">
        <v>36.25</v>
      </c>
      <c r="X12" s="6">
        <v>3.0913812291331771E-3</v>
      </c>
      <c r="Y12" s="4">
        <v>0</v>
      </c>
      <c r="Z12" s="6">
        <v>0</v>
      </c>
      <c r="AA12" s="5">
        <v>17844.45</v>
      </c>
      <c r="AB12" s="5">
        <v>17566.400000000001</v>
      </c>
      <c r="AC12" s="5">
        <v>-278.05</v>
      </c>
      <c r="AD12" s="5">
        <v>-1.5582</v>
      </c>
      <c r="AE12" s="4">
        <v>6</v>
      </c>
      <c r="AF12" s="5">
        <v>-0.1</v>
      </c>
      <c r="AG12" s="5">
        <v>-295.89440000000002</v>
      </c>
      <c r="AH12" s="5">
        <v>-1.6581999999999999</v>
      </c>
      <c r="AI12" s="8">
        <v>-2.4403000000000001</v>
      </c>
      <c r="AJ12" s="8">
        <v>0.59299999999999997</v>
      </c>
      <c r="AK12" s="9">
        <v>-296.99439999999998</v>
      </c>
      <c r="AL12" s="9">
        <v>-1.6676</v>
      </c>
      <c r="AM12" s="5">
        <v>94.856800000000007</v>
      </c>
      <c r="AN12" s="4">
        <v>100</v>
      </c>
      <c r="AO12" s="5">
        <v>-5.1432000000000002</v>
      </c>
      <c r="AP12" s="5">
        <v>-5.1432000000000002</v>
      </c>
      <c r="AQ12" s="8">
        <v>-0.1724</v>
      </c>
      <c r="AR12" s="8">
        <v>-1.4543999999999999</v>
      </c>
      <c r="AS12" s="8">
        <v>-1.6676</v>
      </c>
      <c r="AT12" s="5">
        <v>94.856800000000007</v>
      </c>
      <c r="AU12" s="5">
        <v>-5.1432000000000002</v>
      </c>
      <c r="AV12" s="7" t="s">
        <v>90</v>
      </c>
    </row>
    <row r="13" spans="1:48" ht="18" customHeight="1" x14ac:dyDescent="0.25">
      <c r="A13" s="10">
        <v>6</v>
      </c>
      <c r="B13" s="10">
        <v>2</v>
      </c>
      <c r="C13" s="10">
        <v>6</v>
      </c>
      <c r="D13" s="88">
        <v>43579</v>
      </c>
      <c r="E13" s="88">
        <v>43585</v>
      </c>
      <c r="F13" s="88">
        <v>43615</v>
      </c>
      <c r="G13" s="11">
        <v>11726.15</v>
      </c>
      <c r="H13" s="11">
        <v>11748.15</v>
      </c>
      <c r="I13" s="12"/>
      <c r="J13" s="12"/>
      <c r="K13" s="92">
        <f>H13/$G$13-1</f>
        <v>1.8761486080256518E-3</v>
      </c>
      <c r="L13" s="92"/>
      <c r="M13" s="12" t="s">
        <v>40</v>
      </c>
      <c r="N13" s="10">
        <v>11700</v>
      </c>
      <c r="O13" s="95">
        <f>IF(F13=F11,O11,MROUND(G13,100))</f>
        <v>11700</v>
      </c>
      <c r="P13" s="95">
        <f>O13-N13</f>
        <v>0</v>
      </c>
      <c r="Q13" s="12" t="s">
        <v>91</v>
      </c>
      <c r="R13" s="10">
        <v>65</v>
      </c>
      <c r="S13" s="11">
        <v>290.39999999999998</v>
      </c>
      <c r="T13" s="11">
        <v>253.05</v>
      </c>
      <c r="U13" s="13">
        <v>-0.47799999999999998</v>
      </c>
      <c r="V13" s="13">
        <v>0.46479999999999999</v>
      </c>
      <c r="W13" s="10">
        <v>0</v>
      </c>
      <c r="X13" s="14">
        <v>0</v>
      </c>
      <c r="Y13" s="11">
        <v>-37.35</v>
      </c>
      <c r="Z13" s="14">
        <v>-3.185188659534459E-3</v>
      </c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 t="s">
        <v>90</v>
      </c>
    </row>
    <row r="14" spans="1:48" ht="18" hidden="1" customHeight="1" x14ac:dyDescent="0.25">
      <c r="A14" s="4">
        <v>7</v>
      </c>
      <c r="B14" s="4">
        <v>1</v>
      </c>
      <c r="C14" s="4">
        <v>7</v>
      </c>
      <c r="D14" s="87">
        <v>43585</v>
      </c>
      <c r="E14" s="87">
        <v>43591</v>
      </c>
      <c r="F14" s="87">
        <v>43594</v>
      </c>
      <c r="G14" s="5">
        <v>11748.15</v>
      </c>
      <c r="H14" s="5">
        <v>11598.25</v>
      </c>
      <c r="I14" s="5">
        <v>-149.9</v>
      </c>
      <c r="J14" s="6">
        <v>-1.275945574409588E-2</v>
      </c>
      <c r="K14" s="90"/>
      <c r="L14" s="90"/>
      <c r="M14" s="7" t="s">
        <v>28</v>
      </c>
      <c r="N14" s="4">
        <v>11700</v>
      </c>
      <c r="O14" s="94"/>
      <c r="P14" s="94"/>
      <c r="Q14" s="7" t="s">
        <v>89</v>
      </c>
      <c r="R14" s="4">
        <v>65</v>
      </c>
      <c r="S14" s="4">
        <v>103</v>
      </c>
      <c r="T14" s="5">
        <v>28.65</v>
      </c>
      <c r="U14" s="8">
        <v>-0.10979999999999999</v>
      </c>
      <c r="V14" s="8">
        <v>0.68100000000000005</v>
      </c>
      <c r="W14" s="5">
        <v>74.349999999999994</v>
      </c>
      <c r="X14" s="6">
        <v>6.3286560011576289E-3</v>
      </c>
      <c r="Y14" s="4">
        <v>0</v>
      </c>
      <c r="Z14" s="6">
        <v>0</v>
      </c>
      <c r="AA14" s="5">
        <v>17566.400000000001</v>
      </c>
      <c r="AB14" s="5">
        <v>17335.75</v>
      </c>
      <c r="AC14" s="5">
        <v>-230.65</v>
      </c>
      <c r="AD14" s="5">
        <v>-1.3129999999999999</v>
      </c>
      <c r="AE14" s="4">
        <v>6</v>
      </c>
      <c r="AF14" s="5">
        <v>-0.1</v>
      </c>
      <c r="AG14" s="5">
        <v>-248.21639999999999</v>
      </c>
      <c r="AH14" s="5">
        <v>-1.413</v>
      </c>
      <c r="AI14" s="8">
        <v>-1.6438999999999999</v>
      </c>
      <c r="AJ14" s="8">
        <v>0.1804</v>
      </c>
      <c r="AK14" s="9">
        <v>-73.016400000000004</v>
      </c>
      <c r="AL14" s="9">
        <v>7.8299999999999995E-2</v>
      </c>
      <c r="AM14" s="5">
        <v>94.931100000000001</v>
      </c>
      <c r="AN14" s="4">
        <v>100</v>
      </c>
      <c r="AO14" s="5">
        <v>-5.0689000000000002</v>
      </c>
      <c r="AP14" s="5">
        <v>-5.0689000000000002</v>
      </c>
      <c r="AQ14" s="8">
        <v>5.8999999999999999E-3</v>
      </c>
      <c r="AR14" s="8">
        <v>3.09E-2</v>
      </c>
      <c r="AS14" s="8">
        <v>5.8999999999999999E-3</v>
      </c>
      <c r="AT14" s="5">
        <v>94.862399999999994</v>
      </c>
      <c r="AU14" s="5">
        <v>-5.1375999999999999</v>
      </c>
      <c r="AV14" s="7" t="s">
        <v>93</v>
      </c>
    </row>
    <row r="15" spans="1:48" ht="18" customHeight="1" x14ac:dyDescent="0.25">
      <c r="A15" s="10">
        <v>7</v>
      </c>
      <c r="B15" s="10">
        <v>2</v>
      </c>
      <c r="C15" s="10">
        <v>7</v>
      </c>
      <c r="D15" s="88">
        <v>43585</v>
      </c>
      <c r="E15" s="88">
        <v>43591</v>
      </c>
      <c r="F15" s="88">
        <v>43615</v>
      </c>
      <c r="G15" s="11">
        <v>11748.15</v>
      </c>
      <c r="H15" s="11">
        <v>11598.25</v>
      </c>
      <c r="I15" s="12"/>
      <c r="J15" s="12"/>
      <c r="K15" s="92">
        <f>H15/$G$13-1</f>
        <v>-1.0907245771203611E-2</v>
      </c>
      <c r="L15" s="92"/>
      <c r="M15" s="12" t="s">
        <v>40</v>
      </c>
      <c r="N15" s="10">
        <v>11700</v>
      </c>
      <c r="O15" s="95">
        <f>IF(F15=F13,O13,MROUND(G15,100))</f>
        <v>11700</v>
      </c>
      <c r="P15" s="95">
        <f>O15-N15</f>
        <v>0</v>
      </c>
      <c r="Q15" s="12" t="s">
        <v>91</v>
      </c>
      <c r="R15" s="10">
        <v>65</v>
      </c>
      <c r="S15" s="11">
        <v>253.05</v>
      </c>
      <c r="T15" s="11">
        <v>353.9</v>
      </c>
      <c r="U15" s="13">
        <v>-6.4699999999999994E-2</v>
      </c>
      <c r="V15" s="13">
        <v>0.99380000000000002</v>
      </c>
      <c r="W15" s="10">
        <v>0</v>
      </c>
      <c r="X15" s="14">
        <v>0</v>
      </c>
      <c r="Y15" s="11">
        <v>100.85</v>
      </c>
      <c r="Z15" s="14">
        <v>8.584330298813005E-3</v>
      </c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 t="s">
        <v>93</v>
      </c>
    </row>
    <row r="16" spans="1:48" ht="18" hidden="1" customHeight="1" x14ac:dyDescent="0.25">
      <c r="A16" s="4">
        <v>8</v>
      </c>
      <c r="B16" s="4">
        <v>1</v>
      </c>
      <c r="C16" s="4">
        <v>8</v>
      </c>
      <c r="D16" s="87">
        <v>43591</v>
      </c>
      <c r="E16" s="87">
        <v>43593</v>
      </c>
      <c r="F16" s="87">
        <v>43594</v>
      </c>
      <c r="G16" s="5">
        <v>11598.25</v>
      </c>
      <c r="H16" s="5">
        <v>11359.45</v>
      </c>
      <c r="I16" s="5">
        <v>-238.8</v>
      </c>
      <c r="J16" s="6">
        <v>-2.058931304291596E-2</v>
      </c>
      <c r="K16" s="90"/>
      <c r="L16" s="90"/>
      <c r="M16" s="7" t="s">
        <v>28</v>
      </c>
      <c r="N16" s="4">
        <v>11600</v>
      </c>
      <c r="O16" s="94"/>
      <c r="P16" s="94"/>
      <c r="Q16" s="7" t="s">
        <v>89</v>
      </c>
      <c r="R16" s="4">
        <v>65</v>
      </c>
      <c r="S16" s="5">
        <v>71.55</v>
      </c>
      <c r="T16" s="5">
        <v>1.75</v>
      </c>
      <c r="U16" s="8">
        <v>-0.14660000000000001</v>
      </c>
      <c r="V16" s="8">
        <v>0.60529999999999995</v>
      </c>
      <c r="W16" s="5">
        <v>69.8</v>
      </c>
      <c r="X16" s="6">
        <v>6.0181492897635417E-3</v>
      </c>
      <c r="Y16" s="4">
        <v>0</v>
      </c>
      <c r="Z16" s="6">
        <v>0</v>
      </c>
      <c r="AA16" s="5">
        <v>17335.75</v>
      </c>
      <c r="AB16" s="5">
        <v>16965.2</v>
      </c>
      <c r="AC16" s="5">
        <v>-370.55</v>
      </c>
      <c r="AD16" s="5">
        <v>-2.1375000000000002</v>
      </c>
      <c r="AE16" s="4">
        <v>2</v>
      </c>
      <c r="AF16" s="5">
        <v>-3.3333000000000002E-2</v>
      </c>
      <c r="AG16" s="5">
        <v>-376.32859999999999</v>
      </c>
      <c r="AH16" s="5">
        <v>-2.1707999999999998</v>
      </c>
      <c r="AI16" s="8">
        <v>-2.3121999999999998</v>
      </c>
      <c r="AJ16" s="8">
        <v>0.59670000000000001</v>
      </c>
      <c r="AK16" s="9">
        <v>-189.37860000000001</v>
      </c>
      <c r="AL16" s="9">
        <v>-0.55889999999999995</v>
      </c>
      <c r="AM16" s="5">
        <v>94.400499999999994</v>
      </c>
      <c r="AN16" s="4">
        <v>100</v>
      </c>
      <c r="AO16" s="5">
        <v>-5.5994999999999999</v>
      </c>
      <c r="AP16" s="5">
        <v>-5.5994999999999999</v>
      </c>
      <c r="AQ16" s="8">
        <v>0.14660000000000001</v>
      </c>
      <c r="AR16" s="8">
        <v>-0.60160000000000002</v>
      </c>
      <c r="AS16" s="8">
        <v>-0.60160000000000002</v>
      </c>
      <c r="AT16" s="5">
        <v>94.36</v>
      </c>
      <c r="AU16" s="5">
        <v>-5.64</v>
      </c>
      <c r="AV16" s="7" t="s">
        <v>90</v>
      </c>
    </row>
    <row r="17" spans="1:48" ht="18" customHeight="1" x14ac:dyDescent="0.25">
      <c r="A17" s="10">
        <v>8</v>
      </c>
      <c r="B17" s="10">
        <v>2</v>
      </c>
      <c r="C17" s="10">
        <v>8</v>
      </c>
      <c r="D17" s="88">
        <v>43591</v>
      </c>
      <c r="E17" s="88">
        <v>43593</v>
      </c>
      <c r="F17" s="88">
        <v>43615</v>
      </c>
      <c r="G17" s="11">
        <v>11598.25</v>
      </c>
      <c r="H17" s="11">
        <v>11359.45</v>
      </c>
      <c r="I17" s="12"/>
      <c r="J17" s="12"/>
      <c r="K17" s="96">
        <f>H17/$G$13-1</f>
        <v>-3.1271986116500172E-2</v>
      </c>
      <c r="L17" s="96"/>
      <c r="M17" s="97" t="s">
        <v>40</v>
      </c>
      <c r="N17" s="10">
        <v>11700</v>
      </c>
      <c r="O17" s="95">
        <f>IF(F17=F15,O15,MROUND(G17,100))</f>
        <v>11700</v>
      </c>
      <c r="P17" s="95">
        <f>O17-N17</f>
        <v>0</v>
      </c>
      <c r="Q17" s="12" t="s">
        <v>91</v>
      </c>
      <c r="R17" s="10">
        <v>65</v>
      </c>
      <c r="S17" s="11">
        <v>353.9</v>
      </c>
      <c r="T17" s="11">
        <v>471.05</v>
      </c>
      <c r="U17" s="13">
        <v>-0.30349999999999999</v>
      </c>
      <c r="V17" s="13">
        <v>1.1052999999999999</v>
      </c>
      <c r="W17" s="10">
        <v>0</v>
      </c>
      <c r="X17" s="14">
        <v>0</v>
      </c>
      <c r="Y17" s="11">
        <v>117.15</v>
      </c>
      <c r="Z17" s="14">
        <v>1.0100661737762161E-2</v>
      </c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 t="s">
        <v>90</v>
      </c>
    </row>
    <row r="18" spans="1:48" ht="18" hidden="1" customHeight="1" x14ac:dyDescent="0.25">
      <c r="A18" s="4">
        <v>9</v>
      </c>
      <c r="B18" s="4">
        <v>1</v>
      </c>
      <c r="C18" s="4">
        <v>9</v>
      </c>
      <c r="D18" s="87">
        <v>43593</v>
      </c>
      <c r="E18" s="87">
        <v>43595</v>
      </c>
      <c r="F18" s="87">
        <v>43601</v>
      </c>
      <c r="G18" s="5">
        <v>11359.45</v>
      </c>
      <c r="H18" s="5">
        <v>11278.9</v>
      </c>
      <c r="I18" s="5">
        <v>-80.55</v>
      </c>
      <c r="J18" s="6">
        <v>-7.0910123289419811E-3</v>
      </c>
      <c r="K18" s="90"/>
      <c r="L18" s="90"/>
      <c r="M18" s="7" t="s">
        <v>28</v>
      </c>
      <c r="N18" s="4">
        <v>11400</v>
      </c>
      <c r="O18" s="94"/>
      <c r="P18" s="94"/>
      <c r="Q18" s="7" t="s">
        <v>89</v>
      </c>
      <c r="R18" s="4">
        <v>65</v>
      </c>
      <c r="S18" s="5">
        <v>99.7</v>
      </c>
      <c r="T18" s="5">
        <v>53.1</v>
      </c>
      <c r="U18" s="8">
        <v>8.8499999999999995E-2</v>
      </c>
      <c r="V18" s="8">
        <v>0.49209999999999998</v>
      </c>
      <c r="W18" s="5">
        <v>46.6</v>
      </c>
      <c r="X18" s="6">
        <v>4.1023112914797813E-3</v>
      </c>
      <c r="Y18" s="4">
        <v>0</v>
      </c>
      <c r="Z18" s="6">
        <v>0</v>
      </c>
      <c r="AA18" s="5">
        <v>16965.2</v>
      </c>
      <c r="AB18" s="5">
        <v>17029.45</v>
      </c>
      <c r="AC18" s="5">
        <v>64.25</v>
      </c>
      <c r="AD18" s="5">
        <v>0.37869999999999998</v>
      </c>
      <c r="AE18" s="4">
        <v>2</v>
      </c>
      <c r="AF18" s="5">
        <v>-3.3333000000000002E-2</v>
      </c>
      <c r="AG18" s="5">
        <v>58.594900000000003</v>
      </c>
      <c r="AH18" s="5">
        <v>0.34539999999999998</v>
      </c>
      <c r="AI18" s="8">
        <v>-0.77839999999999998</v>
      </c>
      <c r="AJ18" s="8">
        <v>0.64700000000000002</v>
      </c>
      <c r="AK18" s="15">
        <v>163.89490000000001</v>
      </c>
      <c r="AL18" s="15">
        <v>1.2724</v>
      </c>
      <c r="AM18" s="5">
        <v>95.601699999999994</v>
      </c>
      <c r="AN18" s="4">
        <v>100</v>
      </c>
      <c r="AO18" s="5">
        <v>-4.3982999999999999</v>
      </c>
      <c r="AP18" s="5">
        <v>-4.3982999999999999</v>
      </c>
      <c r="AQ18" s="8">
        <v>0.73509999999999998</v>
      </c>
      <c r="AR18" s="8">
        <v>0.39200000000000002</v>
      </c>
      <c r="AS18" s="8">
        <v>0.39200000000000002</v>
      </c>
      <c r="AT18" s="5">
        <v>94.770600000000002</v>
      </c>
      <c r="AU18" s="5">
        <v>-5.2294</v>
      </c>
      <c r="AV18" s="7" t="s">
        <v>94</v>
      </c>
    </row>
    <row r="19" spans="1:48" ht="18" customHeight="1" x14ac:dyDescent="0.25">
      <c r="A19" s="10">
        <v>9</v>
      </c>
      <c r="B19" s="10">
        <v>2</v>
      </c>
      <c r="C19" s="10">
        <v>9</v>
      </c>
      <c r="D19" s="88">
        <v>43593</v>
      </c>
      <c r="E19" s="88">
        <v>43595</v>
      </c>
      <c r="F19" s="88">
        <v>43615</v>
      </c>
      <c r="G19" s="11">
        <v>11359.45</v>
      </c>
      <c r="H19" s="11">
        <v>11278.9</v>
      </c>
      <c r="I19" s="12"/>
      <c r="J19" s="12"/>
      <c r="K19" s="92"/>
      <c r="L19" s="92"/>
      <c r="M19" s="12" t="s">
        <v>40</v>
      </c>
      <c r="N19" s="10">
        <v>11700</v>
      </c>
      <c r="O19" s="95">
        <f>IF(F19=F17,O17,MROUND(G19,100))</f>
        <v>11700</v>
      </c>
      <c r="P19" s="95">
        <f>O19-N19</f>
        <v>0</v>
      </c>
      <c r="Q19" s="12" t="s">
        <v>91</v>
      </c>
      <c r="R19" s="10">
        <v>65</v>
      </c>
      <c r="S19" s="11">
        <v>471.05</v>
      </c>
      <c r="T19" s="11">
        <v>529.75</v>
      </c>
      <c r="U19" s="13">
        <v>-4.0000000000000002E-4</v>
      </c>
      <c r="V19" s="13">
        <v>0.67830000000000001</v>
      </c>
      <c r="W19" s="10">
        <v>0</v>
      </c>
      <c r="X19" s="14">
        <v>0</v>
      </c>
      <c r="Y19" s="11">
        <v>58.7</v>
      </c>
      <c r="Z19" s="14">
        <v>5.1675037083661621E-3</v>
      </c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 t="s">
        <v>94</v>
      </c>
    </row>
    <row r="20" spans="1:48" ht="18" hidden="1" customHeight="1" x14ac:dyDescent="0.25">
      <c r="A20" s="4">
        <v>10</v>
      </c>
      <c r="B20" s="4">
        <v>1</v>
      </c>
      <c r="C20" s="4">
        <v>10</v>
      </c>
      <c r="D20" s="87">
        <v>43738</v>
      </c>
      <c r="E20" s="87">
        <v>43739</v>
      </c>
      <c r="F20" s="87">
        <v>43741</v>
      </c>
      <c r="G20" s="5">
        <v>11474.45</v>
      </c>
      <c r="H20" s="5">
        <v>11359.9</v>
      </c>
      <c r="I20" s="5">
        <v>-114.55</v>
      </c>
      <c r="J20" s="6">
        <v>-9.9830492964804399E-3</v>
      </c>
      <c r="K20" s="90"/>
      <c r="L20" s="90"/>
      <c r="M20" s="7" t="s">
        <v>28</v>
      </c>
      <c r="N20" s="4">
        <v>11500</v>
      </c>
      <c r="O20" s="94"/>
      <c r="P20" s="94"/>
      <c r="Q20" s="7" t="s">
        <v>89</v>
      </c>
      <c r="R20" s="4">
        <v>65</v>
      </c>
      <c r="S20" s="5">
        <v>56.85</v>
      </c>
      <c r="T20" s="5">
        <v>15.3</v>
      </c>
      <c r="U20" s="8">
        <v>-0.36470000000000002</v>
      </c>
      <c r="V20" s="8">
        <v>0.42009999999999997</v>
      </c>
      <c r="W20" s="5">
        <v>41.55</v>
      </c>
      <c r="X20" s="6">
        <v>3.6210885924815562E-3</v>
      </c>
      <c r="Y20" s="4">
        <v>0</v>
      </c>
      <c r="Z20" s="6">
        <v>0</v>
      </c>
      <c r="AA20" s="4">
        <v>16026</v>
      </c>
      <c r="AB20" s="5">
        <v>15725.35</v>
      </c>
      <c r="AC20" s="5">
        <v>-300.64999999999998</v>
      </c>
      <c r="AD20" s="5">
        <v>-1.8759999999999999</v>
      </c>
      <c r="AE20" s="4">
        <v>1</v>
      </c>
      <c r="AF20" s="5">
        <v>-1.6667000000000001E-2</v>
      </c>
      <c r="AG20" s="5">
        <v>-303.32100000000003</v>
      </c>
      <c r="AH20" s="5">
        <v>-1.8927</v>
      </c>
      <c r="AI20" s="8">
        <v>-3.2715000000000001</v>
      </c>
      <c r="AJ20" s="8">
        <v>0.53239999999999998</v>
      </c>
      <c r="AK20" s="9">
        <v>-205.67099999999999</v>
      </c>
      <c r="AL20" s="9">
        <v>-1.0417000000000001</v>
      </c>
      <c r="AM20" s="5">
        <v>98.958299999999994</v>
      </c>
      <c r="AN20" s="4">
        <v>100</v>
      </c>
      <c r="AO20" s="5">
        <v>-1.0417000000000001</v>
      </c>
      <c r="AP20" s="5">
        <v>-1.0417000000000001</v>
      </c>
      <c r="AQ20" s="8">
        <v>-0.126</v>
      </c>
      <c r="AR20" s="8">
        <v>-1.6033999999999999</v>
      </c>
      <c r="AS20" s="8">
        <v>-1.6033999999999999</v>
      </c>
      <c r="AT20" s="5">
        <v>98.396600000000007</v>
      </c>
      <c r="AU20" s="5">
        <v>-1.6033999999999999</v>
      </c>
      <c r="AV20" s="7" t="s">
        <v>90</v>
      </c>
    </row>
    <row r="21" spans="1:48" ht="18" customHeight="1" x14ac:dyDescent="0.25">
      <c r="A21" s="10">
        <v>10</v>
      </c>
      <c r="B21" s="10">
        <v>2</v>
      </c>
      <c r="C21" s="10">
        <v>10</v>
      </c>
      <c r="D21" s="88">
        <v>43738</v>
      </c>
      <c r="E21" s="88">
        <v>43739</v>
      </c>
      <c r="F21" s="88">
        <v>43769</v>
      </c>
      <c r="G21" s="11">
        <v>11474.45</v>
      </c>
      <c r="H21" s="11">
        <v>11359.9</v>
      </c>
      <c r="I21" s="12"/>
      <c r="J21" s="12"/>
      <c r="K21" s="92">
        <f>H21/$G$21-1</f>
        <v>-9.9830492964805284E-3</v>
      </c>
      <c r="L21" s="92"/>
      <c r="M21" s="12" t="s">
        <v>40</v>
      </c>
      <c r="N21" s="10">
        <v>11500</v>
      </c>
      <c r="O21" s="95">
        <f>IF(F21=F19,O19,MROUND(G21,100))</f>
        <v>11500</v>
      </c>
      <c r="P21" s="95">
        <f>O21-N21</f>
        <v>0</v>
      </c>
      <c r="Q21" s="12" t="s">
        <v>91</v>
      </c>
      <c r="R21" s="10">
        <v>65</v>
      </c>
      <c r="S21" s="11">
        <v>182.7</v>
      </c>
      <c r="T21" s="11">
        <v>238.8</v>
      </c>
      <c r="U21" s="13">
        <v>-0.29370000000000002</v>
      </c>
      <c r="V21" s="13">
        <v>1.248</v>
      </c>
      <c r="W21" s="10">
        <v>0</v>
      </c>
      <c r="X21" s="14">
        <v>0</v>
      </c>
      <c r="Y21" s="11">
        <v>56.1</v>
      </c>
      <c r="Z21" s="14">
        <v>4.8891232259498279E-3</v>
      </c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 t="s">
        <v>90</v>
      </c>
    </row>
    <row r="22" spans="1:48" ht="18" hidden="1" customHeight="1" x14ac:dyDescent="0.25">
      <c r="A22" s="4">
        <v>11</v>
      </c>
      <c r="B22" s="4">
        <v>1</v>
      </c>
      <c r="C22" s="4">
        <v>11</v>
      </c>
      <c r="D22" s="87">
        <v>43739</v>
      </c>
      <c r="E22" s="87">
        <v>43742</v>
      </c>
      <c r="F22" s="87">
        <v>43748</v>
      </c>
      <c r="G22" s="5">
        <v>11359.9</v>
      </c>
      <c r="H22" s="5">
        <v>11174.75</v>
      </c>
      <c r="I22" s="5">
        <v>-185.15</v>
      </c>
      <c r="J22" s="6">
        <v>-1.6298558966188079E-2</v>
      </c>
      <c r="K22" s="90"/>
      <c r="L22" s="90"/>
      <c r="M22" s="7" t="s">
        <v>28</v>
      </c>
      <c r="N22" s="4">
        <v>11400</v>
      </c>
      <c r="O22" s="94"/>
      <c r="P22" s="94"/>
      <c r="Q22" s="7" t="s">
        <v>89</v>
      </c>
      <c r="R22" s="4">
        <v>65</v>
      </c>
      <c r="S22" s="5">
        <v>123.05</v>
      </c>
      <c r="T22" s="5">
        <v>25.3</v>
      </c>
      <c r="U22" s="8">
        <v>6.9500000000000006E-2</v>
      </c>
      <c r="V22" s="8">
        <v>0.89390000000000003</v>
      </c>
      <c r="W22" s="5">
        <v>97.75</v>
      </c>
      <c r="X22" s="6">
        <v>8.6048292678632746E-3</v>
      </c>
      <c r="Y22" s="4">
        <v>0</v>
      </c>
      <c r="Z22" s="6">
        <v>0</v>
      </c>
      <c r="AA22" s="5">
        <v>15725.35</v>
      </c>
      <c r="AB22" s="5">
        <v>15573.7</v>
      </c>
      <c r="AC22" s="5">
        <v>-151.65</v>
      </c>
      <c r="AD22" s="5">
        <v>-0.96440000000000003</v>
      </c>
      <c r="AE22" s="4">
        <v>3</v>
      </c>
      <c r="AF22" s="5">
        <v>-0.05</v>
      </c>
      <c r="AG22" s="5">
        <v>-159.5127</v>
      </c>
      <c r="AH22" s="5">
        <v>-1.0144</v>
      </c>
      <c r="AI22" s="8">
        <v>-1.1998</v>
      </c>
      <c r="AJ22" s="8">
        <v>0.59519999999999995</v>
      </c>
      <c r="AK22" s="15">
        <v>72.587299999999999</v>
      </c>
      <c r="AL22" s="15">
        <v>1.0287999999999999</v>
      </c>
      <c r="AM22" s="5">
        <v>99.976399999999998</v>
      </c>
      <c r="AN22" s="4">
        <v>100</v>
      </c>
      <c r="AO22" s="5">
        <v>-2.3599999999999999E-2</v>
      </c>
      <c r="AP22" s="5">
        <v>-2.3599999999999999E-2</v>
      </c>
      <c r="AQ22" s="8">
        <v>0.65500000000000003</v>
      </c>
      <c r="AR22" s="8">
        <v>0.98109999999999997</v>
      </c>
      <c r="AS22" s="8">
        <v>0.65500000000000003</v>
      </c>
      <c r="AT22" s="5">
        <v>99.606499999999997</v>
      </c>
      <c r="AU22" s="5">
        <v>-0.39350000000000002</v>
      </c>
      <c r="AV22" s="7" t="s">
        <v>93</v>
      </c>
    </row>
    <row r="23" spans="1:48" ht="18" customHeight="1" x14ac:dyDescent="0.25">
      <c r="A23" s="10">
        <v>11</v>
      </c>
      <c r="B23" s="10">
        <v>2</v>
      </c>
      <c r="C23" s="10">
        <v>11</v>
      </c>
      <c r="D23" s="88">
        <v>43739</v>
      </c>
      <c r="E23" s="88">
        <v>43742</v>
      </c>
      <c r="F23" s="88">
        <v>43769</v>
      </c>
      <c r="G23" s="11">
        <v>11359.9</v>
      </c>
      <c r="H23" s="11">
        <v>11174.75</v>
      </c>
      <c r="I23" s="12"/>
      <c r="J23" s="12"/>
      <c r="K23" s="92">
        <f>H23/$G$21-1</f>
        <v>-2.6118898945047486E-2</v>
      </c>
      <c r="L23" s="92"/>
      <c r="M23" s="12" t="s">
        <v>40</v>
      </c>
      <c r="N23" s="10">
        <v>11500</v>
      </c>
      <c r="O23" s="95">
        <f>IF(F23=F21,O21,MROUND(G23,100))</f>
        <v>11500</v>
      </c>
      <c r="P23" s="95">
        <f>O23-N23</f>
        <v>0</v>
      </c>
      <c r="Q23" s="12" t="s">
        <v>91</v>
      </c>
      <c r="R23" s="10">
        <v>65</v>
      </c>
      <c r="S23" s="11">
        <v>238.8</v>
      </c>
      <c r="T23" s="11">
        <v>373.15</v>
      </c>
      <c r="U23" s="13">
        <v>-9.7000000000000003E-3</v>
      </c>
      <c r="V23" s="13">
        <v>1.2869999999999999</v>
      </c>
      <c r="W23" s="10">
        <v>0</v>
      </c>
      <c r="X23" s="14">
        <v>0</v>
      </c>
      <c r="Y23" s="11">
        <v>134.35</v>
      </c>
      <c r="Z23" s="14">
        <v>1.182668861521668E-2</v>
      </c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 t="s">
        <v>93</v>
      </c>
    </row>
    <row r="24" spans="1:48" ht="18" hidden="1" customHeight="1" x14ac:dyDescent="0.25">
      <c r="A24" s="4">
        <v>12</v>
      </c>
      <c r="B24" s="4">
        <v>1</v>
      </c>
      <c r="C24" s="4">
        <v>12</v>
      </c>
      <c r="D24" s="87">
        <v>43742</v>
      </c>
      <c r="E24" s="87">
        <v>43745</v>
      </c>
      <c r="F24" s="87">
        <v>43748</v>
      </c>
      <c r="G24" s="5">
        <v>11174.75</v>
      </c>
      <c r="H24" s="5">
        <v>11126.4</v>
      </c>
      <c r="I24" s="5">
        <v>-48.35</v>
      </c>
      <c r="J24" s="6">
        <v>-4.3267187185395649E-3</v>
      </c>
      <c r="K24" s="90"/>
      <c r="L24" s="90"/>
      <c r="M24" s="7" t="s">
        <v>28</v>
      </c>
      <c r="N24" s="4">
        <v>11200</v>
      </c>
      <c r="O24" s="94"/>
      <c r="P24" s="94"/>
      <c r="Q24" s="7" t="s">
        <v>89</v>
      </c>
      <c r="R24" s="4">
        <v>65</v>
      </c>
      <c r="S24" s="5">
        <v>85.65</v>
      </c>
      <c r="T24" s="5">
        <v>38.049999999999997</v>
      </c>
      <c r="U24" s="8">
        <v>-8.3199999999999996E-2</v>
      </c>
      <c r="V24" s="8">
        <v>0.4788</v>
      </c>
      <c r="W24" s="5">
        <v>47.6</v>
      </c>
      <c r="X24" s="6">
        <v>4.2596031231123743E-3</v>
      </c>
      <c r="Y24" s="4">
        <v>0</v>
      </c>
      <c r="Z24" s="6">
        <v>0</v>
      </c>
      <c r="AA24" s="5">
        <v>15573.7</v>
      </c>
      <c r="AB24" s="5">
        <v>15524.35</v>
      </c>
      <c r="AC24" s="5">
        <v>-49.35</v>
      </c>
      <c r="AD24" s="5">
        <v>-0.31690000000000002</v>
      </c>
      <c r="AE24" s="4">
        <v>3</v>
      </c>
      <c r="AF24" s="5">
        <v>-0.05</v>
      </c>
      <c r="AG24" s="5">
        <v>-57.136899999999997</v>
      </c>
      <c r="AH24" s="5">
        <v>-0.3669</v>
      </c>
      <c r="AI24" s="8">
        <v>-1.0995999999999999</v>
      </c>
      <c r="AJ24" s="8">
        <v>7.7100000000000002E-2</v>
      </c>
      <c r="AK24" s="15">
        <v>26.513100000000001</v>
      </c>
      <c r="AL24" s="15">
        <v>0.38169999999999998</v>
      </c>
      <c r="AM24" s="5">
        <v>100.358</v>
      </c>
      <c r="AN24" s="5">
        <v>100.358</v>
      </c>
      <c r="AO24" s="4">
        <v>0</v>
      </c>
      <c r="AP24" s="4">
        <v>0</v>
      </c>
      <c r="AQ24" s="8">
        <v>-0.35639999999999999</v>
      </c>
      <c r="AR24" s="8">
        <v>-0.2253</v>
      </c>
      <c r="AS24" s="8">
        <v>-0.35639999999999999</v>
      </c>
      <c r="AT24" s="5">
        <v>99.620099999999994</v>
      </c>
      <c r="AU24" s="5">
        <v>-0.37990000000000002</v>
      </c>
      <c r="AV24" s="7" t="s">
        <v>95</v>
      </c>
    </row>
    <row r="25" spans="1:48" ht="18" customHeight="1" x14ac:dyDescent="0.25">
      <c r="A25" s="10">
        <v>12</v>
      </c>
      <c r="B25" s="10">
        <v>2</v>
      </c>
      <c r="C25" s="10">
        <v>12</v>
      </c>
      <c r="D25" s="88">
        <v>43742</v>
      </c>
      <c r="E25" s="88">
        <v>43745</v>
      </c>
      <c r="F25" s="88">
        <v>43769</v>
      </c>
      <c r="G25" s="11">
        <v>11174.75</v>
      </c>
      <c r="H25" s="11">
        <v>11126.4</v>
      </c>
      <c r="I25" s="12"/>
      <c r="J25" s="12"/>
      <c r="K25" s="99">
        <f>H25/$G$21-1</f>
        <v>-3.0332608534613947E-2</v>
      </c>
      <c r="L25" s="99"/>
      <c r="M25" s="12" t="s">
        <v>40</v>
      </c>
      <c r="N25" s="10">
        <v>11500</v>
      </c>
      <c r="O25" s="95">
        <f>IF(F25=F23,O23,MROUND(G25,100))</f>
        <v>11500</v>
      </c>
      <c r="P25" s="95">
        <f>O25-N25</f>
        <v>0</v>
      </c>
      <c r="Q25" s="12" t="s">
        <v>91</v>
      </c>
      <c r="R25" s="10">
        <v>65</v>
      </c>
      <c r="S25" s="11">
        <v>373.15</v>
      </c>
      <c r="T25" s="11">
        <v>409.2</v>
      </c>
      <c r="U25" s="13">
        <v>-0.3503</v>
      </c>
      <c r="V25" s="13">
        <v>0.39550000000000002</v>
      </c>
      <c r="W25" s="10">
        <v>0</v>
      </c>
      <c r="X25" s="14">
        <v>0</v>
      </c>
      <c r="Y25" s="11">
        <v>36.049999999999997</v>
      </c>
      <c r="Z25" s="14">
        <v>3.226022953533636E-3</v>
      </c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 t="s">
        <v>95</v>
      </c>
    </row>
    <row r="26" spans="1:48" ht="18" hidden="1" customHeight="1" x14ac:dyDescent="0.25">
      <c r="A26" s="4">
        <v>13</v>
      </c>
      <c r="B26" s="4">
        <v>1</v>
      </c>
      <c r="C26" s="4">
        <v>13</v>
      </c>
      <c r="D26" s="87">
        <v>43745</v>
      </c>
      <c r="E26" s="87">
        <v>43747</v>
      </c>
      <c r="F26" s="87">
        <v>43748</v>
      </c>
      <c r="G26" s="5">
        <v>11126.4</v>
      </c>
      <c r="H26" s="5">
        <v>11313.3</v>
      </c>
      <c r="I26" s="5">
        <v>186.9</v>
      </c>
      <c r="J26" s="6">
        <v>1.679788610871441E-2</v>
      </c>
      <c r="K26" s="90"/>
      <c r="L26" s="90"/>
      <c r="M26" s="7" t="s">
        <v>28</v>
      </c>
      <c r="N26" s="4">
        <v>11100</v>
      </c>
      <c r="O26" s="94"/>
      <c r="P26" s="94"/>
      <c r="Q26" s="7" t="s">
        <v>89</v>
      </c>
      <c r="R26" s="4">
        <v>65</v>
      </c>
      <c r="S26" s="5">
        <v>84.6</v>
      </c>
      <c r="T26" s="5">
        <v>221.95</v>
      </c>
      <c r="U26" s="8">
        <v>-1.3428</v>
      </c>
      <c r="V26" s="8">
        <v>0.29880000000000001</v>
      </c>
      <c r="W26" s="5">
        <v>-137.35</v>
      </c>
      <c r="X26" s="6">
        <v>-1.2344513948806439E-2</v>
      </c>
      <c r="Y26" s="4">
        <v>0</v>
      </c>
      <c r="Z26" s="6">
        <v>0</v>
      </c>
      <c r="AA26" s="5">
        <v>15524.35</v>
      </c>
      <c r="AB26" s="5">
        <v>15722.55</v>
      </c>
      <c r="AC26" s="5">
        <v>198.2</v>
      </c>
      <c r="AD26" s="5">
        <v>1.2766999999999999</v>
      </c>
      <c r="AE26" s="4">
        <v>2</v>
      </c>
      <c r="AF26" s="5">
        <v>-3.3333000000000002E-2</v>
      </c>
      <c r="AG26" s="5">
        <v>193.02520000000001</v>
      </c>
      <c r="AH26" s="5">
        <v>1.2434000000000001</v>
      </c>
      <c r="AI26" s="8">
        <v>-0.62090000000000001</v>
      </c>
      <c r="AJ26" s="8">
        <v>1.3209</v>
      </c>
      <c r="AK26" s="9">
        <v>-22.8748</v>
      </c>
      <c r="AL26" s="9">
        <v>-0.69699999999999995</v>
      </c>
      <c r="AM26" s="5">
        <v>99.658500000000004</v>
      </c>
      <c r="AN26" s="5">
        <v>100.358</v>
      </c>
      <c r="AO26" s="5">
        <v>-0.69950000000000001</v>
      </c>
      <c r="AP26" s="5">
        <v>-0.69699999999999995</v>
      </c>
      <c r="AQ26" s="8">
        <v>-0.76919999999999999</v>
      </c>
      <c r="AR26" s="8">
        <v>-0.17560000000000001</v>
      </c>
      <c r="AS26" s="8">
        <v>-0.76919999999999999</v>
      </c>
      <c r="AT26" s="5">
        <v>99.585999999999999</v>
      </c>
      <c r="AU26" s="5">
        <v>-0.76919999999999999</v>
      </c>
      <c r="AV26" s="7" t="s">
        <v>90</v>
      </c>
    </row>
    <row r="27" spans="1:48" ht="18" customHeight="1" x14ac:dyDescent="0.25">
      <c r="A27" s="10">
        <v>13</v>
      </c>
      <c r="B27" s="10">
        <v>2</v>
      </c>
      <c r="C27" s="10">
        <v>13</v>
      </c>
      <c r="D27" s="88">
        <v>43745</v>
      </c>
      <c r="E27" s="88">
        <v>43747</v>
      </c>
      <c r="F27" s="88">
        <v>43769</v>
      </c>
      <c r="G27" s="11">
        <v>11126.4</v>
      </c>
      <c r="H27" s="11">
        <v>11313.3</v>
      </c>
      <c r="I27" s="12"/>
      <c r="J27" s="12"/>
      <c r="K27" s="92">
        <f>H27/$G$27-1</f>
        <v>1.6797886108714355E-2</v>
      </c>
      <c r="L27" s="92"/>
      <c r="M27" s="12" t="s">
        <v>40</v>
      </c>
      <c r="N27" s="10">
        <v>11100</v>
      </c>
      <c r="O27" s="95">
        <f>N27</f>
        <v>11100</v>
      </c>
      <c r="P27" s="95">
        <f>O27-N27</f>
        <v>0</v>
      </c>
      <c r="Q27" s="12" t="s">
        <v>91</v>
      </c>
      <c r="R27" s="10">
        <v>65</v>
      </c>
      <c r="S27" s="11">
        <v>171.2</v>
      </c>
      <c r="T27" s="11">
        <v>92.65</v>
      </c>
      <c r="U27" s="13">
        <v>-0.74729999999999996</v>
      </c>
      <c r="V27" s="13">
        <v>0.14649999999999999</v>
      </c>
      <c r="W27" s="10">
        <v>0</v>
      </c>
      <c r="X27" s="14">
        <v>0</v>
      </c>
      <c r="Y27" s="11">
        <v>-78.55</v>
      </c>
      <c r="Z27" s="14">
        <v>-7.0597857348288764E-3</v>
      </c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 t="s">
        <v>90</v>
      </c>
    </row>
    <row r="28" spans="1:48" ht="18" hidden="1" customHeight="1" x14ac:dyDescent="0.25">
      <c r="A28" s="4">
        <v>14</v>
      </c>
      <c r="B28" s="4">
        <v>1</v>
      </c>
      <c r="C28" s="4">
        <v>14</v>
      </c>
      <c r="D28" s="87">
        <v>43747</v>
      </c>
      <c r="E28" s="87">
        <v>43753</v>
      </c>
      <c r="F28" s="87">
        <v>43755</v>
      </c>
      <c r="G28" s="5">
        <v>11313.3</v>
      </c>
      <c r="H28" s="5">
        <v>11428.3</v>
      </c>
      <c r="I28" s="4">
        <v>115</v>
      </c>
      <c r="J28" s="6">
        <v>1.0165027003615211E-2</v>
      </c>
      <c r="K28" s="90"/>
      <c r="L28" s="90"/>
      <c r="M28" s="7" t="s">
        <v>28</v>
      </c>
      <c r="N28" s="4">
        <v>11300</v>
      </c>
      <c r="O28" s="94"/>
      <c r="P28" s="94"/>
      <c r="Q28" s="7" t="s">
        <v>89</v>
      </c>
      <c r="R28" s="4">
        <v>65</v>
      </c>
      <c r="S28" s="5">
        <v>125.05</v>
      </c>
      <c r="T28" s="5">
        <v>146.80000000000001</v>
      </c>
      <c r="U28" s="8">
        <v>-0.46800000000000003</v>
      </c>
      <c r="V28" s="8">
        <v>0.57850000000000001</v>
      </c>
      <c r="W28" s="5">
        <v>-21.75</v>
      </c>
      <c r="X28" s="6">
        <v>-1.9225159767707041E-3</v>
      </c>
      <c r="Y28" s="4">
        <v>0</v>
      </c>
      <c r="Z28" s="6">
        <v>0</v>
      </c>
      <c r="AA28" s="5">
        <v>15722.55</v>
      </c>
      <c r="AB28" s="5">
        <v>15629.15</v>
      </c>
      <c r="AC28" s="5">
        <v>-93.4</v>
      </c>
      <c r="AD28" s="5">
        <v>-0.59409999999999996</v>
      </c>
      <c r="AE28" s="4">
        <v>6</v>
      </c>
      <c r="AF28" s="5">
        <v>-0.1</v>
      </c>
      <c r="AG28" s="5">
        <v>-109.1225</v>
      </c>
      <c r="AH28" s="5">
        <v>-0.69410000000000005</v>
      </c>
      <c r="AI28" s="8">
        <v>-1.7430000000000001</v>
      </c>
      <c r="AJ28" s="8">
        <v>2.3099999999999999E-2</v>
      </c>
      <c r="AK28" s="9">
        <v>-174.7225</v>
      </c>
      <c r="AL28" s="9">
        <v>-1.2739</v>
      </c>
      <c r="AM28" s="5">
        <v>98.388900000000007</v>
      </c>
      <c r="AN28" s="5">
        <v>100.358</v>
      </c>
      <c r="AO28" s="5">
        <v>-1.9690000000000001</v>
      </c>
      <c r="AP28" s="5">
        <v>-1.962</v>
      </c>
      <c r="AQ28" s="8">
        <v>-0.86829999999999996</v>
      </c>
      <c r="AR28" s="8">
        <v>-0.66020000000000001</v>
      </c>
      <c r="AS28" s="8">
        <v>-1.2739</v>
      </c>
      <c r="AT28" s="5">
        <v>98.388900000000007</v>
      </c>
      <c r="AU28" s="5">
        <v>-1.962</v>
      </c>
      <c r="AV28" s="7" t="s">
        <v>96</v>
      </c>
    </row>
    <row r="29" spans="1:48" ht="18" customHeight="1" x14ac:dyDescent="0.25">
      <c r="A29" s="10">
        <v>14</v>
      </c>
      <c r="B29" s="10">
        <v>2</v>
      </c>
      <c r="C29" s="10">
        <v>14</v>
      </c>
      <c r="D29" s="88">
        <v>43747</v>
      </c>
      <c r="E29" s="88">
        <v>43753</v>
      </c>
      <c r="F29" s="88">
        <v>43769</v>
      </c>
      <c r="G29" s="11">
        <v>11313.3</v>
      </c>
      <c r="H29" s="11">
        <v>11428.3</v>
      </c>
      <c r="I29" s="12"/>
      <c r="J29" s="12"/>
      <c r="K29" s="92">
        <f>H29/$G$27-1</f>
        <v>2.7133664078228259E-2</v>
      </c>
      <c r="L29" s="92"/>
      <c r="M29" s="12" t="s">
        <v>40</v>
      </c>
      <c r="N29" s="10">
        <v>11100</v>
      </c>
      <c r="O29" s="95">
        <f>IF(F29=F27,O27,MROUND(G29,100))</f>
        <v>11100</v>
      </c>
      <c r="P29" s="95">
        <f>O29-N29</f>
        <v>0</v>
      </c>
      <c r="Q29" s="12" t="s">
        <v>91</v>
      </c>
      <c r="R29" s="10">
        <v>65</v>
      </c>
      <c r="S29" s="11">
        <v>92.65</v>
      </c>
      <c r="T29" s="11">
        <v>48.8</v>
      </c>
      <c r="U29" s="13">
        <v>-0.4234</v>
      </c>
      <c r="V29" s="13">
        <v>0.50429999999999997</v>
      </c>
      <c r="W29" s="10">
        <v>0</v>
      </c>
      <c r="X29" s="14">
        <v>0</v>
      </c>
      <c r="Y29" s="11">
        <v>-43.85</v>
      </c>
      <c r="Z29" s="14">
        <v>-3.875968992248062E-3</v>
      </c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 t="s">
        <v>96</v>
      </c>
    </row>
    <row r="30" spans="1:48" ht="18" hidden="1" customHeight="1" x14ac:dyDescent="0.25">
      <c r="A30" s="4">
        <v>15</v>
      </c>
      <c r="B30" s="4">
        <v>1</v>
      </c>
      <c r="C30" s="4">
        <v>15</v>
      </c>
      <c r="D30" s="87">
        <v>43753</v>
      </c>
      <c r="E30" s="87">
        <v>43754</v>
      </c>
      <c r="F30" s="87">
        <v>43755</v>
      </c>
      <c r="G30" s="5">
        <v>11428.3</v>
      </c>
      <c r="H30" s="4">
        <v>11464</v>
      </c>
      <c r="I30" s="5">
        <v>35.700000000000003</v>
      </c>
      <c r="J30" s="6">
        <v>3.1238241908245331E-3</v>
      </c>
      <c r="K30" s="90"/>
      <c r="L30" s="90"/>
      <c r="M30" s="7" t="s">
        <v>28</v>
      </c>
      <c r="N30" s="4">
        <v>11400</v>
      </c>
      <c r="O30" s="94"/>
      <c r="P30" s="94"/>
      <c r="Q30" s="7" t="s">
        <v>89</v>
      </c>
      <c r="R30" s="4">
        <v>65</v>
      </c>
      <c r="S30" s="5">
        <v>75.400000000000006</v>
      </c>
      <c r="T30" s="5">
        <v>78.650000000000006</v>
      </c>
      <c r="U30" s="8">
        <v>-0.21390000000000001</v>
      </c>
      <c r="V30" s="8">
        <v>0.2223</v>
      </c>
      <c r="W30" s="5">
        <v>-3.25</v>
      </c>
      <c r="X30" s="6">
        <v>-2.843817540666591E-4</v>
      </c>
      <c r="Y30" s="4">
        <v>0</v>
      </c>
      <c r="Z30" s="6">
        <v>0</v>
      </c>
      <c r="AA30" s="5">
        <v>15629.15</v>
      </c>
      <c r="AB30" s="5">
        <v>15605.35</v>
      </c>
      <c r="AC30" s="5">
        <v>-23.8</v>
      </c>
      <c r="AD30" s="5">
        <v>-0.15229999999999999</v>
      </c>
      <c r="AE30" s="4">
        <v>1</v>
      </c>
      <c r="AF30" s="5">
        <v>-1.6667000000000001E-2</v>
      </c>
      <c r="AG30" s="5">
        <v>-26.404900000000001</v>
      </c>
      <c r="AH30" s="5">
        <v>-0.16889999999999999</v>
      </c>
      <c r="AI30" s="8">
        <v>-0.46029999999999999</v>
      </c>
      <c r="AJ30" s="8">
        <v>0.60799999999999998</v>
      </c>
      <c r="AK30" s="9">
        <v>-41.554900000000004</v>
      </c>
      <c r="AL30" s="9">
        <v>-0.30149999999999999</v>
      </c>
      <c r="AM30" s="5">
        <v>98.092299999999994</v>
      </c>
      <c r="AN30" s="5">
        <v>100.358</v>
      </c>
      <c r="AO30" s="5">
        <v>-2.2656999999999998</v>
      </c>
      <c r="AP30" s="5">
        <v>-2.2576000000000001</v>
      </c>
      <c r="AQ30" s="8">
        <v>0.2681</v>
      </c>
      <c r="AR30" s="8">
        <v>-0.2419</v>
      </c>
      <c r="AS30" s="8">
        <v>-0.30149999999999999</v>
      </c>
      <c r="AT30" s="5">
        <v>98.092299999999994</v>
      </c>
      <c r="AU30" s="5">
        <v>-2.2576000000000001</v>
      </c>
      <c r="AV30" s="7" t="s">
        <v>90</v>
      </c>
    </row>
    <row r="31" spans="1:48" ht="18" customHeight="1" x14ac:dyDescent="0.25">
      <c r="A31" s="10">
        <v>15</v>
      </c>
      <c r="B31" s="10">
        <v>2</v>
      </c>
      <c r="C31" s="10">
        <v>15</v>
      </c>
      <c r="D31" s="88">
        <v>43753</v>
      </c>
      <c r="E31" s="88">
        <v>43754</v>
      </c>
      <c r="F31" s="88">
        <v>43769</v>
      </c>
      <c r="G31" s="11">
        <v>11428.3</v>
      </c>
      <c r="H31" s="10">
        <v>11464</v>
      </c>
      <c r="I31" s="12"/>
      <c r="J31" s="12"/>
      <c r="K31" s="96">
        <f>H31/$G$27-1</f>
        <v>3.0342249065286264E-2</v>
      </c>
      <c r="L31" s="96">
        <f>H31/G31-1</f>
        <v>3.1238241908246867E-3</v>
      </c>
      <c r="M31" s="12" t="s">
        <v>40</v>
      </c>
      <c r="N31" s="10">
        <v>11100</v>
      </c>
      <c r="O31" s="95">
        <f>IF(F31=F29,O29,MROUND(G31,100))</f>
        <v>11100</v>
      </c>
      <c r="P31" s="95">
        <f>O31-N31</f>
        <v>0</v>
      </c>
      <c r="Q31" s="12" t="s">
        <v>91</v>
      </c>
      <c r="R31" s="10">
        <v>65</v>
      </c>
      <c r="S31" s="11">
        <v>48.8</v>
      </c>
      <c r="T31" s="11">
        <v>36.9</v>
      </c>
      <c r="U31" s="13">
        <v>-0.126</v>
      </c>
      <c r="V31" s="13">
        <v>-3.8999999999999998E-3</v>
      </c>
      <c r="W31" s="10">
        <v>0</v>
      </c>
      <c r="X31" s="14">
        <v>0</v>
      </c>
      <c r="Y31" s="11">
        <v>-11.9</v>
      </c>
      <c r="Z31" s="14">
        <v>-1.0412747302748441E-3</v>
      </c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 t="s">
        <v>90</v>
      </c>
    </row>
    <row r="32" spans="1:48" ht="18" hidden="1" customHeight="1" x14ac:dyDescent="0.25">
      <c r="A32" s="4">
        <v>16</v>
      </c>
      <c r="B32" s="4">
        <v>1</v>
      </c>
      <c r="C32" s="4">
        <v>16</v>
      </c>
      <c r="D32" s="87">
        <v>43754</v>
      </c>
      <c r="E32" s="87">
        <v>43755</v>
      </c>
      <c r="F32" s="87">
        <v>43762</v>
      </c>
      <c r="G32" s="4">
        <v>11464</v>
      </c>
      <c r="H32" s="5">
        <v>11586.35</v>
      </c>
      <c r="I32" s="5">
        <v>122.35</v>
      </c>
      <c r="J32" s="6">
        <v>1.067254012561061E-2</v>
      </c>
      <c r="K32" s="90"/>
      <c r="L32" s="90"/>
      <c r="M32" s="7" t="s">
        <v>28</v>
      </c>
      <c r="N32" s="4">
        <v>11500</v>
      </c>
      <c r="O32" s="94"/>
      <c r="P32" s="94"/>
      <c r="Q32" s="7" t="s">
        <v>89</v>
      </c>
      <c r="R32" s="4">
        <v>65</v>
      </c>
      <c r="S32" s="5">
        <v>82.05</v>
      </c>
      <c r="T32" s="5">
        <v>135.35</v>
      </c>
      <c r="U32" s="8">
        <v>-0.60970000000000002</v>
      </c>
      <c r="V32" s="8">
        <v>0.12909999999999999</v>
      </c>
      <c r="W32" s="5">
        <v>-53.3</v>
      </c>
      <c r="X32" s="6">
        <v>-4.6493370551290991E-3</v>
      </c>
      <c r="Y32" s="4">
        <v>0</v>
      </c>
      <c r="Z32" s="6">
        <v>0</v>
      </c>
      <c r="AA32" s="5">
        <v>15605.35</v>
      </c>
      <c r="AB32" s="5">
        <v>15886.85</v>
      </c>
      <c r="AC32" s="5">
        <v>281.5</v>
      </c>
      <c r="AD32" s="5">
        <v>1.8039000000000001</v>
      </c>
      <c r="AE32" s="4">
        <v>1</v>
      </c>
      <c r="AF32" s="5">
        <v>-1.6667000000000001E-2</v>
      </c>
      <c r="AG32" s="5">
        <v>278.89909999999998</v>
      </c>
      <c r="AH32" s="5">
        <v>1.7871999999999999</v>
      </c>
      <c r="AI32" s="8">
        <v>-0.1547</v>
      </c>
      <c r="AJ32" s="8">
        <v>1.9192</v>
      </c>
      <c r="AK32" s="15">
        <v>209.54910000000001</v>
      </c>
      <c r="AL32" s="15">
        <v>1.1822999999999999</v>
      </c>
      <c r="AM32" s="5">
        <v>99.252099999999999</v>
      </c>
      <c r="AN32" s="5">
        <v>100.358</v>
      </c>
      <c r="AO32" s="5">
        <v>-1.1059000000000001</v>
      </c>
      <c r="AP32" s="5">
        <v>-1.1020000000000001</v>
      </c>
      <c r="AQ32" s="8">
        <v>1.1559999999999999</v>
      </c>
      <c r="AR32" s="8">
        <v>-2.7799999999999998E-2</v>
      </c>
      <c r="AS32" s="8">
        <v>-2.7799999999999998E-2</v>
      </c>
      <c r="AT32" s="5">
        <v>98.064999999999998</v>
      </c>
      <c r="AU32" s="5">
        <v>-2.2848000000000002</v>
      </c>
      <c r="AV32" s="7" t="s">
        <v>96</v>
      </c>
    </row>
    <row r="33" spans="1:48" ht="18" customHeight="1" x14ac:dyDescent="0.25">
      <c r="A33" s="100">
        <v>16</v>
      </c>
      <c r="B33" s="100">
        <v>2</v>
      </c>
      <c r="C33" s="100">
        <v>16</v>
      </c>
      <c r="D33" s="101">
        <v>43754</v>
      </c>
      <c r="E33" s="101">
        <v>43755</v>
      </c>
      <c r="F33" s="101">
        <v>43769</v>
      </c>
      <c r="G33" s="100">
        <v>11464</v>
      </c>
      <c r="H33" s="102">
        <v>11586.35</v>
      </c>
      <c r="I33" s="12"/>
      <c r="J33" s="12"/>
      <c r="K33" s="103"/>
      <c r="L33" s="103"/>
      <c r="M33" s="104" t="s">
        <v>40</v>
      </c>
      <c r="N33" s="100">
        <v>11100</v>
      </c>
      <c r="O33" s="105">
        <f>IF(F33=F31,O31,MROUND(G33,100))</f>
        <v>11100</v>
      </c>
      <c r="P33" s="105">
        <f>O33-N33</f>
        <v>0</v>
      </c>
      <c r="Q33" s="104" t="s">
        <v>91</v>
      </c>
      <c r="R33" s="100">
        <v>65</v>
      </c>
      <c r="S33" s="11">
        <v>36.9</v>
      </c>
      <c r="T33" s="11">
        <v>20.85</v>
      </c>
      <c r="U33" s="13">
        <v>-0.1535</v>
      </c>
      <c r="V33" s="13">
        <v>-2.2000000000000001E-3</v>
      </c>
      <c r="W33" s="10">
        <v>0</v>
      </c>
      <c r="X33" s="14">
        <v>0</v>
      </c>
      <c r="Y33" s="11">
        <v>-16.05</v>
      </c>
      <c r="Z33" s="14">
        <v>-1.400034891835311E-3</v>
      </c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04" t="s">
        <v>96</v>
      </c>
    </row>
    <row r="34" spans="1:48" ht="18" hidden="1" customHeight="1" x14ac:dyDescent="0.25">
      <c r="A34" s="4">
        <v>17</v>
      </c>
      <c r="B34" s="4">
        <v>1</v>
      </c>
      <c r="C34" s="4">
        <v>17</v>
      </c>
      <c r="D34" s="87">
        <v>43755</v>
      </c>
      <c r="E34" s="87">
        <v>43761</v>
      </c>
      <c r="F34" s="87">
        <v>43762</v>
      </c>
      <c r="G34" s="5">
        <v>11586.35</v>
      </c>
      <c r="H34" s="5">
        <v>11604.1</v>
      </c>
      <c r="I34" s="5">
        <v>17.75</v>
      </c>
      <c r="J34" s="6">
        <v>1.531975125902463E-3</v>
      </c>
      <c r="K34" s="90"/>
      <c r="L34" s="90"/>
      <c r="M34" s="7" t="s">
        <v>28</v>
      </c>
      <c r="N34" s="4">
        <v>11600</v>
      </c>
      <c r="O34" s="94"/>
      <c r="P34" s="94"/>
      <c r="Q34" s="7" t="s">
        <v>89</v>
      </c>
      <c r="R34" s="4">
        <v>65</v>
      </c>
      <c r="S34" s="5">
        <v>79.150000000000006</v>
      </c>
      <c r="T34" s="5">
        <v>45.65</v>
      </c>
      <c r="U34" s="8">
        <v>-0.48199999999999998</v>
      </c>
      <c r="V34" s="8">
        <v>0.43409999999999999</v>
      </c>
      <c r="W34" s="5">
        <v>33.5</v>
      </c>
      <c r="X34" s="6">
        <v>2.8913333362102821E-3</v>
      </c>
      <c r="Y34" s="4">
        <v>0</v>
      </c>
      <c r="Z34" s="6">
        <v>0</v>
      </c>
      <c r="AA34" s="5">
        <v>15886.85</v>
      </c>
      <c r="AB34" s="5">
        <v>16247.7</v>
      </c>
      <c r="AC34" s="5">
        <v>360.85</v>
      </c>
      <c r="AD34" s="5">
        <v>2.2713999999999999</v>
      </c>
      <c r="AE34" s="4">
        <v>6</v>
      </c>
      <c r="AF34" s="5">
        <v>-0.1</v>
      </c>
      <c r="AG34" s="5">
        <v>344.96319999999997</v>
      </c>
      <c r="AH34" s="5">
        <v>2.1714000000000002</v>
      </c>
      <c r="AI34" s="8">
        <v>1.7299999999999999E-2</v>
      </c>
      <c r="AJ34" s="8">
        <v>2.8208000000000002</v>
      </c>
      <c r="AK34" s="15">
        <v>366.86320000000001</v>
      </c>
      <c r="AL34" s="15">
        <v>2.3603999999999998</v>
      </c>
      <c r="AM34" s="5">
        <v>101.59480000000001</v>
      </c>
      <c r="AN34" s="5">
        <v>101.59480000000001</v>
      </c>
      <c r="AO34" s="4">
        <v>0</v>
      </c>
      <c r="AP34" s="4">
        <v>0</v>
      </c>
      <c r="AQ34" s="8">
        <v>2.2265999999999999</v>
      </c>
      <c r="AR34" s="8">
        <v>0.47339999999999999</v>
      </c>
      <c r="AS34" s="8">
        <v>0.47339999999999999</v>
      </c>
      <c r="AT34" s="5">
        <v>99.721900000000005</v>
      </c>
      <c r="AU34" s="5">
        <v>-0.63380000000000003</v>
      </c>
      <c r="AV34" s="7" t="s">
        <v>90</v>
      </c>
    </row>
    <row r="35" spans="1:48" ht="18" customHeight="1" x14ac:dyDescent="0.25">
      <c r="A35" s="10">
        <v>17</v>
      </c>
      <c r="B35" s="10">
        <v>2</v>
      </c>
      <c r="C35" s="10">
        <v>17</v>
      </c>
      <c r="D35" s="88">
        <v>43755</v>
      </c>
      <c r="E35" s="88">
        <v>43761</v>
      </c>
      <c r="F35" s="88">
        <v>43769</v>
      </c>
      <c r="G35" s="11">
        <v>11586.35</v>
      </c>
      <c r="H35" s="11">
        <v>11604.1</v>
      </c>
      <c r="I35" s="12"/>
      <c r="J35" s="12"/>
      <c r="K35" s="92"/>
      <c r="L35" s="92"/>
      <c r="M35" s="12" t="s">
        <v>40</v>
      </c>
      <c r="N35" s="10">
        <v>11100</v>
      </c>
      <c r="O35" s="95">
        <f>IF(F35=F33,O33,MROUND(G35,100))</f>
        <v>11100</v>
      </c>
      <c r="P35" s="95">
        <f>O35-N35</f>
        <v>0</v>
      </c>
      <c r="Q35" s="12" t="s">
        <v>91</v>
      </c>
      <c r="R35" s="10">
        <v>65</v>
      </c>
      <c r="S35" s="11">
        <v>20.85</v>
      </c>
      <c r="T35" s="11">
        <v>9.25</v>
      </c>
      <c r="U35" s="13">
        <v>-0.11219999999999999</v>
      </c>
      <c r="V35" s="13">
        <v>2.1999999999999999E-2</v>
      </c>
      <c r="W35" s="10">
        <v>0</v>
      </c>
      <c r="X35" s="14">
        <v>0</v>
      </c>
      <c r="Y35" s="11">
        <v>-11.6</v>
      </c>
      <c r="Z35" s="14">
        <v>-1.0011781104489329E-3</v>
      </c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 t="s">
        <v>90</v>
      </c>
    </row>
    <row r="36" spans="1:48" ht="18" hidden="1" customHeight="1" x14ac:dyDescent="0.25">
      <c r="A36" s="4">
        <v>18</v>
      </c>
      <c r="B36" s="4">
        <v>1</v>
      </c>
      <c r="C36" s="4">
        <v>18</v>
      </c>
      <c r="D36" s="87">
        <v>43761</v>
      </c>
      <c r="E36" s="87">
        <v>43767</v>
      </c>
      <c r="F36" s="87">
        <v>43769</v>
      </c>
      <c r="G36" s="5">
        <v>11604.1</v>
      </c>
      <c r="H36" s="5">
        <v>11786.85</v>
      </c>
      <c r="I36" s="5">
        <v>182.75</v>
      </c>
      <c r="J36" s="6">
        <v>1.5748743978421419E-2</v>
      </c>
      <c r="K36" s="90"/>
      <c r="L36" s="90"/>
      <c r="M36" s="7" t="s">
        <v>28</v>
      </c>
      <c r="N36" s="4">
        <v>11600</v>
      </c>
      <c r="O36" s="94"/>
      <c r="P36" s="94"/>
      <c r="Q36" s="7" t="s">
        <v>89</v>
      </c>
      <c r="R36" s="4">
        <v>65</v>
      </c>
      <c r="S36" s="5">
        <v>117.65</v>
      </c>
      <c r="T36" s="4">
        <v>203</v>
      </c>
      <c r="U36" s="8">
        <v>-0.99360000000000004</v>
      </c>
      <c r="V36" s="8">
        <v>0.64680000000000004</v>
      </c>
      <c r="W36" s="5">
        <v>-85.35</v>
      </c>
      <c r="X36" s="6">
        <v>-7.3551589524392244E-3</v>
      </c>
      <c r="Y36" s="4">
        <v>0</v>
      </c>
      <c r="Z36" s="6">
        <v>0</v>
      </c>
      <c r="AA36" s="5">
        <v>16247.7</v>
      </c>
      <c r="AB36" s="5">
        <v>16478.400000000001</v>
      </c>
      <c r="AC36" s="5">
        <v>230.7</v>
      </c>
      <c r="AD36" s="5">
        <v>1.4198999999999999</v>
      </c>
      <c r="AE36" s="4">
        <v>6</v>
      </c>
      <c r="AF36" s="5">
        <v>-0.1</v>
      </c>
      <c r="AG36" s="5">
        <v>214.45230000000001</v>
      </c>
      <c r="AH36" s="5">
        <v>1.3199000000000001</v>
      </c>
      <c r="AI36" s="8">
        <v>-0.98970000000000002</v>
      </c>
      <c r="AJ36" s="8">
        <v>1.6893</v>
      </c>
      <c r="AK36" s="15">
        <v>121.6023</v>
      </c>
      <c r="AL36" s="15">
        <v>0.51980000000000004</v>
      </c>
      <c r="AM36" s="5">
        <v>102.1229</v>
      </c>
      <c r="AN36" s="5">
        <v>102.1229</v>
      </c>
      <c r="AO36" s="4">
        <v>0</v>
      </c>
      <c r="AP36" s="4">
        <v>0</v>
      </c>
      <c r="AQ36" s="8">
        <v>0.62849999999999995</v>
      </c>
      <c r="AR36" s="8">
        <v>-0.33860000000000001</v>
      </c>
      <c r="AS36" s="8">
        <v>-0.33860000000000001</v>
      </c>
      <c r="AT36" s="5">
        <v>101.2508</v>
      </c>
      <c r="AU36" s="5">
        <v>-0.33860000000000001</v>
      </c>
      <c r="AV36" s="7" t="s">
        <v>96</v>
      </c>
    </row>
    <row r="37" spans="1:48" ht="18" customHeight="1" x14ac:dyDescent="0.25">
      <c r="A37" s="10">
        <v>18</v>
      </c>
      <c r="B37" s="10">
        <v>2</v>
      </c>
      <c r="C37" s="10">
        <v>18</v>
      </c>
      <c r="D37" s="88">
        <v>43761</v>
      </c>
      <c r="E37" s="88">
        <v>43767</v>
      </c>
      <c r="F37" s="88">
        <v>43769</v>
      </c>
      <c r="G37" s="11">
        <v>11604.1</v>
      </c>
      <c r="H37" s="11">
        <v>11786.85</v>
      </c>
      <c r="I37" s="12"/>
      <c r="J37" s="12"/>
      <c r="K37" s="92"/>
      <c r="L37" s="92"/>
      <c r="M37" s="12" t="s">
        <v>40</v>
      </c>
      <c r="N37" s="10">
        <v>11100</v>
      </c>
      <c r="O37" s="95">
        <f>IF(F37=F35,O35,MROUND(G37,100))</f>
        <v>11100</v>
      </c>
      <c r="P37" s="95">
        <f>O37-N37</f>
        <v>0</v>
      </c>
      <c r="Q37" s="12" t="s">
        <v>91</v>
      </c>
      <c r="R37" s="10">
        <v>65</v>
      </c>
      <c r="S37" s="11">
        <v>9.25</v>
      </c>
      <c r="T37" s="11">
        <v>1.75</v>
      </c>
      <c r="U37" s="13">
        <v>-6.7199999999999996E-2</v>
      </c>
      <c r="V37" s="13">
        <v>4.3E-3</v>
      </c>
      <c r="W37" s="10">
        <v>0</v>
      </c>
      <c r="X37" s="14">
        <v>0</v>
      </c>
      <c r="Y37" s="11">
        <v>-7.5</v>
      </c>
      <c r="Z37" s="14">
        <v>-6.463232822881568E-4</v>
      </c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 t="s">
        <v>96</v>
      </c>
    </row>
    <row r="38" spans="1:48" ht="18" hidden="1" customHeight="1" x14ac:dyDescent="0.25">
      <c r="A38" s="4">
        <v>19</v>
      </c>
      <c r="B38" s="4">
        <v>1</v>
      </c>
      <c r="C38" s="4">
        <v>19</v>
      </c>
      <c r="D38" s="87">
        <v>43767</v>
      </c>
      <c r="E38" s="87">
        <v>43768</v>
      </c>
      <c r="F38" s="87">
        <v>43769</v>
      </c>
      <c r="G38" s="5">
        <v>11786.85</v>
      </c>
      <c r="H38" s="5">
        <v>11844.1</v>
      </c>
      <c r="I38" s="5">
        <v>57.25</v>
      </c>
      <c r="J38" s="6">
        <v>4.8571077090147066E-3</v>
      </c>
      <c r="K38" s="90"/>
      <c r="L38" s="90"/>
      <c r="M38" s="7" t="s">
        <v>28</v>
      </c>
      <c r="N38" s="4">
        <v>11800</v>
      </c>
      <c r="O38" s="94"/>
      <c r="P38" s="94"/>
      <c r="Q38" s="7" t="s">
        <v>89</v>
      </c>
      <c r="R38" s="4">
        <v>65</v>
      </c>
      <c r="S38" s="5">
        <v>50.5</v>
      </c>
      <c r="T38" s="5">
        <v>60.7</v>
      </c>
      <c r="U38" s="8">
        <v>-0.37580000000000002</v>
      </c>
      <c r="V38" s="8">
        <v>7.9299999999999995E-2</v>
      </c>
      <c r="W38" s="5">
        <v>-10.199999999999999</v>
      </c>
      <c r="X38" s="6">
        <v>-8.6537115514323157E-4</v>
      </c>
      <c r="Y38" s="4">
        <v>0</v>
      </c>
      <c r="Z38" s="6">
        <v>0</v>
      </c>
      <c r="AA38" s="5">
        <v>16478.400000000001</v>
      </c>
      <c r="AB38" s="5">
        <v>16583.45</v>
      </c>
      <c r="AC38" s="5">
        <v>105.05</v>
      </c>
      <c r="AD38" s="5">
        <v>0.63749999999999996</v>
      </c>
      <c r="AE38" s="4">
        <v>1</v>
      </c>
      <c r="AF38" s="5">
        <v>-1.6667000000000001E-2</v>
      </c>
      <c r="AG38" s="5">
        <v>102.3036</v>
      </c>
      <c r="AH38" s="5">
        <v>0.62080000000000002</v>
      </c>
      <c r="AI38" s="8">
        <v>3.5499999999999997E-2</v>
      </c>
      <c r="AJ38" s="8">
        <v>0.80400000000000005</v>
      </c>
      <c r="AK38" s="15">
        <v>91.153599999999997</v>
      </c>
      <c r="AL38" s="15">
        <v>0.5262</v>
      </c>
      <c r="AM38" s="5">
        <v>102.66030000000001</v>
      </c>
      <c r="AN38" s="5">
        <v>102.66030000000001</v>
      </c>
      <c r="AO38" s="4">
        <v>0</v>
      </c>
      <c r="AP38" s="4">
        <v>0</v>
      </c>
      <c r="AQ38" s="8">
        <v>0.41889999999999999</v>
      </c>
      <c r="AR38" s="8">
        <v>0.11609999999999999</v>
      </c>
      <c r="AS38" s="8">
        <v>0.11609999999999999</v>
      </c>
      <c r="AT38" s="5">
        <v>102.2415</v>
      </c>
      <c r="AU38" s="5">
        <v>0.11609999999999999</v>
      </c>
      <c r="AV38" s="7" t="s">
        <v>90</v>
      </c>
    </row>
    <row r="39" spans="1:48" ht="18" customHeight="1" x14ac:dyDescent="0.25">
      <c r="A39" s="10">
        <v>19</v>
      </c>
      <c r="B39" s="10">
        <v>2</v>
      </c>
      <c r="C39" s="10">
        <v>19</v>
      </c>
      <c r="D39" s="88">
        <v>43767</v>
      </c>
      <c r="E39" s="88">
        <v>43768</v>
      </c>
      <c r="F39" s="88">
        <v>43769</v>
      </c>
      <c r="G39" s="11">
        <v>11786.85</v>
      </c>
      <c r="H39" s="11">
        <v>11844.1</v>
      </c>
      <c r="I39" s="12"/>
      <c r="J39" s="12"/>
      <c r="K39" s="92"/>
      <c r="L39" s="92"/>
      <c r="M39" s="12" t="s">
        <v>40</v>
      </c>
      <c r="N39" s="10">
        <v>11100</v>
      </c>
      <c r="O39" s="95">
        <f>IF(F39=F37,O37,MROUND(G39,100))</f>
        <v>11100</v>
      </c>
      <c r="P39" s="95">
        <f>O39-N39</f>
        <v>0</v>
      </c>
      <c r="Q39" s="12" t="s">
        <v>91</v>
      </c>
      <c r="R39" s="10">
        <v>65</v>
      </c>
      <c r="S39" s="11">
        <v>1.75</v>
      </c>
      <c r="T39" s="11">
        <v>0.8</v>
      </c>
      <c r="U39" s="13">
        <v>-9.2999999999999992E-3</v>
      </c>
      <c r="V39" s="13">
        <v>1.2999999999999999E-3</v>
      </c>
      <c r="W39" s="10">
        <v>0</v>
      </c>
      <c r="X39" s="14">
        <v>0</v>
      </c>
      <c r="Y39" s="11">
        <v>-0.95</v>
      </c>
      <c r="Z39" s="14">
        <v>-8.0598293861379406E-5</v>
      </c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 t="s">
        <v>90</v>
      </c>
    </row>
    <row r="40" spans="1:48" ht="18" hidden="1" customHeight="1" x14ac:dyDescent="0.25">
      <c r="A40" s="4">
        <v>20</v>
      </c>
      <c r="B40" s="4">
        <v>1</v>
      </c>
      <c r="C40" s="4">
        <v>20</v>
      </c>
      <c r="D40" s="87">
        <v>43768</v>
      </c>
      <c r="E40" s="87">
        <v>43775</v>
      </c>
      <c r="F40" s="87">
        <v>43776</v>
      </c>
      <c r="G40" s="5">
        <v>11844.1</v>
      </c>
      <c r="H40" s="5">
        <v>11966.05</v>
      </c>
      <c r="I40" s="5">
        <v>121.95</v>
      </c>
      <c r="J40" s="6">
        <v>1.029626565125252E-2</v>
      </c>
      <c r="K40" s="90"/>
      <c r="L40" s="90"/>
      <c r="M40" s="7" t="s">
        <v>28</v>
      </c>
      <c r="N40" s="4">
        <v>11800</v>
      </c>
      <c r="O40" s="94"/>
      <c r="P40" s="94"/>
      <c r="Q40" s="7" t="s">
        <v>89</v>
      </c>
      <c r="R40" s="4">
        <v>65</v>
      </c>
      <c r="S40" s="5">
        <v>137.55000000000001</v>
      </c>
      <c r="T40" s="5">
        <v>177.8</v>
      </c>
      <c r="U40" s="8">
        <v>-0.6915</v>
      </c>
      <c r="V40" s="8">
        <v>0.51590000000000003</v>
      </c>
      <c r="W40" s="5">
        <v>-40.25</v>
      </c>
      <c r="X40" s="6">
        <v>-3.398316461360509E-3</v>
      </c>
      <c r="Y40" s="4">
        <v>0</v>
      </c>
      <c r="Z40" s="6">
        <v>0</v>
      </c>
      <c r="AA40" s="5">
        <v>16583.45</v>
      </c>
      <c r="AB40" s="5">
        <v>16681.599999999999</v>
      </c>
      <c r="AC40" s="5">
        <v>98.15</v>
      </c>
      <c r="AD40" s="5">
        <v>0.59189999999999998</v>
      </c>
      <c r="AE40" s="4">
        <v>7</v>
      </c>
      <c r="AF40" s="5">
        <v>-0.11666700000000001</v>
      </c>
      <c r="AG40" s="5">
        <v>78.802599999999998</v>
      </c>
      <c r="AH40" s="5">
        <v>0.47520000000000001</v>
      </c>
      <c r="AI40" s="8">
        <v>0.1163</v>
      </c>
      <c r="AJ40" s="8">
        <v>2.6175000000000002</v>
      </c>
      <c r="AK40" s="9">
        <v>-41.797400000000003</v>
      </c>
      <c r="AL40" s="9">
        <v>-0.54300000000000004</v>
      </c>
      <c r="AM40" s="5">
        <v>102.1028</v>
      </c>
      <c r="AN40" s="5">
        <v>102.66030000000001</v>
      </c>
      <c r="AO40" s="5">
        <v>-0.55740000000000001</v>
      </c>
      <c r="AP40" s="5">
        <v>-0.54300000000000004</v>
      </c>
      <c r="AQ40" s="8">
        <v>1.1813</v>
      </c>
      <c r="AR40" s="8">
        <v>0.56510000000000005</v>
      </c>
      <c r="AS40" s="8">
        <v>-0.54300000000000004</v>
      </c>
      <c r="AT40" s="5">
        <v>102.1028</v>
      </c>
      <c r="AU40" s="5">
        <v>-0.54300000000000004</v>
      </c>
      <c r="AV40" s="7" t="s">
        <v>92</v>
      </c>
    </row>
    <row r="41" spans="1:48" ht="18" customHeight="1" x14ac:dyDescent="0.25">
      <c r="A41" s="10">
        <v>20</v>
      </c>
      <c r="B41" s="10">
        <v>2</v>
      </c>
      <c r="C41" s="10">
        <v>20</v>
      </c>
      <c r="D41" s="88">
        <v>43768</v>
      </c>
      <c r="E41" s="88">
        <v>43775</v>
      </c>
      <c r="F41" s="88">
        <v>43797</v>
      </c>
      <c r="G41" s="11">
        <v>11844.1</v>
      </c>
      <c r="H41" s="11">
        <v>11966.05</v>
      </c>
      <c r="I41" s="12"/>
      <c r="J41" s="12"/>
      <c r="K41" s="92">
        <f>H41/$G$41-1</f>
        <v>1.0296265651252412E-2</v>
      </c>
      <c r="L41" s="92"/>
      <c r="M41" s="12" t="s">
        <v>40</v>
      </c>
      <c r="N41" s="10">
        <v>11800</v>
      </c>
      <c r="O41" s="95">
        <f>IF(F41=F39,O39,MROUND(G41,100))</f>
        <v>11800</v>
      </c>
      <c r="P41" s="95">
        <f>O41-N41</f>
        <v>0</v>
      </c>
      <c r="Q41" s="12" t="s">
        <v>91</v>
      </c>
      <c r="R41" s="10">
        <v>65</v>
      </c>
      <c r="S41" s="11">
        <v>170.85</v>
      </c>
      <c r="T41" s="11">
        <v>90.5</v>
      </c>
      <c r="U41" s="13">
        <v>-0.74470000000000003</v>
      </c>
      <c r="V41" s="13">
        <v>-6.7100000000000007E-2</v>
      </c>
      <c r="W41" s="10">
        <v>0</v>
      </c>
      <c r="X41" s="14">
        <v>0</v>
      </c>
      <c r="Y41" s="11">
        <v>-80.349999999999994</v>
      </c>
      <c r="Z41" s="14">
        <v>-6.7839683893246424E-3</v>
      </c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 t="s">
        <v>92</v>
      </c>
    </row>
    <row r="42" spans="1:48" ht="18" hidden="1" customHeight="1" x14ac:dyDescent="0.25">
      <c r="A42" s="4">
        <v>21</v>
      </c>
      <c r="B42" s="4">
        <v>1</v>
      </c>
      <c r="C42" s="4">
        <v>21</v>
      </c>
      <c r="D42" s="87">
        <v>43775</v>
      </c>
      <c r="E42" s="87">
        <v>43782</v>
      </c>
      <c r="F42" s="87">
        <v>43783</v>
      </c>
      <c r="G42" s="5">
        <v>11966.05</v>
      </c>
      <c r="H42" s="5">
        <v>11840.45</v>
      </c>
      <c r="I42" s="5">
        <v>-125.6</v>
      </c>
      <c r="J42" s="6">
        <v>-1.0496362625929191E-2</v>
      </c>
      <c r="K42" s="90"/>
      <c r="L42" s="90"/>
      <c r="M42" s="7" t="s">
        <v>28</v>
      </c>
      <c r="N42" s="4">
        <v>12000</v>
      </c>
      <c r="O42" s="94"/>
      <c r="P42" s="94"/>
      <c r="Q42" s="7" t="s">
        <v>89</v>
      </c>
      <c r="R42" s="4">
        <v>65</v>
      </c>
      <c r="S42" s="5">
        <v>87.5</v>
      </c>
      <c r="T42" s="5">
        <v>3.1</v>
      </c>
      <c r="U42" s="8">
        <v>-0.12870000000000001</v>
      </c>
      <c r="V42" s="8">
        <v>0.71079999999999999</v>
      </c>
      <c r="W42" s="5">
        <v>84.4</v>
      </c>
      <c r="X42" s="6">
        <v>7.0532882613728006E-3</v>
      </c>
      <c r="Y42" s="4">
        <v>0</v>
      </c>
      <c r="Z42" s="6">
        <v>0</v>
      </c>
      <c r="AA42" s="5">
        <v>16681.599999999999</v>
      </c>
      <c r="AB42" s="5">
        <v>16698.599999999999</v>
      </c>
      <c r="AC42" s="4">
        <v>17</v>
      </c>
      <c r="AD42" s="5">
        <v>0.1019</v>
      </c>
      <c r="AE42" s="4">
        <v>7</v>
      </c>
      <c r="AF42" s="5">
        <v>-0.11666700000000001</v>
      </c>
      <c r="AG42" s="5">
        <v>-2.4619</v>
      </c>
      <c r="AH42" s="5">
        <v>-1.4800000000000001E-2</v>
      </c>
      <c r="AI42" s="8">
        <v>-0.22520000000000001</v>
      </c>
      <c r="AJ42" s="8">
        <v>1.2839</v>
      </c>
      <c r="AK42" s="15">
        <v>101.4881</v>
      </c>
      <c r="AL42" s="15">
        <v>0.85389999999999999</v>
      </c>
      <c r="AM42" s="5">
        <v>102.9747</v>
      </c>
      <c r="AN42" s="5">
        <v>102.9747</v>
      </c>
      <c r="AO42" s="4">
        <v>0</v>
      </c>
      <c r="AP42" s="4">
        <v>0</v>
      </c>
      <c r="AQ42" s="8">
        <v>0.94040000000000001</v>
      </c>
      <c r="AR42" s="8">
        <v>0.76100000000000001</v>
      </c>
      <c r="AS42" s="8">
        <v>0.76100000000000001</v>
      </c>
      <c r="AT42" s="5">
        <v>102.8798</v>
      </c>
      <c r="AU42" s="5">
        <v>0.21390000000000001</v>
      </c>
      <c r="AV42" s="7" t="s">
        <v>97</v>
      </c>
    </row>
    <row r="43" spans="1:48" ht="18" customHeight="1" x14ac:dyDescent="0.25">
      <c r="A43" s="10">
        <v>21</v>
      </c>
      <c r="B43" s="10">
        <v>2</v>
      </c>
      <c r="C43" s="10">
        <v>21</v>
      </c>
      <c r="D43" s="88">
        <v>43775</v>
      </c>
      <c r="E43" s="88">
        <v>43782</v>
      </c>
      <c r="F43" s="88">
        <v>43797</v>
      </c>
      <c r="G43" s="11">
        <v>11966.05</v>
      </c>
      <c r="H43" s="11">
        <v>11840.45</v>
      </c>
      <c r="I43" s="12"/>
      <c r="J43" s="12"/>
      <c r="K43" s="92">
        <f>H43/$G$41-1</f>
        <v>-3.08170312645073E-4</v>
      </c>
      <c r="L43" s="92"/>
      <c r="M43" s="12" t="s">
        <v>40</v>
      </c>
      <c r="N43" s="10">
        <v>11800</v>
      </c>
      <c r="O43" s="95">
        <f>IF(F43=F41,O41,MROUND(G43,100))</f>
        <v>11800</v>
      </c>
      <c r="P43" s="95">
        <f>O43-N43</f>
        <v>0</v>
      </c>
      <c r="Q43" s="12" t="s">
        <v>91</v>
      </c>
      <c r="R43" s="10">
        <v>65</v>
      </c>
      <c r="S43" s="11">
        <v>90.5</v>
      </c>
      <c r="T43" s="11">
        <v>110.05</v>
      </c>
      <c r="U43" s="13">
        <v>-0.21479999999999999</v>
      </c>
      <c r="V43" s="13">
        <v>0.27539999999999998</v>
      </c>
      <c r="W43" s="10">
        <v>0</v>
      </c>
      <c r="X43" s="14">
        <v>0</v>
      </c>
      <c r="Y43" s="11">
        <v>19.55</v>
      </c>
      <c r="Z43" s="14">
        <v>1.633788927841686E-3</v>
      </c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 t="s">
        <v>97</v>
      </c>
    </row>
    <row r="44" spans="1:48" ht="18" hidden="1" customHeight="1" x14ac:dyDescent="0.25">
      <c r="A44" s="4">
        <v>22</v>
      </c>
      <c r="B44" s="4">
        <v>1</v>
      </c>
      <c r="C44" s="4">
        <v>22</v>
      </c>
      <c r="D44" s="87">
        <v>43782</v>
      </c>
      <c r="E44" s="87">
        <v>43789</v>
      </c>
      <c r="F44" s="87">
        <v>43790</v>
      </c>
      <c r="G44" s="5">
        <v>11840.45</v>
      </c>
      <c r="H44" s="5">
        <v>11999.1</v>
      </c>
      <c r="I44" s="5">
        <v>158.65</v>
      </c>
      <c r="J44" s="6">
        <v>1.3398983991317901E-2</v>
      </c>
      <c r="K44" s="90"/>
      <c r="L44" s="90"/>
      <c r="M44" s="7" t="s">
        <v>28</v>
      </c>
      <c r="N44" s="4">
        <v>11800</v>
      </c>
      <c r="O44" s="94"/>
      <c r="P44" s="94"/>
      <c r="Q44" s="7" t="s">
        <v>89</v>
      </c>
      <c r="R44" s="4">
        <v>65</v>
      </c>
      <c r="S44" s="5">
        <v>121.1</v>
      </c>
      <c r="T44" s="5">
        <v>206.5</v>
      </c>
      <c r="U44" s="8">
        <v>-1.0962000000000001</v>
      </c>
      <c r="V44" s="8">
        <v>0.2331</v>
      </c>
      <c r="W44" s="5">
        <v>-85.4</v>
      </c>
      <c r="X44" s="6">
        <v>-7.2125637116832557E-3</v>
      </c>
      <c r="Y44" s="4">
        <v>0</v>
      </c>
      <c r="Z44" s="6">
        <v>0</v>
      </c>
      <c r="AA44" s="5">
        <v>16698.599999999999</v>
      </c>
      <c r="AB44" s="5">
        <v>16994.099999999999</v>
      </c>
      <c r="AC44" s="5">
        <v>295.5</v>
      </c>
      <c r="AD44" s="5">
        <v>1.7696000000000001</v>
      </c>
      <c r="AE44" s="4">
        <v>7</v>
      </c>
      <c r="AF44" s="5">
        <v>-0.11666700000000001</v>
      </c>
      <c r="AG44" s="5">
        <v>276.01830000000001</v>
      </c>
      <c r="AH44" s="5">
        <v>1.6529</v>
      </c>
      <c r="AI44" s="8">
        <v>-0.56120000000000003</v>
      </c>
      <c r="AJ44" s="8">
        <v>2.0548000000000002</v>
      </c>
      <c r="AK44" s="15">
        <v>108.9183</v>
      </c>
      <c r="AL44" s="15">
        <v>0.24160000000000001</v>
      </c>
      <c r="AM44" s="5">
        <v>103.2235</v>
      </c>
      <c r="AN44" s="5">
        <v>103.2235</v>
      </c>
      <c r="AO44" s="4">
        <v>0</v>
      </c>
      <c r="AP44" s="4">
        <v>0</v>
      </c>
      <c r="AQ44" s="8">
        <v>0.2268</v>
      </c>
      <c r="AR44" s="8">
        <v>-0.24490000000000001</v>
      </c>
      <c r="AS44" s="8">
        <v>-0.24490000000000001</v>
      </c>
      <c r="AT44" s="5">
        <v>102.7225</v>
      </c>
      <c r="AU44" s="5">
        <v>-0.24490000000000001</v>
      </c>
      <c r="AV44" s="7" t="s">
        <v>92</v>
      </c>
    </row>
    <row r="45" spans="1:48" ht="18" customHeight="1" x14ac:dyDescent="0.25">
      <c r="A45" s="10">
        <v>22</v>
      </c>
      <c r="B45" s="10">
        <v>2</v>
      </c>
      <c r="C45" s="10">
        <v>22</v>
      </c>
      <c r="D45" s="88">
        <v>43782</v>
      </c>
      <c r="E45" s="88">
        <v>43789</v>
      </c>
      <c r="F45" s="88">
        <v>43797</v>
      </c>
      <c r="G45" s="11">
        <v>11840.45</v>
      </c>
      <c r="H45" s="11">
        <v>11999.1</v>
      </c>
      <c r="I45" s="12"/>
      <c r="J45" s="12"/>
      <c r="K45" s="92">
        <f>H45/$G$41-1</f>
        <v>1.3086684509586943E-2</v>
      </c>
      <c r="L45" s="92"/>
      <c r="M45" s="12" t="s">
        <v>40</v>
      </c>
      <c r="N45" s="10">
        <v>11800</v>
      </c>
      <c r="O45" s="95">
        <f>IF(F45=F43,O43,MROUND(G45,100))</f>
        <v>11800</v>
      </c>
      <c r="P45" s="95">
        <f>O45-N45</f>
        <v>0</v>
      </c>
      <c r="Q45" s="12" t="s">
        <v>91</v>
      </c>
      <c r="R45" s="10">
        <v>65</v>
      </c>
      <c r="S45" s="11">
        <v>110.05</v>
      </c>
      <c r="T45" s="11">
        <v>28.35</v>
      </c>
      <c r="U45" s="13">
        <v>-0.73180000000000001</v>
      </c>
      <c r="V45" s="13">
        <v>8.3199999999999996E-2</v>
      </c>
      <c r="W45" s="10">
        <v>0</v>
      </c>
      <c r="X45" s="14">
        <v>0</v>
      </c>
      <c r="Y45" s="11">
        <v>-81.7</v>
      </c>
      <c r="Z45" s="14">
        <v>-6.9000755883433483E-3</v>
      </c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 t="s">
        <v>92</v>
      </c>
    </row>
    <row r="46" spans="1:48" ht="18" hidden="1" customHeight="1" x14ac:dyDescent="0.25">
      <c r="A46" s="4">
        <v>23</v>
      </c>
      <c r="B46" s="4">
        <v>1</v>
      </c>
      <c r="C46" s="4">
        <v>23</v>
      </c>
      <c r="D46" s="87">
        <v>43789</v>
      </c>
      <c r="E46" s="87">
        <v>43796</v>
      </c>
      <c r="F46" s="87">
        <v>43797</v>
      </c>
      <c r="G46" s="5">
        <v>11999.1</v>
      </c>
      <c r="H46" s="5">
        <v>12100.7</v>
      </c>
      <c r="I46" s="5">
        <v>101.6</v>
      </c>
      <c r="J46" s="6">
        <v>8.4673017142952375E-3</v>
      </c>
      <c r="K46" s="90"/>
      <c r="L46" s="90"/>
      <c r="M46" s="7" t="s">
        <v>28</v>
      </c>
      <c r="N46" s="4">
        <v>12000</v>
      </c>
      <c r="O46" s="94"/>
      <c r="P46" s="94"/>
      <c r="Q46" s="7" t="s">
        <v>89</v>
      </c>
      <c r="R46" s="4">
        <v>65</v>
      </c>
      <c r="S46" s="5">
        <v>98.85</v>
      </c>
      <c r="T46" s="5">
        <v>117.15</v>
      </c>
      <c r="U46" s="8">
        <v>-0.4834</v>
      </c>
      <c r="V46" s="8">
        <v>0.58050000000000002</v>
      </c>
      <c r="W46" s="5">
        <v>-18.3</v>
      </c>
      <c r="X46" s="6">
        <v>-1.5251143835787689E-3</v>
      </c>
      <c r="Y46" s="4">
        <v>0</v>
      </c>
      <c r="Z46" s="6">
        <v>0</v>
      </c>
      <c r="AA46" s="5">
        <v>16994.099999999999</v>
      </c>
      <c r="AB46" s="5">
        <v>17042.95</v>
      </c>
      <c r="AC46" s="5">
        <v>48.85</v>
      </c>
      <c r="AD46" s="5">
        <v>0.28749999999999998</v>
      </c>
      <c r="AE46" s="4">
        <v>7</v>
      </c>
      <c r="AF46" s="5">
        <v>-0.11666700000000001</v>
      </c>
      <c r="AG46" s="5">
        <v>29.023599999999998</v>
      </c>
      <c r="AH46" s="5">
        <v>0.17080000000000001</v>
      </c>
      <c r="AI46" s="8">
        <v>-1.4095</v>
      </c>
      <c r="AJ46" s="8">
        <v>0.94089999999999996</v>
      </c>
      <c r="AK46" s="9">
        <v>-16.1264</v>
      </c>
      <c r="AL46" s="9">
        <v>-0.20549999999999999</v>
      </c>
      <c r="AM46" s="5">
        <v>103.01130000000001</v>
      </c>
      <c r="AN46" s="5">
        <v>103.2235</v>
      </c>
      <c r="AO46" s="5">
        <v>-0.21210000000000001</v>
      </c>
      <c r="AP46" s="5">
        <v>-0.20549999999999999</v>
      </c>
      <c r="AQ46" s="8">
        <v>0.23250000000000001</v>
      </c>
      <c r="AR46" s="8">
        <v>-0.72650000000000003</v>
      </c>
      <c r="AS46" s="8">
        <v>-0.72650000000000003</v>
      </c>
      <c r="AT46" s="5">
        <v>102.4735</v>
      </c>
      <c r="AU46" s="5">
        <v>-0.72650000000000003</v>
      </c>
      <c r="AV46" s="7" t="s">
        <v>90</v>
      </c>
    </row>
    <row r="47" spans="1:48" ht="18" customHeight="1" x14ac:dyDescent="0.25">
      <c r="A47" s="10">
        <v>23</v>
      </c>
      <c r="B47" s="10">
        <v>2</v>
      </c>
      <c r="C47" s="10">
        <v>23</v>
      </c>
      <c r="D47" s="88">
        <v>43789</v>
      </c>
      <c r="E47" s="88">
        <v>43796</v>
      </c>
      <c r="F47" s="88">
        <v>43797</v>
      </c>
      <c r="G47" s="11">
        <v>11999.1</v>
      </c>
      <c r="H47" s="11">
        <v>12100.7</v>
      </c>
      <c r="I47" s="12"/>
      <c r="J47" s="12"/>
      <c r="K47" s="92">
        <f>H47/$G$41-1</f>
        <v>2.1664795130064807E-2</v>
      </c>
      <c r="L47" s="92"/>
      <c r="M47" s="12" t="s">
        <v>40</v>
      </c>
      <c r="N47" s="10">
        <v>11800</v>
      </c>
      <c r="O47" s="95">
        <f>IF(F47=F45,O45,MROUND(G47,100))</f>
        <v>11800</v>
      </c>
      <c r="P47" s="95">
        <f>O47-N47</f>
        <v>0</v>
      </c>
      <c r="Q47" s="12" t="s">
        <v>91</v>
      </c>
      <c r="R47" s="10">
        <v>65</v>
      </c>
      <c r="S47" s="11">
        <v>28.35</v>
      </c>
      <c r="T47" s="11">
        <v>1.5</v>
      </c>
      <c r="U47" s="13">
        <v>-0.22500000000000001</v>
      </c>
      <c r="V47" s="13">
        <v>0.10249999999999999</v>
      </c>
      <c r="W47" s="10">
        <v>0</v>
      </c>
      <c r="X47" s="14">
        <v>0</v>
      </c>
      <c r="Y47" s="11">
        <v>-26.85</v>
      </c>
      <c r="Z47" s="14">
        <v>-2.2376678250868821E-3</v>
      </c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 t="s">
        <v>90</v>
      </c>
    </row>
    <row r="48" spans="1:48" ht="18" hidden="1" customHeight="1" x14ac:dyDescent="0.25">
      <c r="A48" s="4">
        <v>24</v>
      </c>
      <c r="B48" s="4">
        <v>1</v>
      </c>
      <c r="C48" s="4">
        <v>24</v>
      </c>
      <c r="D48" s="87">
        <v>43796</v>
      </c>
      <c r="E48" s="87">
        <v>43803</v>
      </c>
      <c r="F48" s="87">
        <v>43804</v>
      </c>
      <c r="G48" s="5">
        <v>12100.7</v>
      </c>
      <c r="H48" s="5">
        <v>12043.2</v>
      </c>
      <c r="I48" s="5">
        <v>-57.5</v>
      </c>
      <c r="J48" s="6">
        <v>-4.7517912186898284E-3</v>
      </c>
      <c r="K48" s="90"/>
      <c r="L48" s="90"/>
      <c r="M48" s="7" t="s">
        <v>28</v>
      </c>
      <c r="N48" s="4">
        <v>12100</v>
      </c>
      <c r="O48" s="94"/>
      <c r="P48" s="94"/>
      <c r="Q48" s="7" t="s">
        <v>89</v>
      </c>
      <c r="R48" s="4">
        <v>65</v>
      </c>
      <c r="S48" s="4">
        <v>93</v>
      </c>
      <c r="T48" s="5">
        <v>14.5</v>
      </c>
      <c r="U48" s="8">
        <v>-0.124</v>
      </c>
      <c r="V48" s="8">
        <v>0.7409</v>
      </c>
      <c r="W48" s="5">
        <v>78.5</v>
      </c>
      <c r="X48" s="6">
        <v>6.487228011602634E-3</v>
      </c>
      <c r="Y48" s="4">
        <v>0</v>
      </c>
      <c r="Z48" s="6">
        <v>0</v>
      </c>
      <c r="AA48" s="5">
        <v>17042.95</v>
      </c>
      <c r="AB48" s="5">
        <v>17010.650000000001</v>
      </c>
      <c r="AC48" s="5">
        <v>-32.299999999999997</v>
      </c>
      <c r="AD48" s="5">
        <v>-0.1895</v>
      </c>
      <c r="AE48" s="4">
        <v>7</v>
      </c>
      <c r="AF48" s="5">
        <v>-0.11666700000000001</v>
      </c>
      <c r="AG48" s="5">
        <v>-52.183399999999999</v>
      </c>
      <c r="AH48" s="5">
        <v>-0.30620000000000003</v>
      </c>
      <c r="AI48" s="8">
        <v>-1.3818999999999999</v>
      </c>
      <c r="AJ48" s="8">
        <v>1.6976</v>
      </c>
      <c r="AK48" s="15">
        <v>22.616599999999998</v>
      </c>
      <c r="AL48" s="15">
        <v>0.31190000000000001</v>
      </c>
      <c r="AM48" s="5">
        <v>103.3326</v>
      </c>
      <c r="AN48" s="5">
        <v>103.3326</v>
      </c>
      <c r="AO48" s="4">
        <v>0</v>
      </c>
      <c r="AP48" s="4">
        <v>0</v>
      </c>
      <c r="AQ48" s="8">
        <v>1.3852</v>
      </c>
      <c r="AR48" s="8">
        <v>-0.11459999999999999</v>
      </c>
      <c r="AS48" s="8">
        <v>-0.11459999999999999</v>
      </c>
      <c r="AT48" s="5">
        <v>102.8933</v>
      </c>
      <c r="AU48" s="5">
        <v>-0.31990000000000002</v>
      </c>
      <c r="AV48" s="7" t="s">
        <v>90</v>
      </c>
    </row>
    <row r="49" spans="1:48" ht="18" customHeight="1" x14ac:dyDescent="0.25">
      <c r="A49" s="10">
        <v>24</v>
      </c>
      <c r="B49" s="10">
        <v>2</v>
      </c>
      <c r="C49" s="10">
        <v>24</v>
      </c>
      <c r="D49" s="88">
        <v>43796</v>
      </c>
      <c r="E49" s="88">
        <v>43803</v>
      </c>
      <c r="F49" s="88">
        <v>43825</v>
      </c>
      <c r="G49" s="11">
        <v>12100.7</v>
      </c>
      <c r="H49" s="11">
        <v>12043.2</v>
      </c>
      <c r="I49" s="12"/>
      <c r="J49" s="12"/>
      <c r="K49" s="92">
        <f>H49/$G$49-1</f>
        <v>-4.7517912186898492E-3</v>
      </c>
      <c r="L49" s="92"/>
      <c r="M49" s="12" t="s">
        <v>40</v>
      </c>
      <c r="N49" s="10">
        <v>12100</v>
      </c>
      <c r="O49" s="95">
        <f>IF(F49=F47,O47,MROUND(G49,100))</f>
        <v>12100</v>
      </c>
      <c r="P49" s="95">
        <f>O49-N49</f>
        <v>0</v>
      </c>
      <c r="Q49" s="12" t="s">
        <v>91</v>
      </c>
      <c r="R49" s="10">
        <v>65</v>
      </c>
      <c r="S49" s="11">
        <v>150.30000000000001</v>
      </c>
      <c r="T49" s="11">
        <v>146.6</v>
      </c>
      <c r="U49" s="13">
        <v>-0.18840000000000001</v>
      </c>
      <c r="V49" s="13">
        <v>0.52639999999999998</v>
      </c>
      <c r="W49" s="10">
        <v>0</v>
      </c>
      <c r="X49" s="14">
        <v>0</v>
      </c>
      <c r="Y49" s="11">
        <v>-3.7</v>
      </c>
      <c r="Z49" s="14">
        <v>-3.0576743494178021E-4</v>
      </c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 t="s">
        <v>90</v>
      </c>
    </row>
    <row r="50" spans="1:48" ht="18" hidden="1" customHeight="1" x14ac:dyDescent="0.25">
      <c r="A50" s="4">
        <v>25</v>
      </c>
      <c r="B50" s="4">
        <v>1</v>
      </c>
      <c r="C50" s="4">
        <v>25</v>
      </c>
      <c r="D50" s="87">
        <v>43803</v>
      </c>
      <c r="E50" s="87">
        <v>43805</v>
      </c>
      <c r="F50" s="87">
        <v>43811</v>
      </c>
      <c r="G50" s="5">
        <v>12043.2</v>
      </c>
      <c r="H50" s="5">
        <v>11921.5</v>
      </c>
      <c r="I50" s="5">
        <v>-121.7</v>
      </c>
      <c r="J50" s="6">
        <v>-1.010528763119437E-2</v>
      </c>
      <c r="K50" s="90"/>
      <c r="L50" s="90"/>
      <c r="M50" s="7" t="s">
        <v>28</v>
      </c>
      <c r="N50" s="4">
        <v>12000</v>
      </c>
      <c r="O50" s="94"/>
      <c r="P50" s="94"/>
      <c r="Q50" s="7" t="s">
        <v>89</v>
      </c>
      <c r="R50" s="4">
        <v>65</v>
      </c>
      <c r="S50" s="5">
        <v>114.25</v>
      </c>
      <c r="T50" s="5">
        <v>39.85</v>
      </c>
      <c r="U50" s="8">
        <v>-0.1246</v>
      </c>
      <c r="V50" s="8">
        <v>0.65180000000000005</v>
      </c>
      <c r="W50" s="5">
        <v>74.400000000000006</v>
      </c>
      <c r="X50" s="6">
        <v>6.1777600637704256E-3</v>
      </c>
      <c r="Y50" s="4">
        <v>0</v>
      </c>
      <c r="Z50" s="6">
        <v>0</v>
      </c>
      <c r="AA50" s="5">
        <v>17010.650000000001</v>
      </c>
      <c r="AB50" s="4">
        <v>16732</v>
      </c>
      <c r="AC50" s="5">
        <v>-278.64999999999998</v>
      </c>
      <c r="AD50" s="5">
        <v>-1.6380999999999999</v>
      </c>
      <c r="AE50" s="4">
        <v>2</v>
      </c>
      <c r="AF50" s="5">
        <v>-3.3333000000000002E-2</v>
      </c>
      <c r="AG50" s="5">
        <v>-284.3202</v>
      </c>
      <c r="AH50" s="5">
        <v>-1.6714</v>
      </c>
      <c r="AI50" s="8">
        <v>-2.0287999999999999</v>
      </c>
      <c r="AJ50" s="8">
        <v>0.28050000000000003</v>
      </c>
      <c r="AK50" s="9">
        <v>-138.8202</v>
      </c>
      <c r="AL50" s="9">
        <v>-0.4632</v>
      </c>
      <c r="AM50" s="5">
        <v>102.854</v>
      </c>
      <c r="AN50" s="5">
        <v>103.3326</v>
      </c>
      <c r="AO50" s="5">
        <v>-0.47860000000000003</v>
      </c>
      <c r="AP50" s="5">
        <v>-0.4632</v>
      </c>
      <c r="AQ50" s="8">
        <v>1.3899999999999999E-2</v>
      </c>
      <c r="AR50" s="8">
        <v>-0.62760000000000005</v>
      </c>
      <c r="AS50" s="8">
        <v>-0.62760000000000005</v>
      </c>
      <c r="AT50" s="5">
        <v>102.6841</v>
      </c>
      <c r="AU50" s="5">
        <v>-0.62760000000000005</v>
      </c>
      <c r="AV50" s="7" t="s">
        <v>93</v>
      </c>
    </row>
    <row r="51" spans="1:48" ht="18" customHeight="1" x14ac:dyDescent="0.25">
      <c r="A51" s="10">
        <v>25</v>
      </c>
      <c r="B51" s="10">
        <v>2</v>
      </c>
      <c r="C51" s="10">
        <v>25</v>
      </c>
      <c r="D51" s="88">
        <v>43803</v>
      </c>
      <c r="E51" s="88">
        <v>43805</v>
      </c>
      <c r="F51" s="88">
        <v>43825</v>
      </c>
      <c r="G51" s="11">
        <v>12043.2</v>
      </c>
      <c r="H51" s="11">
        <v>11921.5</v>
      </c>
      <c r="I51" s="12"/>
      <c r="J51" s="12"/>
      <c r="K51" s="92">
        <f>H51/$G$49-1</f>
        <v>-1.480906063285603E-2</v>
      </c>
      <c r="L51" s="92"/>
      <c r="M51" s="12" t="s">
        <v>40</v>
      </c>
      <c r="N51" s="10">
        <v>12100</v>
      </c>
      <c r="O51" s="95">
        <f>IF(F51=F49,O49,MROUND(G51,100))</f>
        <v>12100</v>
      </c>
      <c r="P51" s="95">
        <f>O51-N51</f>
        <v>0</v>
      </c>
      <c r="Q51" s="12" t="s">
        <v>91</v>
      </c>
      <c r="R51" s="10">
        <v>65</v>
      </c>
      <c r="S51" s="11">
        <v>146.6</v>
      </c>
      <c r="T51" s="11">
        <v>217.7</v>
      </c>
      <c r="U51" s="13">
        <v>-0.14199999999999999</v>
      </c>
      <c r="V51" s="13">
        <v>0.74939999999999996</v>
      </c>
      <c r="W51" s="10">
        <v>0</v>
      </c>
      <c r="X51" s="14">
        <v>0</v>
      </c>
      <c r="Y51" s="11">
        <v>71.099999999999994</v>
      </c>
      <c r="Z51" s="14">
        <v>5.9037465125548021E-3</v>
      </c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 t="s">
        <v>93</v>
      </c>
    </row>
    <row r="52" spans="1:48" ht="18" hidden="1" customHeight="1" x14ac:dyDescent="0.25">
      <c r="A52" s="4">
        <v>26</v>
      </c>
      <c r="B52" s="4">
        <v>1</v>
      </c>
      <c r="C52" s="4">
        <v>26</v>
      </c>
      <c r="D52" s="87">
        <v>43805</v>
      </c>
      <c r="E52" s="87">
        <v>43810</v>
      </c>
      <c r="F52" s="87">
        <v>43811</v>
      </c>
      <c r="G52" s="5">
        <v>11921.5</v>
      </c>
      <c r="H52" s="5">
        <v>11910.15</v>
      </c>
      <c r="I52" s="5">
        <v>-11.35</v>
      </c>
      <c r="J52" s="6">
        <v>-9.5206140166925301E-4</v>
      </c>
      <c r="K52" s="90"/>
      <c r="L52" s="90"/>
      <c r="M52" s="7" t="s">
        <v>28</v>
      </c>
      <c r="N52" s="4">
        <v>11900</v>
      </c>
      <c r="O52" s="94"/>
      <c r="P52" s="94"/>
      <c r="Q52" s="7" t="s">
        <v>89</v>
      </c>
      <c r="R52" s="4">
        <v>65</v>
      </c>
      <c r="S52" s="5">
        <v>83.9</v>
      </c>
      <c r="T52" s="5">
        <v>35.35</v>
      </c>
      <c r="U52" s="8">
        <v>-0.2097</v>
      </c>
      <c r="V52" s="8">
        <v>0.59350000000000003</v>
      </c>
      <c r="W52" s="5">
        <v>48.55</v>
      </c>
      <c r="X52" s="6">
        <v>4.0724741014134128E-3</v>
      </c>
      <c r="Y52" s="4">
        <v>0</v>
      </c>
      <c r="Z52" s="6">
        <v>0</v>
      </c>
      <c r="AA52" s="4">
        <v>16732</v>
      </c>
      <c r="AB52" s="5">
        <v>16635.8</v>
      </c>
      <c r="AC52" s="5">
        <v>-96.2</v>
      </c>
      <c r="AD52" s="5">
        <v>-0.57489999999999997</v>
      </c>
      <c r="AE52" s="4">
        <v>5</v>
      </c>
      <c r="AF52" s="5">
        <v>-8.3333000000000004E-2</v>
      </c>
      <c r="AG52" s="5">
        <v>-110.1433</v>
      </c>
      <c r="AH52" s="5">
        <v>-0.6583</v>
      </c>
      <c r="AI52" s="8">
        <v>-1.5720000000000001</v>
      </c>
      <c r="AJ52" s="8">
        <v>0.86009999999999998</v>
      </c>
      <c r="AK52" s="9">
        <v>-65.193299999999994</v>
      </c>
      <c r="AL52" s="9">
        <v>-0.28129999999999999</v>
      </c>
      <c r="AM52" s="5">
        <v>102.5647</v>
      </c>
      <c r="AN52" s="5">
        <v>103.3326</v>
      </c>
      <c r="AO52" s="5">
        <v>-0.76800000000000002</v>
      </c>
      <c r="AP52" s="5">
        <v>-0.74319999999999997</v>
      </c>
      <c r="AQ52" s="8">
        <v>0.30769999999999997</v>
      </c>
      <c r="AR52" s="8">
        <v>-0.59099999999999997</v>
      </c>
      <c r="AS52" s="8">
        <v>-0.59099999999999997</v>
      </c>
      <c r="AT52" s="5">
        <v>102.2461</v>
      </c>
      <c r="AU52" s="5">
        <v>-1.0515000000000001</v>
      </c>
      <c r="AV52" s="7" t="s">
        <v>90</v>
      </c>
    </row>
    <row r="53" spans="1:48" ht="18" customHeight="1" x14ac:dyDescent="0.25">
      <c r="A53" s="10">
        <v>26</v>
      </c>
      <c r="B53" s="10">
        <v>2</v>
      </c>
      <c r="C53" s="10">
        <v>26</v>
      </c>
      <c r="D53" s="88">
        <v>43805</v>
      </c>
      <c r="E53" s="88">
        <v>43810</v>
      </c>
      <c r="F53" s="88">
        <v>43825</v>
      </c>
      <c r="G53" s="11">
        <v>11921.5</v>
      </c>
      <c r="H53" s="11">
        <v>11910.15</v>
      </c>
      <c r="I53" s="12"/>
      <c r="J53" s="12"/>
      <c r="K53" s="92">
        <f>H53/$G$49-1</f>
        <v>-1.5747022899501806E-2</v>
      </c>
      <c r="L53" s="92"/>
      <c r="M53" s="12" t="s">
        <v>40</v>
      </c>
      <c r="N53" s="10">
        <v>12100</v>
      </c>
      <c r="O53" s="95">
        <f>IF(F53=F51,O51,MROUND(G53,100))</f>
        <v>12100</v>
      </c>
      <c r="P53" s="95">
        <f>O53-N53</f>
        <v>0</v>
      </c>
      <c r="Q53" s="12" t="s">
        <v>91</v>
      </c>
      <c r="R53" s="10">
        <v>65</v>
      </c>
      <c r="S53" s="11">
        <v>217.7</v>
      </c>
      <c r="T53" s="11">
        <v>214.1</v>
      </c>
      <c r="U53" s="13">
        <v>-0.3427</v>
      </c>
      <c r="V53" s="13">
        <v>0.38750000000000001</v>
      </c>
      <c r="W53" s="10">
        <v>0</v>
      </c>
      <c r="X53" s="14">
        <v>0</v>
      </c>
      <c r="Y53" s="11">
        <v>-3.6</v>
      </c>
      <c r="Z53" s="14">
        <v>-3.0197542255588639E-4</v>
      </c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 t="s">
        <v>90</v>
      </c>
    </row>
    <row r="54" spans="1:48" ht="18" hidden="1" customHeight="1" x14ac:dyDescent="0.25">
      <c r="A54" s="4">
        <v>27</v>
      </c>
      <c r="B54" s="4">
        <v>1</v>
      </c>
      <c r="C54" s="4">
        <v>27</v>
      </c>
      <c r="D54" s="87">
        <v>43810</v>
      </c>
      <c r="E54" s="87">
        <v>43812</v>
      </c>
      <c r="F54" s="87">
        <v>43818</v>
      </c>
      <c r="G54" s="5">
        <v>11910.15</v>
      </c>
      <c r="H54" s="5">
        <v>12086.7</v>
      </c>
      <c r="I54" s="5">
        <v>176.55</v>
      </c>
      <c r="J54" s="6">
        <v>1.482349088802408E-2</v>
      </c>
      <c r="K54" s="90"/>
      <c r="L54" s="90"/>
      <c r="M54" s="7" t="s">
        <v>28</v>
      </c>
      <c r="N54" s="4">
        <v>11900</v>
      </c>
      <c r="O54" s="94"/>
      <c r="P54" s="94"/>
      <c r="Q54" s="7" t="s">
        <v>89</v>
      </c>
      <c r="R54" s="4">
        <v>65</v>
      </c>
      <c r="S54" s="5">
        <v>91.1</v>
      </c>
      <c r="T54" s="5">
        <v>232.55</v>
      </c>
      <c r="U54" s="8">
        <v>-1.2557</v>
      </c>
      <c r="V54" s="8">
        <v>-9.0300000000000005E-2</v>
      </c>
      <c r="W54" s="5">
        <v>-141.44999999999999</v>
      </c>
      <c r="X54" s="6">
        <v>-1.187642473016713E-2</v>
      </c>
      <c r="Y54" s="4">
        <v>0</v>
      </c>
      <c r="Z54" s="6">
        <v>0</v>
      </c>
      <c r="AA54" s="5">
        <v>16635.8</v>
      </c>
      <c r="AB54" s="5">
        <v>16932.400000000001</v>
      </c>
      <c r="AC54" s="5">
        <v>296.60000000000002</v>
      </c>
      <c r="AD54" s="5">
        <v>1.7828999999999999</v>
      </c>
      <c r="AE54" s="4">
        <v>2</v>
      </c>
      <c r="AF54" s="5">
        <v>-3.3333000000000002E-2</v>
      </c>
      <c r="AG54" s="5">
        <v>291.05470000000003</v>
      </c>
      <c r="AH54" s="5">
        <v>1.7496</v>
      </c>
      <c r="AI54" s="8">
        <v>0.221</v>
      </c>
      <c r="AJ54" s="8">
        <v>1.837</v>
      </c>
      <c r="AK54" s="15">
        <v>20.454699999999999</v>
      </c>
      <c r="AL54" s="15">
        <v>-0.52239999999999998</v>
      </c>
      <c r="AM54" s="5">
        <v>102.02889999999999</v>
      </c>
      <c r="AN54" s="5">
        <v>103.3326</v>
      </c>
      <c r="AO54" s="5">
        <v>-1.3038000000000001</v>
      </c>
      <c r="AP54" s="5">
        <v>-1.2617</v>
      </c>
      <c r="AQ54" s="8">
        <v>-0.53620000000000001</v>
      </c>
      <c r="AR54" s="8">
        <v>4.3799999999999999E-2</v>
      </c>
      <c r="AS54" s="8">
        <v>-0.53620000000000001</v>
      </c>
      <c r="AT54" s="5">
        <v>102.0147</v>
      </c>
      <c r="AU54" s="5">
        <v>-1.2754000000000001</v>
      </c>
      <c r="AV54" s="7" t="s">
        <v>96</v>
      </c>
    </row>
    <row r="55" spans="1:48" ht="18" customHeight="1" x14ac:dyDescent="0.25">
      <c r="A55" s="10">
        <v>27</v>
      </c>
      <c r="B55" s="10">
        <v>2</v>
      </c>
      <c r="C55" s="10">
        <v>27</v>
      </c>
      <c r="D55" s="88">
        <v>43810</v>
      </c>
      <c r="E55" s="88">
        <v>43812</v>
      </c>
      <c r="F55" s="88">
        <v>43825</v>
      </c>
      <c r="G55" s="11">
        <v>11910.15</v>
      </c>
      <c r="H55" s="11">
        <v>12086.7</v>
      </c>
      <c r="I55" s="12"/>
      <c r="J55" s="12"/>
      <c r="K55" s="92">
        <f>H55/$G$49-1</f>
        <v>-1.1569578619419207E-3</v>
      </c>
      <c r="L55" s="92"/>
      <c r="M55" s="12" t="s">
        <v>40</v>
      </c>
      <c r="N55" s="10">
        <v>12100</v>
      </c>
      <c r="O55" s="95">
        <f>IF(F55=F53,O53,MROUND(G55,100))</f>
        <v>12100</v>
      </c>
      <c r="P55" s="95">
        <f>O55-N55</f>
        <v>0</v>
      </c>
      <c r="Q55" s="12" t="s">
        <v>91</v>
      </c>
      <c r="R55" s="10">
        <v>65</v>
      </c>
      <c r="S55" s="11">
        <v>214.1</v>
      </c>
      <c r="T55" s="11">
        <v>84.95</v>
      </c>
      <c r="U55" s="13">
        <v>-1.1174999999999999</v>
      </c>
      <c r="V55" s="13">
        <v>-8.6900000000000005E-2</v>
      </c>
      <c r="W55" s="10">
        <v>0</v>
      </c>
      <c r="X55" s="14">
        <v>0</v>
      </c>
      <c r="Y55" s="11">
        <v>-129.15</v>
      </c>
      <c r="Z55" s="14">
        <v>-1.08436921449352E-2</v>
      </c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 t="s">
        <v>96</v>
      </c>
    </row>
    <row r="56" spans="1:48" ht="18" hidden="1" customHeight="1" x14ac:dyDescent="0.25">
      <c r="A56" s="4">
        <v>28</v>
      </c>
      <c r="B56" s="4">
        <v>1</v>
      </c>
      <c r="C56" s="4">
        <v>28</v>
      </c>
      <c r="D56" s="87">
        <v>43812</v>
      </c>
      <c r="E56" s="87">
        <v>43817</v>
      </c>
      <c r="F56" s="87">
        <v>43818</v>
      </c>
      <c r="G56" s="5">
        <v>12086.7</v>
      </c>
      <c r="H56" s="5">
        <v>12221.65</v>
      </c>
      <c r="I56" s="5">
        <v>134.94999999999999</v>
      </c>
      <c r="J56" s="6">
        <v>1.116516501609207E-2</v>
      </c>
      <c r="K56" s="90"/>
      <c r="L56" s="90"/>
      <c r="M56" s="7" t="s">
        <v>28</v>
      </c>
      <c r="N56" s="4">
        <v>12100</v>
      </c>
      <c r="O56" s="94"/>
      <c r="P56" s="94"/>
      <c r="Q56" s="7" t="s">
        <v>89</v>
      </c>
      <c r="R56" s="4">
        <v>65</v>
      </c>
      <c r="S56" s="5">
        <v>81.400000000000006</v>
      </c>
      <c r="T56" s="5">
        <v>126.25</v>
      </c>
      <c r="U56" s="8">
        <v>-0.45710000000000001</v>
      </c>
      <c r="V56" s="8">
        <v>0.40620000000000001</v>
      </c>
      <c r="W56" s="5">
        <v>-44.85</v>
      </c>
      <c r="X56" s="6">
        <v>-3.7106902628509021E-3</v>
      </c>
      <c r="Y56" s="4">
        <v>0</v>
      </c>
      <c r="Z56" s="6">
        <v>0</v>
      </c>
      <c r="AA56" s="5">
        <v>16932.400000000001</v>
      </c>
      <c r="AB56" s="5">
        <v>16892.75</v>
      </c>
      <c r="AC56" s="5">
        <v>-39.65</v>
      </c>
      <c r="AD56" s="5">
        <v>-0.23419999999999999</v>
      </c>
      <c r="AE56" s="4">
        <v>5</v>
      </c>
      <c r="AF56" s="5">
        <v>-8.3333000000000004E-2</v>
      </c>
      <c r="AG56" s="5">
        <v>-53.760300000000001</v>
      </c>
      <c r="AH56" s="5">
        <v>-0.3175</v>
      </c>
      <c r="AI56" s="8">
        <v>-0.70609999999999995</v>
      </c>
      <c r="AJ56" s="8">
        <v>0.33110000000000001</v>
      </c>
      <c r="AK56" s="9">
        <v>-153.21029999999999</v>
      </c>
      <c r="AL56" s="9">
        <v>-1.1403000000000001</v>
      </c>
      <c r="AM56" s="5">
        <v>100.86539999999999</v>
      </c>
      <c r="AN56" s="5">
        <v>103.3326</v>
      </c>
      <c r="AO56" s="5">
        <v>-2.4672000000000001</v>
      </c>
      <c r="AP56" s="5">
        <v>-2.3875999999999999</v>
      </c>
      <c r="AQ56" s="8">
        <v>-0.59919999999999995</v>
      </c>
      <c r="AR56" s="8">
        <v>-0.13689999999999999</v>
      </c>
      <c r="AS56" s="8">
        <v>-1.1403000000000001</v>
      </c>
      <c r="AT56" s="5">
        <v>100.86539999999999</v>
      </c>
      <c r="AU56" s="5">
        <v>-2.3875999999999999</v>
      </c>
      <c r="AV56" s="7" t="s">
        <v>90</v>
      </c>
    </row>
    <row r="57" spans="1:48" ht="18" customHeight="1" x14ac:dyDescent="0.25">
      <c r="A57" s="10">
        <v>28</v>
      </c>
      <c r="B57" s="10">
        <v>2</v>
      </c>
      <c r="C57" s="10">
        <v>28</v>
      </c>
      <c r="D57" s="88">
        <v>43812</v>
      </c>
      <c r="E57" s="88">
        <v>43817</v>
      </c>
      <c r="F57" s="88">
        <v>43825</v>
      </c>
      <c r="G57" s="11">
        <v>12086.7</v>
      </c>
      <c r="H57" s="11">
        <v>12221.65</v>
      </c>
      <c r="I57" s="12"/>
      <c r="J57" s="12"/>
      <c r="K57" s="92">
        <f>H57/$G$49-1</f>
        <v>9.9952895287047649E-3</v>
      </c>
      <c r="L57" s="92"/>
      <c r="M57" s="12" t="s">
        <v>40</v>
      </c>
      <c r="N57" s="10">
        <v>12100</v>
      </c>
      <c r="O57" s="95">
        <f>IF(F57=F55,O55,MROUND(G57,100))</f>
        <v>12100</v>
      </c>
      <c r="P57" s="95">
        <f>O57-N57</f>
        <v>0</v>
      </c>
      <c r="Q57" s="12" t="s">
        <v>91</v>
      </c>
      <c r="R57" s="10">
        <v>65</v>
      </c>
      <c r="S57" s="11">
        <v>84.95</v>
      </c>
      <c r="T57" s="11">
        <v>30.35</v>
      </c>
      <c r="U57" s="13">
        <v>-0.47320000000000001</v>
      </c>
      <c r="V57" s="13">
        <v>0.16300000000000001</v>
      </c>
      <c r="W57" s="10">
        <v>0</v>
      </c>
      <c r="X57" s="14">
        <v>0</v>
      </c>
      <c r="Y57" s="11">
        <v>-54.6</v>
      </c>
      <c r="Z57" s="14">
        <v>-4.5173620591228373E-3</v>
      </c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 t="s">
        <v>90</v>
      </c>
    </row>
    <row r="58" spans="1:48" ht="18" hidden="1" customHeight="1" x14ac:dyDescent="0.25">
      <c r="A58" s="4">
        <v>29</v>
      </c>
      <c r="B58" s="4">
        <v>1</v>
      </c>
      <c r="C58" s="4">
        <v>29</v>
      </c>
      <c r="D58" s="87">
        <v>43817</v>
      </c>
      <c r="E58" s="87">
        <v>43823</v>
      </c>
      <c r="F58" s="87">
        <v>43825</v>
      </c>
      <c r="G58" s="5">
        <v>12221.65</v>
      </c>
      <c r="H58" s="5">
        <v>12214.55</v>
      </c>
      <c r="I58" s="5">
        <v>-7.1</v>
      </c>
      <c r="J58" s="6">
        <v>-5.8093628928990767E-4</v>
      </c>
      <c r="K58" s="90"/>
      <c r="L58" s="90"/>
      <c r="M58" s="7" t="s">
        <v>28</v>
      </c>
      <c r="N58" s="4">
        <v>12200</v>
      </c>
      <c r="O58" s="94"/>
      <c r="P58" s="94"/>
      <c r="Q58" s="7" t="s">
        <v>89</v>
      </c>
      <c r="R58" s="4">
        <v>65</v>
      </c>
      <c r="S58" s="5">
        <v>97.45</v>
      </c>
      <c r="T58" s="5">
        <v>53.05</v>
      </c>
      <c r="U58" s="8">
        <v>-0.20660000000000001</v>
      </c>
      <c r="V58" s="8">
        <v>0.43490000000000001</v>
      </c>
      <c r="W58" s="5">
        <v>44.4</v>
      </c>
      <c r="X58" s="6">
        <v>3.6328973583763238E-3</v>
      </c>
      <c r="Y58" s="4">
        <v>0</v>
      </c>
      <c r="Z58" s="6">
        <v>0</v>
      </c>
      <c r="AA58" s="5">
        <v>16892.75</v>
      </c>
      <c r="AB58" s="5">
        <v>16852.05</v>
      </c>
      <c r="AC58" s="5">
        <v>-40.700000000000003</v>
      </c>
      <c r="AD58" s="5">
        <v>-0.2409</v>
      </c>
      <c r="AE58" s="4">
        <v>6</v>
      </c>
      <c r="AF58" s="5">
        <v>-0.1</v>
      </c>
      <c r="AG58" s="5">
        <v>-57.592799999999997</v>
      </c>
      <c r="AH58" s="5">
        <v>-0.34089999999999998</v>
      </c>
      <c r="AI58" s="8">
        <v>-0.45650000000000002</v>
      </c>
      <c r="AJ58" s="8">
        <v>0.4612</v>
      </c>
      <c r="AK58" s="9">
        <v>-40.342799999999997</v>
      </c>
      <c r="AL58" s="9">
        <v>-0.19980000000000001</v>
      </c>
      <c r="AM58" s="5">
        <v>100.6639</v>
      </c>
      <c r="AN58" s="5">
        <v>103.3326</v>
      </c>
      <c r="AO58" s="5">
        <v>-2.6686999999999999</v>
      </c>
      <c r="AP58" s="5">
        <v>-2.5827</v>
      </c>
      <c r="AQ58" s="8">
        <v>2.47E-2</v>
      </c>
      <c r="AR58" s="8">
        <v>7.9000000000000008E-3</v>
      </c>
      <c r="AS58" s="8">
        <v>-0.19980000000000001</v>
      </c>
      <c r="AT58" s="5">
        <v>100.6639</v>
      </c>
      <c r="AU58" s="5">
        <v>-2.5827</v>
      </c>
      <c r="AV58" s="7" t="s">
        <v>90</v>
      </c>
    </row>
    <row r="59" spans="1:48" ht="18" customHeight="1" x14ac:dyDescent="0.25">
      <c r="A59" s="10">
        <v>29</v>
      </c>
      <c r="B59" s="10">
        <v>2</v>
      </c>
      <c r="C59" s="10">
        <v>29</v>
      </c>
      <c r="D59" s="88">
        <v>43817</v>
      </c>
      <c r="E59" s="88">
        <v>43823</v>
      </c>
      <c r="F59" s="88">
        <v>43825</v>
      </c>
      <c r="G59" s="11">
        <v>12221.65</v>
      </c>
      <c r="H59" s="11">
        <v>12214.55</v>
      </c>
      <c r="I59" s="12"/>
      <c r="J59" s="12"/>
      <c r="K59" s="92">
        <f>H59/$G$49-1</f>
        <v>9.4085466130058304E-3</v>
      </c>
      <c r="L59" s="92"/>
      <c r="M59" s="12" t="s">
        <v>40</v>
      </c>
      <c r="N59" s="10">
        <v>12100</v>
      </c>
      <c r="O59" s="95">
        <f>IF(F59=F57,O57,MROUND(G59,100))</f>
        <v>12100</v>
      </c>
      <c r="P59" s="95">
        <f>O59-N59</f>
        <v>0</v>
      </c>
      <c r="Q59" s="12" t="s">
        <v>91</v>
      </c>
      <c r="R59" s="10">
        <v>65</v>
      </c>
      <c r="S59" s="11">
        <v>30.35</v>
      </c>
      <c r="T59" s="11">
        <v>3.2</v>
      </c>
      <c r="U59" s="13">
        <v>-0.22989999999999999</v>
      </c>
      <c r="V59" s="13">
        <v>2.9499999999999998E-2</v>
      </c>
      <c r="W59" s="10">
        <v>0</v>
      </c>
      <c r="X59" s="14">
        <v>0</v>
      </c>
      <c r="Y59" s="11">
        <v>-27.15</v>
      </c>
      <c r="Z59" s="14">
        <v>-2.2214676414395759E-3</v>
      </c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 t="s">
        <v>90</v>
      </c>
    </row>
    <row r="60" spans="1:48" ht="18" hidden="1" customHeight="1" x14ac:dyDescent="0.25">
      <c r="A60" s="4">
        <v>30</v>
      </c>
      <c r="B60" s="4">
        <v>1</v>
      </c>
      <c r="C60" s="4">
        <v>30</v>
      </c>
      <c r="D60" s="87">
        <v>43823</v>
      </c>
      <c r="E60" s="87">
        <v>43831</v>
      </c>
      <c r="F60" s="87">
        <v>43832</v>
      </c>
      <c r="G60" s="5">
        <v>12214.55</v>
      </c>
      <c r="H60" s="5">
        <v>12182.5</v>
      </c>
      <c r="I60" s="5">
        <v>-32.049999999999997</v>
      </c>
      <c r="J60" s="6">
        <v>-2.6239198333135481E-3</v>
      </c>
      <c r="K60" s="90"/>
      <c r="L60" s="90"/>
      <c r="M60" s="7" t="s">
        <v>28</v>
      </c>
      <c r="N60" s="4">
        <v>12200</v>
      </c>
      <c r="O60" s="94"/>
      <c r="P60" s="94"/>
      <c r="Q60" s="7" t="s">
        <v>89</v>
      </c>
      <c r="R60" s="4">
        <v>65</v>
      </c>
      <c r="S60" s="4">
        <v>97</v>
      </c>
      <c r="T60" s="5">
        <v>21.8</v>
      </c>
      <c r="U60" s="8">
        <v>-9.5000000000000001E-2</v>
      </c>
      <c r="V60" s="8">
        <v>0.64139999999999997</v>
      </c>
      <c r="W60" s="5">
        <v>75.2</v>
      </c>
      <c r="X60" s="6">
        <v>6.1565919333909152E-3</v>
      </c>
      <c r="Y60" s="4">
        <v>0</v>
      </c>
      <c r="Z60" s="6">
        <v>0</v>
      </c>
      <c r="AA60" s="5">
        <v>16852.05</v>
      </c>
      <c r="AB60" s="5">
        <v>17143.25</v>
      </c>
      <c r="AC60" s="5">
        <v>291.2</v>
      </c>
      <c r="AD60" s="5">
        <v>1.728</v>
      </c>
      <c r="AE60" s="4">
        <v>8</v>
      </c>
      <c r="AF60" s="5">
        <v>-0.13333300000000001</v>
      </c>
      <c r="AG60" s="5">
        <v>268.73059999999998</v>
      </c>
      <c r="AH60" s="5">
        <v>1.5946</v>
      </c>
      <c r="AI60" s="8">
        <v>-0.1018</v>
      </c>
      <c r="AJ60" s="8">
        <v>1.7827999999999999</v>
      </c>
      <c r="AK60" s="15">
        <v>327.73059999999998</v>
      </c>
      <c r="AL60" s="15">
        <v>2.0775999999999999</v>
      </c>
      <c r="AM60" s="5">
        <v>102.75530000000001</v>
      </c>
      <c r="AN60" s="5">
        <v>103.3326</v>
      </c>
      <c r="AO60" s="5">
        <v>-0.57730000000000004</v>
      </c>
      <c r="AP60" s="5">
        <v>-0.55869999999999997</v>
      </c>
      <c r="AQ60" s="8">
        <v>1.3047</v>
      </c>
      <c r="AR60" s="8">
        <v>0.80400000000000005</v>
      </c>
      <c r="AS60" s="8">
        <v>0.80400000000000005</v>
      </c>
      <c r="AT60" s="5">
        <v>101.47320000000001</v>
      </c>
      <c r="AU60" s="5">
        <v>-1.7994000000000001</v>
      </c>
      <c r="AV60" s="7" t="s">
        <v>90</v>
      </c>
    </row>
    <row r="61" spans="1:48" ht="18" customHeight="1" x14ac:dyDescent="0.25">
      <c r="A61" s="10">
        <v>30</v>
      </c>
      <c r="B61" s="10">
        <v>2</v>
      </c>
      <c r="C61" s="10">
        <v>30</v>
      </c>
      <c r="D61" s="88">
        <v>43823</v>
      </c>
      <c r="E61" s="88">
        <v>43831</v>
      </c>
      <c r="F61" s="88">
        <v>43860</v>
      </c>
      <c r="G61" s="11">
        <v>12214.55</v>
      </c>
      <c r="H61" s="11">
        <v>12182.5</v>
      </c>
      <c r="I61" s="12"/>
      <c r="J61" s="12"/>
      <c r="K61" s="92">
        <f>H61/$G$61-1</f>
        <v>-2.6239198333134484E-3</v>
      </c>
      <c r="L61" s="92"/>
      <c r="M61" s="12" t="s">
        <v>40</v>
      </c>
      <c r="N61" s="10">
        <v>12200</v>
      </c>
      <c r="O61" s="95">
        <f>IF(F61=F59,O59,MROUND(G61,100))</f>
        <v>12200</v>
      </c>
      <c r="P61" s="95">
        <f>O61-N61</f>
        <v>0</v>
      </c>
      <c r="Q61" s="12" t="s">
        <v>91</v>
      </c>
      <c r="R61" s="10">
        <v>65</v>
      </c>
      <c r="S61" s="11">
        <v>141.55000000000001</v>
      </c>
      <c r="T61" s="11">
        <v>125.35</v>
      </c>
      <c r="U61" s="13">
        <v>-0.3831</v>
      </c>
      <c r="V61" s="13">
        <v>0.26440000000000002</v>
      </c>
      <c r="W61" s="10">
        <v>0</v>
      </c>
      <c r="X61" s="14">
        <v>0</v>
      </c>
      <c r="Y61" s="11">
        <v>-16.2</v>
      </c>
      <c r="Z61" s="14">
        <v>-1.326287092033681E-3</v>
      </c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 t="s">
        <v>90</v>
      </c>
    </row>
    <row r="62" spans="1:48" ht="18" hidden="1" customHeight="1" x14ac:dyDescent="0.25">
      <c r="A62" s="4">
        <v>31</v>
      </c>
      <c r="B62" s="4">
        <v>1</v>
      </c>
      <c r="C62" s="4">
        <v>31</v>
      </c>
      <c r="D62" s="87">
        <v>43831</v>
      </c>
      <c r="E62" s="87">
        <v>43836</v>
      </c>
      <c r="F62" s="87">
        <v>43839</v>
      </c>
      <c r="G62" s="5">
        <v>12182.5</v>
      </c>
      <c r="H62" s="5">
        <v>11993.05</v>
      </c>
      <c r="I62" s="5">
        <v>-189.45</v>
      </c>
      <c r="J62" s="6">
        <v>-1.5550995280114921E-2</v>
      </c>
      <c r="K62" s="90"/>
      <c r="L62" s="90"/>
      <c r="M62" s="7" t="s">
        <v>28</v>
      </c>
      <c r="N62" s="4">
        <v>12200</v>
      </c>
      <c r="O62" s="94"/>
      <c r="P62" s="94"/>
      <c r="Q62" s="7" t="s">
        <v>89</v>
      </c>
      <c r="R62" s="4">
        <v>65</v>
      </c>
      <c r="S62" s="5">
        <v>69.400000000000006</v>
      </c>
      <c r="T62" s="5">
        <v>10.4</v>
      </c>
      <c r="U62" s="8">
        <v>-0.47120000000000001</v>
      </c>
      <c r="V62" s="8">
        <v>0.50029999999999997</v>
      </c>
      <c r="W62" s="4">
        <v>59</v>
      </c>
      <c r="X62" s="6">
        <v>4.843012517956085E-3</v>
      </c>
      <c r="Y62" s="4">
        <v>0</v>
      </c>
      <c r="Z62" s="6">
        <v>0</v>
      </c>
      <c r="AA62" s="5">
        <v>17143.25</v>
      </c>
      <c r="AB62" s="5">
        <v>16904.5</v>
      </c>
      <c r="AC62" s="5">
        <v>-238.75</v>
      </c>
      <c r="AD62" s="5">
        <v>-1.3927</v>
      </c>
      <c r="AE62" s="4">
        <v>5</v>
      </c>
      <c r="AF62" s="5">
        <v>-8.3333000000000004E-2</v>
      </c>
      <c r="AG62" s="5">
        <v>-253.036</v>
      </c>
      <c r="AH62" s="5">
        <v>-1.476</v>
      </c>
      <c r="AI62" s="8">
        <v>-1.5657000000000001</v>
      </c>
      <c r="AJ62" s="8">
        <v>1.5283</v>
      </c>
      <c r="AK62" s="9">
        <v>-74.486000000000004</v>
      </c>
      <c r="AL62" s="9">
        <v>-1.04E-2</v>
      </c>
      <c r="AM62" s="5">
        <v>102.74460000000001</v>
      </c>
      <c r="AN62" s="5">
        <v>103.3326</v>
      </c>
      <c r="AO62" s="5">
        <v>-0.58799999999999997</v>
      </c>
      <c r="AP62" s="5">
        <v>-0.56910000000000005</v>
      </c>
      <c r="AQ62" s="8">
        <v>0.73980000000000001</v>
      </c>
      <c r="AR62" s="8">
        <v>3.9899999999999998E-2</v>
      </c>
      <c r="AS62" s="8">
        <v>-1.04E-2</v>
      </c>
      <c r="AT62" s="5">
        <v>102.74460000000001</v>
      </c>
      <c r="AU62" s="5">
        <v>-0.56910000000000005</v>
      </c>
      <c r="AV62" s="7" t="s">
        <v>93</v>
      </c>
    </row>
    <row r="63" spans="1:48" ht="18" customHeight="1" x14ac:dyDescent="0.25">
      <c r="A63" s="10">
        <v>31</v>
      </c>
      <c r="B63" s="10">
        <v>2</v>
      </c>
      <c r="C63" s="10">
        <v>31</v>
      </c>
      <c r="D63" s="88">
        <v>43831</v>
      </c>
      <c r="E63" s="88">
        <v>43836</v>
      </c>
      <c r="F63" s="88">
        <v>43860</v>
      </c>
      <c r="G63" s="11">
        <v>12182.5</v>
      </c>
      <c r="H63" s="11">
        <v>11993.05</v>
      </c>
      <c r="I63" s="12"/>
      <c r="J63" s="12"/>
      <c r="K63" s="92">
        <f>H63/$G$61-1</f>
        <v>-1.8134110548485238E-2</v>
      </c>
      <c r="L63" s="92"/>
      <c r="M63" s="12" t="s">
        <v>40</v>
      </c>
      <c r="N63" s="10">
        <v>12200</v>
      </c>
      <c r="O63" s="95">
        <f>IF(F63=F61,O61,MROUND(G63,100))</f>
        <v>12200</v>
      </c>
      <c r="P63" s="95">
        <f>O63-N63</f>
        <v>0</v>
      </c>
      <c r="Q63" s="12" t="s">
        <v>91</v>
      </c>
      <c r="R63" s="10">
        <v>65</v>
      </c>
      <c r="S63" s="11">
        <v>125.35</v>
      </c>
      <c r="T63" s="11">
        <v>244.9</v>
      </c>
      <c r="U63" s="13">
        <v>-0.31730000000000003</v>
      </c>
      <c r="V63" s="13">
        <v>1.1052999999999999</v>
      </c>
      <c r="W63" s="10">
        <v>0</v>
      </c>
      <c r="X63" s="14">
        <v>0</v>
      </c>
      <c r="Y63" s="11">
        <v>119.55</v>
      </c>
      <c r="Z63" s="14">
        <v>9.8132567207059301E-3</v>
      </c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 t="s">
        <v>93</v>
      </c>
    </row>
    <row r="64" spans="1:48" ht="18" hidden="1" customHeight="1" x14ac:dyDescent="0.25">
      <c r="A64" s="4">
        <v>32</v>
      </c>
      <c r="B64" s="4">
        <v>1</v>
      </c>
      <c r="C64" s="4">
        <v>32</v>
      </c>
      <c r="D64" s="87">
        <v>43836</v>
      </c>
      <c r="E64" s="87">
        <v>43838</v>
      </c>
      <c r="F64" s="87">
        <v>43839</v>
      </c>
      <c r="G64" s="5">
        <v>11993.05</v>
      </c>
      <c r="H64" s="5">
        <v>12025.35</v>
      </c>
      <c r="I64" s="5">
        <v>32.299999999999997</v>
      </c>
      <c r="J64" s="6">
        <v>2.6932264936775879E-3</v>
      </c>
      <c r="K64" s="90"/>
      <c r="L64" s="90"/>
      <c r="M64" s="7" t="s">
        <v>28</v>
      </c>
      <c r="N64" s="4">
        <v>12000</v>
      </c>
      <c r="O64" s="94"/>
      <c r="P64" s="94"/>
      <c r="Q64" s="7" t="s">
        <v>89</v>
      </c>
      <c r="R64" s="4">
        <v>65</v>
      </c>
      <c r="S64" s="5">
        <v>71.900000000000006</v>
      </c>
      <c r="T64" s="5">
        <v>56.45</v>
      </c>
      <c r="U64" s="8">
        <v>-0.70540000000000003</v>
      </c>
      <c r="V64" s="8">
        <v>0.42399999999999999</v>
      </c>
      <c r="W64" s="5">
        <v>15.45</v>
      </c>
      <c r="X64" s="6">
        <v>1.288246109204914E-3</v>
      </c>
      <c r="Y64" s="4">
        <v>0</v>
      </c>
      <c r="Z64" s="6">
        <v>0</v>
      </c>
      <c r="AA64" s="5">
        <v>16904.5</v>
      </c>
      <c r="AB64" s="5">
        <v>17074.3</v>
      </c>
      <c r="AC64" s="5">
        <v>169.8</v>
      </c>
      <c r="AD64" s="5">
        <v>1.0044999999999999</v>
      </c>
      <c r="AE64" s="4">
        <v>2</v>
      </c>
      <c r="AF64" s="5">
        <v>-3.3333000000000002E-2</v>
      </c>
      <c r="AG64" s="5">
        <v>164.1652</v>
      </c>
      <c r="AH64" s="5">
        <v>0.97109999999999996</v>
      </c>
      <c r="AI64" s="8">
        <v>-0.52210000000000001</v>
      </c>
      <c r="AJ64" s="8">
        <v>1.4923999999999999</v>
      </c>
      <c r="AK64" s="15">
        <v>168.11519999999999</v>
      </c>
      <c r="AL64" s="15">
        <v>1.004</v>
      </c>
      <c r="AM64" s="5">
        <v>103.7762</v>
      </c>
      <c r="AN64" s="5">
        <v>103.7762</v>
      </c>
      <c r="AO64" s="4">
        <v>0</v>
      </c>
      <c r="AP64" s="4">
        <v>0</v>
      </c>
      <c r="AQ64" s="8">
        <v>5.6599999999999998E-2</v>
      </c>
      <c r="AR64" s="8">
        <v>0.28210000000000002</v>
      </c>
      <c r="AS64" s="8">
        <v>5.6599999999999998E-2</v>
      </c>
      <c r="AT64" s="5">
        <v>102.8028</v>
      </c>
      <c r="AU64" s="5">
        <v>-0.51280000000000003</v>
      </c>
      <c r="AV64" s="7" t="s">
        <v>90</v>
      </c>
    </row>
    <row r="65" spans="1:48" ht="18" customHeight="1" x14ac:dyDescent="0.25">
      <c r="A65" s="10">
        <v>32</v>
      </c>
      <c r="B65" s="10">
        <v>2</v>
      </c>
      <c r="C65" s="10">
        <v>32</v>
      </c>
      <c r="D65" s="88">
        <v>43836</v>
      </c>
      <c r="E65" s="88">
        <v>43838</v>
      </c>
      <c r="F65" s="88">
        <v>43860</v>
      </c>
      <c r="G65" s="11">
        <v>11993.05</v>
      </c>
      <c r="H65" s="11">
        <v>12025.35</v>
      </c>
      <c r="I65" s="12"/>
      <c r="J65" s="12"/>
      <c r="K65" s="92">
        <f>H65/$G$61-1</f>
        <v>-1.5489723321776006E-2</v>
      </c>
      <c r="L65" s="92"/>
      <c r="M65" s="12" t="s">
        <v>40</v>
      </c>
      <c r="N65" s="10">
        <v>12200</v>
      </c>
      <c r="O65" s="95">
        <f>IF(F65=F63,O63,MROUND(G65,100))</f>
        <v>12200</v>
      </c>
      <c r="P65" s="95">
        <f>O65-N65</f>
        <v>0</v>
      </c>
      <c r="Q65" s="12" t="s">
        <v>91</v>
      </c>
      <c r="R65" s="10">
        <v>65</v>
      </c>
      <c r="S65" s="11">
        <v>244.9</v>
      </c>
      <c r="T65" s="11">
        <v>233.4</v>
      </c>
      <c r="U65" s="13">
        <v>-0.73040000000000005</v>
      </c>
      <c r="V65" s="13">
        <v>0.38019999999999998</v>
      </c>
      <c r="W65" s="10">
        <v>0</v>
      </c>
      <c r="X65" s="14">
        <v>0</v>
      </c>
      <c r="Y65" s="11">
        <v>-11.5</v>
      </c>
      <c r="Z65" s="14">
        <v>-9.5888868969945095E-4</v>
      </c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 t="s">
        <v>90</v>
      </c>
    </row>
    <row r="66" spans="1:48" ht="18" hidden="1" customHeight="1" x14ac:dyDescent="0.25">
      <c r="A66" s="4">
        <v>33</v>
      </c>
      <c r="B66" s="4">
        <v>1</v>
      </c>
      <c r="C66" s="4">
        <v>33</v>
      </c>
      <c r="D66" s="87">
        <v>43838</v>
      </c>
      <c r="E66" s="87">
        <v>43839</v>
      </c>
      <c r="F66" s="87">
        <v>43846</v>
      </c>
      <c r="G66" s="5">
        <v>12025.35</v>
      </c>
      <c r="H66" s="5">
        <v>12215.9</v>
      </c>
      <c r="I66" s="5">
        <v>190.55</v>
      </c>
      <c r="J66" s="6">
        <v>1.5845692640962639E-2</v>
      </c>
      <c r="K66" s="90"/>
      <c r="L66" s="90"/>
      <c r="M66" s="7" t="s">
        <v>28</v>
      </c>
      <c r="N66" s="4">
        <v>12000</v>
      </c>
      <c r="O66" s="94"/>
      <c r="P66" s="94"/>
      <c r="Q66" s="7" t="s">
        <v>89</v>
      </c>
      <c r="R66" s="4">
        <v>65</v>
      </c>
      <c r="S66" s="5">
        <v>130.4</v>
      </c>
      <c r="T66" s="4">
        <v>257</v>
      </c>
      <c r="U66" s="8">
        <v>-1.123</v>
      </c>
      <c r="V66" s="8">
        <v>-0.41249999999999998</v>
      </c>
      <c r="W66" s="5">
        <v>-126.6</v>
      </c>
      <c r="X66" s="6">
        <v>-1.0527760106774441E-2</v>
      </c>
      <c r="Y66" s="4">
        <v>0</v>
      </c>
      <c r="Z66" s="6">
        <v>0</v>
      </c>
      <c r="AA66" s="5">
        <v>17074.3</v>
      </c>
      <c r="AB66" s="5">
        <v>17319.650000000001</v>
      </c>
      <c r="AC66" s="5">
        <v>245.35</v>
      </c>
      <c r="AD66" s="5">
        <v>1.4370000000000001</v>
      </c>
      <c r="AE66" s="4">
        <v>1</v>
      </c>
      <c r="AF66" s="5">
        <v>-1.6667000000000001E-2</v>
      </c>
      <c r="AG66" s="5">
        <v>242.5043</v>
      </c>
      <c r="AH66" s="5">
        <v>1.4202999999999999</v>
      </c>
      <c r="AI66" s="8">
        <v>0.88419999999999999</v>
      </c>
      <c r="AJ66" s="8">
        <v>1.5972</v>
      </c>
      <c r="AK66" s="9">
        <v>-4.7457000000000003</v>
      </c>
      <c r="AL66" s="9">
        <v>-0.63580000000000003</v>
      </c>
      <c r="AM66" s="5">
        <v>103.1163</v>
      </c>
      <c r="AN66" s="5">
        <v>103.7762</v>
      </c>
      <c r="AO66" s="5">
        <v>-0.65980000000000005</v>
      </c>
      <c r="AP66" s="5">
        <v>-0.63580000000000003</v>
      </c>
      <c r="AQ66" s="8">
        <v>-0.55200000000000005</v>
      </c>
      <c r="AR66" s="8">
        <v>-0.1245</v>
      </c>
      <c r="AS66" s="8">
        <v>-0.63580000000000003</v>
      </c>
      <c r="AT66" s="5">
        <v>103.1163</v>
      </c>
      <c r="AU66" s="5">
        <v>-0.63580000000000003</v>
      </c>
      <c r="AV66" s="7" t="s">
        <v>96</v>
      </c>
    </row>
    <row r="67" spans="1:48" ht="18" customHeight="1" x14ac:dyDescent="0.25">
      <c r="A67" s="10">
        <v>33</v>
      </c>
      <c r="B67" s="10">
        <v>2</v>
      </c>
      <c r="C67" s="10">
        <v>33</v>
      </c>
      <c r="D67" s="88">
        <v>43838</v>
      </c>
      <c r="E67" s="88">
        <v>43839</v>
      </c>
      <c r="F67" s="88">
        <v>43860</v>
      </c>
      <c r="G67" s="11">
        <v>12025.35</v>
      </c>
      <c r="H67" s="11">
        <v>12215.9</v>
      </c>
      <c r="I67" s="12"/>
      <c r="J67" s="12"/>
      <c r="K67" s="92">
        <f>H67/$G$61-1</f>
        <v>1.1052392433619218E-4</v>
      </c>
      <c r="L67" s="92"/>
      <c r="M67" s="12" t="s">
        <v>40</v>
      </c>
      <c r="N67" s="10">
        <v>12200</v>
      </c>
      <c r="O67" s="95">
        <f>IF(F67=F65,O65,MROUND(G67,100))</f>
        <v>12200</v>
      </c>
      <c r="P67" s="95">
        <f>O67-N67</f>
        <v>0</v>
      </c>
      <c r="Q67" s="12" t="s">
        <v>91</v>
      </c>
      <c r="R67" s="10">
        <v>65</v>
      </c>
      <c r="S67" s="11">
        <v>233.4</v>
      </c>
      <c r="T67" s="11">
        <v>112.75</v>
      </c>
      <c r="U67" s="13">
        <v>-1.0262</v>
      </c>
      <c r="V67" s="13">
        <v>-0.59619999999999995</v>
      </c>
      <c r="W67" s="10">
        <v>0</v>
      </c>
      <c r="X67" s="14">
        <v>0</v>
      </c>
      <c r="Y67" s="11">
        <v>-120.65</v>
      </c>
      <c r="Z67" s="14">
        <v>-1.00329720132886E-2</v>
      </c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 t="s">
        <v>96</v>
      </c>
    </row>
    <row r="68" spans="1:48" ht="18" hidden="1" customHeight="1" x14ac:dyDescent="0.25">
      <c r="A68" s="4">
        <v>34</v>
      </c>
      <c r="B68" s="4">
        <v>1</v>
      </c>
      <c r="C68" s="4">
        <v>34</v>
      </c>
      <c r="D68" s="87">
        <v>43839</v>
      </c>
      <c r="E68" s="87">
        <v>43844</v>
      </c>
      <c r="F68" s="87">
        <v>43846</v>
      </c>
      <c r="G68" s="5">
        <v>12215.9</v>
      </c>
      <c r="H68" s="5">
        <v>12362.3</v>
      </c>
      <c r="I68" s="5">
        <v>146.4</v>
      </c>
      <c r="J68" s="6">
        <v>1.198438101163238E-2</v>
      </c>
      <c r="K68" s="90"/>
      <c r="L68" s="90"/>
      <c r="M68" s="7" t="s">
        <v>28</v>
      </c>
      <c r="N68" s="4">
        <v>12200</v>
      </c>
      <c r="O68" s="94"/>
      <c r="P68" s="94"/>
      <c r="Q68" s="7" t="s">
        <v>89</v>
      </c>
      <c r="R68" s="4">
        <v>65</v>
      </c>
      <c r="S68" s="5">
        <v>97.4</v>
      </c>
      <c r="T68" s="5">
        <v>173.35</v>
      </c>
      <c r="U68" s="8">
        <v>-0.70730000000000004</v>
      </c>
      <c r="V68" s="8">
        <v>9.9900000000000003E-2</v>
      </c>
      <c r="W68" s="5">
        <v>-75.95</v>
      </c>
      <c r="X68" s="6">
        <v>-6.2173069524144768E-3</v>
      </c>
      <c r="Y68" s="4">
        <v>0</v>
      </c>
      <c r="Z68" s="6">
        <v>0</v>
      </c>
      <c r="AA68" s="5">
        <v>17319.650000000001</v>
      </c>
      <c r="AB68" s="5">
        <v>17651.650000000001</v>
      </c>
      <c r="AC68" s="4">
        <v>332</v>
      </c>
      <c r="AD68" s="5">
        <v>1.9169</v>
      </c>
      <c r="AE68" s="4">
        <v>5</v>
      </c>
      <c r="AF68" s="5">
        <v>-8.3333000000000004E-2</v>
      </c>
      <c r="AG68" s="5">
        <v>317.56700000000001</v>
      </c>
      <c r="AH68" s="5">
        <v>1.8335999999999999</v>
      </c>
      <c r="AI68" s="8">
        <v>0.192</v>
      </c>
      <c r="AJ68" s="8">
        <v>1.8977999999999999</v>
      </c>
      <c r="AK68" s="15">
        <v>180.31700000000001</v>
      </c>
      <c r="AL68" s="15">
        <v>0.71009999999999995</v>
      </c>
      <c r="AM68" s="5">
        <v>103.8486</v>
      </c>
      <c r="AN68" s="5">
        <v>103.8486</v>
      </c>
      <c r="AO68" s="4">
        <v>0</v>
      </c>
      <c r="AP68" s="4">
        <v>0</v>
      </c>
      <c r="AQ68" s="8">
        <v>0.66859999999999997</v>
      </c>
      <c r="AR68" s="8">
        <v>0.30209999999999998</v>
      </c>
      <c r="AS68" s="8">
        <v>0.30209999999999998</v>
      </c>
      <c r="AT68" s="5">
        <v>103.42789999999999</v>
      </c>
      <c r="AU68" s="5">
        <v>-0.33560000000000001</v>
      </c>
      <c r="AV68" s="7" t="s">
        <v>96</v>
      </c>
    </row>
    <row r="69" spans="1:48" ht="18" customHeight="1" x14ac:dyDescent="0.25">
      <c r="A69" s="10">
        <v>34</v>
      </c>
      <c r="B69" s="10">
        <v>2</v>
      </c>
      <c r="C69" s="10">
        <v>34</v>
      </c>
      <c r="D69" s="88">
        <v>43839</v>
      </c>
      <c r="E69" s="88">
        <v>43844</v>
      </c>
      <c r="F69" s="88">
        <v>43860</v>
      </c>
      <c r="G69" s="11">
        <v>12215.9</v>
      </c>
      <c r="H69" s="11">
        <v>12362.3</v>
      </c>
      <c r="I69" s="12"/>
      <c r="J69" s="12"/>
      <c r="K69" s="92">
        <f>H69/$G$61-1</f>
        <v>1.2096229496788569E-2</v>
      </c>
      <c r="L69" s="92"/>
      <c r="M69" s="12" t="s">
        <v>40</v>
      </c>
      <c r="N69" s="10">
        <v>12200</v>
      </c>
      <c r="O69" s="95">
        <f>IF(F69=F67,O67,MROUND(G69,100))</f>
        <v>12200</v>
      </c>
      <c r="P69" s="95">
        <f>O69-N69</f>
        <v>0</v>
      </c>
      <c r="Q69" s="12" t="s">
        <v>91</v>
      </c>
      <c r="R69" s="10">
        <v>65</v>
      </c>
      <c r="S69" s="11">
        <v>112.75</v>
      </c>
      <c r="T69" s="11">
        <v>51.45</v>
      </c>
      <c r="U69" s="13">
        <v>-0.52190000000000003</v>
      </c>
      <c r="V69" s="13">
        <v>1.0200000000000001E-2</v>
      </c>
      <c r="W69" s="10">
        <v>0</v>
      </c>
      <c r="X69" s="14">
        <v>0</v>
      </c>
      <c r="Y69" s="11">
        <v>-61.3</v>
      </c>
      <c r="Z69" s="14">
        <v>-5.0180502459908809E-3</v>
      </c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 t="s">
        <v>96</v>
      </c>
    </row>
    <row r="70" spans="1:48" ht="18" hidden="1" customHeight="1" x14ac:dyDescent="0.25">
      <c r="A70" s="4">
        <v>35</v>
      </c>
      <c r="B70" s="4">
        <v>1</v>
      </c>
      <c r="C70" s="4">
        <v>35</v>
      </c>
      <c r="D70" s="87">
        <v>43844</v>
      </c>
      <c r="E70" s="87">
        <v>43845</v>
      </c>
      <c r="F70" s="87">
        <v>43846</v>
      </c>
      <c r="G70" s="5">
        <v>12362.3</v>
      </c>
      <c r="H70" s="5">
        <v>12343.3</v>
      </c>
      <c r="I70" s="4">
        <v>-19</v>
      </c>
      <c r="J70" s="6">
        <v>-1.536930830023539E-3</v>
      </c>
      <c r="K70" s="90"/>
      <c r="L70" s="90"/>
      <c r="M70" s="7" t="s">
        <v>28</v>
      </c>
      <c r="N70" s="4">
        <v>12400</v>
      </c>
      <c r="O70" s="94"/>
      <c r="P70" s="94"/>
      <c r="Q70" s="7" t="s">
        <v>89</v>
      </c>
      <c r="R70" s="4">
        <v>65</v>
      </c>
      <c r="S70" s="5">
        <v>28.45</v>
      </c>
      <c r="T70" s="5">
        <v>12.15</v>
      </c>
      <c r="U70" s="8">
        <v>5.2200000000000003E-2</v>
      </c>
      <c r="V70" s="8">
        <v>0.19209999999999999</v>
      </c>
      <c r="W70" s="5">
        <v>16.3</v>
      </c>
      <c r="X70" s="6">
        <v>1.318524869967563E-3</v>
      </c>
      <c r="Y70" s="4">
        <v>0</v>
      </c>
      <c r="Z70" s="6">
        <v>0</v>
      </c>
      <c r="AA70" s="5">
        <v>17651.650000000001</v>
      </c>
      <c r="AB70" s="5">
        <v>17836.099999999999</v>
      </c>
      <c r="AC70" s="5">
        <v>184.45</v>
      </c>
      <c r="AD70" s="5">
        <v>1.0448999999999999</v>
      </c>
      <c r="AE70" s="4">
        <v>1</v>
      </c>
      <c r="AF70" s="5">
        <v>-1.6667000000000001E-2</v>
      </c>
      <c r="AG70" s="5">
        <v>181.50810000000001</v>
      </c>
      <c r="AH70" s="5">
        <v>1.0283</v>
      </c>
      <c r="AI70" s="8">
        <v>-0.17530000000000001</v>
      </c>
      <c r="AJ70" s="8">
        <v>1.1213</v>
      </c>
      <c r="AK70" s="15">
        <v>196.10810000000001</v>
      </c>
      <c r="AL70" s="15">
        <v>1.1464000000000001</v>
      </c>
      <c r="AM70" s="5">
        <v>105.0391</v>
      </c>
      <c r="AN70" s="5">
        <v>105.0391</v>
      </c>
      <c r="AO70" s="4">
        <v>0</v>
      </c>
      <c r="AP70" s="4">
        <v>0</v>
      </c>
      <c r="AQ70" s="8">
        <v>1.1355</v>
      </c>
      <c r="AR70" s="8">
        <v>0.1628</v>
      </c>
      <c r="AS70" s="8">
        <v>0.1628</v>
      </c>
      <c r="AT70" s="5">
        <v>104.0176</v>
      </c>
      <c r="AU70" s="5">
        <v>0.1628</v>
      </c>
      <c r="AV70" s="7" t="s">
        <v>90</v>
      </c>
    </row>
    <row r="71" spans="1:48" ht="18" customHeight="1" x14ac:dyDescent="0.25">
      <c r="A71" s="10">
        <v>35</v>
      </c>
      <c r="B71" s="10">
        <v>2</v>
      </c>
      <c r="C71" s="10">
        <v>35</v>
      </c>
      <c r="D71" s="88">
        <v>43844</v>
      </c>
      <c r="E71" s="88">
        <v>43845</v>
      </c>
      <c r="F71" s="88">
        <v>43860</v>
      </c>
      <c r="G71" s="11">
        <v>12362.3</v>
      </c>
      <c r="H71" s="11">
        <v>12343.3</v>
      </c>
      <c r="I71" s="12"/>
      <c r="J71" s="12"/>
      <c r="K71" s="92">
        <f>H71/$G$61-1</f>
        <v>1.0540707598724497E-2</v>
      </c>
      <c r="L71" s="92"/>
      <c r="M71" s="12" t="s">
        <v>40</v>
      </c>
      <c r="N71" s="10">
        <v>12200</v>
      </c>
      <c r="O71" s="95">
        <f>IF(F71=F69,O69,MROUND(G71,100))</f>
        <v>12200</v>
      </c>
      <c r="P71" s="95">
        <f>O71-N71</f>
        <v>0</v>
      </c>
      <c r="Q71" s="12" t="s">
        <v>91</v>
      </c>
      <c r="R71" s="10">
        <v>65</v>
      </c>
      <c r="S71" s="11">
        <v>51.45</v>
      </c>
      <c r="T71" s="11">
        <v>49.75</v>
      </c>
      <c r="U71" s="13">
        <v>-3.7999999999999999E-2</v>
      </c>
      <c r="V71" s="13">
        <v>0.14599999999999999</v>
      </c>
      <c r="W71" s="10">
        <v>0</v>
      </c>
      <c r="X71" s="14">
        <v>0</v>
      </c>
      <c r="Y71" s="11">
        <v>-1.7</v>
      </c>
      <c r="Z71" s="14">
        <v>-1.375148637389483E-4</v>
      </c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 t="s">
        <v>90</v>
      </c>
    </row>
    <row r="72" spans="1:48" ht="18" hidden="1" customHeight="1" x14ac:dyDescent="0.25">
      <c r="A72" s="4">
        <v>36</v>
      </c>
      <c r="B72" s="4">
        <v>1</v>
      </c>
      <c r="C72" s="4">
        <v>36</v>
      </c>
      <c r="D72" s="87">
        <v>43845</v>
      </c>
      <c r="E72" s="87">
        <v>43851</v>
      </c>
      <c r="F72" s="87">
        <v>43853</v>
      </c>
      <c r="G72" s="5">
        <v>12343.3</v>
      </c>
      <c r="H72" s="5">
        <v>12169.85</v>
      </c>
      <c r="I72" s="5">
        <v>-173.45</v>
      </c>
      <c r="J72" s="6">
        <v>-1.4052157850817849E-2</v>
      </c>
      <c r="K72" s="90"/>
      <c r="L72" s="90"/>
      <c r="M72" s="7" t="s">
        <v>28</v>
      </c>
      <c r="N72" s="4">
        <v>12300</v>
      </c>
      <c r="O72" s="94"/>
      <c r="P72" s="94"/>
      <c r="Q72" s="7" t="s">
        <v>89</v>
      </c>
      <c r="R72" s="4">
        <v>65</v>
      </c>
      <c r="S72" s="5">
        <v>106.35</v>
      </c>
      <c r="T72" s="5">
        <v>12.55</v>
      </c>
      <c r="U72" s="8">
        <v>-0.1661</v>
      </c>
      <c r="V72" s="8">
        <v>0.76919999999999999</v>
      </c>
      <c r="W72" s="5">
        <v>93.8</v>
      </c>
      <c r="X72" s="6">
        <v>7.5992643782456879E-3</v>
      </c>
      <c r="Y72" s="4">
        <v>0</v>
      </c>
      <c r="Z72" s="6">
        <v>0</v>
      </c>
      <c r="AA72" s="5">
        <v>17836.099999999999</v>
      </c>
      <c r="AB72" s="5">
        <v>17952.05</v>
      </c>
      <c r="AC72" s="5">
        <v>115.95</v>
      </c>
      <c r="AD72" s="5">
        <v>0.65010000000000001</v>
      </c>
      <c r="AE72" s="4">
        <v>6</v>
      </c>
      <c r="AF72" s="5">
        <v>-0.1</v>
      </c>
      <c r="AG72" s="5">
        <v>98.113900000000001</v>
      </c>
      <c r="AH72" s="5">
        <v>0.55010000000000003</v>
      </c>
      <c r="AI72" s="8">
        <v>0.2054</v>
      </c>
      <c r="AJ72" s="8">
        <v>1.6007</v>
      </c>
      <c r="AK72" s="15">
        <v>230.4639</v>
      </c>
      <c r="AL72" s="15">
        <v>1.6223000000000001</v>
      </c>
      <c r="AM72" s="5">
        <v>106.7431</v>
      </c>
      <c r="AN72" s="5">
        <v>106.7431</v>
      </c>
      <c r="AO72" s="4">
        <v>0</v>
      </c>
      <c r="AP72" s="4">
        <v>0</v>
      </c>
      <c r="AQ72" s="8">
        <v>1.2539</v>
      </c>
      <c r="AR72" s="8">
        <v>1.4177999999999999</v>
      </c>
      <c r="AS72" s="8">
        <v>1.2539</v>
      </c>
      <c r="AT72" s="5">
        <v>106.3562</v>
      </c>
      <c r="AU72" s="5">
        <v>1.2539</v>
      </c>
      <c r="AV72" s="7" t="s">
        <v>93</v>
      </c>
    </row>
    <row r="73" spans="1:48" ht="18" customHeight="1" x14ac:dyDescent="0.25">
      <c r="A73" s="10">
        <v>36</v>
      </c>
      <c r="B73" s="10">
        <v>2</v>
      </c>
      <c r="C73" s="10">
        <v>36</v>
      </c>
      <c r="D73" s="88">
        <v>43845</v>
      </c>
      <c r="E73" s="88">
        <v>43851</v>
      </c>
      <c r="F73" s="88">
        <v>43860</v>
      </c>
      <c r="G73" s="11">
        <v>12343.3</v>
      </c>
      <c r="H73" s="11">
        <v>12169.85</v>
      </c>
      <c r="I73" s="12"/>
      <c r="J73" s="12"/>
      <c r="K73" s="92">
        <f>H73/$G$61-1</f>
        <v>-3.6595699391298586E-3</v>
      </c>
      <c r="L73" s="92"/>
      <c r="M73" s="12" t="s">
        <v>40</v>
      </c>
      <c r="N73" s="10">
        <v>12200</v>
      </c>
      <c r="O73" s="95">
        <f>IF(F73=F71,O71,MROUND(G73,100))</f>
        <v>12200</v>
      </c>
      <c r="P73" s="95">
        <f>O73-N73</f>
        <v>0</v>
      </c>
      <c r="Q73" s="12" t="s">
        <v>91</v>
      </c>
      <c r="R73" s="10">
        <v>65</v>
      </c>
      <c r="S73" s="11">
        <v>49.75</v>
      </c>
      <c r="T73" s="11">
        <v>88.3</v>
      </c>
      <c r="U73" s="13">
        <v>-0.1807</v>
      </c>
      <c r="V73" s="13">
        <v>0.44319999999999998</v>
      </c>
      <c r="W73" s="10">
        <v>0</v>
      </c>
      <c r="X73" s="14">
        <v>0</v>
      </c>
      <c r="Y73" s="11">
        <v>38.549999999999997</v>
      </c>
      <c r="Z73" s="14">
        <v>3.123151831357902E-3</v>
      </c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 t="s">
        <v>93</v>
      </c>
    </row>
    <row r="74" spans="1:48" ht="18" hidden="1" customHeight="1" x14ac:dyDescent="0.25">
      <c r="A74" s="4">
        <v>37</v>
      </c>
      <c r="B74" s="4">
        <v>1</v>
      </c>
      <c r="C74" s="4">
        <v>37</v>
      </c>
      <c r="D74" s="87">
        <v>43851</v>
      </c>
      <c r="E74" s="87">
        <v>43852</v>
      </c>
      <c r="F74" s="87">
        <v>43853</v>
      </c>
      <c r="G74" s="5">
        <v>12169.85</v>
      </c>
      <c r="H74" s="5">
        <v>12106.9</v>
      </c>
      <c r="I74" s="5">
        <v>-62.95</v>
      </c>
      <c r="J74" s="6">
        <v>-5.1726192188071337E-3</v>
      </c>
      <c r="K74" s="90"/>
      <c r="L74" s="90"/>
      <c r="M74" s="7" t="s">
        <v>28</v>
      </c>
      <c r="N74" s="4">
        <v>12200</v>
      </c>
      <c r="O74" s="94"/>
      <c r="P74" s="94"/>
      <c r="Q74" s="7" t="s">
        <v>89</v>
      </c>
      <c r="R74" s="4">
        <v>65</v>
      </c>
      <c r="S74" s="5">
        <v>39.1</v>
      </c>
      <c r="T74" s="5">
        <v>10.65</v>
      </c>
      <c r="U74" s="8">
        <v>-0.14749999999999999</v>
      </c>
      <c r="V74" s="8">
        <v>0.25719999999999998</v>
      </c>
      <c r="W74" s="5">
        <v>28.45</v>
      </c>
      <c r="X74" s="6">
        <v>2.3377445079438121E-3</v>
      </c>
      <c r="Y74" s="4">
        <v>0</v>
      </c>
      <c r="Z74" s="6">
        <v>0</v>
      </c>
      <c r="AA74" s="5">
        <v>17952.05</v>
      </c>
      <c r="AB74" s="4">
        <v>17931</v>
      </c>
      <c r="AC74" s="5">
        <v>-21.05</v>
      </c>
      <c r="AD74" s="5">
        <v>-0.1173</v>
      </c>
      <c r="AE74" s="4">
        <v>1</v>
      </c>
      <c r="AF74" s="5">
        <v>-1.6667000000000001E-2</v>
      </c>
      <c r="AG74" s="5">
        <v>-24.042000000000002</v>
      </c>
      <c r="AH74" s="5">
        <v>-0.13389999999999999</v>
      </c>
      <c r="AI74" s="8">
        <v>-0.31269999999999998</v>
      </c>
      <c r="AJ74" s="8">
        <v>0.51659999999999995</v>
      </c>
      <c r="AK74" s="15">
        <v>33.158000000000001</v>
      </c>
      <c r="AL74" s="15">
        <v>0.33610000000000001</v>
      </c>
      <c r="AM74" s="5">
        <v>107.1019</v>
      </c>
      <c r="AN74" s="5">
        <v>107.1019</v>
      </c>
      <c r="AO74" s="4">
        <v>0</v>
      </c>
      <c r="AP74" s="4">
        <v>0</v>
      </c>
      <c r="AQ74" s="8">
        <v>8.0699999999999994E-2</v>
      </c>
      <c r="AR74" s="8">
        <v>0.36109999999999998</v>
      </c>
      <c r="AS74" s="8">
        <v>8.0699999999999994E-2</v>
      </c>
      <c r="AT74" s="5">
        <v>106.8293</v>
      </c>
      <c r="AU74" s="5">
        <v>8.0699999999999994E-2</v>
      </c>
      <c r="AV74" s="7" t="s">
        <v>90</v>
      </c>
    </row>
    <row r="75" spans="1:48" ht="18" customHeight="1" x14ac:dyDescent="0.25">
      <c r="A75" s="10">
        <v>37</v>
      </c>
      <c r="B75" s="10">
        <v>2</v>
      </c>
      <c r="C75" s="10">
        <v>37</v>
      </c>
      <c r="D75" s="88">
        <v>43851</v>
      </c>
      <c r="E75" s="88">
        <v>43852</v>
      </c>
      <c r="F75" s="88">
        <v>43860</v>
      </c>
      <c r="G75" s="11">
        <v>12169.85</v>
      </c>
      <c r="H75" s="11">
        <v>12106.9</v>
      </c>
      <c r="I75" s="12"/>
      <c r="J75" s="12"/>
      <c r="K75" s="92">
        <f>H75/$G$61-1</f>
        <v>-8.8132595961373239E-3</v>
      </c>
      <c r="L75" s="92"/>
      <c r="M75" s="12" t="s">
        <v>40</v>
      </c>
      <c r="N75" s="10">
        <v>12200</v>
      </c>
      <c r="O75" s="95">
        <f>IF(F75=F73,O73,MROUND(G75,100))</f>
        <v>12200</v>
      </c>
      <c r="P75" s="95">
        <f>O75-N75</f>
        <v>0</v>
      </c>
      <c r="Q75" s="12" t="s">
        <v>91</v>
      </c>
      <c r="R75" s="10">
        <v>65</v>
      </c>
      <c r="S75" s="11">
        <v>88.3</v>
      </c>
      <c r="T75" s="11">
        <v>117.05</v>
      </c>
      <c r="U75" s="13">
        <v>-0.28839999999999999</v>
      </c>
      <c r="V75" s="13">
        <v>0.41660000000000003</v>
      </c>
      <c r="W75" s="10">
        <v>0</v>
      </c>
      <c r="X75" s="14">
        <v>0</v>
      </c>
      <c r="Y75" s="11">
        <v>28.75</v>
      </c>
      <c r="Z75" s="14">
        <v>2.3623955923861022E-3</v>
      </c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 t="s">
        <v>90</v>
      </c>
    </row>
    <row r="76" spans="1:48" ht="18" hidden="1" customHeight="1" x14ac:dyDescent="0.25">
      <c r="A76" s="4">
        <v>38</v>
      </c>
      <c r="B76" s="4">
        <v>1</v>
      </c>
      <c r="C76" s="4">
        <v>38</v>
      </c>
      <c r="D76" s="87">
        <v>43852</v>
      </c>
      <c r="E76" s="87">
        <v>43854</v>
      </c>
      <c r="F76" s="87">
        <v>43860</v>
      </c>
      <c r="G76" s="5">
        <v>12106.9</v>
      </c>
      <c r="H76" s="5">
        <v>12248.25</v>
      </c>
      <c r="I76" s="5">
        <v>141.35</v>
      </c>
      <c r="J76" s="6">
        <v>1.167516044569626E-2</v>
      </c>
      <c r="K76" s="90"/>
      <c r="L76" s="90"/>
      <c r="M76" s="7" t="s">
        <v>28</v>
      </c>
      <c r="N76" s="4">
        <v>12100</v>
      </c>
      <c r="O76" s="94"/>
      <c r="P76" s="94"/>
      <c r="Q76" s="7" t="s">
        <v>89</v>
      </c>
      <c r="R76" s="4">
        <v>65</v>
      </c>
      <c r="S76" s="5">
        <v>113.45</v>
      </c>
      <c r="T76" s="5">
        <v>188.8</v>
      </c>
      <c r="U76" s="8">
        <v>-0.77680000000000005</v>
      </c>
      <c r="V76" s="8">
        <v>0.29780000000000001</v>
      </c>
      <c r="W76" s="5">
        <v>-75.349999999999994</v>
      </c>
      <c r="X76" s="6">
        <v>-6.2237236617135681E-3</v>
      </c>
      <c r="Y76" s="4">
        <v>0</v>
      </c>
      <c r="Z76" s="6">
        <v>0</v>
      </c>
      <c r="AA76" s="4">
        <v>17931</v>
      </c>
      <c r="AB76" s="5">
        <v>18357.2</v>
      </c>
      <c r="AC76" s="5">
        <v>426.2</v>
      </c>
      <c r="AD76" s="5">
        <v>2.3769</v>
      </c>
      <c r="AE76" s="4">
        <v>2</v>
      </c>
      <c r="AF76" s="5">
        <v>-3.3333000000000002E-2</v>
      </c>
      <c r="AG76" s="5">
        <v>420.22300000000001</v>
      </c>
      <c r="AH76" s="5">
        <v>2.3435999999999999</v>
      </c>
      <c r="AI76" s="8">
        <v>6.9500000000000006E-2</v>
      </c>
      <c r="AJ76" s="8">
        <v>2.59</v>
      </c>
      <c r="AK76" s="15">
        <v>263.57299999999998</v>
      </c>
      <c r="AL76" s="15">
        <v>1.0497000000000001</v>
      </c>
      <c r="AM76" s="5">
        <v>108.22620000000001</v>
      </c>
      <c r="AN76" s="5">
        <v>108.22620000000001</v>
      </c>
      <c r="AO76" s="4">
        <v>0</v>
      </c>
      <c r="AP76" s="4">
        <v>0</v>
      </c>
      <c r="AQ76" s="8">
        <v>1.1036999999999999</v>
      </c>
      <c r="AR76" s="8">
        <v>0.51600000000000001</v>
      </c>
      <c r="AS76" s="8">
        <v>0.51600000000000001</v>
      </c>
      <c r="AT76" s="5">
        <v>107.6546</v>
      </c>
      <c r="AU76" s="5">
        <v>0.51600000000000001</v>
      </c>
      <c r="AV76" s="7" t="s">
        <v>96</v>
      </c>
    </row>
    <row r="77" spans="1:48" ht="18" customHeight="1" x14ac:dyDescent="0.25">
      <c r="A77" s="10">
        <v>38</v>
      </c>
      <c r="B77" s="10">
        <v>2</v>
      </c>
      <c r="C77" s="10">
        <v>38</v>
      </c>
      <c r="D77" s="88">
        <v>43852</v>
      </c>
      <c r="E77" s="88">
        <v>43854</v>
      </c>
      <c r="F77" s="88">
        <v>43860</v>
      </c>
      <c r="G77" s="11">
        <v>12106.9</v>
      </c>
      <c r="H77" s="11">
        <v>12248.25</v>
      </c>
      <c r="I77" s="12"/>
      <c r="J77" s="12"/>
      <c r="K77" s="92">
        <f>H77/$G$61-1</f>
        <v>2.7590046297243376E-3</v>
      </c>
      <c r="L77" s="92"/>
      <c r="M77" s="12" t="s">
        <v>40</v>
      </c>
      <c r="N77" s="10">
        <v>12200</v>
      </c>
      <c r="O77" s="95">
        <f>IF(F77=F75,O75,MROUND(G77,100))</f>
        <v>12200</v>
      </c>
      <c r="P77" s="95">
        <f>O77-N77</f>
        <v>0</v>
      </c>
      <c r="Q77" s="12" t="s">
        <v>91</v>
      </c>
      <c r="R77" s="10">
        <v>65</v>
      </c>
      <c r="S77" s="11">
        <v>117.05</v>
      </c>
      <c r="T77" s="11">
        <v>35.75</v>
      </c>
      <c r="U77" s="13">
        <v>-0.70950000000000002</v>
      </c>
      <c r="V77" s="13">
        <v>0.1487</v>
      </c>
      <c r="W77" s="10">
        <v>0</v>
      </c>
      <c r="X77" s="14">
        <v>0</v>
      </c>
      <c r="Y77" s="11">
        <v>-81.3</v>
      </c>
      <c r="Z77" s="14">
        <v>-6.7151789475423107E-3</v>
      </c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 t="s">
        <v>96</v>
      </c>
    </row>
    <row r="78" spans="1:48" ht="18" hidden="1" customHeight="1" x14ac:dyDescent="0.25">
      <c r="A78" s="4">
        <v>39</v>
      </c>
      <c r="B78" s="4">
        <v>1</v>
      </c>
      <c r="C78" s="4">
        <v>39</v>
      </c>
      <c r="D78" s="87">
        <v>43854</v>
      </c>
      <c r="E78" s="87">
        <v>43857</v>
      </c>
      <c r="F78" s="87">
        <v>43860</v>
      </c>
      <c r="G78" s="5">
        <v>12248.25</v>
      </c>
      <c r="H78" s="4">
        <v>12119</v>
      </c>
      <c r="I78" s="5">
        <v>-129.25</v>
      </c>
      <c r="J78" s="6">
        <v>-1.055252791215072E-2</v>
      </c>
      <c r="K78" s="90"/>
      <c r="L78" s="90"/>
      <c r="M78" s="7" t="s">
        <v>28</v>
      </c>
      <c r="N78" s="4">
        <v>12200</v>
      </c>
      <c r="O78" s="94"/>
      <c r="P78" s="94"/>
      <c r="Q78" s="7" t="s">
        <v>89</v>
      </c>
      <c r="R78" s="4">
        <v>65</v>
      </c>
      <c r="S78" s="5">
        <v>108.05</v>
      </c>
      <c r="T78" s="5">
        <v>32.4</v>
      </c>
      <c r="U78" s="8">
        <v>0.30209999999999998</v>
      </c>
      <c r="V78" s="8">
        <v>0.63439999999999996</v>
      </c>
      <c r="W78" s="5">
        <v>75.650000000000006</v>
      </c>
      <c r="X78" s="6">
        <v>6.1763925458739009E-3</v>
      </c>
      <c r="Y78" s="4">
        <v>0</v>
      </c>
      <c r="Z78" s="6">
        <v>0</v>
      </c>
      <c r="AA78" s="5">
        <v>18357.2</v>
      </c>
      <c r="AB78" s="5">
        <v>18291.349999999999</v>
      </c>
      <c r="AC78" s="5">
        <v>-65.849999999999994</v>
      </c>
      <c r="AD78" s="5">
        <v>-0.35870000000000002</v>
      </c>
      <c r="AE78" s="4">
        <v>3</v>
      </c>
      <c r="AF78" s="5">
        <v>-0.05</v>
      </c>
      <c r="AG78" s="5">
        <v>-75.028599999999997</v>
      </c>
      <c r="AH78" s="5">
        <v>-0.40870000000000001</v>
      </c>
      <c r="AI78" s="8">
        <v>-0.5716</v>
      </c>
      <c r="AJ78" s="8">
        <v>0.70520000000000005</v>
      </c>
      <c r="AK78" s="15">
        <v>67.321399999999997</v>
      </c>
      <c r="AL78" s="15">
        <v>0.75349999999999995</v>
      </c>
      <c r="AM78" s="5">
        <v>109.0416</v>
      </c>
      <c r="AN78" s="5">
        <v>109.0416</v>
      </c>
      <c r="AO78" s="4">
        <v>0</v>
      </c>
      <c r="AP78" s="4">
        <v>0</v>
      </c>
      <c r="AQ78" s="8">
        <v>1.1755</v>
      </c>
      <c r="AR78" s="8">
        <v>0.66900000000000004</v>
      </c>
      <c r="AS78" s="8">
        <v>0.66900000000000004</v>
      </c>
      <c r="AT78" s="5">
        <v>108.9502</v>
      </c>
      <c r="AU78" s="5">
        <v>0.66900000000000004</v>
      </c>
      <c r="AV78" s="7" t="s">
        <v>93</v>
      </c>
    </row>
    <row r="79" spans="1:48" ht="18" customHeight="1" x14ac:dyDescent="0.25">
      <c r="A79" s="10">
        <v>39</v>
      </c>
      <c r="B79" s="10">
        <v>2</v>
      </c>
      <c r="C79" s="10">
        <v>39</v>
      </c>
      <c r="D79" s="88">
        <v>43854</v>
      </c>
      <c r="E79" s="88">
        <v>43857</v>
      </c>
      <c r="F79" s="88">
        <v>43860</v>
      </c>
      <c r="G79" s="11">
        <v>12248.25</v>
      </c>
      <c r="H79" s="10">
        <v>12119</v>
      </c>
      <c r="I79" s="12"/>
      <c r="J79" s="12"/>
      <c r="K79" s="92">
        <f>H79/$G$61-1</f>
        <v>-7.822637755791173E-3</v>
      </c>
      <c r="L79" s="92"/>
      <c r="M79" s="12" t="s">
        <v>40</v>
      </c>
      <c r="N79" s="10">
        <v>12200</v>
      </c>
      <c r="O79" s="95">
        <f>IF(F79=F77,O77,MROUND(G79,100))</f>
        <v>12200</v>
      </c>
      <c r="P79" s="95">
        <f>O79-N79</f>
        <v>0</v>
      </c>
      <c r="Q79" s="12" t="s">
        <v>91</v>
      </c>
      <c r="R79" s="10">
        <v>65</v>
      </c>
      <c r="S79" s="11">
        <v>35.75</v>
      </c>
      <c r="T79" s="11">
        <v>102.45</v>
      </c>
      <c r="U79" s="13">
        <v>0.16819999999999999</v>
      </c>
      <c r="V79" s="13">
        <v>0.60619999999999996</v>
      </c>
      <c r="W79" s="10">
        <v>0</v>
      </c>
      <c r="X79" s="14">
        <v>0</v>
      </c>
      <c r="Y79" s="11">
        <v>66.7</v>
      </c>
      <c r="Z79" s="14">
        <v>5.4456759128855142E-3</v>
      </c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 t="s">
        <v>93</v>
      </c>
    </row>
    <row r="80" spans="1:48" ht="18" hidden="1" customHeight="1" x14ac:dyDescent="0.25">
      <c r="A80" s="4">
        <v>40</v>
      </c>
      <c r="B80" s="4">
        <v>1</v>
      </c>
      <c r="C80" s="4">
        <v>40</v>
      </c>
      <c r="D80" s="87">
        <v>43857</v>
      </c>
      <c r="E80" s="87">
        <v>43859</v>
      </c>
      <c r="F80" s="87">
        <v>43860</v>
      </c>
      <c r="G80" s="4">
        <v>12119</v>
      </c>
      <c r="H80" s="5">
        <v>12129.5</v>
      </c>
      <c r="I80" s="5">
        <v>10.5</v>
      </c>
      <c r="J80" s="6">
        <v>8.6640811948180546E-4</v>
      </c>
      <c r="K80" s="90"/>
      <c r="L80" s="90"/>
      <c r="M80" s="7" t="s">
        <v>28</v>
      </c>
      <c r="N80" s="4">
        <v>12100</v>
      </c>
      <c r="O80" s="94"/>
      <c r="P80" s="94"/>
      <c r="Q80" s="7" t="s">
        <v>89</v>
      </c>
      <c r="R80" s="4">
        <v>65</v>
      </c>
      <c r="S80" s="5">
        <v>79.05</v>
      </c>
      <c r="T80" s="5">
        <v>46.85</v>
      </c>
      <c r="U80" s="8">
        <v>-0.1535</v>
      </c>
      <c r="V80" s="8">
        <v>0.38200000000000001</v>
      </c>
      <c r="W80" s="5">
        <v>32.200000000000003</v>
      </c>
      <c r="X80" s="6">
        <v>2.656984899744203E-3</v>
      </c>
      <c r="Y80" s="4">
        <v>0</v>
      </c>
      <c r="Z80" s="6">
        <v>0</v>
      </c>
      <c r="AA80" s="5">
        <v>18291.349999999999</v>
      </c>
      <c r="AB80" s="5">
        <v>18273.099999999999</v>
      </c>
      <c r="AC80" s="5">
        <v>-18.25</v>
      </c>
      <c r="AD80" s="5">
        <v>-9.98E-2</v>
      </c>
      <c r="AE80" s="4">
        <v>2</v>
      </c>
      <c r="AF80" s="5">
        <v>-3.3333000000000002E-2</v>
      </c>
      <c r="AG80" s="5">
        <v>-24.347100000000001</v>
      </c>
      <c r="AH80" s="5">
        <v>-0.1331</v>
      </c>
      <c r="AI80" s="8">
        <v>-0.6472</v>
      </c>
      <c r="AJ80" s="8">
        <v>0.63859999999999995</v>
      </c>
      <c r="AK80" s="9">
        <v>-6.8471000000000002</v>
      </c>
      <c r="AL80" s="9">
        <v>1.1299999999999999E-2</v>
      </c>
      <c r="AM80" s="5">
        <v>109.054</v>
      </c>
      <c r="AN80" s="5">
        <v>109.054</v>
      </c>
      <c r="AO80" s="4">
        <v>0</v>
      </c>
      <c r="AP80" s="4">
        <v>0</v>
      </c>
      <c r="AQ80" s="8">
        <v>3.9899999999999998E-2</v>
      </c>
      <c r="AR80" s="8">
        <v>0.31690000000000002</v>
      </c>
      <c r="AS80" s="8">
        <v>1.1299999999999999E-2</v>
      </c>
      <c r="AT80" s="5">
        <v>109.054</v>
      </c>
      <c r="AU80" s="5">
        <v>1.1299999999999999E-2</v>
      </c>
      <c r="AV80" s="7" t="s">
        <v>90</v>
      </c>
    </row>
    <row r="81" spans="1:48" ht="18" customHeight="1" x14ac:dyDescent="0.25">
      <c r="A81" s="10">
        <v>40</v>
      </c>
      <c r="B81" s="10">
        <v>2</v>
      </c>
      <c r="C81" s="10">
        <v>40</v>
      </c>
      <c r="D81" s="88">
        <v>43857</v>
      </c>
      <c r="E81" s="88">
        <v>43859</v>
      </c>
      <c r="F81" s="88">
        <v>43860</v>
      </c>
      <c r="G81" s="10">
        <v>12119</v>
      </c>
      <c r="H81" s="11">
        <v>12129.5</v>
      </c>
      <c r="I81" s="12"/>
      <c r="J81" s="12"/>
      <c r="K81" s="92">
        <f>H81/$G$61-1</f>
        <v>-6.9630072331767767E-3</v>
      </c>
      <c r="L81" s="92"/>
      <c r="M81" s="12" t="s">
        <v>40</v>
      </c>
      <c r="N81" s="10">
        <v>12200</v>
      </c>
      <c r="O81" s="95">
        <f>IF(F81=F79,O79,MROUND(G81,100))</f>
        <v>12200</v>
      </c>
      <c r="P81" s="95">
        <f>O81-N81</f>
        <v>0</v>
      </c>
      <c r="Q81" s="12" t="s">
        <v>91</v>
      </c>
      <c r="R81" s="10">
        <v>65</v>
      </c>
      <c r="S81" s="11">
        <v>102.45</v>
      </c>
      <c r="T81" s="11">
        <v>87.75</v>
      </c>
      <c r="U81" s="13">
        <v>-0.44519999999999998</v>
      </c>
      <c r="V81" s="13">
        <v>0.58209999999999995</v>
      </c>
      <c r="W81" s="10">
        <v>0</v>
      </c>
      <c r="X81" s="14">
        <v>0</v>
      </c>
      <c r="Y81" s="11">
        <v>-14.7</v>
      </c>
      <c r="Z81" s="14">
        <v>-1.212971367274528E-3</v>
      </c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 t="s">
        <v>90</v>
      </c>
    </row>
    <row r="82" spans="1:48" ht="18" hidden="1" customHeight="1" x14ac:dyDescent="0.25">
      <c r="A82" s="4">
        <v>41</v>
      </c>
      <c r="B82" s="4">
        <v>1</v>
      </c>
      <c r="C82" s="4">
        <v>41</v>
      </c>
      <c r="D82" s="87">
        <v>43859</v>
      </c>
      <c r="E82" s="87">
        <v>43861</v>
      </c>
      <c r="F82" s="87">
        <v>43867</v>
      </c>
      <c r="G82" s="5">
        <v>12129.5</v>
      </c>
      <c r="H82" s="5">
        <v>11962.1</v>
      </c>
      <c r="I82" s="5">
        <v>-167.4</v>
      </c>
      <c r="J82" s="6">
        <v>-1.380106352281628E-2</v>
      </c>
      <c r="K82" s="90"/>
      <c r="L82" s="90"/>
      <c r="M82" s="7" t="s">
        <v>28</v>
      </c>
      <c r="N82" s="4">
        <v>12100</v>
      </c>
      <c r="O82" s="94"/>
      <c r="P82" s="94"/>
      <c r="Q82" s="7" t="s">
        <v>89</v>
      </c>
      <c r="R82" s="4">
        <v>65</v>
      </c>
      <c r="S82" s="5">
        <v>167.2</v>
      </c>
      <c r="T82" s="5">
        <v>97.1</v>
      </c>
      <c r="U82" s="8">
        <v>1.8100000000000002E-2</v>
      </c>
      <c r="V82" s="8">
        <v>0.6361</v>
      </c>
      <c r="W82" s="5">
        <v>70.099999999999994</v>
      </c>
      <c r="X82" s="6">
        <v>5.7792984047157752E-3</v>
      </c>
      <c r="Y82" s="4">
        <v>0</v>
      </c>
      <c r="Z82" s="6">
        <v>0</v>
      </c>
      <c r="AA82" s="5">
        <v>18273.099999999999</v>
      </c>
      <c r="AB82" s="5">
        <v>18010.2</v>
      </c>
      <c r="AC82" s="5">
        <v>-262.89999999999998</v>
      </c>
      <c r="AD82" s="5">
        <v>-1.4387000000000001</v>
      </c>
      <c r="AE82" s="4">
        <v>2</v>
      </c>
      <c r="AF82" s="5">
        <v>-3.3333000000000002E-2</v>
      </c>
      <c r="AG82" s="5">
        <v>-268.99099999999999</v>
      </c>
      <c r="AH82" s="5">
        <v>-1.4721</v>
      </c>
      <c r="AI82" s="8">
        <v>-1.5564</v>
      </c>
      <c r="AJ82" s="8">
        <v>0.19670000000000001</v>
      </c>
      <c r="AK82" s="9">
        <v>-119.541</v>
      </c>
      <c r="AL82" s="9">
        <v>-0.24</v>
      </c>
      <c r="AM82" s="5">
        <v>108.79219999999999</v>
      </c>
      <c r="AN82" s="5">
        <v>109.054</v>
      </c>
      <c r="AO82" s="5">
        <v>-0.26169999999999999</v>
      </c>
      <c r="AP82" s="5">
        <v>-0.24</v>
      </c>
      <c r="AQ82" s="8">
        <v>0.19539999999999999</v>
      </c>
      <c r="AR82" s="8">
        <v>-0.16020000000000001</v>
      </c>
      <c r="AS82" s="8">
        <v>-0.24</v>
      </c>
      <c r="AT82" s="5">
        <v>108.79219999999999</v>
      </c>
      <c r="AU82" s="5">
        <v>-0.24</v>
      </c>
      <c r="AV82" s="7" t="s">
        <v>93</v>
      </c>
    </row>
    <row r="83" spans="1:48" ht="18" customHeight="1" x14ac:dyDescent="0.25">
      <c r="A83" s="10">
        <v>41</v>
      </c>
      <c r="B83" s="10">
        <v>2</v>
      </c>
      <c r="C83" s="10">
        <v>41</v>
      </c>
      <c r="D83" s="88">
        <v>43859</v>
      </c>
      <c r="E83" s="88">
        <v>43861</v>
      </c>
      <c r="F83" s="88">
        <v>43888</v>
      </c>
      <c r="G83" s="11">
        <v>12129.5</v>
      </c>
      <c r="H83" s="11">
        <v>11962.1</v>
      </c>
      <c r="I83" s="12"/>
      <c r="J83" s="12"/>
      <c r="K83" s="92">
        <f>H83/$G$83-1</f>
        <v>-1.3801063522816293E-2</v>
      </c>
      <c r="L83" s="92"/>
      <c r="M83" s="12" t="s">
        <v>40</v>
      </c>
      <c r="N83" s="10">
        <v>12100</v>
      </c>
      <c r="O83" s="95">
        <f>IF(F83=F81,O81,MROUND(G83,100))</f>
        <v>12100</v>
      </c>
      <c r="P83" s="95">
        <f>O83-N83</f>
        <v>0</v>
      </c>
      <c r="Q83" s="12" t="s">
        <v>91</v>
      </c>
      <c r="R83" s="10">
        <v>65</v>
      </c>
      <c r="S83" s="11">
        <v>192.35</v>
      </c>
      <c r="T83" s="11">
        <v>271.7</v>
      </c>
      <c r="U83" s="13">
        <v>-1.9400000000000001E-2</v>
      </c>
      <c r="V83" s="13">
        <v>0.7601</v>
      </c>
      <c r="W83" s="10">
        <v>0</v>
      </c>
      <c r="X83" s="14">
        <v>0</v>
      </c>
      <c r="Y83" s="11">
        <v>79.349999999999994</v>
      </c>
      <c r="Z83" s="14">
        <v>6.5419019745249184E-3</v>
      </c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 t="s">
        <v>93</v>
      </c>
    </row>
    <row r="84" spans="1:48" ht="18" hidden="1" customHeight="1" x14ac:dyDescent="0.25">
      <c r="A84" s="4">
        <v>42</v>
      </c>
      <c r="B84" s="4">
        <v>1</v>
      </c>
      <c r="C84" s="4">
        <v>42</v>
      </c>
      <c r="D84" s="87">
        <v>43861</v>
      </c>
      <c r="E84" s="87">
        <v>43862</v>
      </c>
      <c r="F84" s="87">
        <v>43867</v>
      </c>
      <c r="G84" s="5">
        <v>11962.1</v>
      </c>
      <c r="H84" s="5">
        <v>11661.85</v>
      </c>
      <c r="I84" s="5">
        <v>-300.25</v>
      </c>
      <c r="J84" s="6">
        <v>-2.5100107840596551E-2</v>
      </c>
      <c r="K84" s="90"/>
      <c r="L84" s="90"/>
      <c r="M84" s="7" t="s">
        <v>28</v>
      </c>
      <c r="N84" s="4">
        <v>12000</v>
      </c>
      <c r="O84" s="94"/>
      <c r="P84" s="94"/>
      <c r="Q84" s="7" t="s">
        <v>89</v>
      </c>
      <c r="R84" s="4">
        <v>65</v>
      </c>
      <c r="S84" s="5">
        <v>137.15</v>
      </c>
      <c r="T84" s="5">
        <v>14.75</v>
      </c>
      <c r="U84" s="8">
        <v>-9.0700000000000003E-2</v>
      </c>
      <c r="V84" s="8">
        <v>1.0528999999999999</v>
      </c>
      <c r="W84" s="5">
        <v>122.4</v>
      </c>
      <c r="X84" s="6">
        <v>1.0232317068073329E-2</v>
      </c>
      <c r="Y84" s="4">
        <v>0</v>
      </c>
      <c r="Z84" s="6">
        <v>0</v>
      </c>
      <c r="AA84" s="5">
        <v>18010.2</v>
      </c>
      <c r="AB84" s="5">
        <v>17520.55</v>
      </c>
      <c r="AC84" s="5">
        <v>-489.65</v>
      </c>
      <c r="AD84" s="5">
        <v>-2.7187000000000001</v>
      </c>
      <c r="AE84" s="4">
        <v>1</v>
      </c>
      <c r="AF84" s="5">
        <v>-1.6667000000000001E-2</v>
      </c>
      <c r="AG84" s="5">
        <v>-492.65170000000001</v>
      </c>
      <c r="AH84" s="5">
        <v>-2.7353999999999998</v>
      </c>
      <c r="AI84" s="8">
        <v>-2.9897999999999998</v>
      </c>
      <c r="AJ84" s="8">
        <v>0.66259999999999997</v>
      </c>
      <c r="AK84" s="9">
        <v>-158.2517</v>
      </c>
      <c r="AL84" s="9">
        <v>6.0100000000000001E-2</v>
      </c>
      <c r="AM84" s="5">
        <v>108.85760000000001</v>
      </c>
      <c r="AN84" s="5">
        <v>109.054</v>
      </c>
      <c r="AO84" s="5">
        <v>-0.1963</v>
      </c>
      <c r="AP84" s="5">
        <v>-0.18</v>
      </c>
      <c r="AQ84" s="8">
        <v>0.43309999999999998</v>
      </c>
      <c r="AR84" s="8">
        <v>9.9900000000000003E-2</v>
      </c>
      <c r="AS84" s="8">
        <v>6.0100000000000001E-2</v>
      </c>
      <c r="AT84" s="5">
        <v>108.85760000000001</v>
      </c>
      <c r="AU84" s="5">
        <v>-0.18</v>
      </c>
      <c r="AV84" s="7" t="s">
        <v>98</v>
      </c>
    </row>
    <row r="85" spans="1:48" ht="18" customHeight="1" x14ac:dyDescent="0.25">
      <c r="A85" s="100">
        <v>42</v>
      </c>
      <c r="B85" s="100">
        <v>2</v>
      </c>
      <c r="C85" s="100">
        <v>42</v>
      </c>
      <c r="D85" s="101">
        <v>43861</v>
      </c>
      <c r="E85" s="101">
        <v>43862</v>
      </c>
      <c r="F85" s="101">
        <v>43888</v>
      </c>
      <c r="G85" s="102">
        <v>11962.1</v>
      </c>
      <c r="H85" s="102">
        <v>11661.85</v>
      </c>
      <c r="I85" s="12"/>
      <c r="J85" s="12"/>
      <c r="K85" s="103">
        <f>H85/$G$83-1</f>
        <v>-3.8554763180675189E-2</v>
      </c>
      <c r="L85" s="92"/>
      <c r="M85" s="12" t="s">
        <v>40</v>
      </c>
      <c r="N85" s="10">
        <v>12100</v>
      </c>
      <c r="O85" s="95">
        <f>IF(F85=F83,O83,MROUND(G85,100))</f>
        <v>12100</v>
      </c>
      <c r="P85" s="95">
        <f>O85-N85</f>
        <v>0</v>
      </c>
      <c r="Q85" s="12" t="s">
        <v>91</v>
      </c>
      <c r="R85" s="10">
        <v>65</v>
      </c>
      <c r="S85" s="11">
        <v>271.7</v>
      </c>
      <c r="T85" s="11">
        <v>483.7</v>
      </c>
      <c r="U85" s="13">
        <v>-0.13880000000000001</v>
      </c>
      <c r="V85" s="13">
        <v>2.0367999999999999</v>
      </c>
      <c r="W85" s="10">
        <v>0</v>
      </c>
      <c r="X85" s="14">
        <v>0</v>
      </c>
      <c r="Y85" s="10">
        <v>212</v>
      </c>
      <c r="Z85" s="14">
        <v>1.7722640673460341E-2</v>
      </c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 t="s">
        <v>98</v>
      </c>
    </row>
    <row r="86" spans="1:48" ht="18" hidden="1" customHeight="1" x14ac:dyDescent="0.25">
      <c r="A86" s="4">
        <v>43</v>
      </c>
      <c r="B86" s="4">
        <v>1</v>
      </c>
      <c r="C86" s="4">
        <v>43</v>
      </c>
      <c r="D86" s="87">
        <v>43862</v>
      </c>
      <c r="E86" s="87">
        <v>43865</v>
      </c>
      <c r="F86" s="87">
        <v>43867</v>
      </c>
      <c r="G86" s="5">
        <v>11661.85</v>
      </c>
      <c r="H86" s="5">
        <v>11979.65</v>
      </c>
      <c r="I86" s="5">
        <v>317.8</v>
      </c>
      <c r="J86" s="6">
        <v>2.725125087357495E-2</v>
      </c>
      <c r="K86" s="90"/>
      <c r="L86" s="90"/>
      <c r="M86" s="7" t="s">
        <v>28</v>
      </c>
      <c r="N86" s="4">
        <v>11700</v>
      </c>
      <c r="O86" s="94"/>
      <c r="P86" s="94"/>
      <c r="Q86" s="7" t="s">
        <v>89</v>
      </c>
      <c r="R86" s="4">
        <v>65</v>
      </c>
      <c r="S86" s="5">
        <v>75.5</v>
      </c>
      <c r="T86" s="5">
        <v>256.5</v>
      </c>
      <c r="U86" s="8">
        <v>-1.6455</v>
      </c>
      <c r="V86" s="8">
        <v>0.24610000000000001</v>
      </c>
      <c r="W86" s="4">
        <v>-181</v>
      </c>
      <c r="X86" s="6">
        <v>-1.5520693543477239E-2</v>
      </c>
      <c r="Y86" s="4">
        <v>0</v>
      </c>
      <c r="Z86" s="6">
        <v>0</v>
      </c>
      <c r="AA86" s="5">
        <v>17520.55</v>
      </c>
      <c r="AB86" s="5">
        <v>17910.099999999999</v>
      </c>
      <c r="AC86" s="5">
        <v>389.55</v>
      </c>
      <c r="AD86" s="5">
        <v>2.2233999999999998</v>
      </c>
      <c r="AE86" s="4">
        <v>3</v>
      </c>
      <c r="AF86" s="5">
        <v>-0.05</v>
      </c>
      <c r="AG86" s="5">
        <v>380.78969999999998</v>
      </c>
      <c r="AH86" s="5">
        <v>2.1734</v>
      </c>
      <c r="AI86" s="8">
        <v>-0.6966</v>
      </c>
      <c r="AJ86" s="8">
        <v>2.3908</v>
      </c>
      <c r="AK86" s="15">
        <v>44.889699999999998</v>
      </c>
      <c r="AL86" s="15">
        <v>-0.70689999999999997</v>
      </c>
      <c r="AM86" s="5">
        <v>108.0881</v>
      </c>
      <c r="AN86" s="5">
        <v>109.054</v>
      </c>
      <c r="AO86" s="5">
        <v>-0.96589999999999998</v>
      </c>
      <c r="AP86" s="5">
        <v>-0.88570000000000004</v>
      </c>
      <c r="AQ86" s="8">
        <v>-0.60829999999999995</v>
      </c>
      <c r="AR86" s="8">
        <v>-0.27989999999999998</v>
      </c>
      <c r="AS86" s="8">
        <v>-0.70689999999999997</v>
      </c>
      <c r="AT86" s="5">
        <v>108.0881</v>
      </c>
      <c r="AU86" s="5">
        <v>-0.88570000000000004</v>
      </c>
      <c r="AV86" s="7" t="s">
        <v>96</v>
      </c>
    </row>
    <row r="87" spans="1:48" ht="18" customHeight="1" x14ac:dyDescent="0.25">
      <c r="A87" s="10">
        <v>43</v>
      </c>
      <c r="B87" s="10">
        <v>2</v>
      </c>
      <c r="C87" s="10">
        <v>43</v>
      </c>
      <c r="D87" s="88">
        <v>43862</v>
      </c>
      <c r="E87" s="88">
        <v>43865</v>
      </c>
      <c r="F87" s="88">
        <v>43888</v>
      </c>
      <c r="G87" s="11">
        <v>11661.85</v>
      </c>
      <c r="H87" s="11">
        <v>11979.65</v>
      </c>
      <c r="I87" s="12"/>
      <c r="J87" s="12"/>
      <c r="K87" s="92">
        <f>H87/$G$87-1</f>
        <v>2.7251250873574939E-2</v>
      </c>
      <c r="L87" s="92"/>
      <c r="M87" s="12" t="s">
        <v>40</v>
      </c>
      <c r="N87" s="10">
        <v>11700</v>
      </c>
      <c r="O87" s="95">
        <f>N87</f>
        <v>11700</v>
      </c>
      <c r="P87" s="95">
        <f>O87-N87</f>
        <v>0</v>
      </c>
      <c r="Q87" s="12" t="s">
        <v>91</v>
      </c>
      <c r="R87" s="10">
        <v>65</v>
      </c>
      <c r="S87" s="11">
        <v>223.15</v>
      </c>
      <c r="T87" s="11">
        <v>68.25</v>
      </c>
      <c r="U87" s="13">
        <v>-1.3535999999999999</v>
      </c>
      <c r="V87" s="13">
        <v>0.1706</v>
      </c>
      <c r="W87" s="10">
        <v>0</v>
      </c>
      <c r="X87" s="14">
        <v>0</v>
      </c>
      <c r="Y87" s="11">
        <v>-154.9</v>
      </c>
      <c r="Z87" s="14">
        <v>-1.328262668444543E-2</v>
      </c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 t="s">
        <v>96</v>
      </c>
    </row>
    <row r="88" spans="1:48" ht="18" hidden="1" customHeight="1" x14ac:dyDescent="0.25">
      <c r="A88" s="4">
        <v>44</v>
      </c>
      <c r="B88" s="4">
        <v>1</v>
      </c>
      <c r="C88" s="4">
        <v>44</v>
      </c>
      <c r="D88" s="87">
        <v>43865</v>
      </c>
      <c r="E88" s="87">
        <v>43866</v>
      </c>
      <c r="F88" s="87">
        <v>43867</v>
      </c>
      <c r="G88" s="5">
        <v>11979.65</v>
      </c>
      <c r="H88" s="5">
        <v>12089.15</v>
      </c>
      <c r="I88" s="5">
        <v>109.5</v>
      </c>
      <c r="J88" s="6">
        <v>9.1405007658821417E-3</v>
      </c>
      <c r="K88" s="90"/>
      <c r="L88" s="90"/>
      <c r="M88" s="7" t="s">
        <v>28</v>
      </c>
      <c r="N88" s="4">
        <v>12000</v>
      </c>
      <c r="O88" s="94"/>
      <c r="P88" s="94"/>
      <c r="Q88" s="7" t="s">
        <v>89</v>
      </c>
      <c r="R88" s="4">
        <v>65</v>
      </c>
      <c r="S88" s="5">
        <v>32.85</v>
      </c>
      <c r="T88" s="5">
        <v>93.9</v>
      </c>
      <c r="U88" s="8">
        <v>-0.61480000000000001</v>
      </c>
      <c r="V88" s="8">
        <v>0.1023</v>
      </c>
      <c r="W88" s="5">
        <v>-61.05</v>
      </c>
      <c r="X88" s="6">
        <v>-5.0961422078274407E-3</v>
      </c>
      <c r="Y88" s="4">
        <v>0</v>
      </c>
      <c r="Z88" s="6">
        <v>0</v>
      </c>
      <c r="AA88" s="5">
        <v>17910.099999999999</v>
      </c>
      <c r="AB88" s="5">
        <v>18115.7</v>
      </c>
      <c r="AC88" s="5">
        <v>205.6</v>
      </c>
      <c r="AD88" s="5">
        <v>1.1479999999999999</v>
      </c>
      <c r="AE88" s="4">
        <v>1</v>
      </c>
      <c r="AF88" s="5">
        <v>-1.6667000000000001E-2</v>
      </c>
      <c r="AG88" s="5">
        <v>202.61500000000001</v>
      </c>
      <c r="AH88" s="5">
        <v>1.1313</v>
      </c>
      <c r="AI88" s="8">
        <v>0.33639999999999998</v>
      </c>
      <c r="AJ88" s="8">
        <v>1.5548</v>
      </c>
      <c r="AK88" s="15">
        <v>115.265</v>
      </c>
      <c r="AL88" s="15">
        <v>0.40210000000000001</v>
      </c>
      <c r="AM88" s="5">
        <v>108.5227</v>
      </c>
      <c r="AN88" s="5">
        <v>109.054</v>
      </c>
      <c r="AO88" s="5">
        <v>-0.53120000000000001</v>
      </c>
      <c r="AP88" s="5">
        <v>-0.48709999999999998</v>
      </c>
      <c r="AQ88" s="8">
        <v>0.69499999999999995</v>
      </c>
      <c r="AR88" s="8">
        <v>0.47170000000000001</v>
      </c>
      <c r="AS88" s="8">
        <v>0.40210000000000001</v>
      </c>
      <c r="AT88" s="5">
        <v>108.5227</v>
      </c>
      <c r="AU88" s="5">
        <v>-0.48709999999999998</v>
      </c>
      <c r="AV88" s="7" t="s">
        <v>90</v>
      </c>
    </row>
    <row r="89" spans="1:48" ht="18" customHeight="1" x14ac:dyDescent="0.25">
      <c r="A89" s="10">
        <v>44</v>
      </c>
      <c r="B89" s="10">
        <v>2</v>
      </c>
      <c r="C89" s="10">
        <v>44</v>
      </c>
      <c r="D89" s="88">
        <v>43865</v>
      </c>
      <c r="E89" s="88">
        <v>43866</v>
      </c>
      <c r="F89" s="88">
        <v>43888</v>
      </c>
      <c r="G89" s="11">
        <v>11979.65</v>
      </c>
      <c r="H89" s="11">
        <v>12089.15</v>
      </c>
      <c r="I89" s="12"/>
      <c r="J89" s="12"/>
      <c r="K89" s="98">
        <f>H89/$G$87-1</f>
        <v>3.6640841718938111E-2</v>
      </c>
      <c r="L89" s="92"/>
      <c r="M89" s="12" t="s">
        <v>40</v>
      </c>
      <c r="N89" s="10">
        <v>11700</v>
      </c>
      <c r="O89" s="95">
        <f>IF(F89=F87,O87,MROUND(G89,100))</f>
        <v>11700</v>
      </c>
      <c r="P89" s="95">
        <f>O89-N89</f>
        <v>0</v>
      </c>
      <c r="Q89" s="12" t="s">
        <v>91</v>
      </c>
      <c r="R89" s="10">
        <v>65</v>
      </c>
      <c r="S89" s="11">
        <v>68.25</v>
      </c>
      <c r="T89" s="11">
        <v>41.95</v>
      </c>
      <c r="U89" s="13">
        <v>-0.245</v>
      </c>
      <c r="V89" s="13">
        <v>3.3000000000000002E-2</v>
      </c>
      <c r="W89" s="10">
        <v>0</v>
      </c>
      <c r="X89" s="14">
        <v>0</v>
      </c>
      <c r="Y89" s="11">
        <v>-26.3</v>
      </c>
      <c r="Z89" s="14">
        <v>-2.1953896816684958E-3</v>
      </c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 t="s">
        <v>90</v>
      </c>
    </row>
    <row r="90" spans="1:48" ht="18" hidden="1" customHeight="1" x14ac:dyDescent="0.25">
      <c r="A90" s="4">
        <v>45</v>
      </c>
      <c r="B90" s="4">
        <v>1</v>
      </c>
      <c r="C90" s="4">
        <v>45</v>
      </c>
      <c r="D90" s="87">
        <v>43866</v>
      </c>
      <c r="E90" s="87">
        <v>43873</v>
      </c>
      <c r="F90" s="87">
        <v>43874</v>
      </c>
      <c r="G90" s="5">
        <v>12089.15</v>
      </c>
      <c r="H90" s="5">
        <v>12201.2</v>
      </c>
      <c r="I90" s="5">
        <v>112.05</v>
      </c>
      <c r="J90" s="6">
        <v>9.2686417159188201E-3</v>
      </c>
      <c r="K90" s="90"/>
      <c r="L90" s="90"/>
      <c r="M90" s="7" t="s">
        <v>28</v>
      </c>
      <c r="N90" s="4">
        <v>12100</v>
      </c>
      <c r="O90" s="94"/>
      <c r="P90" s="94"/>
      <c r="Q90" s="7" t="s">
        <v>89</v>
      </c>
      <c r="R90" s="4">
        <v>65</v>
      </c>
      <c r="S90" s="5">
        <v>72.95</v>
      </c>
      <c r="T90" s="5">
        <v>118.4</v>
      </c>
      <c r="U90" s="8">
        <v>-0.51910000000000001</v>
      </c>
      <c r="V90" s="8">
        <v>0.42680000000000001</v>
      </c>
      <c r="W90" s="5">
        <v>-45.45</v>
      </c>
      <c r="X90" s="6">
        <v>-3.7595695313566301E-3</v>
      </c>
      <c r="Y90" s="4">
        <v>0</v>
      </c>
      <c r="Z90" s="6">
        <v>0</v>
      </c>
      <c r="AA90" s="5">
        <v>18115.7</v>
      </c>
      <c r="AB90" s="5">
        <v>18169.349999999999</v>
      </c>
      <c r="AC90" s="5">
        <v>53.65</v>
      </c>
      <c r="AD90" s="5">
        <v>0.29620000000000002</v>
      </c>
      <c r="AE90" s="4">
        <v>7</v>
      </c>
      <c r="AF90" s="5">
        <v>-0.11666700000000001</v>
      </c>
      <c r="AG90" s="5">
        <v>32.515000000000001</v>
      </c>
      <c r="AH90" s="5">
        <v>0.17949999999999999</v>
      </c>
      <c r="AI90" s="8">
        <v>-0.1497</v>
      </c>
      <c r="AJ90" s="8">
        <v>1.4550000000000001</v>
      </c>
      <c r="AK90" s="9">
        <v>-41.384999999999998</v>
      </c>
      <c r="AL90" s="9">
        <v>-0.43180000000000002</v>
      </c>
      <c r="AM90" s="5">
        <v>108.05410000000001</v>
      </c>
      <c r="AN90" s="5">
        <v>109.054</v>
      </c>
      <c r="AO90" s="5">
        <v>-0.99980000000000002</v>
      </c>
      <c r="AP90" s="5">
        <v>-0.91679999999999995</v>
      </c>
      <c r="AQ90" s="8">
        <v>0.67330000000000001</v>
      </c>
      <c r="AR90" s="8">
        <v>0.32179999999999997</v>
      </c>
      <c r="AS90" s="8">
        <v>-0.43180000000000002</v>
      </c>
      <c r="AT90" s="5">
        <v>108.05410000000001</v>
      </c>
      <c r="AU90" s="5">
        <v>-0.91679999999999995</v>
      </c>
      <c r="AV90" s="7" t="s">
        <v>90</v>
      </c>
    </row>
    <row r="91" spans="1:48" ht="18" customHeight="1" x14ac:dyDescent="0.25">
      <c r="A91" s="10">
        <v>45</v>
      </c>
      <c r="B91" s="10">
        <v>2</v>
      </c>
      <c r="C91" s="10">
        <v>45</v>
      </c>
      <c r="D91" s="88">
        <v>43866</v>
      </c>
      <c r="E91" s="88">
        <v>43873</v>
      </c>
      <c r="F91" s="88">
        <v>43888</v>
      </c>
      <c r="G91" s="11">
        <v>12089.15</v>
      </c>
      <c r="H91" s="11">
        <v>12201.2</v>
      </c>
      <c r="I91" s="12"/>
      <c r="J91" s="12"/>
      <c r="K91" s="92">
        <f>H91/$G$87-1</f>
        <v>4.6249094268919544E-2</v>
      </c>
      <c r="L91" s="92"/>
      <c r="M91" s="12" t="s">
        <v>40</v>
      </c>
      <c r="N91" s="10">
        <v>11700</v>
      </c>
      <c r="O91" s="95">
        <f>IF(F91=F89,O89,MROUND(G91,100))</f>
        <v>11700</v>
      </c>
      <c r="P91" s="95">
        <f>O91-N91</f>
        <v>0</v>
      </c>
      <c r="Q91" s="12" t="s">
        <v>91</v>
      </c>
      <c r="R91" s="10">
        <v>65</v>
      </c>
      <c r="S91" s="11">
        <v>41.95</v>
      </c>
      <c r="T91" s="11">
        <v>13.5</v>
      </c>
      <c r="U91" s="13">
        <v>-0.2626</v>
      </c>
      <c r="V91" s="13">
        <v>4.4699999999999997E-2</v>
      </c>
      <c r="W91" s="10">
        <v>0</v>
      </c>
      <c r="X91" s="14">
        <v>0</v>
      </c>
      <c r="Y91" s="11">
        <v>-28.45</v>
      </c>
      <c r="Z91" s="14">
        <v>-2.353349904666581E-3</v>
      </c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 t="s">
        <v>90</v>
      </c>
    </row>
    <row r="92" spans="1:48" ht="18" hidden="1" customHeight="1" x14ac:dyDescent="0.25">
      <c r="A92" s="4">
        <v>46</v>
      </c>
      <c r="B92" s="4">
        <v>1</v>
      </c>
      <c r="C92" s="4">
        <v>46</v>
      </c>
      <c r="D92" s="87">
        <v>43873</v>
      </c>
      <c r="E92" s="87">
        <v>43878</v>
      </c>
      <c r="F92" s="87">
        <v>43881</v>
      </c>
      <c r="G92" s="5">
        <v>12201.2</v>
      </c>
      <c r="H92" s="5">
        <v>12045.8</v>
      </c>
      <c r="I92" s="5">
        <v>-155.4</v>
      </c>
      <c r="J92" s="6">
        <v>-1.2736452152247319E-2</v>
      </c>
      <c r="K92" s="90"/>
      <c r="L92" s="90"/>
      <c r="M92" s="7" t="s">
        <v>28</v>
      </c>
      <c r="N92" s="4">
        <v>12200</v>
      </c>
      <c r="O92" s="94"/>
      <c r="P92" s="94"/>
      <c r="Q92" s="7" t="s">
        <v>89</v>
      </c>
      <c r="R92" s="4">
        <v>65</v>
      </c>
      <c r="S92" s="5">
        <v>85.9</v>
      </c>
      <c r="T92" s="4">
        <v>19</v>
      </c>
      <c r="U92" s="8">
        <v>-8.6900000000000005E-2</v>
      </c>
      <c r="V92" s="8">
        <v>0.57740000000000002</v>
      </c>
      <c r="W92" s="5">
        <v>66.900000000000006</v>
      </c>
      <c r="X92" s="6">
        <v>5.4830672392879387E-3</v>
      </c>
      <c r="Y92" s="4">
        <v>0</v>
      </c>
      <c r="Z92" s="6">
        <v>0</v>
      </c>
      <c r="AA92" s="5">
        <v>18169.349999999999</v>
      </c>
      <c r="AB92" s="5">
        <v>17824.900000000001</v>
      </c>
      <c r="AC92" s="5">
        <v>-344.45</v>
      </c>
      <c r="AD92" s="5">
        <v>-1.8957999999999999</v>
      </c>
      <c r="AE92" s="4">
        <v>5</v>
      </c>
      <c r="AF92" s="5">
        <v>-8.3333000000000004E-2</v>
      </c>
      <c r="AG92" s="5">
        <v>-359.59109999999998</v>
      </c>
      <c r="AH92" s="5">
        <v>-1.9791000000000001</v>
      </c>
      <c r="AI92" s="8">
        <v>-2.1602999999999999</v>
      </c>
      <c r="AJ92" s="8">
        <v>0.27229999999999999</v>
      </c>
      <c r="AK92" s="9">
        <v>-290.84109999999998</v>
      </c>
      <c r="AL92" s="9">
        <v>-1.4156</v>
      </c>
      <c r="AM92" s="5">
        <v>106.5245</v>
      </c>
      <c r="AN92" s="5">
        <v>109.054</v>
      </c>
      <c r="AO92" s="5">
        <v>-2.5295000000000001</v>
      </c>
      <c r="AP92" s="5">
        <v>-2.3195000000000001</v>
      </c>
      <c r="AQ92" s="8">
        <v>0.1391</v>
      </c>
      <c r="AR92" s="8">
        <v>-1.5337000000000001</v>
      </c>
      <c r="AS92" s="8">
        <v>-1.5337000000000001</v>
      </c>
      <c r="AT92" s="5">
        <v>106.3969</v>
      </c>
      <c r="AU92" s="5">
        <v>-2.4365000000000001</v>
      </c>
      <c r="AV92" s="7" t="s">
        <v>93</v>
      </c>
    </row>
    <row r="93" spans="1:48" ht="18" customHeight="1" x14ac:dyDescent="0.25">
      <c r="A93" s="10">
        <v>46</v>
      </c>
      <c r="B93" s="10">
        <v>2</v>
      </c>
      <c r="C93" s="10">
        <v>46</v>
      </c>
      <c r="D93" s="88">
        <v>43873</v>
      </c>
      <c r="E93" s="88">
        <v>43878</v>
      </c>
      <c r="F93" s="88">
        <v>43888</v>
      </c>
      <c r="G93" s="11">
        <v>12201.2</v>
      </c>
      <c r="H93" s="11">
        <v>12045.8</v>
      </c>
      <c r="I93" s="12"/>
      <c r="J93" s="12"/>
      <c r="K93" s="92">
        <f>H93/$G$87-1</f>
        <v>3.2923592740431218E-2</v>
      </c>
      <c r="L93" s="92"/>
      <c r="M93" s="12" t="s">
        <v>40</v>
      </c>
      <c r="N93" s="10">
        <v>11700</v>
      </c>
      <c r="O93" s="95">
        <f>IF(F93=F91,O91,MROUND(G93,100))</f>
        <v>11700</v>
      </c>
      <c r="P93" s="95">
        <f>O93-N93</f>
        <v>0</v>
      </c>
      <c r="Q93" s="12" t="s">
        <v>91</v>
      </c>
      <c r="R93" s="10">
        <v>65</v>
      </c>
      <c r="S93" s="11">
        <v>13.5</v>
      </c>
      <c r="T93" s="11">
        <v>15.35</v>
      </c>
      <c r="U93" s="13">
        <v>-4.6300000000000001E-2</v>
      </c>
      <c r="V93" s="13">
        <v>4.9200000000000001E-2</v>
      </c>
      <c r="W93" s="10">
        <v>0</v>
      </c>
      <c r="X93" s="14">
        <v>0</v>
      </c>
      <c r="Y93" s="11">
        <v>1.85</v>
      </c>
      <c r="Z93" s="14">
        <v>1.516244303838967E-4</v>
      </c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 t="s">
        <v>93</v>
      </c>
    </row>
    <row r="94" spans="1:48" ht="18" hidden="1" customHeight="1" x14ac:dyDescent="0.25">
      <c r="A94" s="4">
        <v>47</v>
      </c>
      <c r="B94" s="4">
        <v>1</v>
      </c>
      <c r="C94" s="4">
        <v>47</v>
      </c>
      <c r="D94" s="87">
        <v>43878</v>
      </c>
      <c r="E94" s="87">
        <v>43880</v>
      </c>
      <c r="F94" s="87">
        <v>43881</v>
      </c>
      <c r="G94" s="5">
        <v>12045.8</v>
      </c>
      <c r="H94" s="5">
        <v>12125.9</v>
      </c>
      <c r="I94" s="5">
        <v>80.099999999999994</v>
      </c>
      <c r="J94" s="6">
        <v>6.64962061465407E-3</v>
      </c>
      <c r="K94" s="90"/>
      <c r="L94" s="90"/>
      <c r="M94" s="7" t="s">
        <v>28</v>
      </c>
      <c r="N94" s="4">
        <v>12000</v>
      </c>
      <c r="O94" s="94"/>
      <c r="P94" s="94"/>
      <c r="Q94" s="7" t="s">
        <v>89</v>
      </c>
      <c r="R94" s="4">
        <v>65</v>
      </c>
      <c r="S94" s="5">
        <v>101.6</v>
      </c>
      <c r="T94" s="5">
        <v>133.6</v>
      </c>
      <c r="U94" s="8">
        <v>-0.33329999999999999</v>
      </c>
      <c r="V94" s="8">
        <v>0.68159999999999998</v>
      </c>
      <c r="W94" s="4">
        <v>-32</v>
      </c>
      <c r="X94" s="6">
        <v>-2.6565275863786549E-3</v>
      </c>
      <c r="Y94" s="4">
        <v>0</v>
      </c>
      <c r="Z94" s="6">
        <v>0</v>
      </c>
      <c r="AA94" s="5">
        <v>17824.900000000001</v>
      </c>
      <c r="AB94" s="5">
        <v>17990.099999999999</v>
      </c>
      <c r="AC94" s="5">
        <v>165.2</v>
      </c>
      <c r="AD94" s="5">
        <v>0.92679999999999996</v>
      </c>
      <c r="AE94" s="4">
        <v>2</v>
      </c>
      <c r="AF94" s="5">
        <v>-3.3333000000000002E-2</v>
      </c>
      <c r="AG94" s="5">
        <v>159.25839999999999</v>
      </c>
      <c r="AH94" s="5">
        <v>0.89349999999999996</v>
      </c>
      <c r="AI94" s="8">
        <v>-1.4983</v>
      </c>
      <c r="AJ94" s="8">
        <v>0.97309999999999997</v>
      </c>
      <c r="AK94" s="15">
        <v>119.05840000000001</v>
      </c>
      <c r="AL94" s="15">
        <v>0.55979999999999996</v>
      </c>
      <c r="AM94" s="5">
        <v>107.1208</v>
      </c>
      <c r="AN94" s="5">
        <v>109.054</v>
      </c>
      <c r="AO94" s="5">
        <v>-1.9331</v>
      </c>
      <c r="AP94" s="5">
        <v>-1.7726</v>
      </c>
      <c r="AQ94" s="8">
        <v>0.56669999999999998</v>
      </c>
      <c r="AR94" s="8">
        <v>-0.72409999999999997</v>
      </c>
      <c r="AS94" s="8">
        <v>-0.72409999999999997</v>
      </c>
      <c r="AT94" s="5">
        <v>105.75320000000001</v>
      </c>
      <c r="AU94" s="5">
        <v>-3.0268000000000002</v>
      </c>
      <c r="AV94" s="7" t="s">
        <v>90</v>
      </c>
    </row>
    <row r="95" spans="1:48" ht="18" customHeight="1" x14ac:dyDescent="0.25">
      <c r="A95" s="10">
        <v>47</v>
      </c>
      <c r="B95" s="10">
        <v>2</v>
      </c>
      <c r="C95" s="10">
        <v>47</v>
      </c>
      <c r="D95" s="88">
        <v>43878</v>
      </c>
      <c r="E95" s="88">
        <v>43880</v>
      </c>
      <c r="F95" s="88">
        <v>43888</v>
      </c>
      <c r="G95" s="11">
        <v>12045.8</v>
      </c>
      <c r="H95" s="11">
        <v>12125.9</v>
      </c>
      <c r="I95" s="12"/>
      <c r="J95" s="12"/>
      <c r="K95" s="92"/>
      <c r="L95" s="92"/>
      <c r="M95" s="12" t="s">
        <v>40</v>
      </c>
      <c r="N95" s="10">
        <v>11700</v>
      </c>
      <c r="O95" s="95">
        <f>IF(F95=F93,O93,MROUND(G95,100))</f>
        <v>11700</v>
      </c>
      <c r="P95" s="95">
        <f>O95-N95</f>
        <v>0</v>
      </c>
      <c r="Q95" s="12" t="s">
        <v>91</v>
      </c>
      <c r="R95" s="10">
        <v>65</v>
      </c>
      <c r="S95" s="11">
        <v>15.35</v>
      </c>
      <c r="T95" s="11">
        <v>7.15</v>
      </c>
      <c r="U95" s="13">
        <v>-7.3099999999999998E-2</v>
      </c>
      <c r="V95" s="13">
        <v>9.2600000000000002E-2</v>
      </c>
      <c r="W95" s="10">
        <v>0</v>
      </c>
      <c r="X95" s="14">
        <v>0</v>
      </c>
      <c r="Y95" s="11">
        <v>-8.1999999999999993</v>
      </c>
      <c r="Z95" s="14">
        <v>-6.8073519400953025E-4</v>
      </c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 t="s">
        <v>90</v>
      </c>
    </row>
    <row r="96" spans="1:48" ht="18" hidden="1" customHeight="1" x14ac:dyDescent="0.25">
      <c r="A96" s="4">
        <v>48</v>
      </c>
      <c r="B96" s="4">
        <v>1</v>
      </c>
      <c r="C96" s="4">
        <v>48</v>
      </c>
      <c r="D96" s="87">
        <v>43880</v>
      </c>
      <c r="E96" s="87">
        <v>43885</v>
      </c>
      <c r="F96" s="87">
        <v>43888</v>
      </c>
      <c r="G96" s="5">
        <v>12125.9</v>
      </c>
      <c r="H96" s="5">
        <v>11829.4</v>
      </c>
      <c r="I96" s="5">
        <v>-296.5</v>
      </c>
      <c r="J96" s="6">
        <v>-2.4451793268953231E-2</v>
      </c>
      <c r="K96" s="90"/>
      <c r="L96" s="90"/>
      <c r="M96" s="7" t="s">
        <v>28</v>
      </c>
      <c r="N96" s="4">
        <v>12100</v>
      </c>
      <c r="O96" s="94"/>
      <c r="P96" s="94"/>
      <c r="Q96" s="7" t="s">
        <v>89</v>
      </c>
      <c r="R96" s="4">
        <v>65</v>
      </c>
      <c r="S96" s="5">
        <v>103.9</v>
      </c>
      <c r="T96" s="5">
        <v>12.1</v>
      </c>
      <c r="U96" s="8">
        <v>-4.7E-2</v>
      </c>
      <c r="V96" s="8">
        <v>0.76739999999999997</v>
      </c>
      <c r="W96" s="5">
        <v>91.8</v>
      </c>
      <c r="X96" s="6">
        <v>7.5705720812475766E-3</v>
      </c>
      <c r="Y96" s="4">
        <v>0</v>
      </c>
      <c r="Z96" s="6">
        <v>0</v>
      </c>
      <c r="AA96" s="5">
        <v>17990.099999999999</v>
      </c>
      <c r="AB96" s="5">
        <v>17764.099999999999</v>
      </c>
      <c r="AC96" s="4">
        <v>-226</v>
      </c>
      <c r="AD96" s="5">
        <v>-1.2562</v>
      </c>
      <c r="AE96" s="4">
        <v>5</v>
      </c>
      <c r="AF96" s="5">
        <v>-8.3333000000000004E-2</v>
      </c>
      <c r="AG96" s="5">
        <v>-240.99180000000001</v>
      </c>
      <c r="AH96" s="5">
        <v>-1.3395999999999999</v>
      </c>
      <c r="AI96" s="8">
        <v>-1.4612000000000001</v>
      </c>
      <c r="AJ96" s="8">
        <v>1.2265999999999999</v>
      </c>
      <c r="AK96" s="9">
        <v>-113.3918</v>
      </c>
      <c r="AL96" s="9">
        <v>-0.2873</v>
      </c>
      <c r="AM96" s="5">
        <v>106.81310000000001</v>
      </c>
      <c r="AN96" s="5">
        <v>109.054</v>
      </c>
      <c r="AO96" s="5">
        <v>-2.2408999999999999</v>
      </c>
      <c r="AP96" s="5">
        <v>-2.0548000000000002</v>
      </c>
      <c r="AQ96" s="8">
        <v>1.1433</v>
      </c>
      <c r="AR96" s="8">
        <v>-0.36349999999999999</v>
      </c>
      <c r="AS96" s="8">
        <v>-0.36349999999999999</v>
      </c>
      <c r="AT96" s="5">
        <v>106.7315</v>
      </c>
      <c r="AU96" s="5">
        <v>-2.1297000000000001</v>
      </c>
      <c r="AV96" s="7" t="s">
        <v>93</v>
      </c>
    </row>
    <row r="97" spans="1:48" ht="18" customHeight="1" x14ac:dyDescent="0.25">
      <c r="A97" s="10">
        <v>48</v>
      </c>
      <c r="B97" s="10">
        <v>2</v>
      </c>
      <c r="C97" s="10">
        <v>48</v>
      </c>
      <c r="D97" s="88">
        <v>43880</v>
      </c>
      <c r="E97" s="88">
        <v>43885</v>
      </c>
      <c r="F97" s="88">
        <v>43888</v>
      </c>
      <c r="G97" s="11">
        <v>12125.9</v>
      </c>
      <c r="H97" s="11">
        <v>11829.4</v>
      </c>
      <c r="I97" s="12"/>
      <c r="J97" s="12"/>
      <c r="K97" s="92"/>
      <c r="L97" s="92"/>
      <c r="M97" s="12" t="s">
        <v>40</v>
      </c>
      <c r="N97" s="10">
        <v>11700</v>
      </c>
      <c r="O97" s="95">
        <f>IF(F97=F95,O95,MROUND(G97,100))</f>
        <v>11700</v>
      </c>
      <c r="P97" s="95">
        <f>O97-N97</f>
        <v>0</v>
      </c>
      <c r="Q97" s="12" t="s">
        <v>91</v>
      </c>
      <c r="R97" s="10">
        <v>65</v>
      </c>
      <c r="S97" s="11">
        <v>7.15</v>
      </c>
      <c r="T97" s="11">
        <v>42.95</v>
      </c>
      <c r="U97" s="13">
        <v>-3.6299999999999999E-2</v>
      </c>
      <c r="V97" s="13">
        <v>0.33029999999999998</v>
      </c>
      <c r="W97" s="10">
        <v>0</v>
      </c>
      <c r="X97" s="14">
        <v>0</v>
      </c>
      <c r="Y97" s="11">
        <v>35.799999999999997</v>
      </c>
      <c r="Z97" s="14">
        <v>2.952358175475634E-3</v>
      </c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 t="s">
        <v>93</v>
      </c>
    </row>
    <row r="98" spans="1:48" ht="18" hidden="1" customHeight="1" x14ac:dyDescent="0.25">
      <c r="A98" s="4">
        <v>49</v>
      </c>
      <c r="B98" s="4">
        <v>1</v>
      </c>
      <c r="C98" s="4">
        <v>49</v>
      </c>
      <c r="D98" s="87">
        <v>43885</v>
      </c>
      <c r="E98" s="87">
        <v>43887</v>
      </c>
      <c r="F98" s="87">
        <v>43888</v>
      </c>
      <c r="G98" s="5">
        <v>11829.4</v>
      </c>
      <c r="H98" s="5">
        <v>11678.5</v>
      </c>
      <c r="I98" s="5">
        <v>-150.9</v>
      </c>
      <c r="J98" s="6">
        <v>-1.2756352815865559E-2</v>
      </c>
      <c r="K98" s="90"/>
      <c r="L98" s="90"/>
      <c r="M98" s="7" t="s">
        <v>28</v>
      </c>
      <c r="N98" s="4">
        <v>11800</v>
      </c>
      <c r="O98" s="94"/>
      <c r="P98" s="94"/>
      <c r="Q98" s="7" t="s">
        <v>89</v>
      </c>
      <c r="R98" s="4">
        <v>65</v>
      </c>
      <c r="S98" s="5">
        <v>105.2</v>
      </c>
      <c r="T98" s="5">
        <v>11.05</v>
      </c>
      <c r="U98" s="8">
        <v>-0.36099999999999999</v>
      </c>
      <c r="V98" s="8">
        <v>0.82169999999999999</v>
      </c>
      <c r="W98" s="5">
        <v>94.15</v>
      </c>
      <c r="X98" s="6">
        <v>7.9589835494615121E-3</v>
      </c>
      <c r="Y98" s="4">
        <v>0</v>
      </c>
      <c r="Z98" s="6">
        <v>0</v>
      </c>
      <c r="AA98" s="5">
        <v>17764.099999999999</v>
      </c>
      <c r="AB98" s="5">
        <v>17512.45</v>
      </c>
      <c r="AC98" s="5">
        <v>-251.65</v>
      </c>
      <c r="AD98" s="5">
        <v>-1.4166000000000001</v>
      </c>
      <c r="AE98" s="4">
        <v>2</v>
      </c>
      <c r="AF98" s="5">
        <v>-3.3333000000000002E-2</v>
      </c>
      <c r="AG98" s="5">
        <v>-257.57139999999998</v>
      </c>
      <c r="AH98" s="5">
        <v>-1.45</v>
      </c>
      <c r="AI98" s="8">
        <v>-1.7406999999999999</v>
      </c>
      <c r="AJ98" s="8">
        <v>0.85660000000000003</v>
      </c>
      <c r="AK98" s="9">
        <v>-156.97139999999999</v>
      </c>
      <c r="AL98" s="9">
        <v>-0.59960000000000002</v>
      </c>
      <c r="AM98" s="5">
        <v>106.1726</v>
      </c>
      <c r="AN98" s="5">
        <v>109.054</v>
      </c>
      <c r="AO98" s="5">
        <v>-2.8813</v>
      </c>
      <c r="AP98" s="5">
        <v>-2.6421000000000001</v>
      </c>
      <c r="AQ98" s="8">
        <v>0.25340000000000001</v>
      </c>
      <c r="AR98" s="8">
        <v>-0.48909999999999998</v>
      </c>
      <c r="AS98" s="8">
        <v>-0.59960000000000002</v>
      </c>
      <c r="AT98" s="5">
        <v>106.1726</v>
      </c>
      <c r="AU98" s="5">
        <v>-2.6421000000000001</v>
      </c>
      <c r="AV98" s="7" t="s">
        <v>90</v>
      </c>
    </row>
    <row r="99" spans="1:48" ht="18" customHeight="1" x14ac:dyDescent="0.25">
      <c r="A99" s="10">
        <v>49</v>
      </c>
      <c r="B99" s="10">
        <v>2</v>
      </c>
      <c r="C99" s="10">
        <v>49</v>
      </c>
      <c r="D99" s="88">
        <v>43885</v>
      </c>
      <c r="E99" s="88">
        <v>43887</v>
      </c>
      <c r="F99" s="88">
        <v>43888</v>
      </c>
      <c r="G99" s="11">
        <v>11829.4</v>
      </c>
      <c r="H99" s="11">
        <v>11678.5</v>
      </c>
      <c r="I99" s="12"/>
      <c r="J99" s="12"/>
      <c r="K99" s="92"/>
      <c r="L99" s="92"/>
      <c r="M99" s="12" t="s">
        <v>40</v>
      </c>
      <c r="N99" s="10">
        <v>11700</v>
      </c>
      <c r="O99" s="95">
        <f>IF(F99=F97,O97,MROUND(G99,100))</f>
        <v>11700</v>
      </c>
      <c r="P99" s="95">
        <f>O99-N99</f>
        <v>0</v>
      </c>
      <c r="Q99" s="12" t="s">
        <v>91</v>
      </c>
      <c r="R99" s="10">
        <v>65</v>
      </c>
      <c r="S99" s="11">
        <v>42.95</v>
      </c>
      <c r="T99" s="11">
        <v>49.4</v>
      </c>
      <c r="U99" s="13">
        <v>-0.2422</v>
      </c>
      <c r="V99" s="13">
        <v>0.4299</v>
      </c>
      <c r="W99" s="10">
        <v>0</v>
      </c>
      <c r="X99" s="14">
        <v>0</v>
      </c>
      <c r="Y99" s="11">
        <v>6.45</v>
      </c>
      <c r="Z99" s="14">
        <v>5.4525166111552578E-4</v>
      </c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 t="s">
        <v>90</v>
      </c>
    </row>
    <row r="100" spans="1:48" ht="18" hidden="1" customHeight="1" x14ac:dyDescent="0.25">
      <c r="A100" s="4">
        <v>50</v>
      </c>
      <c r="B100" s="4">
        <v>1</v>
      </c>
      <c r="C100" s="4">
        <v>50</v>
      </c>
      <c r="D100" s="87">
        <v>43887</v>
      </c>
      <c r="E100" s="87">
        <v>43889</v>
      </c>
      <c r="F100" s="87">
        <v>43895</v>
      </c>
      <c r="G100" s="5">
        <v>11678.5</v>
      </c>
      <c r="H100" s="5">
        <v>11201.75</v>
      </c>
      <c r="I100" s="5">
        <v>-476.75</v>
      </c>
      <c r="J100" s="6">
        <v>-4.0822879650640062E-2</v>
      </c>
      <c r="K100" s="90"/>
      <c r="L100" s="90"/>
      <c r="M100" s="7" t="s">
        <v>28</v>
      </c>
      <c r="N100" s="4">
        <v>11700</v>
      </c>
      <c r="O100" s="94"/>
      <c r="P100" s="94"/>
      <c r="Q100" s="7" t="s">
        <v>89</v>
      </c>
      <c r="R100" s="4">
        <v>65</v>
      </c>
      <c r="S100" s="5">
        <v>122.3</v>
      </c>
      <c r="T100" s="5">
        <v>11.3</v>
      </c>
      <c r="U100" s="8">
        <v>0.14940000000000001</v>
      </c>
      <c r="V100" s="8">
        <v>0.97870000000000001</v>
      </c>
      <c r="W100" s="4">
        <v>111</v>
      </c>
      <c r="X100" s="6">
        <v>9.5046452883503878E-3</v>
      </c>
      <c r="Y100" s="4">
        <v>0</v>
      </c>
      <c r="Z100" s="6">
        <v>0</v>
      </c>
      <c r="AA100" s="5">
        <v>17512.45</v>
      </c>
      <c r="AB100" s="5">
        <v>16786.349999999999</v>
      </c>
      <c r="AC100" s="5">
        <v>-726.1</v>
      </c>
      <c r="AD100" s="5">
        <v>-4.1462000000000003</v>
      </c>
      <c r="AE100" s="4">
        <v>2</v>
      </c>
      <c r="AF100" s="5">
        <v>-3.3333000000000002E-2</v>
      </c>
      <c r="AG100" s="5">
        <v>-731.9375</v>
      </c>
      <c r="AH100" s="5">
        <v>-4.1795</v>
      </c>
      <c r="AI100" s="8">
        <v>-4.8962000000000003</v>
      </c>
      <c r="AJ100" s="8">
        <v>2.7300000000000001E-2</v>
      </c>
      <c r="AK100" s="9">
        <v>-236.6875</v>
      </c>
      <c r="AL100" s="9">
        <v>6.1199999999999997E-2</v>
      </c>
      <c r="AM100" s="5">
        <v>106.2376</v>
      </c>
      <c r="AN100" s="5">
        <v>109.054</v>
      </c>
      <c r="AO100" s="5">
        <v>-2.8163999999999998</v>
      </c>
      <c r="AP100" s="5">
        <v>-2.5825</v>
      </c>
      <c r="AQ100" s="8">
        <v>0.30859999999999999</v>
      </c>
      <c r="AR100" s="8">
        <v>-0.34379999999999999</v>
      </c>
      <c r="AS100" s="8">
        <v>-0.34379999999999999</v>
      </c>
      <c r="AT100" s="5">
        <v>105.80759999999999</v>
      </c>
      <c r="AU100" s="5">
        <v>-2.9767999999999999</v>
      </c>
      <c r="AV100" s="7" t="s">
        <v>99</v>
      </c>
    </row>
    <row r="101" spans="1:48" ht="18" customHeight="1" x14ac:dyDescent="0.25">
      <c r="A101" s="10">
        <v>50</v>
      </c>
      <c r="B101" s="10">
        <v>2</v>
      </c>
      <c r="C101" s="10">
        <v>50</v>
      </c>
      <c r="D101" s="88">
        <v>43887</v>
      </c>
      <c r="E101" s="88">
        <v>43889</v>
      </c>
      <c r="F101" s="88">
        <v>43916</v>
      </c>
      <c r="G101" s="11">
        <v>11678.5</v>
      </c>
      <c r="H101" s="11">
        <v>11201.75</v>
      </c>
      <c r="I101" s="12"/>
      <c r="J101" s="12"/>
      <c r="K101" s="92"/>
      <c r="L101" s="92"/>
      <c r="M101" s="12" t="s">
        <v>40</v>
      </c>
      <c r="N101" s="10">
        <v>11700</v>
      </c>
      <c r="O101" s="95">
        <f>IF(F101=F99,O99,MROUND(G101,100))</f>
        <v>11700</v>
      </c>
      <c r="P101" s="95">
        <f>O101-N101</f>
        <v>0</v>
      </c>
      <c r="Q101" s="12" t="s">
        <v>91</v>
      </c>
      <c r="R101" s="10">
        <v>65</v>
      </c>
      <c r="S101" s="11">
        <v>224.75</v>
      </c>
      <c r="T101" s="10">
        <v>609</v>
      </c>
      <c r="U101" s="13">
        <v>0.13189999999999999</v>
      </c>
      <c r="V101" s="13">
        <v>3.5737000000000001</v>
      </c>
      <c r="W101" s="10">
        <v>0</v>
      </c>
      <c r="X101" s="14">
        <v>0</v>
      </c>
      <c r="Y101" s="11">
        <v>384.25</v>
      </c>
      <c r="Z101" s="14">
        <v>3.2902341910348083E-2</v>
      </c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 t="s">
        <v>99</v>
      </c>
    </row>
    <row r="102" spans="1:48" ht="18" hidden="1" customHeight="1" x14ac:dyDescent="0.25">
      <c r="A102" s="4">
        <v>51</v>
      </c>
      <c r="B102" s="4">
        <v>1</v>
      </c>
      <c r="C102" s="4">
        <v>51</v>
      </c>
      <c r="D102" s="87">
        <v>44771</v>
      </c>
      <c r="E102" s="87">
        <v>44774</v>
      </c>
      <c r="F102" s="87">
        <v>44777</v>
      </c>
      <c r="G102" s="5">
        <v>17158.25</v>
      </c>
      <c r="H102" s="5">
        <v>17340.05</v>
      </c>
      <c r="I102" s="5">
        <v>181.8</v>
      </c>
      <c r="J102" s="6">
        <v>1.0595486136406689E-2</v>
      </c>
      <c r="K102" s="90"/>
      <c r="L102" s="90"/>
      <c r="M102" s="7" t="s">
        <v>28</v>
      </c>
      <c r="N102" s="4">
        <v>17200</v>
      </c>
      <c r="O102" s="94"/>
      <c r="P102" s="94"/>
      <c r="Q102" s="7" t="s">
        <v>89</v>
      </c>
      <c r="R102" s="4">
        <v>65</v>
      </c>
      <c r="S102" s="5">
        <v>109.6</v>
      </c>
      <c r="T102" s="5">
        <v>198.4</v>
      </c>
      <c r="U102" s="8">
        <v>-0.58630000000000004</v>
      </c>
      <c r="V102" s="8">
        <v>4.4900000000000002E-2</v>
      </c>
      <c r="W102" s="5">
        <v>-88.8</v>
      </c>
      <c r="X102" s="6">
        <v>-5.1753529643174569E-3</v>
      </c>
      <c r="Y102" s="4">
        <v>0</v>
      </c>
      <c r="Z102" s="6">
        <v>0</v>
      </c>
      <c r="AA102" s="5">
        <v>29634.25</v>
      </c>
      <c r="AB102" s="4">
        <v>30128</v>
      </c>
      <c r="AC102" s="5">
        <v>493.75</v>
      </c>
      <c r="AD102" s="5">
        <v>1.6660999999999999</v>
      </c>
      <c r="AE102" s="4">
        <v>3</v>
      </c>
      <c r="AF102" s="5">
        <v>-0.05</v>
      </c>
      <c r="AG102" s="5">
        <v>478.93290000000002</v>
      </c>
      <c r="AH102" s="5">
        <v>1.6161000000000001</v>
      </c>
      <c r="AI102" s="8">
        <v>-2.7199999999999998E-2</v>
      </c>
      <c r="AJ102" s="8">
        <v>1.7093</v>
      </c>
      <c r="AK102" s="15">
        <v>321.03289999999998</v>
      </c>
      <c r="AL102" s="15">
        <v>0.69579999999999997</v>
      </c>
      <c r="AM102" s="5">
        <v>100.69580000000001</v>
      </c>
      <c r="AN102" s="5">
        <v>100.69580000000001</v>
      </c>
      <c r="AO102" s="4">
        <v>0</v>
      </c>
      <c r="AP102" s="4">
        <v>0</v>
      </c>
      <c r="AQ102" s="8">
        <v>0.67859999999999998</v>
      </c>
      <c r="AR102" s="8">
        <v>5.9400000000000001E-2</v>
      </c>
      <c r="AS102" s="8">
        <v>5.9400000000000001E-2</v>
      </c>
      <c r="AT102" s="5">
        <v>100.0594</v>
      </c>
      <c r="AU102" s="5">
        <v>5.9400000000000001E-2</v>
      </c>
      <c r="AV102" s="7" t="s">
        <v>96</v>
      </c>
    </row>
    <row r="103" spans="1:48" ht="18" customHeight="1" x14ac:dyDescent="0.25">
      <c r="A103" s="10">
        <v>51</v>
      </c>
      <c r="B103" s="10">
        <v>2</v>
      </c>
      <c r="C103" s="10">
        <v>51</v>
      </c>
      <c r="D103" s="88">
        <v>44771</v>
      </c>
      <c r="E103" s="88">
        <v>44774</v>
      </c>
      <c r="F103" s="88">
        <v>44798</v>
      </c>
      <c r="G103" s="11">
        <v>17158.25</v>
      </c>
      <c r="H103" s="11">
        <v>17340.05</v>
      </c>
      <c r="I103" s="12"/>
      <c r="J103" s="12"/>
      <c r="K103" s="92"/>
      <c r="L103" s="92"/>
      <c r="M103" s="12" t="s">
        <v>40</v>
      </c>
      <c r="N103" s="10">
        <v>17200</v>
      </c>
      <c r="O103" s="95">
        <f>IF(F103=F101,O101,MROUND(G103,100))</f>
        <v>17200</v>
      </c>
      <c r="P103" s="95">
        <f>O103-N103</f>
        <v>0</v>
      </c>
      <c r="Q103" s="12" t="s">
        <v>91</v>
      </c>
      <c r="R103" s="10">
        <v>65</v>
      </c>
      <c r="S103" s="11">
        <v>281.64999999999998</v>
      </c>
      <c r="T103" s="11">
        <v>212.55</v>
      </c>
      <c r="U103" s="13">
        <v>-0.44440000000000002</v>
      </c>
      <c r="V103" s="13">
        <v>4.1700000000000001E-2</v>
      </c>
      <c r="W103" s="10">
        <v>0</v>
      </c>
      <c r="X103" s="14">
        <v>0</v>
      </c>
      <c r="Y103" s="11">
        <v>-69.099999999999994</v>
      </c>
      <c r="Z103" s="14">
        <v>-4.0272172278641464E-3</v>
      </c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 t="s">
        <v>96</v>
      </c>
    </row>
    <row r="104" spans="1:48" ht="18" hidden="1" customHeight="1" x14ac:dyDescent="0.25">
      <c r="A104" s="4">
        <v>52</v>
      </c>
      <c r="B104" s="4">
        <v>1</v>
      </c>
      <c r="C104" s="4">
        <v>52</v>
      </c>
      <c r="D104" s="87">
        <v>44774</v>
      </c>
      <c r="E104" s="87">
        <v>44776</v>
      </c>
      <c r="F104" s="87">
        <v>44777</v>
      </c>
      <c r="G104" s="5">
        <v>17340.05</v>
      </c>
      <c r="H104" s="5">
        <v>17388.150000000001</v>
      </c>
      <c r="I104" s="5">
        <v>48.1</v>
      </c>
      <c r="J104" s="6">
        <v>2.773925104022191E-3</v>
      </c>
      <c r="K104" s="90"/>
      <c r="L104" s="90"/>
      <c r="M104" s="7" t="s">
        <v>28</v>
      </c>
      <c r="N104" s="4">
        <v>17300</v>
      </c>
      <c r="O104" s="94"/>
      <c r="P104" s="94"/>
      <c r="Q104" s="7" t="s">
        <v>89</v>
      </c>
      <c r="R104" s="4">
        <v>65</v>
      </c>
      <c r="S104" s="5">
        <v>131.65</v>
      </c>
      <c r="T104" s="5">
        <v>119.2</v>
      </c>
      <c r="U104" s="8">
        <v>-0.10150000000000001</v>
      </c>
      <c r="V104" s="8">
        <v>0.47089999999999999</v>
      </c>
      <c r="W104" s="5">
        <v>12.45</v>
      </c>
      <c r="X104" s="6">
        <v>7.179910092531452E-4</v>
      </c>
      <c r="Y104" s="4">
        <v>0</v>
      </c>
      <c r="Z104" s="6">
        <v>0</v>
      </c>
      <c r="AA104" s="4">
        <v>30128</v>
      </c>
      <c r="AB104" s="5">
        <v>30017.65</v>
      </c>
      <c r="AC104" s="5">
        <v>-110.35</v>
      </c>
      <c r="AD104" s="5">
        <v>-0.36630000000000001</v>
      </c>
      <c r="AE104" s="4">
        <v>2</v>
      </c>
      <c r="AF104" s="5">
        <v>-3.3333000000000002E-2</v>
      </c>
      <c r="AG104" s="5">
        <v>-120.3927</v>
      </c>
      <c r="AH104" s="5">
        <v>-0.39960000000000001</v>
      </c>
      <c r="AI104" s="8">
        <v>-1.258</v>
      </c>
      <c r="AJ104" s="8">
        <v>0.5151</v>
      </c>
      <c r="AK104" s="9">
        <v>-116.9927</v>
      </c>
      <c r="AL104" s="9">
        <v>-0.38</v>
      </c>
      <c r="AM104" s="5">
        <v>100.31319999999999</v>
      </c>
      <c r="AN104" s="5">
        <v>100.69580000000001</v>
      </c>
      <c r="AO104" s="5">
        <v>-0.3826</v>
      </c>
      <c r="AP104" s="5">
        <v>-0.38</v>
      </c>
      <c r="AQ104" s="8">
        <v>2.29E-2</v>
      </c>
      <c r="AR104" s="8">
        <v>0.1497</v>
      </c>
      <c r="AS104" s="8">
        <v>-0.38</v>
      </c>
      <c r="AT104" s="5">
        <v>100.31319999999999</v>
      </c>
      <c r="AU104" s="5">
        <v>-0.38</v>
      </c>
      <c r="AV104" s="7" t="s">
        <v>90</v>
      </c>
    </row>
    <row r="105" spans="1:48" ht="18" customHeight="1" x14ac:dyDescent="0.25">
      <c r="A105" s="10">
        <v>52</v>
      </c>
      <c r="B105" s="10">
        <v>2</v>
      </c>
      <c r="C105" s="10">
        <v>52</v>
      </c>
      <c r="D105" s="88">
        <v>44774</v>
      </c>
      <c r="E105" s="88">
        <v>44776</v>
      </c>
      <c r="F105" s="88">
        <v>44798</v>
      </c>
      <c r="G105" s="11">
        <v>17340.05</v>
      </c>
      <c r="H105" s="11">
        <v>17388.150000000001</v>
      </c>
      <c r="I105" s="12"/>
      <c r="J105" s="12"/>
      <c r="K105" s="92"/>
      <c r="L105" s="92"/>
      <c r="M105" s="12" t="s">
        <v>40</v>
      </c>
      <c r="N105" s="10">
        <v>17200</v>
      </c>
      <c r="O105" s="95">
        <f>IF(F105=F103,O103,MROUND(G105,100))</f>
        <v>17200</v>
      </c>
      <c r="P105" s="95">
        <f>O105-N105</f>
        <v>0</v>
      </c>
      <c r="Q105" s="12" t="s">
        <v>91</v>
      </c>
      <c r="R105" s="10">
        <v>65</v>
      </c>
      <c r="S105" s="11">
        <v>212.55</v>
      </c>
      <c r="T105" s="11">
        <v>203.5</v>
      </c>
      <c r="U105" s="13">
        <v>-0.39069999999999999</v>
      </c>
      <c r="V105" s="13">
        <v>0.93679999999999997</v>
      </c>
      <c r="W105" s="10">
        <v>0</v>
      </c>
      <c r="X105" s="14">
        <v>0</v>
      </c>
      <c r="Y105" s="11">
        <v>-9.0500000000000007</v>
      </c>
      <c r="Z105" s="14">
        <v>-5.2191314327236667E-4</v>
      </c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 t="s">
        <v>90</v>
      </c>
    </row>
    <row r="106" spans="1:48" ht="18" hidden="1" customHeight="1" x14ac:dyDescent="0.25">
      <c r="A106" s="4">
        <v>53</v>
      </c>
      <c r="B106" s="4">
        <v>1</v>
      </c>
      <c r="C106" s="4">
        <v>53</v>
      </c>
      <c r="D106" s="87">
        <v>44776</v>
      </c>
      <c r="E106" s="87">
        <v>44783</v>
      </c>
      <c r="F106" s="87">
        <v>44784</v>
      </c>
      <c r="G106" s="5">
        <v>17388.150000000001</v>
      </c>
      <c r="H106" s="5">
        <v>17534.75</v>
      </c>
      <c r="I106" s="5">
        <v>146.6</v>
      </c>
      <c r="J106" s="6">
        <v>8.4310291779171442E-3</v>
      </c>
      <c r="K106" s="90"/>
      <c r="L106" s="90"/>
      <c r="M106" s="7" t="s">
        <v>28</v>
      </c>
      <c r="N106" s="4">
        <v>17400</v>
      </c>
      <c r="O106" s="94"/>
      <c r="P106" s="94"/>
      <c r="Q106" s="7" t="s">
        <v>89</v>
      </c>
      <c r="R106" s="4">
        <v>65</v>
      </c>
      <c r="S106" s="5">
        <v>176.2</v>
      </c>
      <c r="T106" s="5">
        <v>170.3</v>
      </c>
      <c r="U106" s="8">
        <v>-0.36659999999999998</v>
      </c>
      <c r="V106" s="8">
        <v>0.3977</v>
      </c>
      <c r="W106" s="5">
        <v>5.9</v>
      </c>
      <c r="X106" s="6">
        <v>3.3931154263104472E-4</v>
      </c>
      <c r="Y106" s="4">
        <v>0</v>
      </c>
      <c r="Z106" s="6">
        <v>0</v>
      </c>
      <c r="AA106" s="5">
        <v>30017.65</v>
      </c>
      <c r="AB106" s="5">
        <v>30318.9</v>
      </c>
      <c r="AC106" s="5">
        <v>301.25</v>
      </c>
      <c r="AD106" s="5">
        <v>1.0036</v>
      </c>
      <c r="AE106" s="4">
        <v>7</v>
      </c>
      <c r="AF106" s="5">
        <v>-0.11666700000000001</v>
      </c>
      <c r="AG106" s="5">
        <v>266.2294</v>
      </c>
      <c r="AH106" s="5">
        <v>0.88690000000000002</v>
      </c>
      <c r="AI106" s="8">
        <v>-1.2114</v>
      </c>
      <c r="AJ106" s="8">
        <v>1.4699</v>
      </c>
      <c r="AK106" s="15">
        <v>187.52940000000001</v>
      </c>
      <c r="AL106" s="15">
        <v>0.43430000000000002</v>
      </c>
      <c r="AM106" s="5">
        <v>100.7488</v>
      </c>
      <c r="AN106" s="5">
        <v>100.7488</v>
      </c>
      <c r="AO106" s="4">
        <v>0</v>
      </c>
      <c r="AP106" s="4">
        <v>0</v>
      </c>
      <c r="AQ106" s="8">
        <v>0.5736</v>
      </c>
      <c r="AR106" s="8">
        <v>-9.2200000000000004E-2</v>
      </c>
      <c r="AS106" s="8">
        <v>-9.2200000000000004E-2</v>
      </c>
      <c r="AT106" s="5">
        <v>100.22069999999999</v>
      </c>
      <c r="AU106" s="5">
        <v>-0.4718</v>
      </c>
      <c r="AV106" s="7" t="s">
        <v>90</v>
      </c>
    </row>
    <row r="107" spans="1:48" ht="18" customHeight="1" x14ac:dyDescent="0.25">
      <c r="A107" s="10">
        <v>53</v>
      </c>
      <c r="B107" s="10">
        <v>2</v>
      </c>
      <c r="C107" s="10">
        <v>53</v>
      </c>
      <c r="D107" s="88">
        <v>44776</v>
      </c>
      <c r="E107" s="88">
        <v>44783</v>
      </c>
      <c r="F107" s="88">
        <v>44798</v>
      </c>
      <c r="G107" s="11">
        <v>17388.150000000001</v>
      </c>
      <c r="H107" s="11">
        <v>17534.75</v>
      </c>
      <c r="I107" s="12"/>
      <c r="J107" s="12"/>
      <c r="K107" s="92"/>
      <c r="L107" s="92"/>
      <c r="M107" s="12" t="s">
        <v>40</v>
      </c>
      <c r="N107" s="10">
        <v>17200</v>
      </c>
      <c r="O107" s="95">
        <f>IF(F107=F105,O105,MROUND(G107,100))</f>
        <v>17200</v>
      </c>
      <c r="P107" s="95">
        <f>O107-N107</f>
        <v>0</v>
      </c>
      <c r="Q107" s="12" t="s">
        <v>91</v>
      </c>
      <c r="R107" s="10">
        <v>65</v>
      </c>
      <c r="S107" s="11">
        <v>203.5</v>
      </c>
      <c r="T107" s="11">
        <v>118.9</v>
      </c>
      <c r="U107" s="13">
        <v>-0.52969999999999995</v>
      </c>
      <c r="V107" s="13">
        <v>0.72150000000000003</v>
      </c>
      <c r="W107" s="10">
        <v>0</v>
      </c>
      <c r="X107" s="14">
        <v>0</v>
      </c>
      <c r="Y107" s="11">
        <v>-84.6</v>
      </c>
      <c r="Z107" s="14">
        <v>-4.8653824587434544E-3</v>
      </c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 t="s">
        <v>90</v>
      </c>
    </row>
    <row r="108" spans="1:48" ht="18" hidden="1" customHeight="1" x14ac:dyDescent="0.25">
      <c r="A108" s="4">
        <v>54</v>
      </c>
      <c r="B108" s="4">
        <v>1</v>
      </c>
      <c r="C108" s="4">
        <v>54</v>
      </c>
      <c r="D108" s="87">
        <v>44783</v>
      </c>
      <c r="E108" s="87">
        <v>44785</v>
      </c>
      <c r="F108" s="87">
        <v>44791</v>
      </c>
      <c r="G108" s="5">
        <v>17534.75</v>
      </c>
      <c r="H108" s="5">
        <v>17698.150000000001</v>
      </c>
      <c r="I108" s="5">
        <v>163.4</v>
      </c>
      <c r="J108" s="6">
        <v>9.3186387031466093E-3</v>
      </c>
      <c r="K108" s="90"/>
      <c r="L108" s="90"/>
      <c r="M108" s="7" t="s">
        <v>28</v>
      </c>
      <c r="N108" s="4">
        <v>17500</v>
      </c>
      <c r="O108" s="94"/>
      <c r="P108" s="94"/>
      <c r="Q108" s="7" t="s">
        <v>89</v>
      </c>
      <c r="R108" s="4">
        <v>65</v>
      </c>
      <c r="S108" s="5">
        <v>194.6</v>
      </c>
      <c r="T108" s="5">
        <v>238.9</v>
      </c>
      <c r="U108" s="8">
        <v>-0.67579999999999996</v>
      </c>
      <c r="V108" s="8">
        <v>6.5600000000000006E-2</v>
      </c>
      <c r="W108" s="5">
        <v>-44.3</v>
      </c>
      <c r="X108" s="6">
        <v>-2.5264118393475811E-3</v>
      </c>
      <c r="Y108" s="4">
        <v>0</v>
      </c>
      <c r="Z108" s="6">
        <v>0</v>
      </c>
      <c r="AA108" s="5">
        <v>30318.9</v>
      </c>
      <c r="AB108" s="5">
        <v>30806.35</v>
      </c>
      <c r="AC108" s="5">
        <v>487.45</v>
      </c>
      <c r="AD108" s="5">
        <v>1.6076999999999999</v>
      </c>
      <c r="AE108" s="4">
        <v>2</v>
      </c>
      <c r="AF108" s="5">
        <v>-3.3333000000000002E-2</v>
      </c>
      <c r="AG108" s="5">
        <v>477.34370000000001</v>
      </c>
      <c r="AH108" s="5">
        <v>1.5744</v>
      </c>
      <c r="AI108" s="8">
        <v>0.64419999999999999</v>
      </c>
      <c r="AJ108" s="8">
        <v>1.7181</v>
      </c>
      <c r="AK108" s="15">
        <v>363.69369999999998</v>
      </c>
      <c r="AL108" s="15">
        <v>0.92630000000000001</v>
      </c>
      <c r="AM108" s="5">
        <v>101.68210000000001</v>
      </c>
      <c r="AN108" s="5">
        <v>101.68210000000001</v>
      </c>
      <c r="AO108" s="4">
        <v>0</v>
      </c>
      <c r="AP108" s="4">
        <v>0</v>
      </c>
      <c r="AQ108" s="8">
        <v>0.62429999999999997</v>
      </c>
      <c r="AR108" s="8">
        <v>0.49</v>
      </c>
      <c r="AS108" s="8">
        <v>0.49</v>
      </c>
      <c r="AT108" s="5">
        <v>101.24250000000001</v>
      </c>
      <c r="AU108" s="5">
        <v>0.49</v>
      </c>
      <c r="AV108" s="7" t="s">
        <v>100</v>
      </c>
    </row>
    <row r="109" spans="1:48" ht="18" customHeight="1" x14ac:dyDescent="0.25">
      <c r="A109" s="10">
        <v>54</v>
      </c>
      <c r="B109" s="10">
        <v>2</v>
      </c>
      <c r="C109" s="10">
        <v>54</v>
      </c>
      <c r="D109" s="88">
        <v>44783</v>
      </c>
      <c r="E109" s="88">
        <v>44785</v>
      </c>
      <c r="F109" s="88">
        <v>44798</v>
      </c>
      <c r="G109" s="11">
        <v>17534.75</v>
      </c>
      <c r="H109" s="11">
        <v>17698.150000000001</v>
      </c>
      <c r="I109" s="12"/>
      <c r="J109" s="12"/>
      <c r="K109" s="92"/>
      <c r="L109" s="92"/>
      <c r="M109" s="12" t="s">
        <v>40</v>
      </c>
      <c r="N109" s="10">
        <v>17200</v>
      </c>
      <c r="O109" s="95">
        <f>IF(F109=F107,O107,MROUND(G109,100))</f>
        <v>17200</v>
      </c>
      <c r="P109" s="95">
        <f>O109-N109</f>
        <v>0</v>
      </c>
      <c r="Q109" s="12" t="s">
        <v>91</v>
      </c>
      <c r="R109" s="10">
        <v>65</v>
      </c>
      <c r="S109" s="11">
        <v>118.9</v>
      </c>
      <c r="T109" s="11">
        <v>49.55</v>
      </c>
      <c r="U109" s="13">
        <v>-0.41799999999999998</v>
      </c>
      <c r="V109" s="13">
        <v>-0.2198</v>
      </c>
      <c r="W109" s="10">
        <v>0</v>
      </c>
      <c r="X109" s="14">
        <v>0</v>
      </c>
      <c r="Y109" s="11">
        <v>-69.349999999999994</v>
      </c>
      <c r="Z109" s="14">
        <v>-3.9550036356378049E-3</v>
      </c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 t="s">
        <v>100</v>
      </c>
    </row>
    <row r="110" spans="1:48" ht="18" hidden="1" customHeight="1" x14ac:dyDescent="0.25">
      <c r="A110" s="4">
        <v>55</v>
      </c>
      <c r="B110" s="4">
        <v>1</v>
      </c>
      <c r="C110" s="4">
        <v>55</v>
      </c>
      <c r="D110" s="87">
        <v>44785</v>
      </c>
      <c r="E110" s="87">
        <v>44790</v>
      </c>
      <c r="F110" s="87">
        <v>44791</v>
      </c>
      <c r="G110" s="5">
        <v>17698.150000000001</v>
      </c>
      <c r="H110" s="5">
        <v>17944.25</v>
      </c>
      <c r="I110" s="5">
        <v>246.1</v>
      </c>
      <c r="J110" s="6">
        <v>1.390540819238169E-2</v>
      </c>
      <c r="K110" s="90"/>
      <c r="L110" s="90"/>
      <c r="M110" s="7" t="s">
        <v>28</v>
      </c>
      <c r="N110" s="4">
        <v>17700</v>
      </c>
      <c r="O110" s="94"/>
      <c r="P110" s="94"/>
      <c r="Q110" s="7" t="s">
        <v>89</v>
      </c>
      <c r="R110" s="4">
        <v>65</v>
      </c>
      <c r="S110" s="5">
        <v>105.25</v>
      </c>
      <c r="T110" s="5">
        <v>264.95</v>
      </c>
      <c r="U110" s="8">
        <v>-0.98680000000000001</v>
      </c>
      <c r="V110" s="8">
        <v>-0.12039999999999999</v>
      </c>
      <c r="W110" s="5">
        <v>-159.69999999999999</v>
      </c>
      <c r="X110" s="6">
        <v>-9.0235420086280192E-3</v>
      </c>
      <c r="Y110" s="4">
        <v>0</v>
      </c>
      <c r="Z110" s="6">
        <v>0</v>
      </c>
      <c r="AA110" s="5">
        <v>30806.35</v>
      </c>
      <c r="AB110" s="5">
        <v>31401.4</v>
      </c>
      <c r="AC110" s="5">
        <v>595.04999999999995</v>
      </c>
      <c r="AD110" s="5">
        <v>1.9316</v>
      </c>
      <c r="AE110" s="4">
        <v>5</v>
      </c>
      <c r="AF110" s="5">
        <v>-8.3333000000000004E-2</v>
      </c>
      <c r="AG110" s="5">
        <v>569.37800000000004</v>
      </c>
      <c r="AH110" s="5">
        <v>1.8482000000000001</v>
      </c>
      <c r="AI110" s="8">
        <v>0.32100000000000001</v>
      </c>
      <c r="AJ110" s="8">
        <v>2.1387999999999998</v>
      </c>
      <c r="AK110" s="15">
        <v>288.37799999999999</v>
      </c>
      <c r="AL110" s="15">
        <v>0.26050000000000001</v>
      </c>
      <c r="AM110" s="5">
        <v>101.9469</v>
      </c>
      <c r="AN110" s="5">
        <v>101.9469</v>
      </c>
      <c r="AO110" s="4">
        <v>0</v>
      </c>
      <c r="AP110" s="4">
        <v>0</v>
      </c>
      <c r="AQ110" s="8">
        <v>0.44119999999999998</v>
      </c>
      <c r="AR110" s="8">
        <v>-1.0200000000000001E-2</v>
      </c>
      <c r="AS110" s="8">
        <v>-1.0200000000000001E-2</v>
      </c>
      <c r="AT110" s="5">
        <v>101.6717</v>
      </c>
      <c r="AU110" s="5">
        <v>-1.0200000000000001E-2</v>
      </c>
      <c r="AV110" s="7" t="s">
        <v>90</v>
      </c>
    </row>
    <row r="111" spans="1:48" ht="18" customHeight="1" x14ac:dyDescent="0.25">
      <c r="A111" s="10">
        <v>55</v>
      </c>
      <c r="B111" s="10">
        <v>2</v>
      </c>
      <c r="C111" s="10">
        <v>55</v>
      </c>
      <c r="D111" s="88">
        <v>44785</v>
      </c>
      <c r="E111" s="88">
        <v>44790</v>
      </c>
      <c r="F111" s="88">
        <v>44798</v>
      </c>
      <c r="G111" s="11">
        <v>17698.150000000001</v>
      </c>
      <c r="H111" s="11">
        <v>17944.25</v>
      </c>
      <c r="I111" s="12"/>
      <c r="J111" s="12"/>
      <c r="K111" s="92"/>
      <c r="L111" s="92"/>
      <c r="M111" s="12" t="s">
        <v>40</v>
      </c>
      <c r="N111" s="10">
        <v>17700</v>
      </c>
      <c r="O111" s="95">
        <f>IF(F111=F109,O109,MROUND(G111,100))</f>
        <v>17200</v>
      </c>
      <c r="P111" s="95">
        <f>O111-N111</f>
        <v>-500</v>
      </c>
      <c r="Q111" s="12" t="s">
        <v>91</v>
      </c>
      <c r="R111" s="10">
        <v>65</v>
      </c>
      <c r="S111" s="11">
        <v>179.7</v>
      </c>
      <c r="T111" s="11">
        <v>58.4</v>
      </c>
      <c r="U111" s="13">
        <v>-0.71079999999999999</v>
      </c>
      <c r="V111" s="13">
        <v>-0.21079999999999999</v>
      </c>
      <c r="W111" s="10">
        <v>0</v>
      </c>
      <c r="X111" s="14">
        <v>0</v>
      </c>
      <c r="Y111" s="11">
        <v>-121.3</v>
      </c>
      <c r="Z111" s="14">
        <v>-6.8538237047375003E-3</v>
      </c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 t="s">
        <v>90</v>
      </c>
    </row>
    <row r="112" spans="1:48" ht="18" hidden="1" customHeight="1" x14ac:dyDescent="0.25">
      <c r="A112" s="4">
        <v>56</v>
      </c>
      <c r="B112" s="4">
        <v>1</v>
      </c>
      <c r="C112" s="4">
        <v>56</v>
      </c>
      <c r="D112" s="87">
        <v>44790</v>
      </c>
      <c r="E112" s="87">
        <v>44792</v>
      </c>
      <c r="F112" s="87">
        <v>44798</v>
      </c>
      <c r="G112" s="5">
        <v>17944.25</v>
      </c>
      <c r="H112" s="5">
        <v>17758.45</v>
      </c>
      <c r="I112" s="5">
        <v>-185.8</v>
      </c>
      <c r="J112" s="6">
        <v>-1.0354291764771449E-2</v>
      </c>
      <c r="K112" s="90"/>
      <c r="L112" s="90"/>
      <c r="M112" s="7" t="s">
        <v>28</v>
      </c>
      <c r="N112" s="4">
        <v>17900</v>
      </c>
      <c r="O112" s="94"/>
      <c r="P112" s="94"/>
      <c r="Q112" s="7" t="s">
        <v>89</v>
      </c>
      <c r="R112" s="4">
        <v>65</v>
      </c>
      <c r="S112" s="5">
        <v>192.05</v>
      </c>
      <c r="T112" s="5">
        <v>71.650000000000006</v>
      </c>
      <c r="U112" s="8">
        <v>5.8999999999999999E-3</v>
      </c>
      <c r="V112" s="8">
        <v>0.73370000000000002</v>
      </c>
      <c r="W112" s="5">
        <v>120.4</v>
      </c>
      <c r="X112" s="6">
        <v>6.7096702286247676E-3</v>
      </c>
      <c r="Y112" s="4">
        <v>0</v>
      </c>
      <c r="Z112" s="6">
        <v>0</v>
      </c>
      <c r="AA112" s="5">
        <v>31401.4</v>
      </c>
      <c r="AB112" s="4">
        <v>31005</v>
      </c>
      <c r="AC112" s="5">
        <v>-396.4</v>
      </c>
      <c r="AD112" s="5">
        <v>-1.2624</v>
      </c>
      <c r="AE112" s="4">
        <v>2</v>
      </c>
      <c r="AF112" s="5">
        <v>-3.3333000000000002E-2</v>
      </c>
      <c r="AG112" s="5">
        <v>-406.86709999999999</v>
      </c>
      <c r="AH112" s="5">
        <v>-1.2957000000000001</v>
      </c>
      <c r="AI112" s="8">
        <v>-1.5920000000000001</v>
      </c>
      <c r="AJ112" s="8">
        <v>0.5766</v>
      </c>
      <c r="AK112" s="9">
        <v>-242.71709999999999</v>
      </c>
      <c r="AL112" s="9">
        <v>-0.38090000000000002</v>
      </c>
      <c r="AM112" s="5">
        <v>101.5586</v>
      </c>
      <c r="AN112" s="5">
        <v>101.9469</v>
      </c>
      <c r="AO112" s="5">
        <v>-0.38829999999999998</v>
      </c>
      <c r="AP112" s="5">
        <v>-0.38090000000000002</v>
      </c>
      <c r="AQ112" s="8">
        <v>0.4521</v>
      </c>
      <c r="AR112" s="8">
        <v>-0.45340000000000003</v>
      </c>
      <c r="AS112" s="8">
        <v>-0.45340000000000003</v>
      </c>
      <c r="AT112" s="5">
        <v>101.4847</v>
      </c>
      <c r="AU112" s="5">
        <v>-0.45340000000000003</v>
      </c>
      <c r="AV112" s="7" t="s">
        <v>93</v>
      </c>
    </row>
    <row r="113" spans="1:48" ht="18" customHeight="1" x14ac:dyDescent="0.25">
      <c r="A113" s="10">
        <v>56</v>
      </c>
      <c r="B113" s="10">
        <v>2</v>
      </c>
      <c r="C113" s="10">
        <v>56</v>
      </c>
      <c r="D113" s="88">
        <v>44790</v>
      </c>
      <c r="E113" s="88">
        <v>44792</v>
      </c>
      <c r="F113" s="88">
        <v>44798</v>
      </c>
      <c r="G113" s="11">
        <v>17944.25</v>
      </c>
      <c r="H113" s="11">
        <v>17758.45</v>
      </c>
      <c r="I113" s="12"/>
      <c r="J113" s="12"/>
      <c r="K113" s="92"/>
      <c r="L113" s="92"/>
      <c r="M113" s="12" t="s">
        <v>40</v>
      </c>
      <c r="N113" s="10">
        <v>17700</v>
      </c>
      <c r="O113" s="95">
        <f>IF(F113=F111,O111,MROUND(G113,100))</f>
        <v>17200</v>
      </c>
      <c r="P113" s="95">
        <f>O113-N113</f>
        <v>-500</v>
      </c>
      <c r="Q113" s="12" t="s">
        <v>91</v>
      </c>
      <c r="R113" s="10">
        <v>65</v>
      </c>
      <c r="S113" s="11">
        <v>58.4</v>
      </c>
      <c r="T113" s="11">
        <v>102.15</v>
      </c>
      <c r="U113" s="13">
        <v>-0.13039999999999999</v>
      </c>
      <c r="V113" s="13">
        <v>0.40489999999999998</v>
      </c>
      <c r="W113" s="10">
        <v>0</v>
      </c>
      <c r="X113" s="14">
        <v>0</v>
      </c>
      <c r="Y113" s="11">
        <v>43.75</v>
      </c>
      <c r="Z113" s="14">
        <v>2.438106914471209E-3</v>
      </c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 t="s">
        <v>93</v>
      </c>
    </row>
    <row r="114" spans="1:48" ht="18" hidden="1" customHeight="1" x14ac:dyDescent="0.25">
      <c r="A114" s="4">
        <v>57</v>
      </c>
      <c r="B114" s="4">
        <v>1</v>
      </c>
      <c r="C114" s="4">
        <v>57</v>
      </c>
      <c r="D114" s="87">
        <v>44792</v>
      </c>
      <c r="E114" s="87">
        <v>44795</v>
      </c>
      <c r="F114" s="87">
        <v>44798</v>
      </c>
      <c r="G114" s="5">
        <v>17758.45</v>
      </c>
      <c r="H114" s="5">
        <v>17490.7</v>
      </c>
      <c r="I114" s="5">
        <v>-267.75</v>
      </c>
      <c r="J114" s="6">
        <v>-1.507732938403971E-2</v>
      </c>
      <c r="K114" s="90"/>
      <c r="L114" s="90"/>
      <c r="M114" s="7" t="s">
        <v>28</v>
      </c>
      <c r="N114" s="4">
        <v>17800</v>
      </c>
      <c r="O114" s="94"/>
      <c r="P114" s="94"/>
      <c r="Q114" s="7" t="s">
        <v>89</v>
      </c>
      <c r="R114" s="4">
        <v>65</v>
      </c>
      <c r="S114" s="4">
        <v>113</v>
      </c>
      <c r="T114" s="5">
        <v>18.899999999999999</v>
      </c>
      <c r="U114" s="8">
        <v>0.18049999999999999</v>
      </c>
      <c r="V114" s="8">
        <v>0.53859999999999997</v>
      </c>
      <c r="W114" s="5">
        <v>94.1</v>
      </c>
      <c r="X114" s="6">
        <v>5.2988858824953751E-3</v>
      </c>
      <c r="Y114" s="4">
        <v>0</v>
      </c>
      <c r="Z114" s="6">
        <v>0</v>
      </c>
      <c r="AA114" s="4">
        <v>31005</v>
      </c>
      <c r="AB114" s="5">
        <v>30379.5</v>
      </c>
      <c r="AC114" s="5">
        <v>-625.5</v>
      </c>
      <c r="AD114" s="5">
        <v>-2.0173999999999999</v>
      </c>
      <c r="AE114" s="4">
        <v>3</v>
      </c>
      <c r="AF114" s="5">
        <v>-0.05</v>
      </c>
      <c r="AG114" s="5">
        <v>-641.00250000000005</v>
      </c>
      <c r="AH114" s="5">
        <v>-2.0674000000000001</v>
      </c>
      <c r="AI114" s="8">
        <v>-2.2685</v>
      </c>
      <c r="AJ114" s="8">
        <v>-0.36699999999999999</v>
      </c>
      <c r="AK114" s="9">
        <v>-406.20249999999999</v>
      </c>
      <c r="AL114" s="9">
        <v>-0.74519999999999997</v>
      </c>
      <c r="AM114" s="5">
        <v>100.8018</v>
      </c>
      <c r="AN114" s="5">
        <v>101.9469</v>
      </c>
      <c r="AO114" s="5">
        <v>-1.1451</v>
      </c>
      <c r="AP114" s="5">
        <v>-1.1233</v>
      </c>
      <c r="AQ114" s="8">
        <v>-5.8099999999999999E-2</v>
      </c>
      <c r="AR114" s="8">
        <v>-0.84099999999999997</v>
      </c>
      <c r="AS114" s="8">
        <v>-0.84099999999999997</v>
      </c>
      <c r="AT114" s="5">
        <v>100.7045</v>
      </c>
      <c r="AU114" s="5">
        <v>-1.2186999999999999</v>
      </c>
      <c r="AV114" s="7" t="s">
        <v>93</v>
      </c>
    </row>
    <row r="115" spans="1:48" ht="18" customHeight="1" x14ac:dyDescent="0.25">
      <c r="A115" s="10">
        <v>57</v>
      </c>
      <c r="B115" s="10">
        <v>2</v>
      </c>
      <c r="C115" s="10">
        <v>57</v>
      </c>
      <c r="D115" s="88">
        <v>44792</v>
      </c>
      <c r="E115" s="88">
        <v>44795</v>
      </c>
      <c r="F115" s="88">
        <v>44798</v>
      </c>
      <c r="G115" s="11">
        <v>17758.45</v>
      </c>
      <c r="H115" s="11">
        <v>17490.7</v>
      </c>
      <c r="I115" s="12"/>
      <c r="J115" s="12"/>
      <c r="K115" s="92"/>
      <c r="L115" s="92"/>
      <c r="M115" s="12" t="s">
        <v>40</v>
      </c>
      <c r="N115" s="10">
        <v>17700</v>
      </c>
      <c r="O115" s="95">
        <f>IF(F115=F113,O113,MROUND(G115,100))</f>
        <v>17200</v>
      </c>
      <c r="P115" s="95">
        <f>O115-N115</f>
        <v>-500</v>
      </c>
      <c r="Q115" s="12" t="s">
        <v>91</v>
      </c>
      <c r="R115" s="10">
        <v>65</v>
      </c>
      <c r="S115" s="11">
        <v>102.15</v>
      </c>
      <c r="T115" s="11">
        <v>242.85</v>
      </c>
      <c r="U115" s="13">
        <v>0.12839999999999999</v>
      </c>
      <c r="V115" s="13">
        <v>0.88890000000000002</v>
      </c>
      <c r="W115" s="10">
        <v>0</v>
      </c>
      <c r="X115" s="14">
        <v>0</v>
      </c>
      <c r="Y115" s="11">
        <v>140.69999999999999</v>
      </c>
      <c r="Z115" s="14">
        <v>7.9229887743581216E-3</v>
      </c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 t="s">
        <v>93</v>
      </c>
    </row>
    <row r="116" spans="1:48" ht="18" hidden="1" customHeight="1" x14ac:dyDescent="0.25">
      <c r="A116" s="4">
        <v>58</v>
      </c>
      <c r="B116" s="4">
        <v>1</v>
      </c>
      <c r="C116" s="4">
        <v>58</v>
      </c>
      <c r="D116" s="87">
        <v>44795</v>
      </c>
      <c r="E116" s="87">
        <v>44797</v>
      </c>
      <c r="F116" s="87">
        <v>44798</v>
      </c>
      <c r="G116" s="5">
        <v>17490.7</v>
      </c>
      <c r="H116" s="5">
        <v>17604.95</v>
      </c>
      <c r="I116" s="5">
        <v>114.25</v>
      </c>
      <c r="J116" s="6">
        <v>6.5320427427146997E-3</v>
      </c>
      <c r="K116" s="90"/>
      <c r="L116" s="90"/>
      <c r="M116" s="7" t="s">
        <v>28</v>
      </c>
      <c r="N116" s="4">
        <v>17500</v>
      </c>
      <c r="O116" s="94"/>
      <c r="P116" s="94"/>
      <c r="Q116" s="7" t="s">
        <v>89</v>
      </c>
      <c r="R116" s="4">
        <v>65</v>
      </c>
      <c r="S116" s="5">
        <v>104.75</v>
      </c>
      <c r="T116" s="5">
        <v>135.65</v>
      </c>
      <c r="U116" s="8">
        <v>-0.37880000000000003</v>
      </c>
      <c r="V116" s="8">
        <v>0.32990000000000003</v>
      </c>
      <c r="W116" s="5">
        <v>-30.9</v>
      </c>
      <c r="X116" s="6">
        <v>-1.766653135666383E-3</v>
      </c>
      <c r="Y116" s="4">
        <v>0</v>
      </c>
      <c r="Z116" s="6">
        <v>0</v>
      </c>
      <c r="AA116" s="5">
        <v>30379.5</v>
      </c>
      <c r="AB116" s="5">
        <v>30960.9</v>
      </c>
      <c r="AC116" s="5">
        <v>581.4</v>
      </c>
      <c r="AD116" s="5">
        <v>1.9137999999999999</v>
      </c>
      <c r="AE116" s="4">
        <v>2</v>
      </c>
      <c r="AF116" s="5">
        <v>-3.3333000000000002E-2</v>
      </c>
      <c r="AG116" s="5">
        <v>571.27350000000001</v>
      </c>
      <c r="AH116" s="5">
        <v>1.8805000000000001</v>
      </c>
      <c r="AI116" s="8">
        <v>-0.9415</v>
      </c>
      <c r="AJ116" s="8">
        <v>1.9636</v>
      </c>
      <c r="AK116" s="15">
        <v>410.02350000000001</v>
      </c>
      <c r="AL116" s="15">
        <v>0.95860000000000001</v>
      </c>
      <c r="AM116" s="5">
        <v>101.7681</v>
      </c>
      <c r="AN116" s="5">
        <v>101.9469</v>
      </c>
      <c r="AO116" s="5">
        <v>-0.17879999999999999</v>
      </c>
      <c r="AP116" s="5">
        <v>-0.1754</v>
      </c>
      <c r="AQ116" s="8">
        <v>0.75890000000000002</v>
      </c>
      <c r="AR116" s="8">
        <v>-0.11360000000000001</v>
      </c>
      <c r="AS116" s="8">
        <v>-0.11360000000000001</v>
      </c>
      <c r="AT116" s="5">
        <v>100.68729999999999</v>
      </c>
      <c r="AU116" s="5">
        <v>-1.2356</v>
      </c>
      <c r="AV116" s="7" t="s">
        <v>90</v>
      </c>
    </row>
    <row r="117" spans="1:48" ht="18" customHeight="1" x14ac:dyDescent="0.25">
      <c r="A117" s="10">
        <v>58</v>
      </c>
      <c r="B117" s="10">
        <v>2</v>
      </c>
      <c r="C117" s="10">
        <v>58</v>
      </c>
      <c r="D117" s="88">
        <v>44795</v>
      </c>
      <c r="E117" s="88">
        <v>44797</v>
      </c>
      <c r="F117" s="88">
        <v>44798</v>
      </c>
      <c r="G117" s="11">
        <v>17490.7</v>
      </c>
      <c r="H117" s="11">
        <v>17604.95</v>
      </c>
      <c r="I117" s="12"/>
      <c r="J117" s="12"/>
      <c r="K117" s="92"/>
      <c r="L117" s="92"/>
      <c r="M117" s="12" t="s">
        <v>40</v>
      </c>
      <c r="N117" s="10">
        <v>17700</v>
      </c>
      <c r="O117" s="95">
        <f>IF(F117=F115,O115,MROUND(G117,100))</f>
        <v>17200</v>
      </c>
      <c r="P117" s="95">
        <f>O117-N117</f>
        <v>-500</v>
      </c>
      <c r="Q117" s="12" t="s">
        <v>91</v>
      </c>
      <c r="R117" s="10">
        <v>65</v>
      </c>
      <c r="S117" s="11">
        <v>242.85</v>
      </c>
      <c r="T117" s="11">
        <v>112.5</v>
      </c>
      <c r="U117" s="13">
        <v>-0.82589999999999997</v>
      </c>
      <c r="V117" s="13">
        <v>0.498</v>
      </c>
      <c r="W117" s="10">
        <v>0</v>
      </c>
      <c r="X117" s="14">
        <v>0</v>
      </c>
      <c r="Y117" s="11">
        <v>-130.35</v>
      </c>
      <c r="Z117" s="14">
        <v>-7.4525319169615849E-3</v>
      </c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 t="s">
        <v>90</v>
      </c>
    </row>
    <row r="118" spans="1:48" ht="18" hidden="1" customHeight="1" x14ac:dyDescent="0.25">
      <c r="A118" s="4">
        <v>59</v>
      </c>
      <c r="B118" s="4">
        <v>1</v>
      </c>
      <c r="C118" s="4">
        <v>59</v>
      </c>
      <c r="D118" s="87">
        <v>44797</v>
      </c>
      <c r="E118" s="87">
        <v>44802</v>
      </c>
      <c r="F118" s="87">
        <v>44805</v>
      </c>
      <c r="G118" s="5">
        <v>17604.95</v>
      </c>
      <c r="H118" s="5">
        <v>17312.900000000001</v>
      </c>
      <c r="I118" s="5">
        <v>-292.05</v>
      </c>
      <c r="J118" s="6">
        <v>-1.6589084320034989E-2</v>
      </c>
      <c r="K118" s="90"/>
      <c r="L118" s="90"/>
      <c r="M118" s="7" t="s">
        <v>28</v>
      </c>
      <c r="N118" s="4">
        <v>17600</v>
      </c>
      <c r="O118" s="94"/>
      <c r="P118" s="94"/>
      <c r="Q118" s="7" t="s">
        <v>89</v>
      </c>
      <c r="R118" s="4">
        <v>65</v>
      </c>
      <c r="S118" s="5">
        <v>182.5</v>
      </c>
      <c r="T118" s="5">
        <v>22.6</v>
      </c>
      <c r="U118" s="8">
        <v>-0.35189999999999999</v>
      </c>
      <c r="V118" s="8">
        <v>0.95599999999999996</v>
      </c>
      <c r="W118" s="5">
        <v>159.9</v>
      </c>
      <c r="X118" s="6">
        <v>9.0826727710104256E-3</v>
      </c>
      <c r="Y118" s="4">
        <v>0</v>
      </c>
      <c r="Z118" s="6">
        <v>0</v>
      </c>
      <c r="AA118" s="5">
        <v>30960.9</v>
      </c>
      <c r="AB118" s="5">
        <v>30853.85</v>
      </c>
      <c r="AC118" s="5">
        <v>-107.05</v>
      </c>
      <c r="AD118" s="5">
        <v>-0.3458</v>
      </c>
      <c r="AE118" s="4">
        <v>5</v>
      </c>
      <c r="AF118" s="5">
        <v>-8.3333000000000004E-2</v>
      </c>
      <c r="AG118" s="5">
        <v>-132.85079999999999</v>
      </c>
      <c r="AH118" s="5">
        <v>-0.42909999999999998</v>
      </c>
      <c r="AI118" s="8">
        <v>-2.3875000000000002</v>
      </c>
      <c r="AJ118" s="8">
        <v>1.0403</v>
      </c>
      <c r="AK118" s="15">
        <v>173.54920000000001</v>
      </c>
      <c r="AL118" s="15">
        <v>1.3112999999999999</v>
      </c>
      <c r="AM118" s="5">
        <v>103.1026</v>
      </c>
      <c r="AN118" s="5">
        <v>103.1026</v>
      </c>
      <c r="AO118" s="4">
        <v>0</v>
      </c>
      <c r="AP118" s="4">
        <v>0</v>
      </c>
      <c r="AQ118" s="8">
        <v>0.34670000000000001</v>
      </c>
      <c r="AR118" s="8">
        <v>-0.1222</v>
      </c>
      <c r="AS118" s="8">
        <v>-0.1222</v>
      </c>
      <c r="AT118" s="5">
        <v>101.6437</v>
      </c>
      <c r="AU118" s="5">
        <v>-0.2974</v>
      </c>
      <c r="AV118" s="7" t="s">
        <v>93</v>
      </c>
    </row>
    <row r="119" spans="1:48" ht="18" customHeight="1" x14ac:dyDescent="0.25">
      <c r="A119" s="10">
        <v>59</v>
      </c>
      <c r="B119" s="10">
        <v>2</v>
      </c>
      <c r="C119" s="10">
        <v>59</v>
      </c>
      <c r="D119" s="88">
        <v>44797</v>
      </c>
      <c r="E119" s="88">
        <v>44802</v>
      </c>
      <c r="F119" s="88">
        <v>44833</v>
      </c>
      <c r="G119" s="11">
        <v>17604.95</v>
      </c>
      <c r="H119" s="11">
        <v>17312.900000000001</v>
      </c>
      <c r="I119" s="12"/>
      <c r="J119" s="12"/>
      <c r="K119" s="92">
        <f>H119/$G$119-1</f>
        <v>-1.6589084320034919E-2</v>
      </c>
      <c r="L119" s="92"/>
      <c r="M119" s="12" t="s">
        <v>40</v>
      </c>
      <c r="N119" s="10">
        <v>17600</v>
      </c>
      <c r="O119" s="95">
        <f>IF(F119=F117,O117,MROUND(G119,100))</f>
        <v>17600</v>
      </c>
      <c r="P119" s="95">
        <f>O119-N119</f>
        <v>0</v>
      </c>
      <c r="Q119" s="12" t="s">
        <v>91</v>
      </c>
      <c r="R119" s="10">
        <v>65</v>
      </c>
      <c r="S119" s="11">
        <v>315.45</v>
      </c>
      <c r="T119" s="11">
        <v>461.95</v>
      </c>
      <c r="U119" s="13">
        <v>-0.3417</v>
      </c>
      <c r="V119" s="13">
        <v>1.3092999999999999</v>
      </c>
      <c r="W119" s="10">
        <v>0</v>
      </c>
      <c r="X119" s="14">
        <v>0</v>
      </c>
      <c r="Y119" s="11">
        <v>146.5</v>
      </c>
      <c r="Z119" s="14">
        <v>8.3215232079613972E-3</v>
      </c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 t="s">
        <v>93</v>
      </c>
    </row>
    <row r="120" spans="1:48" ht="18" hidden="1" customHeight="1" x14ac:dyDescent="0.25">
      <c r="A120" s="4">
        <v>60</v>
      </c>
      <c r="B120" s="4">
        <v>1</v>
      </c>
      <c r="C120" s="4">
        <v>60</v>
      </c>
      <c r="D120" s="87">
        <v>44802</v>
      </c>
      <c r="E120" s="87">
        <v>44803</v>
      </c>
      <c r="F120" s="87">
        <v>44805</v>
      </c>
      <c r="G120" s="5">
        <v>17312.900000000001</v>
      </c>
      <c r="H120" s="5">
        <v>17759.3</v>
      </c>
      <c r="I120" s="5">
        <v>446.4</v>
      </c>
      <c r="J120" s="6">
        <v>2.5784241808131509E-2</v>
      </c>
      <c r="K120" s="90"/>
      <c r="L120" s="90"/>
      <c r="M120" s="7" t="s">
        <v>28</v>
      </c>
      <c r="N120" s="4">
        <v>17300</v>
      </c>
      <c r="O120" s="94"/>
      <c r="P120" s="94"/>
      <c r="Q120" s="7" t="s">
        <v>89</v>
      </c>
      <c r="R120" s="4">
        <v>65</v>
      </c>
      <c r="S120" s="5">
        <v>124.75</v>
      </c>
      <c r="T120" s="5">
        <v>480.4</v>
      </c>
      <c r="U120" s="8">
        <v>-2.1604999999999999</v>
      </c>
      <c r="V120" s="8">
        <v>-0.17469999999999999</v>
      </c>
      <c r="W120" s="5">
        <v>-355.65</v>
      </c>
      <c r="X120" s="6">
        <v>-2.054248566098112E-2</v>
      </c>
      <c r="Y120" s="4">
        <v>0</v>
      </c>
      <c r="Z120" s="6">
        <v>0</v>
      </c>
      <c r="AA120" s="5">
        <v>30853.85</v>
      </c>
      <c r="AB120" s="5">
        <v>31481.7</v>
      </c>
      <c r="AC120" s="5">
        <v>627.85</v>
      </c>
      <c r="AD120" s="5">
        <v>2.0348999999999999</v>
      </c>
      <c r="AE120" s="4">
        <v>1</v>
      </c>
      <c r="AF120" s="5">
        <v>-1.6667000000000001E-2</v>
      </c>
      <c r="AG120" s="5">
        <v>622.70770000000005</v>
      </c>
      <c r="AH120" s="5">
        <v>2.0182000000000002</v>
      </c>
      <c r="AI120" s="8">
        <v>0.70630000000000004</v>
      </c>
      <c r="AJ120" s="8">
        <v>2.1400999999999999</v>
      </c>
      <c r="AK120" s="15">
        <v>41.407699999999998</v>
      </c>
      <c r="AL120" s="15">
        <v>-1.3393999999999999</v>
      </c>
      <c r="AM120" s="5">
        <v>101.7216</v>
      </c>
      <c r="AN120" s="5">
        <v>103.1026</v>
      </c>
      <c r="AO120" s="5">
        <v>-1.381</v>
      </c>
      <c r="AP120" s="5">
        <v>-1.3393999999999999</v>
      </c>
      <c r="AQ120" s="8">
        <v>-1.3711</v>
      </c>
      <c r="AR120" s="8">
        <v>0.18970000000000001</v>
      </c>
      <c r="AS120" s="8">
        <v>-1.3711</v>
      </c>
      <c r="AT120" s="5">
        <v>101.6889</v>
      </c>
      <c r="AU120" s="5">
        <v>-1.3711</v>
      </c>
      <c r="AV120" s="7" t="s">
        <v>90</v>
      </c>
    </row>
    <row r="121" spans="1:48" ht="18" customHeight="1" x14ac:dyDescent="0.25">
      <c r="A121" s="10">
        <v>60</v>
      </c>
      <c r="B121" s="10">
        <v>2</v>
      </c>
      <c r="C121" s="10">
        <v>60</v>
      </c>
      <c r="D121" s="88">
        <v>44802</v>
      </c>
      <c r="E121" s="88">
        <v>44803</v>
      </c>
      <c r="F121" s="88">
        <v>44833</v>
      </c>
      <c r="G121" s="11">
        <v>17312.900000000001</v>
      </c>
      <c r="H121" s="11">
        <v>17759.3</v>
      </c>
      <c r="I121" s="12"/>
      <c r="J121" s="12"/>
      <c r="K121" s="92">
        <f>H121/$G$119-1</f>
        <v>8.7674205266132788E-3</v>
      </c>
      <c r="L121" s="92"/>
      <c r="M121" s="12" t="s">
        <v>40</v>
      </c>
      <c r="N121" s="10">
        <v>17600</v>
      </c>
      <c r="O121" s="95">
        <f>IF(F121=F119,O119,MROUND(G121,100))</f>
        <v>17600</v>
      </c>
      <c r="P121" s="95">
        <f>O121-N121</f>
        <v>0</v>
      </c>
      <c r="Q121" s="12" t="s">
        <v>91</v>
      </c>
      <c r="R121" s="10">
        <v>65</v>
      </c>
      <c r="S121" s="11">
        <v>461.95</v>
      </c>
      <c r="T121" s="11">
        <v>236.3</v>
      </c>
      <c r="U121" s="13">
        <v>-1.3507</v>
      </c>
      <c r="V121" s="13">
        <v>-0.34189999999999998</v>
      </c>
      <c r="W121" s="10">
        <v>0</v>
      </c>
      <c r="X121" s="14">
        <v>0</v>
      </c>
      <c r="Y121" s="11">
        <v>-225.65</v>
      </c>
      <c r="Z121" s="14">
        <v>-1.3033633879939241E-2</v>
      </c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 t="s">
        <v>90</v>
      </c>
    </row>
    <row r="122" spans="1:48" ht="18" hidden="1" customHeight="1" x14ac:dyDescent="0.25">
      <c r="A122" s="4">
        <v>61</v>
      </c>
      <c r="B122" s="4">
        <v>1</v>
      </c>
      <c r="C122" s="4">
        <v>61</v>
      </c>
      <c r="D122" s="87">
        <v>44803</v>
      </c>
      <c r="E122" s="87">
        <v>44805</v>
      </c>
      <c r="F122" s="87">
        <v>44812</v>
      </c>
      <c r="G122" s="5">
        <v>17759.3</v>
      </c>
      <c r="H122" s="5">
        <v>17542.8</v>
      </c>
      <c r="I122" s="5">
        <v>-216.5</v>
      </c>
      <c r="J122" s="6">
        <v>-1.219079580839335E-2</v>
      </c>
      <c r="K122" s="90"/>
      <c r="L122" s="90"/>
      <c r="M122" s="7" t="s">
        <v>28</v>
      </c>
      <c r="N122" s="4">
        <v>17800</v>
      </c>
      <c r="O122" s="94"/>
      <c r="P122" s="94"/>
      <c r="Q122" s="7" t="s">
        <v>89</v>
      </c>
      <c r="R122" s="4">
        <v>65</v>
      </c>
      <c r="S122" s="5">
        <v>169.25</v>
      </c>
      <c r="T122" s="5">
        <v>80.8</v>
      </c>
      <c r="U122" s="8">
        <v>0.19120000000000001</v>
      </c>
      <c r="V122" s="8">
        <v>0.66020000000000001</v>
      </c>
      <c r="W122" s="5">
        <v>88.45</v>
      </c>
      <c r="X122" s="6">
        <v>4.9804890958540038E-3</v>
      </c>
      <c r="Y122" s="4">
        <v>0</v>
      </c>
      <c r="Z122" s="6">
        <v>0</v>
      </c>
      <c r="AA122" s="5">
        <v>31481.7</v>
      </c>
      <c r="AB122" s="5">
        <v>31516.3</v>
      </c>
      <c r="AC122" s="5">
        <v>34.6</v>
      </c>
      <c r="AD122" s="5">
        <v>0.1099</v>
      </c>
      <c r="AE122" s="4">
        <v>2</v>
      </c>
      <c r="AF122" s="5">
        <v>-3.3333000000000002E-2</v>
      </c>
      <c r="AG122" s="5">
        <v>24.106100000000001</v>
      </c>
      <c r="AH122" s="5">
        <v>7.6600000000000001E-2</v>
      </c>
      <c r="AI122" s="8">
        <v>-0.85670000000000002</v>
      </c>
      <c r="AJ122" s="8">
        <v>0.30640000000000001</v>
      </c>
      <c r="AK122" s="15">
        <v>226.20609999999999</v>
      </c>
      <c r="AL122" s="15">
        <v>1.2145999999999999</v>
      </c>
      <c r="AM122" s="5">
        <v>102.9571</v>
      </c>
      <c r="AN122" s="5">
        <v>103.1026</v>
      </c>
      <c r="AO122" s="5">
        <v>-0.1454</v>
      </c>
      <c r="AP122" s="5">
        <v>-0.1411</v>
      </c>
      <c r="AQ122" s="8">
        <v>0.74729999999999996</v>
      </c>
      <c r="AR122" s="8">
        <v>0.83199999999999996</v>
      </c>
      <c r="AS122" s="8">
        <v>0.74729999999999996</v>
      </c>
      <c r="AT122" s="5">
        <v>102.48180000000001</v>
      </c>
      <c r="AU122" s="5">
        <v>-0.60209999999999997</v>
      </c>
      <c r="AV122" s="7" t="s">
        <v>93</v>
      </c>
    </row>
    <row r="123" spans="1:48" ht="18" customHeight="1" x14ac:dyDescent="0.25">
      <c r="A123" s="10">
        <v>61</v>
      </c>
      <c r="B123" s="10">
        <v>2</v>
      </c>
      <c r="C123" s="10">
        <v>61</v>
      </c>
      <c r="D123" s="88">
        <v>44803</v>
      </c>
      <c r="E123" s="88">
        <v>44805</v>
      </c>
      <c r="F123" s="88">
        <v>44833</v>
      </c>
      <c r="G123" s="11">
        <v>17759.3</v>
      </c>
      <c r="H123" s="11">
        <v>17542.8</v>
      </c>
      <c r="I123" s="12"/>
      <c r="J123" s="12"/>
      <c r="K123" s="92">
        <f>H123/$G$119-1</f>
        <v>-3.5302571151863971E-3</v>
      </c>
      <c r="L123" s="92"/>
      <c r="M123" s="12" t="s">
        <v>40</v>
      </c>
      <c r="N123" s="10">
        <v>17600</v>
      </c>
      <c r="O123" s="95">
        <f>IF(F123=F121,O121,MROUND(G123,100))</f>
        <v>17600</v>
      </c>
      <c r="P123" s="95">
        <f>O123-N123</f>
        <v>0</v>
      </c>
      <c r="Q123" s="12" t="s">
        <v>91</v>
      </c>
      <c r="R123" s="10">
        <v>65</v>
      </c>
      <c r="S123" s="11">
        <v>236.3</v>
      </c>
      <c r="T123" s="11">
        <v>349.95</v>
      </c>
      <c r="U123" s="13">
        <v>0.24970000000000001</v>
      </c>
      <c r="V123" s="13">
        <v>1.0285</v>
      </c>
      <c r="W123" s="10">
        <v>0</v>
      </c>
      <c r="X123" s="14">
        <v>0</v>
      </c>
      <c r="Y123" s="11">
        <v>113.65</v>
      </c>
      <c r="Z123" s="14">
        <v>6.399463942835585E-3</v>
      </c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 t="s">
        <v>93</v>
      </c>
    </row>
    <row r="124" spans="1:48" ht="18" hidden="1" customHeight="1" x14ac:dyDescent="0.25">
      <c r="A124" s="4">
        <v>62</v>
      </c>
      <c r="B124" s="4">
        <v>1</v>
      </c>
      <c r="C124" s="4">
        <v>62</v>
      </c>
      <c r="D124" s="87">
        <v>44805</v>
      </c>
      <c r="E124" s="87">
        <v>44811</v>
      </c>
      <c r="F124" s="87">
        <v>44812</v>
      </c>
      <c r="G124" s="5">
        <v>17542.8</v>
      </c>
      <c r="H124" s="5">
        <v>17624.400000000001</v>
      </c>
      <c r="I124" s="5">
        <v>81.599999999999994</v>
      </c>
      <c r="J124" s="6">
        <v>4.6514809494493468E-3</v>
      </c>
      <c r="K124" s="90"/>
      <c r="L124" s="90"/>
      <c r="M124" s="7" t="s">
        <v>28</v>
      </c>
      <c r="N124" s="4">
        <v>17500</v>
      </c>
      <c r="O124" s="94"/>
      <c r="P124" s="94"/>
      <c r="Q124" s="7" t="s">
        <v>89</v>
      </c>
      <c r="R124" s="4">
        <v>65</v>
      </c>
      <c r="S124" s="4">
        <v>212</v>
      </c>
      <c r="T124" s="5">
        <v>160.30000000000001</v>
      </c>
      <c r="U124" s="8">
        <v>-0.4577</v>
      </c>
      <c r="V124" s="8">
        <v>0.67810000000000004</v>
      </c>
      <c r="W124" s="5">
        <v>51.7</v>
      </c>
      <c r="X124" s="6">
        <v>2.9470780035114122E-3</v>
      </c>
      <c r="Y124" s="4">
        <v>0</v>
      </c>
      <c r="Z124" s="6">
        <v>0</v>
      </c>
      <c r="AA124" s="5">
        <v>31516.3</v>
      </c>
      <c r="AB124" s="5">
        <v>31865.55</v>
      </c>
      <c r="AC124" s="5">
        <v>349.25</v>
      </c>
      <c r="AD124" s="5">
        <v>1.1082000000000001</v>
      </c>
      <c r="AE124" s="4">
        <v>6</v>
      </c>
      <c r="AF124" s="5">
        <v>-0.1</v>
      </c>
      <c r="AG124" s="5">
        <v>317.7337</v>
      </c>
      <c r="AH124" s="5">
        <v>1.0082</v>
      </c>
      <c r="AI124" s="8">
        <v>-0.53410000000000002</v>
      </c>
      <c r="AJ124" s="8">
        <v>1.0965</v>
      </c>
      <c r="AK124" s="15">
        <v>302.38369999999998</v>
      </c>
      <c r="AL124" s="15">
        <v>0.92069999999999996</v>
      </c>
      <c r="AM124" s="5">
        <v>103.9051</v>
      </c>
      <c r="AN124" s="5">
        <v>103.9051</v>
      </c>
      <c r="AO124" s="4">
        <v>0</v>
      </c>
      <c r="AP124" s="4">
        <v>0</v>
      </c>
      <c r="AQ124" s="8">
        <v>-1.6000000000000001E-3</v>
      </c>
      <c r="AR124" s="8">
        <v>0.40050000000000002</v>
      </c>
      <c r="AS124" s="8">
        <v>-1.6000000000000001E-3</v>
      </c>
      <c r="AT124" s="5">
        <v>102.9555</v>
      </c>
      <c r="AU124" s="5">
        <v>-0.14269999999999999</v>
      </c>
      <c r="AV124" s="7" t="s">
        <v>90</v>
      </c>
    </row>
    <row r="125" spans="1:48" ht="18" customHeight="1" x14ac:dyDescent="0.25">
      <c r="A125" s="10">
        <v>62</v>
      </c>
      <c r="B125" s="10">
        <v>2</v>
      </c>
      <c r="C125" s="10">
        <v>62</v>
      </c>
      <c r="D125" s="88">
        <v>44805</v>
      </c>
      <c r="E125" s="88">
        <v>44811</v>
      </c>
      <c r="F125" s="88">
        <v>44833</v>
      </c>
      <c r="G125" s="11">
        <v>17542.8</v>
      </c>
      <c r="H125" s="11">
        <v>17624.400000000001</v>
      </c>
      <c r="I125" s="12"/>
      <c r="J125" s="12"/>
      <c r="K125" s="92">
        <f>H125/$G$119-1</f>
        <v>1.1048029105451551E-3</v>
      </c>
      <c r="L125" s="92"/>
      <c r="M125" s="12" t="s">
        <v>40</v>
      </c>
      <c r="N125" s="10">
        <v>17600</v>
      </c>
      <c r="O125" s="95">
        <f>IF(F125=F123,O123,MROUND(G125,100))</f>
        <v>17600</v>
      </c>
      <c r="P125" s="95">
        <f>O125-N125</f>
        <v>0</v>
      </c>
      <c r="Q125" s="12" t="s">
        <v>91</v>
      </c>
      <c r="R125" s="10">
        <v>65</v>
      </c>
      <c r="S125" s="11">
        <v>349.95</v>
      </c>
      <c r="T125" s="11">
        <v>282.89999999999998</v>
      </c>
      <c r="U125" s="13">
        <v>-0.64039999999999997</v>
      </c>
      <c r="V125" s="13">
        <v>0.25650000000000001</v>
      </c>
      <c r="W125" s="10">
        <v>0</v>
      </c>
      <c r="X125" s="14">
        <v>0</v>
      </c>
      <c r="Y125" s="11">
        <v>-67.05</v>
      </c>
      <c r="Z125" s="14">
        <v>-3.822080853683562E-3</v>
      </c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 t="s">
        <v>90</v>
      </c>
    </row>
    <row r="126" spans="1:48" ht="18" hidden="1" customHeight="1" x14ac:dyDescent="0.25">
      <c r="A126" s="4">
        <v>63</v>
      </c>
      <c r="B126" s="4">
        <v>1</v>
      </c>
      <c r="C126" s="4">
        <v>63</v>
      </c>
      <c r="D126" s="87">
        <v>44811</v>
      </c>
      <c r="E126" s="87">
        <v>44813</v>
      </c>
      <c r="F126" s="87">
        <v>44819</v>
      </c>
      <c r="G126" s="5">
        <v>17624.400000000001</v>
      </c>
      <c r="H126" s="5">
        <v>17833.349999999999</v>
      </c>
      <c r="I126" s="5">
        <v>208.95</v>
      </c>
      <c r="J126" s="6">
        <v>1.1855722748008441E-2</v>
      </c>
      <c r="K126" s="90"/>
      <c r="L126" s="90"/>
      <c r="M126" s="7" t="s">
        <v>28</v>
      </c>
      <c r="N126" s="4">
        <v>17600</v>
      </c>
      <c r="O126" s="94"/>
      <c r="P126" s="94"/>
      <c r="Q126" s="7" t="s">
        <v>89</v>
      </c>
      <c r="R126" s="4">
        <v>65</v>
      </c>
      <c r="S126" s="5">
        <v>201.95</v>
      </c>
      <c r="T126" s="5">
        <v>297.8</v>
      </c>
      <c r="U126" s="8">
        <v>-0.93559999999999999</v>
      </c>
      <c r="V126" s="8">
        <v>-8.3099999999999993E-2</v>
      </c>
      <c r="W126" s="5">
        <v>-95.85</v>
      </c>
      <c r="X126" s="6">
        <v>-5.4384830121876476E-3</v>
      </c>
      <c r="Y126" s="4">
        <v>0</v>
      </c>
      <c r="Z126" s="6">
        <v>0</v>
      </c>
      <c r="AA126" s="5">
        <v>31865.55</v>
      </c>
      <c r="AB126" s="5">
        <v>32035.9</v>
      </c>
      <c r="AC126" s="5">
        <v>170.35</v>
      </c>
      <c r="AD126" s="5">
        <v>0.53459999999999996</v>
      </c>
      <c r="AE126" s="4">
        <v>2</v>
      </c>
      <c r="AF126" s="5">
        <v>-3.3333000000000002E-2</v>
      </c>
      <c r="AG126" s="5">
        <v>159.72819999999999</v>
      </c>
      <c r="AH126" s="5">
        <v>0.50129999999999997</v>
      </c>
      <c r="AI126" s="8">
        <v>-4.82E-2</v>
      </c>
      <c r="AJ126" s="8">
        <v>1.0584</v>
      </c>
      <c r="AK126" s="9">
        <v>-56.271799999999999</v>
      </c>
      <c r="AL126" s="9">
        <v>-0.72430000000000005</v>
      </c>
      <c r="AM126" s="5">
        <v>103.1525</v>
      </c>
      <c r="AN126" s="5">
        <v>103.9051</v>
      </c>
      <c r="AO126" s="5">
        <v>-0.75260000000000005</v>
      </c>
      <c r="AP126" s="5">
        <v>-0.72430000000000005</v>
      </c>
      <c r="AQ126" s="8">
        <v>-0.70279999999999998</v>
      </c>
      <c r="AR126" s="8">
        <v>-0.29389999999999999</v>
      </c>
      <c r="AS126" s="8">
        <v>-0.72430000000000005</v>
      </c>
      <c r="AT126" s="5">
        <v>103.1525</v>
      </c>
      <c r="AU126" s="5">
        <v>-0.72430000000000005</v>
      </c>
      <c r="AV126" s="7" t="s">
        <v>96</v>
      </c>
    </row>
    <row r="127" spans="1:48" ht="18" customHeight="1" x14ac:dyDescent="0.25">
      <c r="A127" s="10">
        <v>63</v>
      </c>
      <c r="B127" s="10">
        <v>2</v>
      </c>
      <c r="C127" s="10">
        <v>63</v>
      </c>
      <c r="D127" s="88">
        <v>44811</v>
      </c>
      <c r="E127" s="88">
        <v>44813</v>
      </c>
      <c r="F127" s="88">
        <v>44833</v>
      </c>
      <c r="G127" s="11">
        <v>17624.400000000001</v>
      </c>
      <c r="H127" s="11">
        <v>17833.349999999999</v>
      </c>
      <c r="I127" s="12"/>
      <c r="J127" s="12"/>
      <c r="K127" s="92">
        <f>H127/$G$119-1</f>
        <v>1.2973623895552011E-2</v>
      </c>
      <c r="L127" s="92"/>
      <c r="M127" s="12" t="s">
        <v>40</v>
      </c>
      <c r="N127" s="10">
        <v>17600</v>
      </c>
      <c r="O127" s="95">
        <f>IF(F127=F125,O125,MROUND(G127,100))</f>
        <v>17600</v>
      </c>
      <c r="P127" s="95">
        <f>O127-N127</f>
        <v>0</v>
      </c>
      <c r="Q127" s="12" t="s">
        <v>91</v>
      </c>
      <c r="R127" s="10">
        <v>65</v>
      </c>
      <c r="S127" s="11">
        <v>282.89999999999998</v>
      </c>
      <c r="T127" s="11">
        <v>162.75</v>
      </c>
      <c r="U127" s="13">
        <v>-0.8256</v>
      </c>
      <c r="V127" s="13">
        <v>-0.16259999999999999</v>
      </c>
      <c r="W127" s="10">
        <v>0</v>
      </c>
      <c r="X127" s="14">
        <v>0</v>
      </c>
      <c r="Y127" s="11">
        <v>-120.15</v>
      </c>
      <c r="Z127" s="14">
        <v>-6.817253353305644E-3</v>
      </c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 t="s">
        <v>96</v>
      </c>
    </row>
    <row r="128" spans="1:48" ht="18" hidden="1" customHeight="1" x14ac:dyDescent="0.25">
      <c r="A128" s="4">
        <v>64</v>
      </c>
      <c r="B128" s="4">
        <v>1</v>
      </c>
      <c r="C128" s="4">
        <v>64</v>
      </c>
      <c r="D128" s="87">
        <v>44813</v>
      </c>
      <c r="E128" s="87">
        <v>44817</v>
      </c>
      <c r="F128" s="87">
        <v>44819</v>
      </c>
      <c r="G128" s="5">
        <v>17833.349999999999</v>
      </c>
      <c r="H128" s="5">
        <v>18070.05</v>
      </c>
      <c r="I128" s="5">
        <v>236.7</v>
      </c>
      <c r="J128" s="6">
        <v>1.3272884791696461E-2</v>
      </c>
      <c r="K128" s="90"/>
      <c r="L128" s="90"/>
      <c r="M128" s="7" t="s">
        <v>28</v>
      </c>
      <c r="N128" s="4">
        <v>17800</v>
      </c>
      <c r="O128" s="94"/>
      <c r="P128" s="94"/>
      <c r="Q128" s="7" t="s">
        <v>89</v>
      </c>
      <c r="R128" s="4">
        <v>65</v>
      </c>
      <c r="S128" s="5">
        <v>161.30000000000001</v>
      </c>
      <c r="T128" s="4">
        <v>303</v>
      </c>
      <c r="U128" s="8">
        <v>-0.8579</v>
      </c>
      <c r="V128" s="8">
        <v>-2.2100000000000002E-2</v>
      </c>
      <c r="W128" s="5">
        <v>-141.69999999999999</v>
      </c>
      <c r="X128" s="6">
        <v>-7.9457869665542375E-3</v>
      </c>
      <c r="Y128" s="4">
        <v>0</v>
      </c>
      <c r="Z128" s="6">
        <v>0</v>
      </c>
      <c r="AA128" s="5">
        <v>32035.9</v>
      </c>
      <c r="AB128" s="5">
        <v>32398.75</v>
      </c>
      <c r="AC128" s="5">
        <v>362.85</v>
      </c>
      <c r="AD128" s="5">
        <v>1.1326000000000001</v>
      </c>
      <c r="AE128" s="4">
        <v>4</v>
      </c>
      <c r="AF128" s="5">
        <v>-6.6667000000000004E-2</v>
      </c>
      <c r="AG128" s="5">
        <v>341.49270000000001</v>
      </c>
      <c r="AH128" s="5">
        <v>1.0660000000000001</v>
      </c>
      <c r="AI128" s="8">
        <v>0.30270000000000002</v>
      </c>
      <c r="AJ128" s="8">
        <v>1.7032</v>
      </c>
      <c r="AK128" s="15">
        <v>121.84269999999999</v>
      </c>
      <c r="AL128" s="15">
        <v>-0.16569999999999999</v>
      </c>
      <c r="AM128" s="5">
        <v>102.9815</v>
      </c>
      <c r="AN128" s="5">
        <v>103.9051</v>
      </c>
      <c r="AO128" s="5">
        <v>-0.92349999999999999</v>
      </c>
      <c r="AP128" s="5">
        <v>-0.88880000000000003</v>
      </c>
      <c r="AQ128" s="8">
        <v>0.39639999999999997</v>
      </c>
      <c r="AR128" s="8">
        <v>0.2621</v>
      </c>
      <c r="AS128" s="8">
        <v>-0.16569999999999999</v>
      </c>
      <c r="AT128" s="5">
        <v>102.9815</v>
      </c>
      <c r="AU128" s="5">
        <v>-0.88880000000000003</v>
      </c>
      <c r="AV128" s="7" t="s">
        <v>96</v>
      </c>
    </row>
    <row r="129" spans="1:48" ht="18" customHeight="1" x14ac:dyDescent="0.25">
      <c r="A129" s="10">
        <v>64</v>
      </c>
      <c r="B129" s="10">
        <v>2</v>
      </c>
      <c r="C129" s="10">
        <v>64</v>
      </c>
      <c r="D129" s="88">
        <v>44813</v>
      </c>
      <c r="E129" s="88">
        <v>44817</v>
      </c>
      <c r="F129" s="88">
        <v>44833</v>
      </c>
      <c r="G129" s="11">
        <v>17833.349999999999</v>
      </c>
      <c r="H129" s="11">
        <v>18070.05</v>
      </c>
      <c r="I129" s="12"/>
      <c r="J129" s="12"/>
      <c r="K129" s="92">
        <f>H129/$G$119-1</f>
        <v>2.6418706102544931E-2</v>
      </c>
      <c r="L129" s="92"/>
      <c r="M129" s="12" t="s">
        <v>40</v>
      </c>
      <c r="N129" s="10">
        <v>17600</v>
      </c>
      <c r="O129" s="95">
        <f>IF(F129=F127,O127,MROUND(G129,100))</f>
        <v>17600</v>
      </c>
      <c r="P129" s="95">
        <f>O129-N129</f>
        <v>0</v>
      </c>
      <c r="Q129" s="12" t="s">
        <v>91</v>
      </c>
      <c r="R129" s="10">
        <v>65</v>
      </c>
      <c r="S129" s="11">
        <v>162.75</v>
      </c>
      <c r="T129" s="11">
        <v>84.8</v>
      </c>
      <c r="U129" s="13">
        <v>-0.44890000000000002</v>
      </c>
      <c r="V129" s="13">
        <v>-1.8499999999999999E-2</v>
      </c>
      <c r="W129" s="10">
        <v>0</v>
      </c>
      <c r="X129" s="14">
        <v>0</v>
      </c>
      <c r="Y129" s="11">
        <v>-77.95</v>
      </c>
      <c r="Z129" s="14">
        <v>-4.3710239523140626E-3</v>
      </c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 t="s">
        <v>96</v>
      </c>
    </row>
    <row r="130" spans="1:48" ht="18" hidden="1" customHeight="1" x14ac:dyDescent="0.25">
      <c r="A130" s="4">
        <v>65</v>
      </c>
      <c r="B130" s="4">
        <v>1</v>
      </c>
      <c r="C130" s="4">
        <v>65</v>
      </c>
      <c r="D130" s="87">
        <v>44817</v>
      </c>
      <c r="E130" s="87">
        <v>44818</v>
      </c>
      <c r="F130" s="87">
        <v>44819</v>
      </c>
      <c r="G130" s="5">
        <v>18070.05</v>
      </c>
      <c r="H130" s="5">
        <v>18003.75</v>
      </c>
      <c r="I130" s="5">
        <v>-66.3</v>
      </c>
      <c r="J130" s="6">
        <v>-3.669054595864427E-3</v>
      </c>
      <c r="K130" s="90"/>
      <c r="L130" s="90"/>
      <c r="M130" s="7" t="s">
        <v>28</v>
      </c>
      <c r="N130" s="4">
        <v>18100</v>
      </c>
      <c r="O130" s="94"/>
      <c r="P130" s="94"/>
      <c r="Q130" s="7" t="s">
        <v>89</v>
      </c>
      <c r="R130" s="4">
        <v>65</v>
      </c>
      <c r="S130" s="5">
        <v>84.45</v>
      </c>
      <c r="T130" s="5">
        <v>41.2</v>
      </c>
      <c r="U130" s="8">
        <v>6.6699999999999995E-2</v>
      </c>
      <c r="V130" s="8">
        <v>0.42530000000000001</v>
      </c>
      <c r="W130" s="5">
        <v>43.25</v>
      </c>
      <c r="X130" s="6">
        <v>2.3934632167592232E-3</v>
      </c>
      <c r="Y130" s="4">
        <v>0</v>
      </c>
      <c r="Z130" s="6">
        <v>0</v>
      </c>
      <c r="AA130" s="5">
        <v>32398.75</v>
      </c>
      <c r="AB130" s="5">
        <v>32291.75</v>
      </c>
      <c r="AC130" s="4">
        <v>-107</v>
      </c>
      <c r="AD130" s="5">
        <v>-0.33029999999999998</v>
      </c>
      <c r="AE130" s="4">
        <v>1</v>
      </c>
      <c r="AF130" s="5">
        <v>-1.6667000000000001E-2</v>
      </c>
      <c r="AG130" s="5">
        <v>-112.3998</v>
      </c>
      <c r="AH130" s="5">
        <v>-0.34689999999999999</v>
      </c>
      <c r="AI130" s="8">
        <v>-1.4676</v>
      </c>
      <c r="AJ130" s="8">
        <v>-5.3900000000000003E-2</v>
      </c>
      <c r="AK130" s="9">
        <v>-45.199800000000003</v>
      </c>
      <c r="AL130" s="9">
        <v>2.5000000000000001E-2</v>
      </c>
      <c r="AM130" s="5">
        <v>103.0073</v>
      </c>
      <c r="AN130" s="5">
        <v>103.9051</v>
      </c>
      <c r="AO130" s="5">
        <v>-0.89780000000000004</v>
      </c>
      <c r="AP130" s="5">
        <v>-0.86399999999999999</v>
      </c>
      <c r="AQ130" s="8">
        <v>3.4700000000000002E-2</v>
      </c>
      <c r="AR130" s="8">
        <v>-0.57969999999999999</v>
      </c>
      <c r="AS130" s="8">
        <v>-0.57969999999999999</v>
      </c>
      <c r="AT130" s="5">
        <v>102.38460000000001</v>
      </c>
      <c r="AU130" s="5">
        <v>-1.4633</v>
      </c>
      <c r="AV130" s="7" t="s">
        <v>90</v>
      </c>
    </row>
    <row r="131" spans="1:48" ht="18" customHeight="1" x14ac:dyDescent="0.25">
      <c r="A131" s="10">
        <v>65</v>
      </c>
      <c r="B131" s="10">
        <v>2</v>
      </c>
      <c r="C131" s="10">
        <v>65</v>
      </c>
      <c r="D131" s="88">
        <v>44817</v>
      </c>
      <c r="E131" s="88">
        <v>44818</v>
      </c>
      <c r="F131" s="88">
        <v>44833</v>
      </c>
      <c r="G131" s="11">
        <v>18070.05</v>
      </c>
      <c r="H131" s="11">
        <v>18003.75</v>
      </c>
      <c r="I131" s="12"/>
      <c r="J131" s="12"/>
      <c r="K131" s="92">
        <f>H131/$G$119-1</f>
        <v>2.2652719831638191E-2</v>
      </c>
      <c r="L131" s="92"/>
      <c r="M131" s="12" t="s">
        <v>40</v>
      </c>
      <c r="N131" s="10">
        <v>17600</v>
      </c>
      <c r="O131" s="95">
        <f>IF(F131=F129,O129,MROUND(G131,100))</f>
        <v>17600</v>
      </c>
      <c r="P131" s="95">
        <f>O131-N131</f>
        <v>0</v>
      </c>
      <c r="Q131" s="12" t="s">
        <v>91</v>
      </c>
      <c r="R131" s="10">
        <v>65</v>
      </c>
      <c r="S131" s="11">
        <v>84.8</v>
      </c>
      <c r="T131" s="11">
        <v>108.75</v>
      </c>
      <c r="U131" s="13">
        <v>2.1899999999999999E-2</v>
      </c>
      <c r="V131" s="13">
        <v>0.46260000000000001</v>
      </c>
      <c r="W131" s="10">
        <v>0</v>
      </c>
      <c r="X131" s="14">
        <v>0</v>
      </c>
      <c r="Y131" s="11">
        <v>23.95</v>
      </c>
      <c r="Z131" s="14">
        <v>1.32539755008979E-3</v>
      </c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 t="s">
        <v>90</v>
      </c>
    </row>
    <row r="132" spans="1:48" ht="18" hidden="1" customHeight="1" x14ac:dyDescent="0.25">
      <c r="A132" s="4">
        <v>66</v>
      </c>
      <c r="B132" s="4">
        <v>1</v>
      </c>
      <c r="C132" s="4">
        <v>66</v>
      </c>
      <c r="D132" s="87">
        <v>44818</v>
      </c>
      <c r="E132" s="87">
        <v>44820</v>
      </c>
      <c r="F132" s="87">
        <v>44826</v>
      </c>
      <c r="G132" s="5">
        <v>18003.75</v>
      </c>
      <c r="H132" s="5">
        <v>17530.849999999999</v>
      </c>
      <c r="I132" s="5">
        <v>-472.9</v>
      </c>
      <c r="J132" s="6">
        <v>-2.6266749982642501E-2</v>
      </c>
      <c r="K132" s="90"/>
      <c r="L132" s="90"/>
      <c r="M132" s="7" t="s">
        <v>28</v>
      </c>
      <c r="N132" s="4">
        <v>18000</v>
      </c>
      <c r="O132" s="94"/>
      <c r="P132" s="94"/>
      <c r="Q132" s="7" t="s">
        <v>89</v>
      </c>
      <c r="R132" s="4">
        <v>65</v>
      </c>
      <c r="S132" s="5">
        <v>195.3</v>
      </c>
      <c r="T132" s="5">
        <v>30.15</v>
      </c>
      <c r="U132" s="8">
        <v>-0.16</v>
      </c>
      <c r="V132" s="8">
        <v>0.93289999999999995</v>
      </c>
      <c r="W132" s="5">
        <v>165.15</v>
      </c>
      <c r="X132" s="6">
        <v>9.1730889398042078E-3</v>
      </c>
      <c r="Y132" s="4">
        <v>0</v>
      </c>
      <c r="Z132" s="6">
        <v>0</v>
      </c>
      <c r="AA132" s="5">
        <v>32291.75</v>
      </c>
      <c r="AB132" s="5">
        <v>31494.9</v>
      </c>
      <c r="AC132" s="5">
        <v>-796.85</v>
      </c>
      <c r="AD132" s="5">
        <v>-2.4676999999999998</v>
      </c>
      <c r="AE132" s="4">
        <v>2</v>
      </c>
      <c r="AF132" s="5">
        <v>-3.3333000000000002E-2</v>
      </c>
      <c r="AG132" s="5">
        <v>-807.61389999999994</v>
      </c>
      <c r="AH132" s="5">
        <v>-2.5009999999999999</v>
      </c>
      <c r="AI132" s="8">
        <v>-3.1398999999999999</v>
      </c>
      <c r="AJ132" s="8">
        <v>0.84250000000000003</v>
      </c>
      <c r="AK132" s="9">
        <v>-476.21390000000002</v>
      </c>
      <c r="AL132" s="9">
        <v>-0.6603</v>
      </c>
      <c r="AM132" s="5">
        <v>102.3271</v>
      </c>
      <c r="AN132" s="5">
        <v>103.9051</v>
      </c>
      <c r="AO132" s="5">
        <v>-1.5779000000000001</v>
      </c>
      <c r="AP132" s="5">
        <v>-1.5185999999999999</v>
      </c>
      <c r="AQ132" s="8">
        <v>0.54530000000000001</v>
      </c>
      <c r="AR132" s="8">
        <v>-1.1194</v>
      </c>
      <c r="AS132" s="8">
        <v>-1.1194</v>
      </c>
      <c r="AT132" s="5">
        <v>101.85420000000001</v>
      </c>
      <c r="AU132" s="5">
        <v>-1.9738</v>
      </c>
      <c r="AV132" s="7" t="s">
        <v>93</v>
      </c>
    </row>
    <row r="133" spans="1:48" ht="18" customHeight="1" x14ac:dyDescent="0.25">
      <c r="A133" s="10">
        <v>66</v>
      </c>
      <c r="B133" s="10">
        <v>2</v>
      </c>
      <c r="C133" s="10">
        <v>66</v>
      </c>
      <c r="D133" s="88">
        <v>44818</v>
      </c>
      <c r="E133" s="88">
        <v>44820</v>
      </c>
      <c r="F133" s="88">
        <v>44833</v>
      </c>
      <c r="G133" s="11">
        <v>18003.75</v>
      </c>
      <c r="H133" s="11">
        <v>17530.849999999999</v>
      </c>
      <c r="I133" s="12"/>
      <c r="J133" s="12"/>
      <c r="K133" s="92">
        <f>H133/$G$119-1</f>
        <v>-4.2090434792488862E-3</v>
      </c>
      <c r="L133" s="92"/>
      <c r="M133" s="12" t="s">
        <v>40</v>
      </c>
      <c r="N133" s="10">
        <v>17600</v>
      </c>
      <c r="O133" s="95">
        <f>IF(F133=F131,O131,MROUND(G133,100))</f>
        <v>17600</v>
      </c>
      <c r="P133" s="95">
        <f>O133-N133</f>
        <v>0</v>
      </c>
      <c r="Q133" s="12" t="s">
        <v>91</v>
      </c>
      <c r="R133" s="10">
        <v>65</v>
      </c>
      <c r="S133" s="11">
        <v>108.75</v>
      </c>
      <c r="T133" s="10">
        <v>275</v>
      </c>
      <c r="U133" s="13">
        <v>-0.13719999999999999</v>
      </c>
      <c r="V133" s="13">
        <v>1.0875999999999999</v>
      </c>
      <c r="W133" s="10">
        <v>0</v>
      </c>
      <c r="X133" s="14">
        <v>0</v>
      </c>
      <c r="Y133" s="11">
        <v>166.25</v>
      </c>
      <c r="Z133" s="14">
        <v>9.2341873220856772E-3</v>
      </c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 t="s">
        <v>93</v>
      </c>
    </row>
    <row r="134" spans="1:48" ht="18" hidden="1" customHeight="1" x14ac:dyDescent="0.25">
      <c r="A134" s="4">
        <v>67</v>
      </c>
      <c r="B134" s="4">
        <v>1</v>
      </c>
      <c r="C134" s="4">
        <v>67</v>
      </c>
      <c r="D134" s="87">
        <v>44820</v>
      </c>
      <c r="E134" s="87">
        <v>44824</v>
      </c>
      <c r="F134" s="87">
        <v>44826</v>
      </c>
      <c r="G134" s="5">
        <v>17530.849999999999</v>
      </c>
      <c r="H134" s="5">
        <v>17816.25</v>
      </c>
      <c r="I134" s="5">
        <v>285.39999999999998</v>
      </c>
      <c r="J134" s="6">
        <v>1.6279872339333229E-2</v>
      </c>
      <c r="K134" s="90"/>
      <c r="L134" s="90"/>
      <c r="M134" s="7" t="s">
        <v>28</v>
      </c>
      <c r="N134" s="4">
        <v>17500</v>
      </c>
      <c r="O134" s="94"/>
      <c r="P134" s="94"/>
      <c r="Q134" s="7" t="s">
        <v>89</v>
      </c>
      <c r="R134" s="4">
        <v>65</v>
      </c>
      <c r="S134" s="5">
        <v>192.35</v>
      </c>
      <c r="T134" s="5">
        <v>339.85</v>
      </c>
      <c r="U134" s="8">
        <v>-1.4286000000000001</v>
      </c>
      <c r="V134" s="8">
        <v>0.3211</v>
      </c>
      <c r="W134" s="5">
        <v>-147.5</v>
      </c>
      <c r="X134" s="6">
        <v>-8.4137392083099231E-3</v>
      </c>
      <c r="Y134" s="4">
        <v>0</v>
      </c>
      <c r="Z134" s="6">
        <v>0</v>
      </c>
      <c r="AA134" s="5">
        <v>31494.9</v>
      </c>
      <c r="AB134" s="5">
        <v>31955.5</v>
      </c>
      <c r="AC134" s="5">
        <v>460.6</v>
      </c>
      <c r="AD134" s="5">
        <v>1.4624999999999999</v>
      </c>
      <c r="AE134" s="4">
        <v>4</v>
      </c>
      <c r="AF134" s="5">
        <v>-6.6667000000000004E-2</v>
      </c>
      <c r="AG134" s="5">
        <v>439.60340000000002</v>
      </c>
      <c r="AH134" s="5">
        <v>1.3957999999999999</v>
      </c>
      <c r="AI134" s="8">
        <v>-1.0348999999999999</v>
      </c>
      <c r="AJ134" s="8">
        <v>2.0842000000000001</v>
      </c>
      <c r="AK134" s="15">
        <v>139.20339999999999</v>
      </c>
      <c r="AL134" s="15">
        <v>-0.31780000000000003</v>
      </c>
      <c r="AM134" s="5">
        <v>102.00190000000001</v>
      </c>
      <c r="AN134" s="5">
        <v>103.9051</v>
      </c>
      <c r="AO134" s="5">
        <v>-1.9031</v>
      </c>
      <c r="AP134" s="5">
        <v>-1.8315999999999999</v>
      </c>
      <c r="AQ134" s="8">
        <v>-0.36770000000000003</v>
      </c>
      <c r="AR134" s="8">
        <v>-0.33500000000000002</v>
      </c>
      <c r="AS134" s="8">
        <v>-0.36770000000000003</v>
      </c>
      <c r="AT134" s="5">
        <v>101.9509</v>
      </c>
      <c r="AU134" s="5">
        <v>-1.8807</v>
      </c>
      <c r="AV134" s="7" t="s">
        <v>96</v>
      </c>
    </row>
    <row r="135" spans="1:48" ht="18" customHeight="1" x14ac:dyDescent="0.25">
      <c r="A135" s="10">
        <v>67</v>
      </c>
      <c r="B135" s="10">
        <v>2</v>
      </c>
      <c r="C135" s="10">
        <v>67</v>
      </c>
      <c r="D135" s="88">
        <v>44820</v>
      </c>
      <c r="E135" s="88">
        <v>44824</v>
      </c>
      <c r="F135" s="88">
        <v>44833</v>
      </c>
      <c r="G135" s="11">
        <v>17530.849999999999</v>
      </c>
      <c r="H135" s="11">
        <v>17816.25</v>
      </c>
      <c r="I135" s="12"/>
      <c r="J135" s="12"/>
      <c r="K135" s="92">
        <f>H135/$G$119-1</f>
        <v>1.2002306169571542E-2</v>
      </c>
      <c r="L135" s="92"/>
      <c r="M135" s="12" t="s">
        <v>40</v>
      </c>
      <c r="N135" s="10">
        <v>17600</v>
      </c>
      <c r="O135" s="95">
        <f>IF(F135=F133,O133,MROUND(G135,100))</f>
        <v>17600</v>
      </c>
      <c r="P135" s="95">
        <f>O135-N135</f>
        <v>0</v>
      </c>
      <c r="Q135" s="12" t="s">
        <v>91</v>
      </c>
      <c r="R135" s="10">
        <v>65</v>
      </c>
      <c r="S135" s="10">
        <v>275</v>
      </c>
      <c r="T135" s="11">
        <v>122.1</v>
      </c>
      <c r="U135" s="13">
        <v>-1.0233000000000001</v>
      </c>
      <c r="V135" s="13">
        <v>0.37880000000000003</v>
      </c>
      <c r="W135" s="10">
        <v>0</v>
      </c>
      <c r="X135" s="14">
        <v>0</v>
      </c>
      <c r="Y135" s="11">
        <v>-152.9</v>
      </c>
      <c r="Z135" s="14">
        <v>-8.7217676267836424E-3</v>
      </c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 t="s">
        <v>96</v>
      </c>
    </row>
    <row r="136" spans="1:48" ht="18" hidden="1" customHeight="1" x14ac:dyDescent="0.25">
      <c r="A136" s="4">
        <v>68</v>
      </c>
      <c r="B136" s="4">
        <v>1</v>
      </c>
      <c r="C136" s="4">
        <v>68</v>
      </c>
      <c r="D136" s="87">
        <v>44824</v>
      </c>
      <c r="E136" s="87">
        <v>44825</v>
      </c>
      <c r="F136" s="87">
        <v>44826</v>
      </c>
      <c r="G136" s="5">
        <v>17816.25</v>
      </c>
      <c r="H136" s="5">
        <v>17718.349999999999</v>
      </c>
      <c r="I136" s="5">
        <v>-97.9</v>
      </c>
      <c r="J136" s="6">
        <v>-5.4949835122430372E-3</v>
      </c>
      <c r="K136" s="90"/>
      <c r="L136" s="90"/>
      <c r="M136" s="7" t="s">
        <v>28</v>
      </c>
      <c r="N136" s="4">
        <v>17800</v>
      </c>
      <c r="O136" s="94"/>
      <c r="P136" s="94"/>
      <c r="Q136" s="7" t="s">
        <v>89</v>
      </c>
      <c r="R136" s="4">
        <v>65</v>
      </c>
      <c r="S136" s="5">
        <v>120.35</v>
      </c>
      <c r="T136" s="5">
        <v>83.3</v>
      </c>
      <c r="U136" s="8">
        <v>-6.9900000000000004E-2</v>
      </c>
      <c r="V136" s="8">
        <v>0.29609999999999997</v>
      </c>
      <c r="W136" s="5">
        <v>37.049999999999997</v>
      </c>
      <c r="X136" s="6">
        <v>2.0795621974321189E-3</v>
      </c>
      <c r="Y136" s="4">
        <v>0</v>
      </c>
      <c r="Z136" s="6">
        <v>0</v>
      </c>
      <c r="AA136" s="5">
        <v>31955.5</v>
      </c>
      <c r="AB136" s="5">
        <v>31718.7</v>
      </c>
      <c r="AC136" s="5">
        <v>-236.8</v>
      </c>
      <c r="AD136" s="5">
        <v>-0.74099999999999999</v>
      </c>
      <c r="AE136" s="4">
        <v>1</v>
      </c>
      <c r="AF136" s="5">
        <v>-1.6667000000000001E-2</v>
      </c>
      <c r="AG136" s="5">
        <v>-242.1259</v>
      </c>
      <c r="AH136" s="5">
        <v>-0.75770000000000004</v>
      </c>
      <c r="AI136" s="8">
        <v>-0.97909999999999997</v>
      </c>
      <c r="AJ136" s="8">
        <v>0.7056</v>
      </c>
      <c r="AK136" s="9">
        <v>-169.02590000000001</v>
      </c>
      <c r="AL136" s="9">
        <v>-0.34739999999999999</v>
      </c>
      <c r="AM136" s="5">
        <v>101.6476</v>
      </c>
      <c r="AN136" s="5">
        <v>103.9051</v>
      </c>
      <c r="AO136" s="5">
        <v>-2.2574999999999998</v>
      </c>
      <c r="AP136" s="5">
        <v>-2.1726000000000001</v>
      </c>
      <c r="AQ136" s="8">
        <v>0.61660000000000004</v>
      </c>
      <c r="AR136" s="8">
        <v>-0.20669999999999999</v>
      </c>
      <c r="AS136" s="8">
        <v>-0.34739999999999999</v>
      </c>
      <c r="AT136" s="5">
        <v>101.6476</v>
      </c>
      <c r="AU136" s="5">
        <v>-2.1726000000000001</v>
      </c>
      <c r="AV136" s="7" t="s">
        <v>90</v>
      </c>
    </row>
    <row r="137" spans="1:48" ht="18" customHeight="1" x14ac:dyDescent="0.25">
      <c r="A137" s="10">
        <v>68</v>
      </c>
      <c r="B137" s="10">
        <v>2</v>
      </c>
      <c r="C137" s="10">
        <v>68</v>
      </c>
      <c r="D137" s="88">
        <v>44824</v>
      </c>
      <c r="E137" s="88">
        <v>44825</v>
      </c>
      <c r="F137" s="88">
        <v>44833</v>
      </c>
      <c r="G137" s="11">
        <v>17816.25</v>
      </c>
      <c r="H137" s="11">
        <v>17718.349999999999</v>
      </c>
      <c r="I137" s="12"/>
      <c r="J137" s="12"/>
      <c r="K137" s="92">
        <f>H137/$G$119-1</f>
        <v>6.4413701828178738E-3</v>
      </c>
      <c r="L137" s="92"/>
      <c r="M137" s="12" t="s">
        <v>40</v>
      </c>
      <c r="N137" s="10">
        <v>17600</v>
      </c>
      <c r="O137" s="95">
        <f>IF(F137=F135,O135,MROUND(G137,100))</f>
        <v>17600</v>
      </c>
      <c r="P137" s="95">
        <f>O137-N137</f>
        <v>0</v>
      </c>
      <c r="Q137" s="12" t="s">
        <v>91</v>
      </c>
      <c r="R137" s="10">
        <v>65</v>
      </c>
      <c r="S137" s="11">
        <v>122.1</v>
      </c>
      <c r="T137" s="11">
        <v>158.15</v>
      </c>
      <c r="U137" s="13">
        <v>-1.9099999999999999E-2</v>
      </c>
      <c r="V137" s="13">
        <v>0.4763</v>
      </c>
      <c r="W137" s="10">
        <v>0</v>
      </c>
      <c r="X137" s="14">
        <v>0</v>
      </c>
      <c r="Y137" s="11">
        <v>36.049999999999997</v>
      </c>
      <c r="Z137" s="14">
        <v>2.023433663088472E-3</v>
      </c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 t="s">
        <v>90</v>
      </c>
    </row>
    <row r="138" spans="1:48" ht="18" hidden="1" customHeight="1" x14ac:dyDescent="0.25">
      <c r="A138" s="4">
        <v>69</v>
      </c>
      <c r="B138" s="4">
        <v>1</v>
      </c>
      <c r="C138" s="4">
        <v>69</v>
      </c>
      <c r="D138" s="87">
        <v>44825</v>
      </c>
      <c r="E138" s="87">
        <v>44827</v>
      </c>
      <c r="F138" s="87">
        <v>44833</v>
      </c>
      <c r="G138" s="5">
        <v>17718.349999999999</v>
      </c>
      <c r="H138" s="5">
        <v>17327.349999999999</v>
      </c>
      <c r="I138" s="4">
        <v>-391</v>
      </c>
      <c r="J138" s="6">
        <v>-2.206751757358897E-2</v>
      </c>
      <c r="K138" s="90"/>
      <c r="L138" s="90"/>
      <c r="M138" s="7" t="s">
        <v>28</v>
      </c>
      <c r="N138" s="4">
        <v>17700</v>
      </c>
      <c r="O138" s="94"/>
      <c r="P138" s="94"/>
      <c r="Q138" s="7" t="s">
        <v>89</v>
      </c>
      <c r="R138" s="4">
        <v>65</v>
      </c>
      <c r="S138" s="5">
        <v>230.25</v>
      </c>
      <c r="T138" s="5">
        <v>52.6</v>
      </c>
      <c r="U138" s="8">
        <v>0.14080000000000001</v>
      </c>
      <c r="V138" s="8">
        <v>1.0286</v>
      </c>
      <c r="W138" s="5">
        <v>177.65</v>
      </c>
      <c r="X138" s="6">
        <v>1.002632863669586E-2</v>
      </c>
      <c r="Y138" s="4">
        <v>0</v>
      </c>
      <c r="Z138" s="6">
        <v>0</v>
      </c>
      <c r="AA138" s="5">
        <v>31718.7</v>
      </c>
      <c r="AB138" s="5">
        <v>31078.7</v>
      </c>
      <c r="AC138" s="4">
        <v>-640</v>
      </c>
      <c r="AD138" s="5">
        <v>-2.0177</v>
      </c>
      <c r="AE138" s="4">
        <v>2</v>
      </c>
      <c r="AF138" s="5">
        <v>-3.3333000000000002E-2</v>
      </c>
      <c r="AG138" s="5">
        <v>-650.5729</v>
      </c>
      <c r="AH138" s="5">
        <v>-2.0510999999999999</v>
      </c>
      <c r="AI138" s="8">
        <v>-2.2033999999999998</v>
      </c>
      <c r="AJ138" s="8">
        <v>0.59279999999999999</v>
      </c>
      <c r="AK138" s="9">
        <v>-289.8229</v>
      </c>
      <c r="AL138" s="9">
        <v>-1.5100000000000001E-2</v>
      </c>
      <c r="AM138" s="5">
        <v>101.6322</v>
      </c>
      <c r="AN138" s="5">
        <v>103.9051</v>
      </c>
      <c r="AO138" s="5">
        <v>-2.2728000000000002</v>
      </c>
      <c r="AP138" s="5">
        <v>-2.1873999999999998</v>
      </c>
      <c r="AQ138" s="8">
        <v>0.50419999999999998</v>
      </c>
      <c r="AR138" s="8">
        <v>9.0300000000000005E-2</v>
      </c>
      <c r="AS138" s="8">
        <v>-1.5100000000000001E-2</v>
      </c>
      <c r="AT138" s="5">
        <v>101.6322</v>
      </c>
      <c r="AU138" s="5">
        <v>-2.1873999999999998</v>
      </c>
      <c r="AV138" s="7" t="s">
        <v>93</v>
      </c>
    </row>
    <row r="139" spans="1:48" ht="18" customHeight="1" x14ac:dyDescent="0.25">
      <c r="A139" s="10">
        <v>69</v>
      </c>
      <c r="B139" s="10">
        <v>2</v>
      </c>
      <c r="C139" s="10">
        <v>69</v>
      </c>
      <c r="D139" s="88">
        <v>44825</v>
      </c>
      <c r="E139" s="88">
        <v>44827</v>
      </c>
      <c r="F139" s="88">
        <v>44833</v>
      </c>
      <c r="G139" s="11">
        <v>17718.349999999999</v>
      </c>
      <c r="H139" s="11">
        <v>17327.349999999999</v>
      </c>
      <c r="I139" s="12"/>
      <c r="J139" s="12"/>
      <c r="K139" s="92">
        <f>H139/$G$119-1</f>
        <v>-1.5768292440478504E-2</v>
      </c>
      <c r="L139" s="92"/>
      <c r="M139" s="12" t="s">
        <v>40</v>
      </c>
      <c r="N139" s="10">
        <v>17600</v>
      </c>
      <c r="O139" s="95">
        <f>IF(F139=F137,O137,MROUND(G139,100))</f>
        <v>17600</v>
      </c>
      <c r="P139" s="95">
        <f>O139-N139</f>
        <v>0</v>
      </c>
      <c r="Q139" s="12" t="s">
        <v>91</v>
      </c>
      <c r="R139" s="10">
        <v>65</v>
      </c>
      <c r="S139" s="11">
        <v>158.15</v>
      </c>
      <c r="T139" s="11">
        <v>341.25</v>
      </c>
      <c r="U139" s="13">
        <v>-0.22939999999999999</v>
      </c>
      <c r="V139" s="13">
        <v>1.2650999999999999</v>
      </c>
      <c r="W139" s="10">
        <v>0</v>
      </c>
      <c r="X139" s="14">
        <v>0</v>
      </c>
      <c r="Y139" s="11">
        <v>183.1</v>
      </c>
      <c r="Z139" s="14">
        <v>1.03339193547932E-2</v>
      </c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 t="s">
        <v>93</v>
      </c>
    </row>
    <row r="140" spans="1:48" ht="18" hidden="1" customHeight="1" x14ac:dyDescent="0.25">
      <c r="A140" s="4">
        <v>70</v>
      </c>
      <c r="B140" s="4">
        <v>1</v>
      </c>
      <c r="C140" s="4">
        <v>70</v>
      </c>
      <c r="D140" s="87">
        <v>44827</v>
      </c>
      <c r="E140" s="87">
        <v>44830</v>
      </c>
      <c r="F140" s="87">
        <v>44833</v>
      </c>
      <c r="G140" s="5">
        <v>17327.349999999999</v>
      </c>
      <c r="H140" s="5">
        <v>17016.3</v>
      </c>
      <c r="I140" s="5">
        <v>-311.05</v>
      </c>
      <c r="J140" s="6">
        <v>-1.795138898908373E-2</v>
      </c>
      <c r="K140" s="90"/>
      <c r="L140" s="90"/>
      <c r="M140" s="7" t="s">
        <v>28</v>
      </c>
      <c r="N140" s="4">
        <v>17300</v>
      </c>
      <c r="O140" s="94"/>
      <c r="P140" s="94"/>
      <c r="Q140" s="7" t="s">
        <v>89</v>
      </c>
      <c r="R140" s="4">
        <v>65</v>
      </c>
      <c r="S140" s="5">
        <v>199.85</v>
      </c>
      <c r="T140" s="5">
        <v>47.95</v>
      </c>
      <c r="U140" s="8">
        <v>0.34570000000000001</v>
      </c>
      <c r="V140" s="8">
        <v>0.8992</v>
      </c>
      <c r="W140" s="5">
        <v>151.9</v>
      </c>
      <c r="X140" s="6">
        <v>8.7664876625681374E-3</v>
      </c>
      <c r="Y140" s="4">
        <v>0</v>
      </c>
      <c r="Z140" s="6">
        <v>0</v>
      </c>
      <c r="AA140" s="5">
        <v>31078.7</v>
      </c>
      <c r="AB140" s="5">
        <v>30111.8</v>
      </c>
      <c r="AC140" s="5">
        <v>-966.9</v>
      </c>
      <c r="AD140" s="5">
        <v>-3.1111</v>
      </c>
      <c r="AE140" s="4">
        <v>3</v>
      </c>
      <c r="AF140" s="5">
        <v>-0.05</v>
      </c>
      <c r="AG140" s="5">
        <v>-982.43939999999998</v>
      </c>
      <c r="AH140" s="5">
        <v>-3.1610999999999998</v>
      </c>
      <c r="AI140" s="8">
        <v>-3.8597999999999999</v>
      </c>
      <c r="AJ140" s="8">
        <v>-0.90129999999999999</v>
      </c>
      <c r="AK140" s="9">
        <v>-586.93939999999998</v>
      </c>
      <c r="AL140" s="9">
        <v>-0.87860000000000005</v>
      </c>
      <c r="AM140" s="5">
        <v>100.7393</v>
      </c>
      <c r="AN140" s="5">
        <v>103.9051</v>
      </c>
      <c r="AO140" s="5">
        <v>-3.1657999999999999</v>
      </c>
      <c r="AP140" s="5">
        <v>-3.0468000000000002</v>
      </c>
      <c r="AQ140" s="8">
        <v>-4.2200000000000001E-2</v>
      </c>
      <c r="AR140" s="8">
        <v>-1.2485999999999999</v>
      </c>
      <c r="AS140" s="8">
        <v>-1.2485999999999999</v>
      </c>
      <c r="AT140" s="5">
        <v>100.3633</v>
      </c>
      <c r="AU140" s="5">
        <v>-3.4087000000000001</v>
      </c>
      <c r="AV140" s="7" t="s">
        <v>98</v>
      </c>
    </row>
    <row r="141" spans="1:48" ht="18" customHeight="1" x14ac:dyDescent="0.25">
      <c r="A141" s="10">
        <v>70</v>
      </c>
      <c r="B141" s="10">
        <v>2</v>
      </c>
      <c r="C141" s="10">
        <v>70</v>
      </c>
      <c r="D141" s="88">
        <v>44827</v>
      </c>
      <c r="E141" s="88">
        <v>44830</v>
      </c>
      <c r="F141" s="88">
        <v>44833</v>
      </c>
      <c r="G141" s="11">
        <v>17327.349999999999</v>
      </c>
      <c r="H141" s="11">
        <v>17016.3</v>
      </c>
      <c r="I141" s="12"/>
      <c r="J141" s="12"/>
      <c r="K141" s="96">
        <f>H141/$G$119-1</f>
        <v>-3.3436618678269525E-2</v>
      </c>
      <c r="L141" s="96"/>
      <c r="M141" s="12" t="s">
        <v>40</v>
      </c>
      <c r="N141" s="10">
        <v>17600</v>
      </c>
      <c r="O141" s="95">
        <f>IF(F141=F139,O139,MROUND(G141,100))</f>
        <v>17600</v>
      </c>
      <c r="P141" s="95">
        <f>O141-N141</f>
        <v>0</v>
      </c>
      <c r="Q141" s="12" t="s">
        <v>91</v>
      </c>
      <c r="R141" s="10">
        <v>65</v>
      </c>
      <c r="S141" s="11">
        <v>341.25</v>
      </c>
      <c r="T141" s="11">
        <v>584.85</v>
      </c>
      <c r="U141" s="13">
        <v>0.51339999999999997</v>
      </c>
      <c r="V141" s="13">
        <v>1.712</v>
      </c>
      <c r="W141" s="10">
        <v>0</v>
      </c>
      <c r="X141" s="14">
        <v>0</v>
      </c>
      <c r="Y141" s="11">
        <v>243.6</v>
      </c>
      <c r="Z141" s="14">
        <v>1.405869910863462E-2</v>
      </c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 t="s">
        <v>98</v>
      </c>
    </row>
    <row r="142" spans="1:48" ht="18" hidden="1" customHeight="1" x14ac:dyDescent="0.25">
      <c r="A142" s="4">
        <v>71</v>
      </c>
      <c r="B142" s="4">
        <v>1</v>
      </c>
      <c r="C142" s="4">
        <v>71</v>
      </c>
      <c r="D142" s="87">
        <v>44830</v>
      </c>
      <c r="E142" s="87">
        <v>44832</v>
      </c>
      <c r="F142" s="87">
        <v>44833</v>
      </c>
      <c r="G142" s="5">
        <v>17016.3</v>
      </c>
      <c r="H142" s="5">
        <v>16858.599999999999</v>
      </c>
      <c r="I142" s="5">
        <v>-157.69999999999999</v>
      </c>
      <c r="J142" s="6">
        <v>-9.2675846100503632E-3</v>
      </c>
      <c r="K142" s="90"/>
      <c r="L142" s="90"/>
      <c r="M142" s="7" t="s">
        <v>28</v>
      </c>
      <c r="N142" s="4">
        <v>17000</v>
      </c>
      <c r="O142" s="94"/>
      <c r="P142" s="94"/>
      <c r="Q142" s="7" t="s">
        <v>89</v>
      </c>
      <c r="R142" s="4">
        <v>65</v>
      </c>
      <c r="S142" s="5">
        <v>160.35</v>
      </c>
      <c r="T142" s="5">
        <v>26.55</v>
      </c>
      <c r="U142" s="8">
        <v>-0.43659999999999999</v>
      </c>
      <c r="V142" s="8">
        <v>0.83660000000000001</v>
      </c>
      <c r="W142" s="5">
        <v>133.80000000000001</v>
      </c>
      <c r="X142" s="6">
        <v>7.8630489589393716E-3</v>
      </c>
      <c r="Y142" s="4">
        <v>0</v>
      </c>
      <c r="Z142" s="6">
        <v>0</v>
      </c>
      <c r="AA142" s="5">
        <v>30111.8</v>
      </c>
      <c r="AB142" s="5">
        <v>30066.15</v>
      </c>
      <c r="AC142" s="5">
        <v>-45.65</v>
      </c>
      <c r="AD142" s="5">
        <v>-0.15160000000000001</v>
      </c>
      <c r="AE142" s="4">
        <v>2</v>
      </c>
      <c r="AF142" s="5">
        <v>-3.3333000000000002E-2</v>
      </c>
      <c r="AG142" s="5">
        <v>-55.6873</v>
      </c>
      <c r="AH142" s="5">
        <v>-0.18490000000000001</v>
      </c>
      <c r="AI142" s="8">
        <v>-0.78810000000000002</v>
      </c>
      <c r="AJ142" s="8">
        <v>1.0632999999999999</v>
      </c>
      <c r="AK142" s="15">
        <v>108.6627</v>
      </c>
      <c r="AL142" s="15">
        <v>0.78090000000000004</v>
      </c>
      <c r="AM142" s="5">
        <v>101.526</v>
      </c>
      <c r="AN142" s="5">
        <v>103.9051</v>
      </c>
      <c r="AO142" s="5">
        <v>-2.3791000000000002</v>
      </c>
      <c r="AP142" s="5">
        <v>-2.2896999999999998</v>
      </c>
      <c r="AQ142" s="8">
        <v>0.19739999999999999</v>
      </c>
      <c r="AR142" s="8">
        <v>0.49070000000000003</v>
      </c>
      <c r="AS142" s="8">
        <v>0.19739999999999999</v>
      </c>
      <c r="AT142" s="5">
        <v>100.93819999999999</v>
      </c>
      <c r="AU142" s="5">
        <v>-2.8553999999999999</v>
      </c>
      <c r="AV142" s="7" t="s">
        <v>90</v>
      </c>
    </row>
    <row r="143" spans="1:48" ht="18" customHeight="1" x14ac:dyDescent="0.25">
      <c r="A143" s="10">
        <v>71</v>
      </c>
      <c r="B143" s="10">
        <v>2</v>
      </c>
      <c r="C143" s="10">
        <v>71</v>
      </c>
      <c r="D143" s="88">
        <v>44830</v>
      </c>
      <c r="E143" s="88">
        <v>44832</v>
      </c>
      <c r="F143" s="88">
        <v>44833</v>
      </c>
      <c r="G143" s="11">
        <v>17016.3</v>
      </c>
      <c r="H143" s="11">
        <v>16858.599999999999</v>
      </c>
      <c r="I143" s="12"/>
      <c r="J143" s="12"/>
      <c r="K143" s="92"/>
      <c r="L143" s="92"/>
      <c r="M143" s="12" t="s">
        <v>40</v>
      </c>
      <c r="N143" s="10">
        <v>17000</v>
      </c>
      <c r="O143" s="95">
        <f>N143</f>
        <v>17000</v>
      </c>
      <c r="P143" s="95">
        <f>O143-N143</f>
        <v>0</v>
      </c>
      <c r="Q143" s="12" t="s">
        <v>91</v>
      </c>
      <c r="R143" s="10">
        <v>65</v>
      </c>
      <c r="S143" s="11">
        <v>133.44999999999999</v>
      </c>
      <c r="T143" s="10">
        <v>164</v>
      </c>
      <c r="U143" s="13">
        <v>-0.42930000000000001</v>
      </c>
      <c r="V143" s="13">
        <v>0.44219999999999998</v>
      </c>
      <c r="W143" s="10">
        <v>0</v>
      </c>
      <c r="X143" s="14">
        <v>0</v>
      </c>
      <c r="Y143" s="11">
        <v>30.55</v>
      </c>
      <c r="Z143" s="14">
        <v>1.7953374117757679E-3</v>
      </c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 t="s">
        <v>90</v>
      </c>
    </row>
    <row r="144" spans="1:48" ht="18" hidden="1" customHeight="1" x14ac:dyDescent="0.25">
      <c r="A144" s="4">
        <v>72</v>
      </c>
      <c r="B144" s="4">
        <v>1</v>
      </c>
      <c r="C144" s="4">
        <v>72</v>
      </c>
      <c r="D144" s="87">
        <v>44832</v>
      </c>
      <c r="E144" s="87">
        <v>44834</v>
      </c>
      <c r="F144" s="87">
        <v>44840</v>
      </c>
      <c r="G144" s="5">
        <v>16858.599999999999</v>
      </c>
      <c r="H144" s="5">
        <v>17094.349999999999</v>
      </c>
      <c r="I144" s="5">
        <v>235.75</v>
      </c>
      <c r="J144" s="6">
        <v>1.398396070848113E-2</v>
      </c>
      <c r="K144" s="90"/>
      <c r="L144" s="90"/>
      <c r="M144" s="7" t="s">
        <v>28</v>
      </c>
      <c r="N144" s="4">
        <v>16900</v>
      </c>
      <c r="O144" s="94"/>
      <c r="P144" s="94"/>
      <c r="Q144" s="7" t="s">
        <v>89</v>
      </c>
      <c r="R144" s="4">
        <v>65</v>
      </c>
      <c r="S144" s="4">
        <v>195</v>
      </c>
      <c r="T144" s="5">
        <v>272.25</v>
      </c>
      <c r="U144" s="8">
        <v>-0.92300000000000004</v>
      </c>
      <c r="V144" s="8">
        <v>0.58069999999999999</v>
      </c>
      <c r="W144" s="5">
        <v>-77.25</v>
      </c>
      <c r="X144" s="6">
        <v>-4.582231027487455E-3</v>
      </c>
      <c r="Y144" s="4">
        <v>0</v>
      </c>
      <c r="Z144" s="6">
        <v>0</v>
      </c>
      <c r="AA144" s="5">
        <v>30066.15</v>
      </c>
      <c r="AB144" s="5">
        <v>30668.3</v>
      </c>
      <c r="AC144" s="5">
        <v>602.15</v>
      </c>
      <c r="AD144" s="5">
        <v>2.0028000000000001</v>
      </c>
      <c r="AE144" s="4">
        <v>2</v>
      </c>
      <c r="AF144" s="5">
        <v>-3.3333000000000002E-2</v>
      </c>
      <c r="AG144" s="5">
        <v>592.12789999999995</v>
      </c>
      <c r="AH144" s="5">
        <v>1.9694</v>
      </c>
      <c r="AI144" s="8">
        <v>-0.65569999999999995</v>
      </c>
      <c r="AJ144" s="8">
        <v>2.1785999999999999</v>
      </c>
      <c r="AK144" s="15">
        <v>373.22789999999998</v>
      </c>
      <c r="AL144" s="15">
        <v>0.67100000000000004</v>
      </c>
      <c r="AM144" s="5">
        <v>102.2072</v>
      </c>
      <c r="AN144" s="5">
        <v>103.9051</v>
      </c>
      <c r="AO144" s="5">
        <v>-1.6978</v>
      </c>
      <c r="AP144" s="5">
        <v>-1.6339999999999999</v>
      </c>
      <c r="AQ144" s="8">
        <v>0.19059999999999999</v>
      </c>
      <c r="AR144" s="8">
        <v>0.1638</v>
      </c>
      <c r="AS144" s="8">
        <v>0.1638</v>
      </c>
      <c r="AT144" s="5">
        <v>101.6923</v>
      </c>
      <c r="AU144" s="5">
        <v>-2.1295999999999999</v>
      </c>
      <c r="AV144" s="7" t="s">
        <v>96</v>
      </c>
    </row>
    <row r="145" spans="1:48" ht="18" customHeight="1" x14ac:dyDescent="0.25">
      <c r="A145" s="10">
        <v>72</v>
      </c>
      <c r="B145" s="10">
        <v>2</v>
      </c>
      <c r="C145" s="10">
        <v>72</v>
      </c>
      <c r="D145" s="88">
        <v>44832</v>
      </c>
      <c r="E145" s="88">
        <v>44834</v>
      </c>
      <c r="F145" s="88">
        <v>44861</v>
      </c>
      <c r="G145" s="11">
        <v>16858.599999999999</v>
      </c>
      <c r="H145" s="11">
        <v>17094.349999999999</v>
      </c>
      <c r="I145" s="12"/>
      <c r="J145" s="12"/>
      <c r="K145" s="92"/>
      <c r="L145" s="92"/>
      <c r="M145" s="12" t="s">
        <v>40</v>
      </c>
      <c r="N145" s="10">
        <v>16900</v>
      </c>
      <c r="O145" s="95">
        <f>IF(F145=F143,O143,MROUND(G145,100))</f>
        <v>16900</v>
      </c>
      <c r="P145" s="95">
        <f>O145-N145</f>
        <v>0</v>
      </c>
      <c r="Q145" s="12" t="s">
        <v>91</v>
      </c>
      <c r="R145" s="10">
        <v>65</v>
      </c>
      <c r="S145" s="11">
        <v>409.05</v>
      </c>
      <c r="T145" s="11">
        <v>267.39999999999998</v>
      </c>
      <c r="U145" s="13">
        <v>-1.0649999999999999</v>
      </c>
      <c r="V145" s="13">
        <v>0.23880000000000001</v>
      </c>
      <c r="W145" s="10">
        <v>0</v>
      </c>
      <c r="X145" s="14">
        <v>0</v>
      </c>
      <c r="Y145" s="11">
        <v>-141.65</v>
      </c>
      <c r="Z145" s="14">
        <v>-8.4022398063896189E-3</v>
      </c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 t="s">
        <v>96</v>
      </c>
    </row>
    <row r="146" spans="1:48" ht="18" hidden="1" customHeight="1" x14ac:dyDescent="0.25">
      <c r="A146" s="4">
        <v>73</v>
      </c>
      <c r="B146" s="4">
        <v>1</v>
      </c>
      <c r="C146" s="4">
        <v>73</v>
      </c>
      <c r="D146" s="87">
        <v>44834</v>
      </c>
      <c r="E146" s="87">
        <v>44837</v>
      </c>
      <c r="F146" s="87">
        <v>44840</v>
      </c>
      <c r="G146" s="5">
        <v>17094.349999999999</v>
      </c>
      <c r="H146" s="5">
        <v>16887.349999999999</v>
      </c>
      <c r="I146" s="4">
        <v>-207</v>
      </c>
      <c r="J146" s="6">
        <v>-1.2109264172080249E-2</v>
      </c>
      <c r="K146" s="90"/>
      <c r="L146" s="90"/>
      <c r="M146" s="7" t="s">
        <v>28</v>
      </c>
      <c r="N146" s="4">
        <v>17100</v>
      </c>
      <c r="O146" s="94"/>
      <c r="P146" s="94"/>
      <c r="Q146" s="7" t="s">
        <v>89</v>
      </c>
      <c r="R146" s="4">
        <v>65</v>
      </c>
      <c r="S146" s="5">
        <v>144.30000000000001</v>
      </c>
      <c r="T146" s="5">
        <v>46.8</v>
      </c>
      <c r="U146" s="8">
        <v>1.8E-3</v>
      </c>
      <c r="V146" s="8">
        <v>0.60050000000000003</v>
      </c>
      <c r="W146" s="5">
        <v>97.5</v>
      </c>
      <c r="X146" s="6">
        <v>5.7036389216320021E-3</v>
      </c>
      <c r="Y146" s="4">
        <v>0</v>
      </c>
      <c r="Z146" s="6">
        <v>0</v>
      </c>
      <c r="AA146" s="5">
        <v>30668.3</v>
      </c>
      <c r="AB146" s="5">
        <v>30284.65</v>
      </c>
      <c r="AC146" s="5">
        <v>-383.65</v>
      </c>
      <c r="AD146" s="5">
        <v>-1.2509999999999999</v>
      </c>
      <c r="AE146" s="4">
        <v>3</v>
      </c>
      <c r="AF146" s="5">
        <v>-0.05</v>
      </c>
      <c r="AG146" s="5">
        <v>-398.98410000000001</v>
      </c>
      <c r="AH146" s="5">
        <v>-1.3009999999999999</v>
      </c>
      <c r="AI146" s="8">
        <v>-1.6811</v>
      </c>
      <c r="AJ146" s="8">
        <v>0.27450000000000002</v>
      </c>
      <c r="AK146" s="9">
        <v>-207.5341</v>
      </c>
      <c r="AL146" s="9">
        <v>-0.18099999999999999</v>
      </c>
      <c r="AM146" s="5">
        <v>102.0222</v>
      </c>
      <c r="AN146" s="5">
        <v>103.9051</v>
      </c>
      <c r="AO146" s="5">
        <v>-1.8828</v>
      </c>
      <c r="AP146" s="5">
        <v>-1.8121</v>
      </c>
      <c r="AQ146" s="8">
        <v>0.30940000000000001</v>
      </c>
      <c r="AR146" s="8">
        <v>-0.40579999999999999</v>
      </c>
      <c r="AS146" s="8">
        <v>-0.40579999999999999</v>
      </c>
      <c r="AT146" s="5">
        <v>101.7925</v>
      </c>
      <c r="AU146" s="5">
        <v>-2.0331999999999999</v>
      </c>
      <c r="AV146" s="7" t="s">
        <v>93</v>
      </c>
    </row>
    <row r="147" spans="1:48" ht="18" customHeight="1" x14ac:dyDescent="0.25">
      <c r="A147" s="10">
        <v>73</v>
      </c>
      <c r="B147" s="10">
        <v>2</v>
      </c>
      <c r="C147" s="10">
        <v>73</v>
      </c>
      <c r="D147" s="88">
        <v>44834</v>
      </c>
      <c r="E147" s="88">
        <v>44837</v>
      </c>
      <c r="F147" s="88">
        <v>44861</v>
      </c>
      <c r="G147" s="11">
        <v>17094.349999999999</v>
      </c>
      <c r="H147" s="11">
        <v>16887.349999999999</v>
      </c>
      <c r="I147" s="12"/>
      <c r="J147" s="12"/>
      <c r="K147" s="92"/>
      <c r="L147" s="92"/>
      <c r="M147" s="12" t="s">
        <v>40</v>
      </c>
      <c r="N147" s="10">
        <v>16900</v>
      </c>
      <c r="O147" s="95">
        <f>IF(F147=F145,O145,MROUND(G147,100))</f>
        <v>16900</v>
      </c>
      <c r="P147" s="95">
        <f>O147-N147</f>
        <v>0</v>
      </c>
      <c r="Q147" s="12" t="s">
        <v>91</v>
      </c>
      <c r="R147" s="10">
        <v>65</v>
      </c>
      <c r="S147" s="11">
        <v>267.39999999999998</v>
      </c>
      <c r="T147" s="11">
        <v>361.35</v>
      </c>
      <c r="U147" s="13">
        <v>3.3099999999999997E-2</v>
      </c>
      <c r="V147" s="13">
        <v>0.67479999999999996</v>
      </c>
      <c r="W147" s="10">
        <v>0</v>
      </c>
      <c r="X147" s="14">
        <v>0</v>
      </c>
      <c r="Y147" s="11">
        <v>93.95</v>
      </c>
      <c r="Z147" s="14">
        <v>5.4959679660238634E-3</v>
      </c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 t="s">
        <v>93</v>
      </c>
    </row>
    <row r="148" spans="1:48" ht="18" hidden="1" customHeight="1" x14ac:dyDescent="0.25">
      <c r="A148" s="4">
        <v>74</v>
      </c>
      <c r="B148" s="4">
        <v>1</v>
      </c>
      <c r="C148" s="4">
        <v>74</v>
      </c>
      <c r="D148" s="87">
        <v>44837</v>
      </c>
      <c r="E148" s="87">
        <v>44838</v>
      </c>
      <c r="F148" s="87">
        <v>44840</v>
      </c>
      <c r="G148" s="5">
        <v>16887.349999999999</v>
      </c>
      <c r="H148" s="5">
        <v>17274.3</v>
      </c>
      <c r="I148" s="5">
        <v>386.95</v>
      </c>
      <c r="J148" s="6">
        <v>2.291360100903931E-2</v>
      </c>
      <c r="K148" s="90"/>
      <c r="L148" s="90"/>
      <c r="M148" s="7" t="s">
        <v>28</v>
      </c>
      <c r="N148" s="4">
        <v>16900</v>
      </c>
      <c r="O148" s="94"/>
      <c r="P148" s="94"/>
      <c r="Q148" s="7" t="s">
        <v>89</v>
      </c>
      <c r="R148" s="4">
        <v>65</v>
      </c>
      <c r="S148" s="5">
        <v>124.1</v>
      </c>
      <c r="T148" s="5">
        <v>380.95</v>
      </c>
      <c r="U148" s="8">
        <v>-1.6071</v>
      </c>
      <c r="V148" s="8">
        <v>-0.47989999999999999</v>
      </c>
      <c r="W148" s="5">
        <v>-256.85000000000002</v>
      </c>
      <c r="X148" s="6">
        <v>-1.5209609559818449E-2</v>
      </c>
      <c r="Y148" s="4">
        <v>0</v>
      </c>
      <c r="Z148" s="6">
        <v>0</v>
      </c>
      <c r="AA148" s="5">
        <v>30284.65</v>
      </c>
      <c r="AB148" s="5">
        <v>31090.6</v>
      </c>
      <c r="AC148" s="5">
        <v>805.95</v>
      </c>
      <c r="AD148" s="5">
        <v>2.6612</v>
      </c>
      <c r="AE148" s="4">
        <v>1</v>
      </c>
      <c r="AF148" s="5">
        <v>-1.6667000000000001E-2</v>
      </c>
      <c r="AG148" s="5">
        <v>800.90260000000001</v>
      </c>
      <c r="AH148" s="5">
        <v>2.6446000000000001</v>
      </c>
      <c r="AI148" s="8">
        <v>1.2536</v>
      </c>
      <c r="AJ148" s="8">
        <v>2.7395999999999998</v>
      </c>
      <c r="AK148" s="15">
        <v>360.00259999999997</v>
      </c>
      <c r="AL148" s="15">
        <v>3.3799999999999997E-2</v>
      </c>
      <c r="AM148" s="5">
        <v>102.05670000000001</v>
      </c>
      <c r="AN148" s="5">
        <v>103.9051</v>
      </c>
      <c r="AO148" s="5">
        <v>-1.8484</v>
      </c>
      <c r="AP148" s="5">
        <v>-1.7788999999999999</v>
      </c>
      <c r="AQ148" s="8">
        <v>-5.9999999999999995E-4</v>
      </c>
      <c r="AR148" s="8">
        <v>0.125</v>
      </c>
      <c r="AS148" s="8">
        <v>-5.9999999999999995E-4</v>
      </c>
      <c r="AT148" s="5">
        <v>102.02160000000001</v>
      </c>
      <c r="AU148" s="5">
        <v>-1.8127</v>
      </c>
      <c r="AV148" s="7" t="s">
        <v>90</v>
      </c>
    </row>
    <row r="149" spans="1:48" ht="18" customHeight="1" x14ac:dyDescent="0.25">
      <c r="A149" s="10">
        <v>74</v>
      </c>
      <c r="B149" s="10">
        <v>2</v>
      </c>
      <c r="C149" s="10">
        <v>74</v>
      </c>
      <c r="D149" s="88">
        <v>44837</v>
      </c>
      <c r="E149" s="88">
        <v>44838</v>
      </c>
      <c r="F149" s="88">
        <v>44861</v>
      </c>
      <c r="G149" s="11">
        <v>16887.349999999999</v>
      </c>
      <c r="H149" s="11">
        <v>17274.3</v>
      </c>
      <c r="I149" s="12"/>
      <c r="J149" s="12"/>
      <c r="K149" s="92"/>
      <c r="L149" s="92"/>
      <c r="M149" s="12" t="s">
        <v>40</v>
      </c>
      <c r="N149" s="10">
        <v>16900</v>
      </c>
      <c r="O149" s="95">
        <f>IF(F149=F147,O147,MROUND(G149,100))</f>
        <v>16900</v>
      </c>
      <c r="P149" s="95">
        <f>O149-N149</f>
        <v>0</v>
      </c>
      <c r="Q149" s="12" t="s">
        <v>91</v>
      </c>
      <c r="R149" s="10">
        <v>65</v>
      </c>
      <c r="S149" s="11">
        <v>361.35</v>
      </c>
      <c r="T149" s="11">
        <v>177.3</v>
      </c>
      <c r="U149" s="13">
        <v>-1.1331</v>
      </c>
      <c r="V149" s="13">
        <v>-0.64870000000000005</v>
      </c>
      <c r="W149" s="10">
        <v>0</v>
      </c>
      <c r="X149" s="14">
        <v>0</v>
      </c>
      <c r="Y149" s="11">
        <v>-184.05</v>
      </c>
      <c r="Z149" s="14">
        <v>-1.089869043988548E-2</v>
      </c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 t="s">
        <v>90</v>
      </c>
    </row>
    <row r="150" spans="1:48" ht="18" hidden="1" customHeight="1" x14ac:dyDescent="0.25">
      <c r="A150" s="4">
        <v>75</v>
      </c>
      <c r="B150" s="4">
        <v>1</v>
      </c>
      <c r="C150" s="4">
        <v>75</v>
      </c>
      <c r="D150" s="87">
        <v>44838</v>
      </c>
      <c r="E150" s="87">
        <v>44845</v>
      </c>
      <c r="F150" s="87">
        <v>44847</v>
      </c>
      <c r="G150" s="5">
        <v>17274.3</v>
      </c>
      <c r="H150" s="5">
        <v>16983.55</v>
      </c>
      <c r="I150" s="5">
        <v>-290.75</v>
      </c>
      <c r="J150" s="6">
        <v>-1.683136219702101E-2</v>
      </c>
      <c r="K150" s="90"/>
      <c r="L150" s="90"/>
      <c r="M150" s="7" t="s">
        <v>28</v>
      </c>
      <c r="N150" s="4">
        <v>17300</v>
      </c>
      <c r="O150" s="94"/>
      <c r="P150" s="94"/>
      <c r="Q150" s="7" t="s">
        <v>89</v>
      </c>
      <c r="R150" s="4">
        <v>65</v>
      </c>
      <c r="S150" s="5">
        <v>180.3</v>
      </c>
      <c r="T150" s="5">
        <v>21.95</v>
      </c>
      <c r="U150" s="8">
        <v>-0.40350000000000003</v>
      </c>
      <c r="V150" s="8">
        <v>0.9375</v>
      </c>
      <c r="W150" s="5">
        <v>158.35</v>
      </c>
      <c r="X150" s="6">
        <v>9.1667969179648374E-3</v>
      </c>
      <c r="Y150" s="4">
        <v>0</v>
      </c>
      <c r="Z150" s="6">
        <v>0</v>
      </c>
      <c r="AA150" s="5">
        <v>31090.6</v>
      </c>
      <c r="AB150" s="5">
        <v>30567.7</v>
      </c>
      <c r="AC150" s="5">
        <v>-522.9</v>
      </c>
      <c r="AD150" s="5">
        <v>-1.6819</v>
      </c>
      <c r="AE150" s="4">
        <v>7</v>
      </c>
      <c r="AF150" s="5">
        <v>-0.11666700000000001</v>
      </c>
      <c r="AG150" s="5">
        <v>-559.17240000000004</v>
      </c>
      <c r="AH150" s="5">
        <v>-1.7985</v>
      </c>
      <c r="AI150" s="8">
        <v>-2.0322</v>
      </c>
      <c r="AJ150" s="8">
        <v>1.4975000000000001</v>
      </c>
      <c r="AK150" s="9">
        <v>-322.7724</v>
      </c>
      <c r="AL150" s="9">
        <v>-0.43</v>
      </c>
      <c r="AM150" s="5">
        <v>101.61790000000001</v>
      </c>
      <c r="AN150" s="5">
        <v>103.9051</v>
      </c>
      <c r="AO150" s="5">
        <v>-2.2871999999999999</v>
      </c>
      <c r="AP150" s="5">
        <v>-2.2012</v>
      </c>
      <c r="AQ150" s="8">
        <v>0.82799999999999996</v>
      </c>
      <c r="AR150" s="8">
        <v>-0.53949999999999998</v>
      </c>
      <c r="AS150" s="8">
        <v>-0.53949999999999998</v>
      </c>
      <c r="AT150" s="5">
        <v>101.5061</v>
      </c>
      <c r="AU150" s="5">
        <v>-2.3088000000000002</v>
      </c>
      <c r="AV150" s="7" t="s">
        <v>93</v>
      </c>
    </row>
    <row r="151" spans="1:48" ht="18" customHeight="1" x14ac:dyDescent="0.25">
      <c r="A151" s="10">
        <v>75</v>
      </c>
      <c r="B151" s="10">
        <v>2</v>
      </c>
      <c r="C151" s="10">
        <v>75</v>
      </c>
      <c r="D151" s="88">
        <v>44838</v>
      </c>
      <c r="E151" s="88">
        <v>44845</v>
      </c>
      <c r="F151" s="88">
        <v>44861</v>
      </c>
      <c r="G151" s="11">
        <v>17274.3</v>
      </c>
      <c r="H151" s="11">
        <v>16983.55</v>
      </c>
      <c r="I151" s="12"/>
      <c r="J151" s="12"/>
      <c r="K151" s="92"/>
      <c r="L151" s="92"/>
      <c r="M151" s="12" t="s">
        <v>40</v>
      </c>
      <c r="N151" s="10">
        <v>16900</v>
      </c>
      <c r="O151" s="95">
        <f>IF(F151=F149,O149,MROUND(G151,100))</f>
        <v>16900</v>
      </c>
      <c r="P151" s="95">
        <f>O151-N151</f>
        <v>0</v>
      </c>
      <c r="Q151" s="12" t="s">
        <v>91</v>
      </c>
      <c r="R151" s="10">
        <v>65</v>
      </c>
      <c r="S151" s="11">
        <v>177.3</v>
      </c>
      <c r="T151" s="11">
        <v>255.35</v>
      </c>
      <c r="U151" s="13">
        <v>-0.26600000000000001</v>
      </c>
      <c r="V151" s="13">
        <v>0.55520000000000003</v>
      </c>
      <c r="W151" s="10">
        <v>0</v>
      </c>
      <c r="X151" s="14">
        <v>0</v>
      </c>
      <c r="Y151" s="11">
        <v>78.05</v>
      </c>
      <c r="Z151" s="14">
        <v>4.5182728098967827E-3</v>
      </c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 t="s">
        <v>93</v>
      </c>
    </row>
    <row r="152" spans="1:48" ht="18" hidden="1" customHeight="1" x14ac:dyDescent="0.25">
      <c r="A152" s="4">
        <v>76</v>
      </c>
      <c r="B152" s="4">
        <v>1</v>
      </c>
      <c r="C152" s="4">
        <v>76</v>
      </c>
      <c r="D152" s="87">
        <v>44845</v>
      </c>
      <c r="E152" s="87">
        <v>44846</v>
      </c>
      <c r="F152" s="87">
        <v>44847</v>
      </c>
      <c r="G152" s="5">
        <v>16983.55</v>
      </c>
      <c r="H152" s="5">
        <v>17123.599999999999</v>
      </c>
      <c r="I152" s="5">
        <v>140.05000000000001</v>
      </c>
      <c r="J152" s="6">
        <v>8.2462147195374366E-3</v>
      </c>
      <c r="K152" s="90"/>
      <c r="L152" s="90"/>
      <c r="M152" s="7" t="s">
        <v>28</v>
      </c>
      <c r="N152" s="4">
        <v>17000</v>
      </c>
      <c r="O152" s="94"/>
      <c r="P152" s="94"/>
      <c r="Q152" s="7" t="s">
        <v>89</v>
      </c>
      <c r="R152" s="4">
        <v>65</v>
      </c>
      <c r="S152" s="5">
        <v>105.3</v>
      </c>
      <c r="T152" s="5">
        <v>165.15</v>
      </c>
      <c r="U152" s="8">
        <v>-0.42220000000000002</v>
      </c>
      <c r="V152" s="8">
        <v>0.17219999999999999</v>
      </c>
      <c r="W152" s="5">
        <v>-59.85</v>
      </c>
      <c r="X152" s="6">
        <v>-3.523998221808751E-3</v>
      </c>
      <c r="Y152" s="4">
        <v>0</v>
      </c>
      <c r="Z152" s="6">
        <v>0</v>
      </c>
      <c r="AA152" s="5">
        <v>30567.7</v>
      </c>
      <c r="AB152" s="5">
        <v>30756.55</v>
      </c>
      <c r="AC152" s="5">
        <v>188.85</v>
      </c>
      <c r="AD152" s="5">
        <v>0.61780000000000002</v>
      </c>
      <c r="AE152" s="4">
        <v>1</v>
      </c>
      <c r="AF152" s="5">
        <v>-1.6667000000000001E-2</v>
      </c>
      <c r="AG152" s="5">
        <v>183.75540000000001</v>
      </c>
      <c r="AH152" s="5">
        <v>0.60109999999999997</v>
      </c>
      <c r="AI152" s="8">
        <v>-0.74080000000000001</v>
      </c>
      <c r="AJ152" s="8">
        <v>0.74729999999999996</v>
      </c>
      <c r="AK152" s="15">
        <v>55.9054</v>
      </c>
      <c r="AL152" s="15">
        <v>-0.1517</v>
      </c>
      <c r="AM152" s="5">
        <v>101.4637</v>
      </c>
      <c r="AN152" s="5">
        <v>103.9051</v>
      </c>
      <c r="AO152" s="5">
        <v>-2.4413999999999998</v>
      </c>
      <c r="AP152" s="5">
        <v>-2.3496000000000001</v>
      </c>
      <c r="AQ152" s="8">
        <v>-0.1186</v>
      </c>
      <c r="AR152" s="8">
        <v>-0.54120000000000001</v>
      </c>
      <c r="AS152" s="8">
        <v>-0.54120000000000001</v>
      </c>
      <c r="AT152" s="5">
        <v>101.06789999999999</v>
      </c>
      <c r="AU152" s="5">
        <v>-2.7305000000000001</v>
      </c>
      <c r="AV152" s="7" t="s">
        <v>90</v>
      </c>
    </row>
    <row r="153" spans="1:48" ht="18" customHeight="1" x14ac:dyDescent="0.25">
      <c r="A153" s="10">
        <v>76</v>
      </c>
      <c r="B153" s="10">
        <v>2</v>
      </c>
      <c r="C153" s="10">
        <v>76</v>
      </c>
      <c r="D153" s="88">
        <v>44845</v>
      </c>
      <c r="E153" s="88">
        <v>44846</v>
      </c>
      <c r="F153" s="88">
        <v>44861</v>
      </c>
      <c r="G153" s="11">
        <v>16983.55</v>
      </c>
      <c r="H153" s="11">
        <v>17123.599999999999</v>
      </c>
      <c r="I153" s="12"/>
      <c r="J153" s="12"/>
      <c r="K153" s="92"/>
      <c r="L153" s="92"/>
      <c r="M153" s="12" t="s">
        <v>40</v>
      </c>
      <c r="N153" s="10">
        <v>16900</v>
      </c>
      <c r="O153" s="95">
        <f>IF(F153=F151,O151,MROUND(G153,100))</f>
        <v>16900</v>
      </c>
      <c r="P153" s="95">
        <f>O153-N153</f>
        <v>0</v>
      </c>
      <c r="Q153" s="12" t="s">
        <v>91</v>
      </c>
      <c r="R153" s="10">
        <v>65</v>
      </c>
      <c r="S153" s="11">
        <v>255.35</v>
      </c>
      <c r="T153" s="11">
        <v>187.35</v>
      </c>
      <c r="U153" s="13">
        <v>-0.44369999999999998</v>
      </c>
      <c r="V153" s="13">
        <v>2.7400000000000001E-2</v>
      </c>
      <c r="W153" s="10">
        <v>0</v>
      </c>
      <c r="X153" s="14">
        <v>0</v>
      </c>
      <c r="Y153" s="10">
        <v>-68</v>
      </c>
      <c r="Z153" s="14">
        <v>-4.0038743372263156E-3</v>
      </c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 t="s">
        <v>90</v>
      </c>
    </row>
    <row r="154" spans="1:48" ht="18" hidden="1" customHeight="1" x14ac:dyDescent="0.25">
      <c r="A154" s="4">
        <v>77</v>
      </c>
      <c r="B154" s="4">
        <v>1</v>
      </c>
      <c r="C154" s="4">
        <v>77</v>
      </c>
      <c r="D154" s="87">
        <v>44846</v>
      </c>
      <c r="E154" s="87">
        <v>44851</v>
      </c>
      <c r="F154" s="87">
        <v>44854</v>
      </c>
      <c r="G154" s="5">
        <v>17123.599999999999</v>
      </c>
      <c r="H154" s="5">
        <v>17311.8</v>
      </c>
      <c r="I154" s="5">
        <v>188.2</v>
      </c>
      <c r="J154" s="6">
        <v>1.0990679530005369E-2</v>
      </c>
      <c r="K154" s="90"/>
      <c r="L154" s="90"/>
      <c r="M154" s="7" t="s">
        <v>28</v>
      </c>
      <c r="N154" s="4">
        <v>17100</v>
      </c>
      <c r="O154" s="94"/>
      <c r="P154" s="94"/>
      <c r="Q154" s="7" t="s">
        <v>89</v>
      </c>
      <c r="R154" s="4">
        <v>65</v>
      </c>
      <c r="S154" s="5">
        <v>205.75</v>
      </c>
      <c r="T154" s="5">
        <v>256.8</v>
      </c>
      <c r="U154" s="8">
        <v>-0.63800000000000001</v>
      </c>
      <c r="V154" s="8">
        <v>0.47299999999999998</v>
      </c>
      <c r="W154" s="5">
        <v>-51.05</v>
      </c>
      <c r="X154" s="6">
        <v>-2.9812656217150599E-3</v>
      </c>
      <c r="Y154" s="4">
        <v>0</v>
      </c>
      <c r="Z154" s="6">
        <v>0</v>
      </c>
      <c r="AA154" s="5">
        <v>30756.55</v>
      </c>
      <c r="AB154" s="5">
        <v>30572.65</v>
      </c>
      <c r="AC154" s="5">
        <v>-183.9</v>
      </c>
      <c r="AD154" s="5">
        <v>-0.59789999999999999</v>
      </c>
      <c r="AE154" s="4">
        <v>5</v>
      </c>
      <c r="AF154" s="5">
        <v>-8.3333000000000004E-2</v>
      </c>
      <c r="AG154" s="5">
        <v>-209.53049999999999</v>
      </c>
      <c r="AH154" s="5">
        <v>-0.68130000000000002</v>
      </c>
      <c r="AI154" s="8">
        <v>-1.9683999999999999</v>
      </c>
      <c r="AJ154" s="8">
        <v>0.89459999999999995</v>
      </c>
      <c r="AK154" s="9">
        <v>-366.58049999999997</v>
      </c>
      <c r="AL154" s="9">
        <v>-1.5985</v>
      </c>
      <c r="AM154" s="5">
        <v>99.841800000000006</v>
      </c>
      <c r="AN154" s="5">
        <v>103.9051</v>
      </c>
      <c r="AO154" s="5">
        <v>-4.0632999999999999</v>
      </c>
      <c r="AP154" s="5">
        <v>-3.9104999999999999</v>
      </c>
      <c r="AQ154" s="8">
        <v>-0.39050000000000001</v>
      </c>
      <c r="AR154" s="8">
        <v>-1.0085999999999999</v>
      </c>
      <c r="AS154" s="8">
        <v>-1.5985</v>
      </c>
      <c r="AT154" s="5">
        <v>99.841800000000006</v>
      </c>
      <c r="AU154" s="5">
        <v>-3.9104999999999999</v>
      </c>
      <c r="AV154" s="7" t="s">
        <v>96</v>
      </c>
    </row>
    <row r="155" spans="1:48" ht="18" customHeight="1" x14ac:dyDescent="0.25">
      <c r="A155" s="10">
        <v>77</v>
      </c>
      <c r="B155" s="10">
        <v>2</v>
      </c>
      <c r="C155" s="10">
        <v>77</v>
      </c>
      <c r="D155" s="88">
        <v>44846</v>
      </c>
      <c r="E155" s="88">
        <v>44851</v>
      </c>
      <c r="F155" s="88">
        <v>44861</v>
      </c>
      <c r="G155" s="11">
        <v>17123.599999999999</v>
      </c>
      <c r="H155" s="11">
        <v>17311.8</v>
      </c>
      <c r="I155" s="12"/>
      <c r="J155" s="12"/>
      <c r="K155" s="92"/>
      <c r="L155" s="92"/>
      <c r="M155" s="12" t="s">
        <v>40</v>
      </c>
      <c r="N155" s="10">
        <v>16900</v>
      </c>
      <c r="O155" s="95">
        <f>IF(F155=F153,O153,MROUND(G155,100))</f>
        <v>16900</v>
      </c>
      <c r="P155" s="95">
        <f>O155-N155</f>
        <v>0</v>
      </c>
      <c r="Q155" s="12" t="s">
        <v>91</v>
      </c>
      <c r="R155" s="10">
        <v>65</v>
      </c>
      <c r="S155" s="11">
        <v>187.35</v>
      </c>
      <c r="T155" s="11">
        <v>81.349999999999994</v>
      </c>
      <c r="U155" s="13">
        <v>-0.64710000000000001</v>
      </c>
      <c r="V155" s="13">
        <v>0.48680000000000001</v>
      </c>
      <c r="W155" s="10">
        <v>0</v>
      </c>
      <c r="X155" s="14">
        <v>0</v>
      </c>
      <c r="Y155" s="10">
        <v>-106</v>
      </c>
      <c r="Z155" s="14">
        <v>-6.1902870891634943E-3</v>
      </c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 t="s">
        <v>96</v>
      </c>
    </row>
    <row r="156" spans="1:48" ht="18" hidden="1" customHeight="1" x14ac:dyDescent="0.25">
      <c r="A156" s="4">
        <v>78</v>
      </c>
      <c r="B156" s="4">
        <v>1</v>
      </c>
      <c r="C156" s="4">
        <v>78</v>
      </c>
      <c r="D156" s="87">
        <v>44851</v>
      </c>
      <c r="E156" s="87">
        <v>44852</v>
      </c>
      <c r="F156" s="87">
        <v>44854</v>
      </c>
      <c r="G156" s="5">
        <v>17311.8</v>
      </c>
      <c r="H156" s="5">
        <v>17486.95</v>
      </c>
      <c r="I156" s="5">
        <v>175.15</v>
      </c>
      <c r="J156" s="6">
        <v>1.0117376587067781E-2</v>
      </c>
      <c r="K156" s="90"/>
      <c r="L156" s="90"/>
      <c r="M156" s="7" t="s">
        <v>28</v>
      </c>
      <c r="N156" s="4">
        <v>17300</v>
      </c>
      <c r="O156" s="94"/>
      <c r="P156" s="94"/>
      <c r="Q156" s="7" t="s">
        <v>89</v>
      </c>
      <c r="R156" s="4">
        <v>65</v>
      </c>
      <c r="S156" s="4">
        <v>123</v>
      </c>
      <c r="T156" s="5">
        <v>222.85</v>
      </c>
      <c r="U156" s="8">
        <v>-0.81269999999999998</v>
      </c>
      <c r="V156" s="8">
        <v>-0.3604</v>
      </c>
      <c r="W156" s="5">
        <v>-99.85</v>
      </c>
      <c r="X156" s="6">
        <v>-5.7677422336209986E-3</v>
      </c>
      <c r="Y156" s="4">
        <v>0</v>
      </c>
      <c r="Z156" s="6">
        <v>0</v>
      </c>
      <c r="AA156" s="5">
        <v>30572.65</v>
      </c>
      <c r="AB156" s="4">
        <v>30908</v>
      </c>
      <c r="AC156" s="5">
        <v>335.35</v>
      </c>
      <c r="AD156" s="5">
        <v>1.0969</v>
      </c>
      <c r="AE156" s="4">
        <v>1</v>
      </c>
      <c r="AF156" s="5">
        <v>-1.6667000000000001E-2</v>
      </c>
      <c r="AG156" s="5">
        <v>330.25459999999998</v>
      </c>
      <c r="AH156" s="5">
        <v>1.0802</v>
      </c>
      <c r="AI156" s="8">
        <v>0.28079999999999999</v>
      </c>
      <c r="AJ156" s="8">
        <v>1.1566000000000001</v>
      </c>
      <c r="AK156" s="15">
        <v>183.65459999999999</v>
      </c>
      <c r="AL156" s="15">
        <v>0.2334</v>
      </c>
      <c r="AM156" s="5">
        <v>100.0748</v>
      </c>
      <c r="AN156" s="5">
        <v>103.9051</v>
      </c>
      <c r="AO156" s="5">
        <v>-3.8302</v>
      </c>
      <c r="AP156" s="5">
        <v>-3.6863000000000001</v>
      </c>
      <c r="AQ156" s="8">
        <v>6.2600000000000003E-2</v>
      </c>
      <c r="AR156" s="8">
        <v>-0.17580000000000001</v>
      </c>
      <c r="AS156" s="8">
        <v>-0.17580000000000001</v>
      </c>
      <c r="AT156" s="5">
        <v>99.666300000000007</v>
      </c>
      <c r="AU156" s="5">
        <v>-4.0795000000000003</v>
      </c>
      <c r="AV156" s="7" t="s">
        <v>101</v>
      </c>
    </row>
    <row r="157" spans="1:48" ht="18" customHeight="1" x14ac:dyDescent="0.25">
      <c r="A157" s="10">
        <v>78</v>
      </c>
      <c r="B157" s="10">
        <v>2</v>
      </c>
      <c r="C157" s="10">
        <v>78</v>
      </c>
      <c r="D157" s="88">
        <v>44851</v>
      </c>
      <c r="E157" s="88">
        <v>44852</v>
      </c>
      <c r="F157" s="88">
        <v>44861</v>
      </c>
      <c r="G157" s="11">
        <v>17311.8</v>
      </c>
      <c r="H157" s="11">
        <v>17486.95</v>
      </c>
      <c r="I157" s="12"/>
      <c r="J157" s="12"/>
      <c r="K157" s="92"/>
      <c r="L157" s="92"/>
      <c r="M157" s="12" t="s">
        <v>40</v>
      </c>
      <c r="N157" s="10">
        <v>16900</v>
      </c>
      <c r="O157" s="95">
        <f>IF(F157=F155,O155,MROUND(G157,100))</f>
        <v>16900</v>
      </c>
      <c r="P157" s="95">
        <f>O157-N157</f>
        <v>0</v>
      </c>
      <c r="Q157" s="12" t="s">
        <v>91</v>
      </c>
      <c r="R157" s="10">
        <v>65</v>
      </c>
      <c r="S157" s="11">
        <v>81.349999999999994</v>
      </c>
      <c r="T157" s="11">
        <v>34.6</v>
      </c>
      <c r="U157" s="13">
        <v>-0.28129999999999999</v>
      </c>
      <c r="V157" s="13">
        <v>-9.6199999999999994E-2</v>
      </c>
      <c r="W157" s="10">
        <v>0</v>
      </c>
      <c r="X157" s="14">
        <v>0</v>
      </c>
      <c r="Y157" s="11">
        <v>-46.75</v>
      </c>
      <c r="Z157" s="14">
        <v>-2.700470199517092E-3</v>
      </c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 t="s">
        <v>101</v>
      </c>
    </row>
    <row r="158" spans="1:48" ht="18" hidden="1" customHeight="1" x14ac:dyDescent="0.25">
      <c r="A158" s="4">
        <v>79</v>
      </c>
      <c r="B158" s="4">
        <v>1</v>
      </c>
      <c r="C158" s="4">
        <v>79</v>
      </c>
      <c r="D158" s="87">
        <v>44852</v>
      </c>
      <c r="E158" s="87">
        <v>44853</v>
      </c>
      <c r="F158" s="87">
        <v>44854</v>
      </c>
      <c r="G158" s="5">
        <v>17486.95</v>
      </c>
      <c r="H158" s="5">
        <v>17512.25</v>
      </c>
      <c r="I158" s="5">
        <v>25.3</v>
      </c>
      <c r="J158" s="6">
        <v>1.4467931800571281E-3</v>
      </c>
      <c r="K158" s="90"/>
      <c r="L158" s="90"/>
      <c r="M158" s="7" t="s">
        <v>28</v>
      </c>
      <c r="N158" s="4">
        <v>17500</v>
      </c>
      <c r="O158" s="94"/>
      <c r="P158" s="94"/>
      <c r="Q158" s="7" t="s">
        <v>89</v>
      </c>
      <c r="R158" s="4">
        <v>65</v>
      </c>
      <c r="S158" s="5">
        <v>85.45</v>
      </c>
      <c r="T158" s="5">
        <v>62.4</v>
      </c>
      <c r="U158" s="8">
        <v>-0.28339999999999999</v>
      </c>
      <c r="V158" s="8">
        <v>0.20419999999999999</v>
      </c>
      <c r="W158" s="5">
        <v>23.05</v>
      </c>
      <c r="X158" s="6">
        <v>1.318125802384064E-3</v>
      </c>
      <c r="Y158" s="4">
        <v>0</v>
      </c>
      <c r="Z158" s="6">
        <v>0</v>
      </c>
      <c r="AA158" s="4">
        <v>30908</v>
      </c>
      <c r="AB158" s="5">
        <v>30984.45</v>
      </c>
      <c r="AC158" s="5">
        <v>76.45</v>
      </c>
      <c r="AD158" s="5">
        <v>0.24729999999999999</v>
      </c>
      <c r="AE158" s="4">
        <v>1</v>
      </c>
      <c r="AF158" s="5">
        <v>-1.6667000000000001E-2</v>
      </c>
      <c r="AG158" s="5">
        <v>71.298699999999997</v>
      </c>
      <c r="AH158" s="5">
        <v>0.23069999999999999</v>
      </c>
      <c r="AI158" s="8">
        <v>-3.6200000000000003E-2</v>
      </c>
      <c r="AJ158" s="8">
        <v>0.55879999999999996</v>
      </c>
      <c r="AK158" s="15">
        <v>80.198700000000002</v>
      </c>
      <c r="AL158" s="15">
        <v>0.28160000000000002</v>
      </c>
      <c r="AM158" s="5">
        <v>100.3566</v>
      </c>
      <c r="AN158" s="5">
        <v>103.9051</v>
      </c>
      <c r="AO158" s="5">
        <v>-3.5484</v>
      </c>
      <c r="AP158" s="5">
        <v>-3.4150999999999998</v>
      </c>
      <c r="AQ158" s="8">
        <v>-2.6800000000000001E-2</v>
      </c>
      <c r="AR158" s="8">
        <v>0.18459999999999999</v>
      </c>
      <c r="AS158" s="8">
        <v>-2.6800000000000001E-2</v>
      </c>
      <c r="AT158" s="5">
        <v>100.048</v>
      </c>
      <c r="AU158" s="5">
        <v>-3.7121</v>
      </c>
      <c r="AV158" s="7" t="s">
        <v>90</v>
      </c>
    </row>
    <row r="159" spans="1:48" ht="18" customHeight="1" x14ac:dyDescent="0.25">
      <c r="A159" s="10">
        <v>79</v>
      </c>
      <c r="B159" s="10">
        <v>2</v>
      </c>
      <c r="C159" s="10">
        <v>79</v>
      </c>
      <c r="D159" s="88">
        <v>44852</v>
      </c>
      <c r="E159" s="88">
        <v>44853</v>
      </c>
      <c r="F159" s="88">
        <v>44861</v>
      </c>
      <c r="G159" s="11">
        <v>17486.95</v>
      </c>
      <c r="H159" s="11">
        <v>17512.25</v>
      </c>
      <c r="I159" s="12"/>
      <c r="J159" s="12"/>
      <c r="K159" s="92"/>
      <c r="L159" s="92"/>
      <c r="M159" s="12" t="s">
        <v>40</v>
      </c>
      <c r="N159" s="10">
        <v>17500</v>
      </c>
      <c r="O159" s="95">
        <f>IF(F159=F157,O157,MROUND(G159,100))</f>
        <v>16900</v>
      </c>
      <c r="P159" s="95">
        <f>O159-N159</f>
        <v>-600</v>
      </c>
      <c r="Q159" s="12" t="s">
        <v>91</v>
      </c>
      <c r="R159" s="10">
        <v>65</v>
      </c>
      <c r="S159" s="11">
        <v>177.1</v>
      </c>
      <c r="T159" s="11">
        <v>162.94999999999999</v>
      </c>
      <c r="U159" s="13">
        <v>-0.30220000000000002</v>
      </c>
      <c r="V159" s="13">
        <v>1.66E-2</v>
      </c>
      <c r="W159" s="10">
        <v>0</v>
      </c>
      <c r="X159" s="14">
        <v>0</v>
      </c>
      <c r="Y159" s="11">
        <v>-14.15</v>
      </c>
      <c r="Z159" s="14">
        <v>-8.0917484181060729E-4</v>
      </c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 t="s">
        <v>90</v>
      </c>
    </row>
    <row r="160" spans="1:48" ht="18" hidden="1" customHeight="1" x14ac:dyDescent="0.25">
      <c r="A160" s="4">
        <v>80</v>
      </c>
      <c r="B160" s="4">
        <v>1</v>
      </c>
      <c r="C160" s="4">
        <v>80</v>
      </c>
      <c r="D160" s="87">
        <v>44853</v>
      </c>
      <c r="E160" s="87">
        <v>44858</v>
      </c>
      <c r="F160" s="87">
        <v>44861</v>
      </c>
      <c r="G160" s="5">
        <v>17512.25</v>
      </c>
      <c r="H160" s="5">
        <v>17730.75</v>
      </c>
      <c r="I160" s="5">
        <v>218.5</v>
      </c>
      <c r="J160" s="6">
        <v>1.247698039943468E-2</v>
      </c>
      <c r="K160" s="90"/>
      <c r="L160" s="90"/>
      <c r="M160" s="7" t="s">
        <v>28</v>
      </c>
      <c r="N160" s="4">
        <v>17500</v>
      </c>
      <c r="O160" s="94"/>
      <c r="P160" s="94"/>
      <c r="Q160" s="7" t="s">
        <v>89</v>
      </c>
      <c r="R160" s="4">
        <v>65</v>
      </c>
      <c r="S160" s="5">
        <v>156.30000000000001</v>
      </c>
      <c r="T160" s="5">
        <v>256.05</v>
      </c>
      <c r="U160" s="8">
        <v>-1.0082</v>
      </c>
      <c r="V160" s="8">
        <v>0.33489999999999998</v>
      </c>
      <c r="W160" s="5">
        <v>-99.75</v>
      </c>
      <c r="X160" s="6">
        <v>-5.6960127910462678E-3</v>
      </c>
      <c r="Y160" s="4">
        <v>0</v>
      </c>
      <c r="Z160" s="6">
        <v>0</v>
      </c>
      <c r="AA160" s="5">
        <v>30984.45</v>
      </c>
      <c r="AB160" s="5">
        <v>30845.200000000001</v>
      </c>
      <c r="AC160" s="5">
        <v>-139.25</v>
      </c>
      <c r="AD160" s="5">
        <v>-0.44940000000000002</v>
      </c>
      <c r="AE160" s="4">
        <v>5</v>
      </c>
      <c r="AF160" s="5">
        <v>-8.3333000000000004E-2</v>
      </c>
      <c r="AG160" s="5">
        <v>-165.07040000000001</v>
      </c>
      <c r="AH160" s="5">
        <v>-0.53280000000000005</v>
      </c>
      <c r="AI160" s="8">
        <v>-1.2666999999999999</v>
      </c>
      <c r="AJ160" s="8">
        <v>0.31259999999999999</v>
      </c>
      <c r="AK160" s="9">
        <v>-406.5204</v>
      </c>
      <c r="AL160" s="9">
        <v>-1.9115</v>
      </c>
      <c r="AM160" s="5">
        <v>98.438299999999998</v>
      </c>
      <c r="AN160" s="5">
        <v>103.9051</v>
      </c>
      <c r="AO160" s="5">
        <v>-5.4667000000000003</v>
      </c>
      <c r="AP160" s="5">
        <v>-5.2613000000000003</v>
      </c>
      <c r="AQ160" s="8">
        <v>-1.5627</v>
      </c>
      <c r="AR160" s="8">
        <v>-0.65539999999999998</v>
      </c>
      <c r="AS160" s="8">
        <v>-1.9115</v>
      </c>
      <c r="AT160" s="5">
        <v>98.438299999999998</v>
      </c>
      <c r="AU160" s="5">
        <v>-5.2613000000000003</v>
      </c>
      <c r="AV160" s="7" t="s">
        <v>96</v>
      </c>
    </row>
    <row r="161" spans="1:48" ht="18" customHeight="1" x14ac:dyDescent="0.25">
      <c r="A161" s="10">
        <v>80</v>
      </c>
      <c r="B161" s="10">
        <v>2</v>
      </c>
      <c r="C161" s="10">
        <v>80</v>
      </c>
      <c r="D161" s="88">
        <v>44853</v>
      </c>
      <c r="E161" s="88">
        <v>44858</v>
      </c>
      <c r="F161" s="88">
        <v>44861</v>
      </c>
      <c r="G161" s="11">
        <v>17512.25</v>
      </c>
      <c r="H161" s="11">
        <v>17730.75</v>
      </c>
      <c r="I161" s="12"/>
      <c r="J161" s="12"/>
      <c r="K161" s="92"/>
      <c r="L161" s="92"/>
      <c r="M161" s="12" t="s">
        <v>40</v>
      </c>
      <c r="N161" s="10">
        <v>17500</v>
      </c>
      <c r="O161" s="95">
        <f>IF(F161=F159,O159,MROUND(G161,100))</f>
        <v>16900</v>
      </c>
      <c r="P161" s="95">
        <f>O161-N161</f>
        <v>-600</v>
      </c>
      <c r="Q161" s="12" t="s">
        <v>91</v>
      </c>
      <c r="R161" s="10">
        <v>65</v>
      </c>
      <c r="S161" s="11">
        <v>162.94999999999999</v>
      </c>
      <c r="T161" s="11">
        <v>21.25</v>
      </c>
      <c r="U161" s="13">
        <v>-0.86709999999999998</v>
      </c>
      <c r="V161" s="13">
        <v>0.27639999999999998</v>
      </c>
      <c r="W161" s="10">
        <v>0</v>
      </c>
      <c r="X161" s="14">
        <v>0</v>
      </c>
      <c r="Y161" s="11">
        <v>-141.69999999999999</v>
      </c>
      <c r="Z161" s="14">
        <v>-8.0914788219674794E-3</v>
      </c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 t="s">
        <v>96</v>
      </c>
    </row>
    <row r="162" spans="1:48" ht="18" hidden="1" customHeight="1" x14ac:dyDescent="0.25">
      <c r="A162" s="4">
        <v>81</v>
      </c>
      <c r="B162" s="4">
        <v>1</v>
      </c>
      <c r="C162" s="4">
        <v>81</v>
      </c>
      <c r="D162" s="87">
        <v>44858</v>
      </c>
      <c r="E162" s="87">
        <v>44859</v>
      </c>
      <c r="F162" s="87">
        <v>44861</v>
      </c>
      <c r="G162" s="5">
        <v>17730.75</v>
      </c>
      <c r="H162" s="5">
        <v>17656.349999999999</v>
      </c>
      <c r="I162" s="5">
        <v>-74.400000000000006</v>
      </c>
      <c r="J162" s="6">
        <v>-4.196099995770061E-3</v>
      </c>
      <c r="K162" s="90"/>
      <c r="L162" s="90"/>
      <c r="M162" s="7" t="s">
        <v>28</v>
      </c>
      <c r="N162" s="4">
        <v>17700</v>
      </c>
      <c r="O162" s="94"/>
      <c r="P162" s="94"/>
      <c r="Q162" s="7" t="s">
        <v>89</v>
      </c>
      <c r="R162" s="4">
        <v>65</v>
      </c>
      <c r="S162" s="5">
        <v>105.6</v>
      </c>
      <c r="T162" s="5">
        <v>48.9</v>
      </c>
      <c r="U162" s="8">
        <v>-0.16020000000000001</v>
      </c>
      <c r="V162" s="8">
        <v>0.3508</v>
      </c>
      <c r="W162" s="5">
        <v>56.7</v>
      </c>
      <c r="X162" s="6">
        <v>3.197834270969925E-3</v>
      </c>
      <c r="Y162" s="4">
        <v>0</v>
      </c>
      <c r="Z162" s="6">
        <v>0</v>
      </c>
      <c r="AA162" s="5">
        <v>30845.200000000001</v>
      </c>
      <c r="AB162" s="5">
        <v>30982.7</v>
      </c>
      <c r="AC162" s="5">
        <v>137.5</v>
      </c>
      <c r="AD162" s="5">
        <v>0.44579999999999997</v>
      </c>
      <c r="AE162" s="4">
        <v>1</v>
      </c>
      <c r="AF162" s="5">
        <v>-1.6667000000000001E-2</v>
      </c>
      <c r="AG162" s="5">
        <v>132.35910000000001</v>
      </c>
      <c r="AH162" s="5">
        <v>0.42909999999999998</v>
      </c>
      <c r="AI162" s="8">
        <v>-0.56879999999999997</v>
      </c>
      <c r="AJ162" s="8">
        <v>0.69869999999999999</v>
      </c>
      <c r="AK162" s="15">
        <v>187.45910000000001</v>
      </c>
      <c r="AL162" s="15">
        <v>0.7399</v>
      </c>
      <c r="AM162" s="5">
        <v>99.166700000000006</v>
      </c>
      <c r="AN162" s="5">
        <v>103.9051</v>
      </c>
      <c r="AO162" s="5">
        <v>-4.7384000000000004</v>
      </c>
      <c r="AP162" s="5">
        <v>-4.5602999999999998</v>
      </c>
      <c r="AQ162" s="8">
        <v>0.46460000000000001</v>
      </c>
      <c r="AR162" s="8">
        <v>-0.21290000000000001</v>
      </c>
      <c r="AS162" s="8">
        <v>-0.21290000000000001</v>
      </c>
      <c r="AT162" s="5">
        <v>98.228800000000007</v>
      </c>
      <c r="AU162" s="5">
        <v>-5.4630000000000001</v>
      </c>
      <c r="AV162" s="7" t="s">
        <v>90</v>
      </c>
    </row>
    <row r="163" spans="1:48" ht="18" customHeight="1" x14ac:dyDescent="0.25">
      <c r="A163" s="10">
        <v>81</v>
      </c>
      <c r="B163" s="10">
        <v>2</v>
      </c>
      <c r="C163" s="10">
        <v>81</v>
      </c>
      <c r="D163" s="88">
        <v>44858</v>
      </c>
      <c r="E163" s="88">
        <v>44859</v>
      </c>
      <c r="F163" s="88">
        <v>44861</v>
      </c>
      <c r="G163" s="11">
        <v>17730.75</v>
      </c>
      <c r="H163" s="11">
        <v>17656.349999999999</v>
      </c>
      <c r="I163" s="12"/>
      <c r="J163" s="12"/>
      <c r="K163" s="92"/>
      <c r="L163" s="92"/>
      <c r="M163" s="12" t="s">
        <v>40</v>
      </c>
      <c r="N163" s="10">
        <v>17500</v>
      </c>
      <c r="O163" s="95">
        <f>IF(F163=F161,O161,MROUND(G163,100))</f>
        <v>16900</v>
      </c>
      <c r="P163" s="95">
        <f>O163-N163</f>
        <v>-600</v>
      </c>
      <c r="Q163" s="12" t="s">
        <v>91</v>
      </c>
      <c r="R163" s="10">
        <v>65</v>
      </c>
      <c r="S163" s="11">
        <v>21.25</v>
      </c>
      <c r="T163" s="11">
        <v>19.649999999999999</v>
      </c>
      <c r="U163" s="13">
        <v>-7.3899999999999993E-2</v>
      </c>
      <c r="V163" s="13">
        <v>5.1000000000000004E-3</v>
      </c>
      <c r="W163" s="10">
        <v>0</v>
      </c>
      <c r="X163" s="14">
        <v>0</v>
      </c>
      <c r="Y163" s="11">
        <v>-1.6</v>
      </c>
      <c r="Z163" s="14">
        <v>-9.0238709586452922E-5</v>
      </c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 t="s">
        <v>90</v>
      </c>
    </row>
    <row r="164" spans="1:48" ht="18" hidden="1" customHeight="1" x14ac:dyDescent="0.25">
      <c r="A164" s="4">
        <v>82</v>
      </c>
      <c r="B164" s="4">
        <v>1</v>
      </c>
      <c r="C164" s="4">
        <v>82</v>
      </c>
      <c r="D164" s="87">
        <v>44859</v>
      </c>
      <c r="E164" s="87">
        <v>44865</v>
      </c>
      <c r="F164" s="87">
        <v>44868</v>
      </c>
      <c r="G164" s="5">
        <v>17656.349999999999</v>
      </c>
      <c r="H164" s="5">
        <v>18012.2</v>
      </c>
      <c r="I164" s="5">
        <v>355.85</v>
      </c>
      <c r="J164" s="6">
        <v>2.0154222135379062E-2</v>
      </c>
      <c r="K164" s="90"/>
      <c r="L164" s="90"/>
      <c r="M164" s="7" t="s">
        <v>28</v>
      </c>
      <c r="N164" s="4">
        <v>17700</v>
      </c>
      <c r="O164" s="94"/>
      <c r="P164" s="94"/>
      <c r="Q164" s="7" t="s">
        <v>89</v>
      </c>
      <c r="R164" s="4">
        <v>65</v>
      </c>
      <c r="S164" s="5">
        <v>146.15</v>
      </c>
      <c r="T164" s="5">
        <v>329.6</v>
      </c>
      <c r="U164" s="8">
        <v>-1.1012999999999999</v>
      </c>
      <c r="V164" s="8">
        <v>8.4400000000000003E-2</v>
      </c>
      <c r="W164" s="5">
        <v>-183.45</v>
      </c>
      <c r="X164" s="6">
        <v>-1.03900296493896E-2</v>
      </c>
      <c r="Y164" s="4">
        <v>0</v>
      </c>
      <c r="Z164" s="6">
        <v>0</v>
      </c>
      <c r="AA164" s="5">
        <v>30982.7</v>
      </c>
      <c r="AB164" s="5">
        <v>31432.3</v>
      </c>
      <c r="AC164" s="5">
        <v>449.6</v>
      </c>
      <c r="AD164" s="5">
        <v>1.4511000000000001</v>
      </c>
      <c r="AE164" s="4">
        <v>6</v>
      </c>
      <c r="AF164" s="5">
        <v>-0.1</v>
      </c>
      <c r="AG164" s="5">
        <v>418.6173</v>
      </c>
      <c r="AH164" s="5">
        <v>1.3511</v>
      </c>
      <c r="AI164" s="8">
        <v>-0.22900000000000001</v>
      </c>
      <c r="AJ164" s="8">
        <v>1.4227000000000001</v>
      </c>
      <c r="AK164" s="15">
        <v>51.217300000000002</v>
      </c>
      <c r="AL164" s="15">
        <v>-0.72970000000000002</v>
      </c>
      <c r="AM164" s="5">
        <v>98.443100000000001</v>
      </c>
      <c r="AN164" s="5">
        <v>103.9051</v>
      </c>
      <c r="AO164" s="5">
        <v>-5.4619999999999997</v>
      </c>
      <c r="AP164" s="5">
        <v>-5.2567000000000004</v>
      </c>
      <c r="AQ164" s="8">
        <v>-0.73880000000000001</v>
      </c>
      <c r="AR164" s="8">
        <v>-0.24260000000000001</v>
      </c>
      <c r="AS164" s="8">
        <v>-0.73880000000000001</v>
      </c>
      <c r="AT164" s="5">
        <v>98.433999999999997</v>
      </c>
      <c r="AU164" s="5">
        <v>-5.2653999999999996</v>
      </c>
      <c r="AV164" s="7" t="s">
        <v>96</v>
      </c>
    </row>
    <row r="165" spans="1:48" ht="18" customHeight="1" x14ac:dyDescent="0.25">
      <c r="A165" s="10">
        <v>82</v>
      </c>
      <c r="B165" s="10">
        <v>2</v>
      </c>
      <c r="C165" s="10">
        <v>82</v>
      </c>
      <c r="D165" s="88">
        <v>44859</v>
      </c>
      <c r="E165" s="88">
        <v>44865</v>
      </c>
      <c r="F165" s="88">
        <v>44889</v>
      </c>
      <c r="G165" s="11">
        <v>17656.349999999999</v>
      </c>
      <c r="H165" s="11">
        <v>18012.2</v>
      </c>
      <c r="I165" s="12"/>
      <c r="J165" s="12"/>
      <c r="K165" s="92"/>
      <c r="L165" s="92"/>
      <c r="M165" s="12" t="s">
        <v>40</v>
      </c>
      <c r="N165" s="10">
        <v>17700</v>
      </c>
      <c r="O165" s="95">
        <f>IF(F165=F163,O163,MROUND(G165,100))</f>
        <v>17700</v>
      </c>
      <c r="P165" s="95">
        <f>O165-N165</f>
        <v>0</v>
      </c>
      <c r="Q165" s="12" t="s">
        <v>91</v>
      </c>
      <c r="R165" s="10">
        <v>65</v>
      </c>
      <c r="S165" s="11">
        <v>329.55</v>
      </c>
      <c r="T165" s="11">
        <v>145.6</v>
      </c>
      <c r="U165" s="13">
        <v>-1.0602</v>
      </c>
      <c r="V165" s="13">
        <v>-9.8000000000000004E-2</v>
      </c>
      <c r="W165" s="10">
        <v>0</v>
      </c>
      <c r="X165" s="14">
        <v>0</v>
      </c>
      <c r="Y165" s="11">
        <v>-183.95</v>
      </c>
      <c r="Z165" s="14">
        <v>-1.0418348073072859E-2</v>
      </c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 t="s">
        <v>96</v>
      </c>
    </row>
    <row r="166" spans="1:48" ht="18" hidden="1" customHeight="1" x14ac:dyDescent="0.25">
      <c r="A166" s="4">
        <v>83</v>
      </c>
      <c r="B166" s="4">
        <v>1</v>
      </c>
      <c r="C166" s="4">
        <v>83</v>
      </c>
      <c r="D166" s="87">
        <v>44865</v>
      </c>
      <c r="E166" s="87">
        <v>44867</v>
      </c>
      <c r="F166" s="87">
        <v>44868</v>
      </c>
      <c r="G166" s="5">
        <v>18012.2</v>
      </c>
      <c r="H166" s="5">
        <v>18082.849999999999</v>
      </c>
      <c r="I166" s="5">
        <v>70.650000000000006</v>
      </c>
      <c r="J166" s="6">
        <v>3.9223415240781248E-3</v>
      </c>
      <c r="K166" s="90"/>
      <c r="L166" s="90"/>
      <c r="M166" s="7" t="s">
        <v>28</v>
      </c>
      <c r="N166" s="4">
        <v>18000</v>
      </c>
      <c r="O166" s="94"/>
      <c r="P166" s="94"/>
      <c r="Q166" s="7" t="s">
        <v>89</v>
      </c>
      <c r="R166" s="4">
        <v>65</v>
      </c>
      <c r="S166" s="5">
        <v>107.2</v>
      </c>
      <c r="T166" s="5">
        <v>140.94999999999999</v>
      </c>
      <c r="U166" s="8">
        <v>-0.61150000000000004</v>
      </c>
      <c r="V166" s="8">
        <v>-6.3299999999999995E-2</v>
      </c>
      <c r="W166" s="5">
        <v>-33.75</v>
      </c>
      <c r="X166" s="6">
        <v>-1.873730027425856E-3</v>
      </c>
      <c r="Y166" s="4">
        <v>0</v>
      </c>
      <c r="Z166" s="6">
        <v>0</v>
      </c>
      <c r="AA166" s="5">
        <v>31432.3</v>
      </c>
      <c r="AB166" s="4">
        <v>31680</v>
      </c>
      <c r="AC166" s="5">
        <v>247.7</v>
      </c>
      <c r="AD166" s="5">
        <v>0.78800000000000003</v>
      </c>
      <c r="AE166" s="4">
        <v>2</v>
      </c>
      <c r="AF166" s="5">
        <v>-3.3333000000000002E-2</v>
      </c>
      <c r="AG166" s="5">
        <v>237.2226</v>
      </c>
      <c r="AH166" s="5">
        <v>0.75470000000000004</v>
      </c>
      <c r="AI166" s="8">
        <v>0.2329</v>
      </c>
      <c r="AJ166" s="8">
        <v>1.2261</v>
      </c>
      <c r="AK166" s="15">
        <v>182.42259999999999</v>
      </c>
      <c r="AL166" s="15">
        <v>0.45050000000000001</v>
      </c>
      <c r="AM166" s="5">
        <v>98.886499999999998</v>
      </c>
      <c r="AN166" s="5">
        <v>103.9051</v>
      </c>
      <c r="AO166" s="5">
        <v>-5.0185000000000004</v>
      </c>
      <c r="AP166" s="5">
        <v>-4.8299000000000003</v>
      </c>
      <c r="AQ166" s="8">
        <v>0.3226</v>
      </c>
      <c r="AR166" s="8">
        <v>8.2400000000000001E-2</v>
      </c>
      <c r="AS166" s="8">
        <v>8.2400000000000001E-2</v>
      </c>
      <c r="AT166" s="5">
        <v>98.524199999999993</v>
      </c>
      <c r="AU166" s="5">
        <v>-5.1787000000000001</v>
      </c>
      <c r="AV166" s="7" t="s">
        <v>90</v>
      </c>
    </row>
    <row r="167" spans="1:48" ht="18" customHeight="1" x14ac:dyDescent="0.25">
      <c r="A167" s="10">
        <v>83</v>
      </c>
      <c r="B167" s="10">
        <v>2</v>
      </c>
      <c r="C167" s="10">
        <v>83</v>
      </c>
      <c r="D167" s="88">
        <v>44865</v>
      </c>
      <c r="E167" s="88">
        <v>44867</v>
      </c>
      <c r="F167" s="88">
        <v>44889</v>
      </c>
      <c r="G167" s="11">
        <v>18012.2</v>
      </c>
      <c r="H167" s="11">
        <v>18082.849999999999</v>
      </c>
      <c r="I167" s="12"/>
      <c r="J167" s="12"/>
      <c r="K167" s="92"/>
      <c r="L167" s="92"/>
      <c r="M167" s="12" t="s">
        <v>40</v>
      </c>
      <c r="N167" s="10">
        <v>17700</v>
      </c>
      <c r="O167" s="95">
        <f>IF(F167=F165,O165,MROUND(G167,100))</f>
        <v>17700</v>
      </c>
      <c r="P167" s="95">
        <f>O167-N167</f>
        <v>0</v>
      </c>
      <c r="Q167" s="12" t="s">
        <v>91</v>
      </c>
      <c r="R167" s="10">
        <v>65</v>
      </c>
      <c r="S167" s="11">
        <v>145.6</v>
      </c>
      <c r="T167" s="11">
        <v>124.55</v>
      </c>
      <c r="U167" s="13">
        <v>-0.29199999999999998</v>
      </c>
      <c r="V167" s="13">
        <v>-8.72E-2</v>
      </c>
      <c r="W167" s="10">
        <v>0</v>
      </c>
      <c r="X167" s="14">
        <v>0</v>
      </c>
      <c r="Y167" s="11">
        <v>-21.05</v>
      </c>
      <c r="Z167" s="14">
        <v>-1.168652357846349E-3</v>
      </c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 t="s">
        <v>90</v>
      </c>
    </row>
    <row r="168" spans="1:48" ht="18" hidden="1" customHeight="1" x14ac:dyDescent="0.25">
      <c r="A168" s="4">
        <v>84</v>
      </c>
      <c r="B168" s="4">
        <v>1</v>
      </c>
      <c r="C168" s="4">
        <v>84</v>
      </c>
      <c r="D168" s="87">
        <v>44867</v>
      </c>
      <c r="E168" s="87">
        <v>44872</v>
      </c>
      <c r="F168" s="87">
        <v>44875</v>
      </c>
      <c r="G168" s="5">
        <v>18082.849999999999</v>
      </c>
      <c r="H168" s="5">
        <v>18202.8</v>
      </c>
      <c r="I168" s="5">
        <v>119.95</v>
      </c>
      <c r="J168" s="6">
        <v>6.6333570206023942E-3</v>
      </c>
      <c r="K168" s="90"/>
      <c r="L168" s="90"/>
      <c r="M168" s="7" t="s">
        <v>28</v>
      </c>
      <c r="N168" s="4">
        <v>18100</v>
      </c>
      <c r="O168" s="94"/>
      <c r="P168" s="94"/>
      <c r="Q168" s="7" t="s">
        <v>89</v>
      </c>
      <c r="R168" s="4">
        <v>65</v>
      </c>
      <c r="S168" s="4">
        <v>181</v>
      </c>
      <c r="T168" s="5">
        <v>153.44999999999999</v>
      </c>
      <c r="U168" s="8">
        <v>-0.16039999999999999</v>
      </c>
      <c r="V168" s="8">
        <v>0.50429999999999997</v>
      </c>
      <c r="W168" s="5">
        <v>27.55</v>
      </c>
      <c r="X168" s="6">
        <v>1.523543025573956E-3</v>
      </c>
      <c r="Y168" s="4">
        <v>0</v>
      </c>
      <c r="Z168" s="6">
        <v>0</v>
      </c>
      <c r="AA168" s="4">
        <v>31680</v>
      </c>
      <c r="AB168" s="5">
        <v>31963.599999999999</v>
      </c>
      <c r="AC168" s="5">
        <v>283.60000000000002</v>
      </c>
      <c r="AD168" s="5">
        <v>0.8952</v>
      </c>
      <c r="AE168" s="4">
        <v>5</v>
      </c>
      <c r="AF168" s="5">
        <v>-8.3333000000000004E-2</v>
      </c>
      <c r="AG168" s="5">
        <v>257.2</v>
      </c>
      <c r="AH168" s="5">
        <v>0.81189999999999996</v>
      </c>
      <c r="AI168" s="8">
        <v>-0.50690000000000002</v>
      </c>
      <c r="AJ168" s="8">
        <v>0.8952</v>
      </c>
      <c r="AK168" s="16">
        <v>220</v>
      </c>
      <c r="AL168" s="15">
        <v>0.60619999999999996</v>
      </c>
      <c r="AM168" s="5">
        <v>99.486000000000004</v>
      </c>
      <c r="AN168" s="5">
        <v>103.9051</v>
      </c>
      <c r="AO168" s="5">
        <v>-4.4191000000000003</v>
      </c>
      <c r="AP168" s="5">
        <v>-4.2530000000000001</v>
      </c>
      <c r="AQ168" s="8">
        <v>0.36680000000000001</v>
      </c>
      <c r="AR168" s="8">
        <v>0.12379999999999999</v>
      </c>
      <c r="AS168" s="8">
        <v>0.12379999999999999</v>
      </c>
      <c r="AT168" s="5">
        <v>99.009</v>
      </c>
      <c r="AU168" s="5">
        <v>-4.7121000000000004</v>
      </c>
      <c r="AV168" s="7" t="s">
        <v>100</v>
      </c>
    </row>
    <row r="169" spans="1:48" ht="18" customHeight="1" x14ac:dyDescent="0.25">
      <c r="A169" s="10">
        <v>84</v>
      </c>
      <c r="B169" s="10">
        <v>2</v>
      </c>
      <c r="C169" s="10">
        <v>84</v>
      </c>
      <c r="D169" s="88">
        <v>44867</v>
      </c>
      <c r="E169" s="88">
        <v>44872</v>
      </c>
      <c r="F169" s="88">
        <v>44889</v>
      </c>
      <c r="G169" s="11">
        <v>18082.849999999999</v>
      </c>
      <c r="H169" s="11">
        <v>18202.8</v>
      </c>
      <c r="I169" s="12"/>
      <c r="J169" s="12"/>
      <c r="K169" s="92"/>
      <c r="L169" s="92"/>
      <c r="M169" s="12" t="s">
        <v>40</v>
      </c>
      <c r="N169" s="10">
        <v>17700</v>
      </c>
      <c r="O169" s="95">
        <f>IF(F169=F167,O167,MROUND(G169,100))</f>
        <v>17700</v>
      </c>
      <c r="P169" s="95">
        <f>O169-N169</f>
        <v>0</v>
      </c>
      <c r="Q169" s="12" t="s">
        <v>91</v>
      </c>
      <c r="R169" s="10">
        <v>65</v>
      </c>
      <c r="S169" s="11">
        <v>124.55</v>
      </c>
      <c r="T169" s="11">
        <v>59.8</v>
      </c>
      <c r="U169" s="13">
        <v>-0.36799999999999999</v>
      </c>
      <c r="V169" s="13">
        <v>0.12640000000000001</v>
      </c>
      <c r="W169" s="10">
        <v>0</v>
      </c>
      <c r="X169" s="14">
        <v>0</v>
      </c>
      <c r="Y169" s="11">
        <v>-64.75</v>
      </c>
      <c r="Z169" s="14">
        <v>-3.5807408677282619E-3</v>
      </c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 t="s">
        <v>100</v>
      </c>
    </row>
    <row r="170" spans="1:48" ht="18" hidden="1" customHeight="1" x14ac:dyDescent="0.25">
      <c r="A170" s="4">
        <v>85</v>
      </c>
      <c r="B170" s="4">
        <v>1</v>
      </c>
      <c r="C170" s="4">
        <v>85</v>
      </c>
      <c r="D170" s="87">
        <v>44872</v>
      </c>
      <c r="E170" s="87">
        <v>44874</v>
      </c>
      <c r="F170" s="87">
        <v>44875</v>
      </c>
      <c r="G170" s="5">
        <v>18202.8</v>
      </c>
      <c r="H170" s="4">
        <v>18157</v>
      </c>
      <c r="I170" s="5">
        <v>-45.8</v>
      </c>
      <c r="J170" s="6">
        <v>-2.5160964247258658E-3</v>
      </c>
      <c r="K170" s="90"/>
      <c r="L170" s="90"/>
      <c r="M170" s="7" t="s">
        <v>28</v>
      </c>
      <c r="N170" s="4">
        <v>18200</v>
      </c>
      <c r="O170" s="94"/>
      <c r="P170" s="94"/>
      <c r="Q170" s="7" t="s">
        <v>89</v>
      </c>
      <c r="R170" s="4">
        <v>65</v>
      </c>
      <c r="S170" s="5">
        <v>90.95</v>
      </c>
      <c r="T170" s="5">
        <v>43.85</v>
      </c>
      <c r="U170" s="8">
        <v>-0.2145</v>
      </c>
      <c r="V170" s="8">
        <v>0.34310000000000002</v>
      </c>
      <c r="W170" s="5">
        <v>47.1</v>
      </c>
      <c r="X170" s="6">
        <v>2.587514008833806E-3</v>
      </c>
      <c r="Y170" s="4">
        <v>0</v>
      </c>
      <c r="Z170" s="6">
        <v>0</v>
      </c>
      <c r="AA170" s="5">
        <v>31963.599999999999</v>
      </c>
      <c r="AB170" s="5">
        <v>31726.3</v>
      </c>
      <c r="AC170" s="5">
        <v>-237.3</v>
      </c>
      <c r="AD170" s="5">
        <v>-0.74239999999999995</v>
      </c>
      <c r="AE170" s="4">
        <v>2</v>
      </c>
      <c r="AF170" s="5">
        <v>-3.3333000000000002E-2</v>
      </c>
      <c r="AG170" s="5">
        <v>-247.9545</v>
      </c>
      <c r="AH170" s="5">
        <v>-0.77569999999999995</v>
      </c>
      <c r="AI170" s="8">
        <v>-0.94410000000000005</v>
      </c>
      <c r="AJ170" s="8">
        <v>0.33560000000000001</v>
      </c>
      <c r="AK170" s="9">
        <v>-186.3545</v>
      </c>
      <c r="AL170" s="9">
        <v>-0.43730000000000002</v>
      </c>
      <c r="AM170" s="5">
        <v>99.050899999999999</v>
      </c>
      <c r="AN170" s="5">
        <v>103.9051</v>
      </c>
      <c r="AO170" s="5">
        <v>-4.8540999999999999</v>
      </c>
      <c r="AP170" s="5">
        <v>-4.6717000000000004</v>
      </c>
      <c r="AQ170" s="8">
        <v>-0.1401</v>
      </c>
      <c r="AR170" s="8">
        <v>-0.4178</v>
      </c>
      <c r="AS170" s="8">
        <v>-0.43730000000000002</v>
      </c>
      <c r="AT170" s="5">
        <v>99.050899999999999</v>
      </c>
      <c r="AU170" s="5">
        <v>-4.6717000000000004</v>
      </c>
      <c r="AV170" s="7" t="s">
        <v>90</v>
      </c>
    </row>
    <row r="171" spans="1:48" ht="18" customHeight="1" x14ac:dyDescent="0.25">
      <c r="A171" s="10">
        <v>85</v>
      </c>
      <c r="B171" s="10">
        <v>2</v>
      </c>
      <c r="C171" s="10">
        <v>85</v>
      </c>
      <c r="D171" s="88">
        <v>44872</v>
      </c>
      <c r="E171" s="88">
        <v>44874</v>
      </c>
      <c r="F171" s="88">
        <v>44889</v>
      </c>
      <c r="G171" s="11">
        <v>18202.8</v>
      </c>
      <c r="H171" s="10">
        <v>18157</v>
      </c>
      <c r="I171" s="12"/>
      <c r="J171" s="12"/>
      <c r="K171" s="92"/>
      <c r="L171" s="92"/>
      <c r="M171" s="12" t="s">
        <v>40</v>
      </c>
      <c r="N171" s="10">
        <v>18200</v>
      </c>
      <c r="O171" s="95">
        <f>IF(F171=F169,O169,MROUND(G171,100))</f>
        <v>17700</v>
      </c>
      <c r="P171" s="95">
        <f>O171-N171</f>
        <v>-500</v>
      </c>
      <c r="Q171" s="12" t="s">
        <v>91</v>
      </c>
      <c r="R171" s="10">
        <v>65</v>
      </c>
      <c r="S171" s="11">
        <v>190.05</v>
      </c>
      <c r="T171" s="11">
        <v>204.55</v>
      </c>
      <c r="U171" s="13">
        <v>-0.26119999999999999</v>
      </c>
      <c r="V171" s="13">
        <v>0.1832</v>
      </c>
      <c r="W171" s="10">
        <v>0</v>
      </c>
      <c r="X171" s="14">
        <v>0</v>
      </c>
      <c r="Y171" s="11">
        <v>14.5</v>
      </c>
      <c r="Z171" s="14">
        <v>7.9658074581932456E-4</v>
      </c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 t="s">
        <v>90</v>
      </c>
    </row>
    <row r="172" spans="1:48" ht="18" hidden="1" customHeight="1" x14ac:dyDescent="0.25">
      <c r="A172" s="4">
        <v>86</v>
      </c>
      <c r="B172" s="4">
        <v>1</v>
      </c>
      <c r="C172" s="4">
        <v>86</v>
      </c>
      <c r="D172" s="87">
        <v>44874</v>
      </c>
      <c r="E172" s="87">
        <v>44876</v>
      </c>
      <c r="F172" s="87">
        <v>44882</v>
      </c>
      <c r="G172" s="4">
        <v>18157</v>
      </c>
      <c r="H172" s="5">
        <v>18349.7</v>
      </c>
      <c r="I172" s="5">
        <v>192.7</v>
      </c>
      <c r="J172" s="6">
        <v>1.0612986726882189E-2</v>
      </c>
      <c r="K172" s="90"/>
      <c r="L172" s="90"/>
      <c r="M172" s="7" t="s">
        <v>28</v>
      </c>
      <c r="N172" s="4">
        <v>18200</v>
      </c>
      <c r="O172" s="94"/>
      <c r="P172" s="94"/>
      <c r="Q172" s="7" t="s">
        <v>89</v>
      </c>
      <c r="R172" s="4">
        <v>65</v>
      </c>
      <c r="S172" s="5">
        <v>144.05000000000001</v>
      </c>
      <c r="T172" s="5">
        <v>222.9</v>
      </c>
      <c r="U172" s="8">
        <v>-0.54830000000000001</v>
      </c>
      <c r="V172" s="8">
        <v>0.49490000000000001</v>
      </c>
      <c r="W172" s="5">
        <v>-78.849999999999994</v>
      </c>
      <c r="X172" s="6">
        <v>-4.34267775513576E-3</v>
      </c>
      <c r="Y172" s="4">
        <v>0</v>
      </c>
      <c r="Z172" s="6">
        <v>0</v>
      </c>
      <c r="AA172" s="5">
        <v>31726.3</v>
      </c>
      <c r="AB172" s="5">
        <v>31381.7</v>
      </c>
      <c r="AC172" s="5">
        <v>-344.6</v>
      </c>
      <c r="AD172" s="5">
        <v>-1.0862000000000001</v>
      </c>
      <c r="AE172" s="4">
        <v>2</v>
      </c>
      <c r="AF172" s="5">
        <v>-3.3333000000000002E-2</v>
      </c>
      <c r="AG172" s="5">
        <v>-355.17540000000002</v>
      </c>
      <c r="AH172" s="5">
        <v>-1.1194999999999999</v>
      </c>
      <c r="AI172" s="8">
        <v>-1.5535000000000001</v>
      </c>
      <c r="AJ172" s="8">
        <v>0.29339999999999999</v>
      </c>
      <c r="AK172" s="9">
        <v>-548.32539999999995</v>
      </c>
      <c r="AL172" s="9">
        <v>-2.1833</v>
      </c>
      <c r="AM172" s="5">
        <v>96.888400000000004</v>
      </c>
      <c r="AN172" s="5">
        <v>103.9051</v>
      </c>
      <c r="AO172" s="5">
        <v>-7.0167000000000002</v>
      </c>
      <c r="AP172" s="5">
        <v>-6.7530000000000001</v>
      </c>
      <c r="AQ172" s="8">
        <v>-0.92049999999999998</v>
      </c>
      <c r="AR172" s="8">
        <v>-0.56040000000000001</v>
      </c>
      <c r="AS172" s="8">
        <v>-2.1833</v>
      </c>
      <c r="AT172" s="5">
        <v>96.888400000000004</v>
      </c>
      <c r="AU172" s="5">
        <v>-6.7530000000000001</v>
      </c>
      <c r="AV172" s="7" t="s">
        <v>96</v>
      </c>
    </row>
    <row r="173" spans="1:48" ht="18" customHeight="1" x14ac:dyDescent="0.25">
      <c r="A173" s="10">
        <v>86</v>
      </c>
      <c r="B173" s="10">
        <v>2</v>
      </c>
      <c r="C173" s="10">
        <v>86</v>
      </c>
      <c r="D173" s="88">
        <v>44874</v>
      </c>
      <c r="E173" s="88">
        <v>44876</v>
      </c>
      <c r="F173" s="88">
        <v>44889</v>
      </c>
      <c r="G173" s="10">
        <v>18157</v>
      </c>
      <c r="H173" s="11">
        <v>18349.7</v>
      </c>
      <c r="I173" s="12"/>
      <c r="J173" s="12"/>
      <c r="K173" s="92"/>
      <c r="L173" s="92"/>
      <c r="M173" s="12" t="s">
        <v>40</v>
      </c>
      <c r="N173" s="10">
        <v>18200</v>
      </c>
      <c r="O173" s="95">
        <f>IF(F173=F171,O171,MROUND(G173,100))</f>
        <v>17700</v>
      </c>
      <c r="P173" s="95">
        <f>O173-N173</f>
        <v>-500</v>
      </c>
      <c r="Q173" s="12" t="s">
        <v>91</v>
      </c>
      <c r="R173" s="10">
        <v>65</v>
      </c>
      <c r="S173" s="11">
        <v>204.55</v>
      </c>
      <c r="T173" s="11">
        <v>90.25</v>
      </c>
      <c r="U173" s="13">
        <v>-0.66559999999999997</v>
      </c>
      <c r="V173" s="13">
        <v>0.49819999999999998</v>
      </c>
      <c r="W173" s="10">
        <v>0</v>
      </c>
      <c r="X173" s="14">
        <v>0</v>
      </c>
      <c r="Y173" s="11">
        <v>-114.3</v>
      </c>
      <c r="Z173" s="14">
        <v>-6.2950928016742864E-3</v>
      </c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 t="s">
        <v>96</v>
      </c>
    </row>
    <row r="174" spans="1:48" ht="18" hidden="1" customHeight="1" x14ac:dyDescent="0.25">
      <c r="A174" s="4">
        <v>87</v>
      </c>
      <c r="B174" s="4">
        <v>1</v>
      </c>
      <c r="C174" s="4">
        <v>87</v>
      </c>
      <c r="D174" s="87">
        <v>44876</v>
      </c>
      <c r="E174" s="87">
        <v>44881</v>
      </c>
      <c r="F174" s="87">
        <v>44882</v>
      </c>
      <c r="G174" s="5">
        <v>18349.7</v>
      </c>
      <c r="H174" s="5">
        <v>18409.650000000001</v>
      </c>
      <c r="I174" s="5">
        <v>59.95</v>
      </c>
      <c r="J174" s="6">
        <v>3.2670833855594369E-3</v>
      </c>
      <c r="K174" s="90"/>
      <c r="L174" s="90"/>
      <c r="M174" s="7" t="s">
        <v>28</v>
      </c>
      <c r="N174" s="4">
        <v>18300</v>
      </c>
      <c r="O174" s="94"/>
      <c r="P174" s="94"/>
      <c r="Q174" s="7" t="s">
        <v>89</v>
      </c>
      <c r="R174" s="4">
        <v>65</v>
      </c>
      <c r="S174" s="5">
        <v>151.4</v>
      </c>
      <c r="T174" s="5">
        <v>129.94999999999999</v>
      </c>
      <c r="U174" s="8">
        <v>-9.0499999999999997E-2</v>
      </c>
      <c r="V174" s="8">
        <v>0.39350000000000002</v>
      </c>
      <c r="W174" s="5">
        <v>21.45</v>
      </c>
      <c r="X174" s="6">
        <v>1.1689564407047521E-3</v>
      </c>
      <c r="Y174" s="4">
        <v>0</v>
      </c>
      <c r="Z174" s="6">
        <v>0</v>
      </c>
      <c r="AA174" s="5">
        <v>31381.7</v>
      </c>
      <c r="AB174" s="5">
        <v>31197.9</v>
      </c>
      <c r="AC174" s="5">
        <v>-183.8</v>
      </c>
      <c r="AD174" s="5">
        <v>-0.5857</v>
      </c>
      <c r="AE174" s="4">
        <v>5</v>
      </c>
      <c r="AF174" s="5">
        <v>-8.3333000000000004E-2</v>
      </c>
      <c r="AG174" s="5">
        <v>-209.95140000000001</v>
      </c>
      <c r="AH174" s="5">
        <v>-0.66900000000000004</v>
      </c>
      <c r="AI174" s="8">
        <v>-1.0636000000000001</v>
      </c>
      <c r="AJ174" s="8">
        <v>0.37159999999999999</v>
      </c>
      <c r="AK174" s="9">
        <v>-221.50139999999999</v>
      </c>
      <c r="AL174" s="9">
        <v>-0.7319</v>
      </c>
      <c r="AM174" s="5">
        <v>96.179199999999994</v>
      </c>
      <c r="AN174" s="5">
        <v>103.9051</v>
      </c>
      <c r="AO174" s="5">
        <v>-7.7257999999999996</v>
      </c>
      <c r="AP174" s="5">
        <v>-7.4355000000000002</v>
      </c>
      <c r="AQ174" s="8">
        <v>7.4800000000000005E-2</v>
      </c>
      <c r="AR174" s="8">
        <v>-0.62429999999999997</v>
      </c>
      <c r="AS174" s="8">
        <v>-0.7319</v>
      </c>
      <c r="AT174" s="5">
        <v>96.179199999999994</v>
      </c>
      <c r="AU174" s="5">
        <v>-7.4355000000000002</v>
      </c>
      <c r="AV174" s="7" t="s">
        <v>90</v>
      </c>
    </row>
    <row r="175" spans="1:48" ht="18" customHeight="1" x14ac:dyDescent="0.25">
      <c r="A175" s="10">
        <v>87</v>
      </c>
      <c r="B175" s="10">
        <v>2</v>
      </c>
      <c r="C175" s="10">
        <v>87</v>
      </c>
      <c r="D175" s="88">
        <v>44876</v>
      </c>
      <c r="E175" s="88">
        <v>44881</v>
      </c>
      <c r="F175" s="88">
        <v>44889</v>
      </c>
      <c r="G175" s="11">
        <v>18349.7</v>
      </c>
      <c r="H175" s="11">
        <v>18409.650000000001</v>
      </c>
      <c r="I175" s="12"/>
      <c r="J175" s="12"/>
      <c r="K175" s="92"/>
      <c r="L175" s="92"/>
      <c r="M175" s="12" t="s">
        <v>40</v>
      </c>
      <c r="N175" s="10">
        <v>18200</v>
      </c>
      <c r="O175" s="95">
        <f>IF(F175=F173,O173,MROUND(G175,100))</f>
        <v>17700</v>
      </c>
      <c r="P175" s="95">
        <f>O175-N175</f>
        <v>-500</v>
      </c>
      <c r="Q175" s="12" t="s">
        <v>91</v>
      </c>
      <c r="R175" s="10">
        <v>65</v>
      </c>
      <c r="S175" s="11">
        <v>90.25</v>
      </c>
      <c r="T175" s="11">
        <v>57.25</v>
      </c>
      <c r="U175" s="13">
        <v>-0.20630000000000001</v>
      </c>
      <c r="V175" s="13">
        <v>4.58E-2</v>
      </c>
      <c r="W175" s="10">
        <v>0</v>
      </c>
      <c r="X175" s="14">
        <v>0</v>
      </c>
      <c r="Y175" s="10">
        <v>-33</v>
      </c>
      <c r="Z175" s="14">
        <v>-1.7983945241611581E-3</v>
      </c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 t="s">
        <v>90</v>
      </c>
    </row>
    <row r="176" spans="1:48" ht="18" hidden="1" customHeight="1" x14ac:dyDescent="0.25">
      <c r="A176" s="4">
        <v>88</v>
      </c>
      <c r="B176" s="4">
        <v>1</v>
      </c>
      <c r="C176" s="4">
        <v>88</v>
      </c>
      <c r="D176" s="87">
        <v>44881</v>
      </c>
      <c r="E176" s="87">
        <v>44886</v>
      </c>
      <c r="F176" s="87">
        <v>44889</v>
      </c>
      <c r="G176" s="5">
        <v>18409.650000000001</v>
      </c>
      <c r="H176" s="5">
        <v>18159.95</v>
      </c>
      <c r="I176" s="5">
        <v>-249.7</v>
      </c>
      <c r="J176" s="6">
        <v>-1.3563538687590471E-2</v>
      </c>
      <c r="K176" s="90"/>
      <c r="L176" s="90"/>
      <c r="M176" s="7" t="s">
        <v>28</v>
      </c>
      <c r="N176" s="4">
        <v>18400</v>
      </c>
      <c r="O176" s="94"/>
      <c r="P176" s="94"/>
      <c r="Q176" s="7" t="s">
        <v>89</v>
      </c>
      <c r="R176" s="4">
        <v>65</v>
      </c>
      <c r="S176" s="5">
        <v>166.65</v>
      </c>
      <c r="T176" s="5">
        <v>18.45</v>
      </c>
      <c r="U176" s="8">
        <v>0.01</v>
      </c>
      <c r="V176" s="8">
        <v>0.83189999999999997</v>
      </c>
      <c r="W176" s="5">
        <v>148.19999999999999</v>
      </c>
      <c r="X176" s="6">
        <v>8.0501258850657117E-3</v>
      </c>
      <c r="Y176" s="4">
        <v>0</v>
      </c>
      <c r="Z176" s="6">
        <v>0</v>
      </c>
      <c r="AA176" s="5">
        <v>31197.9</v>
      </c>
      <c r="AB176" s="5">
        <v>30901.5</v>
      </c>
      <c r="AC176" s="5">
        <v>-296.39999999999998</v>
      </c>
      <c r="AD176" s="5">
        <v>-0.95009999999999994</v>
      </c>
      <c r="AE176" s="4">
        <v>5</v>
      </c>
      <c r="AF176" s="5">
        <v>-8.3333000000000004E-2</v>
      </c>
      <c r="AG176" s="5">
        <v>-322.39830000000001</v>
      </c>
      <c r="AH176" s="5">
        <v>-1.0334000000000001</v>
      </c>
      <c r="AI176" s="8">
        <v>-1.4662999999999999</v>
      </c>
      <c r="AJ176" s="8">
        <v>-3.7600000000000001E-2</v>
      </c>
      <c r="AK176" s="9">
        <v>-143.14830000000001</v>
      </c>
      <c r="AL176" s="9">
        <v>-5.9700000000000003E-2</v>
      </c>
      <c r="AM176" s="5">
        <v>96.121799999999993</v>
      </c>
      <c r="AN176" s="5">
        <v>103.9051</v>
      </c>
      <c r="AO176" s="5">
        <v>-7.7831999999999999</v>
      </c>
      <c r="AP176" s="5">
        <v>-7.4907000000000004</v>
      </c>
      <c r="AQ176" s="8">
        <v>-0.1202</v>
      </c>
      <c r="AR176" s="8">
        <v>-0.3533</v>
      </c>
      <c r="AS176" s="8">
        <v>-0.3533</v>
      </c>
      <c r="AT176" s="5">
        <v>95.839399999999998</v>
      </c>
      <c r="AU176" s="5">
        <v>-7.7625000000000002</v>
      </c>
      <c r="AV176" s="7" t="s">
        <v>93</v>
      </c>
    </row>
    <row r="177" spans="1:48" ht="18" customHeight="1" x14ac:dyDescent="0.25">
      <c r="A177" s="10">
        <v>88</v>
      </c>
      <c r="B177" s="10">
        <v>2</v>
      </c>
      <c r="C177" s="10">
        <v>88</v>
      </c>
      <c r="D177" s="88">
        <v>44881</v>
      </c>
      <c r="E177" s="88">
        <v>44886</v>
      </c>
      <c r="F177" s="88">
        <v>44889</v>
      </c>
      <c r="G177" s="11">
        <v>18409.650000000001</v>
      </c>
      <c r="H177" s="11">
        <v>18159.95</v>
      </c>
      <c r="I177" s="12"/>
      <c r="J177" s="12"/>
      <c r="K177" s="92"/>
      <c r="L177" s="92"/>
      <c r="M177" s="12" t="s">
        <v>40</v>
      </c>
      <c r="N177" s="10">
        <v>18200</v>
      </c>
      <c r="O177" s="95">
        <f>IF(F177=F175,O175,MROUND(G177,100))</f>
        <v>17700</v>
      </c>
      <c r="P177" s="95">
        <f>O177-N177</f>
        <v>-500</v>
      </c>
      <c r="Q177" s="12" t="s">
        <v>91</v>
      </c>
      <c r="R177" s="10">
        <v>65</v>
      </c>
      <c r="S177" s="11">
        <v>57.25</v>
      </c>
      <c r="T177" s="11">
        <v>88.3</v>
      </c>
      <c r="U177" s="13">
        <v>-9.2600000000000002E-2</v>
      </c>
      <c r="V177" s="13">
        <v>0.28110000000000002</v>
      </c>
      <c r="W177" s="10">
        <v>0</v>
      </c>
      <c r="X177" s="14">
        <v>0</v>
      </c>
      <c r="Y177" s="11">
        <v>31.05</v>
      </c>
      <c r="Z177" s="14">
        <v>1.6866154435309739E-3</v>
      </c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 t="s">
        <v>93</v>
      </c>
    </row>
    <row r="178" spans="1:48" ht="18" hidden="1" customHeight="1" x14ac:dyDescent="0.25">
      <c r="A178" s="4">
        <v>89</v>
      </c>
      <c r="B178" s="4">
        <v>1</v>
      </c>
      <c r="C178" s="4">
        <v>89</v>
      </c>
      <c r="D178" s="87">
        <v>44886</v>
      </c>
      <c r="E178" s="87">
        <v>44888</v>
      </c>
      <c r="F178" s="87">
        <v>44889</v>
      </c>
      <c r="G178" s="5">
        <v>18159.95</v>
      </c>
      <c r="H178" s="5">
        <v>18267.25</v>
      </c>
      <c r="I178" s="5">
        <v>107.3</v>
      </c>
      <c r="J178" s="6">
        <v>5.9086065765599572E-3</v>
      </c>
      <c r="K178" s="90"/>
      <c r="L178" s="90"/>
      <c r="M178" s="7" t="s">
        <v>28</v>
      </c>
      <c r="N178" s="4">
        <v>18200</v>
      </c>
      <c r="O178" s="94"/>
      <c r="P178" s="94"/>
      <c r="Q178" s="7" t="s">
        <v>89</v>
      </c>
      <c r="R178" s="4">
        <v>65</v>
      </c>
      <c r="S178" s="5">
        <v>78.849999999999994</v>
      </c>
      <c r="T178" s="5">
        <v>104.85</v>
      </c>
      <c r="U178" s="8">
        <v>-0.40389999999999998</v>
      </c>
      <c r="V178" s="8">
        <v>9.64E-2</v>
      </c>
      <c r="W178" s="4">
        <v>-26</v>
      </c>
      <c r="X178" s="6">
        <v>-1.431722003639878E-3</v>
      </c>
      <c r="Y178" s="4">
        <v>0</v>
      </c>
      <c r="Z178" s="6">
        <v>0</v>
      </c>
      <c r="AA178" s="5">
        <v>30901.5</v>
      </c>
      <c r="AB178" s="5">
        <v>31150.65</v>
      </c>
      <c r="AC178" s="5">
        <v>249.15</v>
      </c>
      <c r="AD178" s="5">
        <v>0.80630000000000002</v>
      </c>
      <c r="AE178" s="4">
        <v>2</v>
      </c>
      <c r="AF178" s="5">
        <v>-3.3333000000000002E-2</v>
      </c>
      <c r="AG178" s="5">
        <v>238.84950000000001</v>
      </c>
      <c r="AH178" s="5">
        <v>0.77290000000000003</v>
      </c>
      <c r="AI178" s="8">
        <v>8.3199999999999996E-2</v>
      </c>
      <c r="AJ178" s="8">
        <v>1.0447</v>
      </c>
      <c r="AK178" s="15">
        <v>142.89949999999999</v>
      </c>
      <c r="AL178" s="15">
        <v>0.2445</v>
      </c>
      <c r="AM178" s="5">
        <v>96.356800000000007</v>
      </c>
      <c r="AN178" s="5">
        <v>103.9051</v>
      </c>
      <c r="AO178" s="5">
        <v>-7.5481999999999996</v>
      </c>
      <c r="AP178" s="5">
        <v>-7.2645</v>
      </c>
      <c r="AQ178" s="8">
        <v>0.20910000000000001</v>
      </c>
      <c r="AR178" s="8">
        <v>0.1983</v>
      </c>
      <c r="AS178" s="8">
        <v>0.1983</v>
      </c>
      <c r="AT178" s="5">
        <v>96.312399999999997</v>
      </c>
      <c r="AU178" s="5">
        <v>-7.3072999999999997</v>
      </c>
      <c r="AV178" s="7" t="s">
        <v>90</v>
      </c>
    </row>
    <row r="179" spans="1:48" ht="18" customHeight="1" x14ac:dyDescent="0.25">
      <c r="A179" s="10">
        <v>89</v>
      </c>
      <c r="B179" s="10">
        <v>2</v>
      </c>
      <c r="C179" s="10">
        <v>89</v>
      </c>
      <c r="D179" s="88">
        <v>44886</v>
      </c>
      <c r="E179" s="88">
        <v>44888</v>
      </c>
      <c r="F179" s="88">
        <v>44889</v>
      </c>
      <c r="G179" s="11">
        <v>18159.95</v>
      </c>
      <c r="H179" s="11">
        <v>18267.25</v>
      </c>
      <c r="I179" s="12"/>
      <c r="J179" s="12"/>
      <c r="K179" s="92"/>
      <c r="L179" s="92"/>
      <c r="M179" s="12" t="s">
        <v>40</v>
      </c>
      <c r="N179" s="10">
        <v>18200</v>
      </c>
      <c r="O179" s="95">
        <f>IF(F179=F177,O177,MROUND(G179,100))</f>
        <v>17700</v>
      </c>
      <c r="P179" s="95">
        <f>O179-N179</f>
        <v>-500</v>
      </c>
      <c r="Q179" s="12" t="s">
        <v>91</v>
      </c>
      <c r="R179" s="10">
        <v>65</v>
      </c>
      <c r="S179" s="11">
        <v>88.3</v>
      </c>
      <c r="T179" s="11">
        <v>18.350000000000001</v>
      </c>
      <c r="U179" s="13">
        <v>-0.43169999999999997</v>
      </c>
      <c r="V179" s="13">
        <v>1.8700000000000001E-2</v>
      </c>
      <c r="W179" s="10">
        <v>0</v>
      </c>
      <c r="X179" s="14">
        <v>0</v>
      </c>
      <c r="Y179" s="11">
        <v>-69.95</v>
      </c>
      <c r="Z179" s="14">
        <v>-3.8518828521003638E-3</v>
      </c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 t="s">
        <v>90</v>
      </c>
    </row>
    <row r="180" spans="1:48" ht="18" hidden="1" customHeight="1" x14ac:dyDescent="0.25">
      <c r="A180" s="4">
        <v>90</v>
      </c>
      <c r="B180" s="4">
        <v>1</v>
      </c>
      <c r="C180" s="4">
        <v>90</v>
      </c>
      <c r="D180" s="87">
        <v>44888</v>
      </c>
      <c r="E180" s="87">
        <v>44889</v>
      </c>
      <c r="F180" s="87">
        <v>44896</v>
      </c>
      <c r="G180" s="5">
        <v>18267.25</v>
      </c>
      <c r="H180" s="5">
        <v>18484.099999999999</v>
      </c>
      <c r="I180" s="5">
        <v>216.85</v>
      </c>
      <c r="J180" s="6">
        <v>1.1870971273727569E-2</v>
      </c>
      <c r="K180" s="90"/>
      <c r="L180" s="90"/>
      <c r="M180" s="7" t="s">
        <v>28</v>
      </c>
      <c r="N180" s="4">
        <v>18300</v>
      </c>
      <c r="O180" s="94"/>
      <c r="P180" s="94"/>
      <c r="Q180" s="7" t="s">
        <v>89</v>
      </c>
      <c r="R180" s="4">
        <v>65</v>
      </c>
      <c r="S180" s="4">
        <v>129</v>
      </c>
      <c r="T180" s="5">
        <v>246.5</v>
      </c>
      <c r="U180" s="8">
        <v>-0.83650000000000002</v>
      </c>
      <c r="V180" s="8">
        <v>2.46E-2</v>
      </c>
      <c r="W180" s="5">
        <v>-117.5</v>
      </c>
      <c r="X180" s="6">
        <v>-6.4322763415401883E-3</v>
      </c>
      <c r="Y180" s="4">
        <v>0</v>
      </c>
      <c r="Z180" s="6">
        <v>0</v>
      </c>
      <c r="AA180" s="5">
        <v>31150.65</v>
      </c>
      <c r="AB180" s="5">
        <v>31289.25</v>
      </c>
      <c r="AC180" s="5">
        <v>138.6</v>
      </c>
      <c r="AD180" s="5">
        <v>0.44490000000000002</v>
      </c>
      <c r="AE180" s="4">
        <v>1</v>
      </c>
      <c r="AF180" s="5">
        <v>-1.6667000000000001E-2</v>
      </c>
      <c r="AG180" s="5">
        <v>133.40819999999999</v>
      </c>
      <c r="AH180" s="5">
        <v>0.42830000000000001</v>
      </c>
      <c r="AI180" s="8">
        <v>0.1178</v>
      </c>
      <c r="AJ180" s="8">
        <v>0.50029999999999997</v>
      </c>
      <c r="AK180" s="9">
        <v>-70.291799999999995</v>
      </c>
      <c r="AL180" s="9">
        <v>-0.68679999999999997</v>
      </c>
      <c r="AM180" s="5">
        <v>95.695099999999996</v>
      </c>
      <c r="AN180" s="5">
        <v>103.9051</v>
      </c>
      <c r="AO180" s="5">
        <v>-8.2100000000000009</v>
      </c>
      <c r="AP180" s="5">
        <v>-7.9013999999999998</v>
      </c>
      <c r="AQ180" s="8">
        <v>-0.8508</v>
      </c>
      <c r="AR180" s="8">
        <v>8.2500000000000004E-2</v>
      </c>
      <c r="AS180" s="8">
        <v>-0.8508</v>
      </c>
      <c r="AT180" s="5">
        <v>95.537000000000006</v>
      </c>
      <c r="AU180" s="5">
        <v>-8.0534999999999997</v>
      </c>
      <c r="AV180" s="7" t="s">
        <v>96</v>
      </c>
    </row>
    <row r="181" spans="1:48" ht="18" customHeight="1" x14ac:dyDescent="0.25">
      <c r="A181" s="10">
        <v>90</v>
      </c>
      <c r="B181" s="10">
        <v>2</v>
      </c>
      <c r="C181" s="10">
        <v>90</v>
      </c>
      <c r="D181" s="88">
        <v>44888</v>
      </c>
      <c r="E181" s="88">
        <v>44889</v>
      </c>
      <c r="F181" s="88">
        <v>44924</v>
      </c>
      <c r="G181" s="11">
        <v>18267.25</v>
      </c>
      <c r="H181" s="11">
        <v>18484.099999999999</v>
      </c>
      <c r="I181" s="12"/>
      <c r="J181" s="12"/>
      <c r="K181" s="92"/>
      <c r="L181" s="92"/>
      <c r="M181" s="12" t="s">
        <v>40</v>
      </c>
      <c r="N181" s="10">
        <v>18300</v>
      </c>
      <c r="O181" s="95">
        <f>IF(F181=F179,O179,MROUND(G181,100))</f>
        <v>18300</v>
      </c>
      <c r="P181" s="95">
        <f>O181-N181</f>
        <v>0</v>
      </c>
      <c r="Q181" s="12" t="s">
        <v>91</v>
      </c>
      <c r="R181" s="10">
        <v>65</v>
      </c>
      <c r="S181" s="11">
        <v>239.65</v>
      </c>
      <c r="T181" s="11">
        <v>153.44999999999999</v>
      </c>
      <c r="U181" s="13">
        <v>-0.51459999999999995</v>
      </c>
      <c r="V181" s="13">
        <v>-5.9900000000000002E-2</v>
      </c>
      <c r="W181" s="10">
        <v>0</v>
      </c>
      <c r="X181" s="14">
        <v>0</v>
      </c>
      <c r="Y181" s="11">
        <v>-86.2</v>
      </c>
      <c r="Z181" s="14">
        <v>-4.7188274097086317E-3</v>
      </c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 t="s">
        <v>96</v>
      </c>
    </row>
    <row r="182" spans="1:48" ht="18" hidden="1" customHeight="1" x14ac:dyDescent="0.25">
      <c r="A182" s="4">
        <v>91</v>
      </c>
      <c r="B182" s="4">
        <v>1</v>
      </c>
      <c r="C182" s="4">
        <v>91</v>
      </c>
      <c r="D182" s="87">
        <v>44889</v>
      </c>
      <c r="E182" s="87">
        <v>44895</v>
      </c>
      <c r="F182" s="87">
        <v>44896</v>
      </c>
      <c r="G182" s="5">
        <v>18484.099999999999</v>
      </c>
      <c r="H182" s="5">
        <v>18758.349999999999</v>
      </c>
      <c r="I182" s="5">
        <v>274.25</v>
      </c>
      <c r="J182" s="6">
        <v>1.483707618980637E-2</v>
      </c>
      <c r="K182" s="90"/>
      <c r="L182" s="90"/>
      <c r="M182" s="7" t="s">
        <v>28</v>
      </c>
      <c r="N182" s="4">
        <v>18500</v>
      </c>
      <c r="O182" s="94"/>
      <c r="P182" s="94"/>
      <c r="Q182" s="7" t="s">
        <v>89</v>
      </c>
      <c r="R182" s="4">
        <v>65</v>
      </c>
      <c r="S182" s="5">
        <v>111.35</v>
      </c>
      <c r="T182" s="5">
        <v>244.05</v>
      </c>
      <c r="U182" s="8">
        <v>-0.9819</v>
      </c>
      <c r="V182" s="8">
        <v>0.27779999999999999</v>
      </c>
      <c r="W182" s="5">
        <v>-132.69999999999999</v>
      </c>
      <c r="X182" s="6">
        <v>-7.179143155468754E-3</v>
      </c>
      <c r="Y182" s="4">
        <v>0</v>
      </c>
      <c r="Z182" s="6">
        <v>0</v>
      </c>
      <c r="AA182" s="5">
        <v>31289.25</v>
      </c>
      <c r="AB182" s="5">
        <v>32037.9</v>
      </c>
      <c r="AC182" s="5">
        <v>748.65</v>
      </c>
      <c r="AD182" s="5">
        <v>2.3927</v>
      </c>
      <c r="AE182" s="4">
        <v>6</v>
      </c>
      <c r="AF182" s="5">
        <v>-0.1</v>
      </c>
      <c r="AG182" s="5">
        <v>717.36080000000004</v>
      </c>
      <c r="AH182" s="5">
        <v>2.2927</v>
      </c>
      <c r="AI182" s="8">
        <v>0.1978</v>
      </c>
      <c r="AJ182" s="8">
        <v>2.5537999999999998</v>
      </c>
      <c r="AK182" s="15">
        <v>513.21079999999995</v>
      </c>
      <c r="AL182" s="15">
        <v>1.1881999999999999</v>
      </c>
      <c r="AM182" s="5">
        <v>96.832099999999997</v>
      </c>
      <c r="AN182" s="5">
        <v>103.9051</v>
      </c>
      <c r="AO182" s="5">
        <v>-7.0730000000000004</v>
      </c>
      <c r="AP182" s="5">
        <v>-6.8071000000000002</v>
      </c>
      <c r="AQ182" s="8">
        <v>1.1645000000000001</v>
      </c>
      <c r="AR182" s="8">
        <v>0.49530000000000002</v>
      </c>
      <c r="AS182" s="8">
        <v>0.49530000000000002</v>
      </c>
      <c r="AT182" s="5">
        <v>96.168999999999997</v>
      </c>
      <c r="AU182" s="5">
        <v>-7.4452999999999996</v>
      </c>
      <c r="AV182" s="7" t="s">
        <v>90</v>
      </c>
    </row>
    <row r="183" spans="1:48" ht="18" customHeight="1" x14ac:dyDescent="0.25">
      <c r="A183" s="10">
        <v>91</v>
      </c>
      <c r="B183" s="10">
        <v>2</v>
      </c>
      <c r="C183" s="10">
        <v>91</v>
      </c>
      <c r="D183" s="88">
        <v>44889</v>
      </c>
      <c r="E183" s="88">
        <v>44895</v>
      </c>
      <c r="F183" s="88">
        <v>44924</v>
      </c>
      <c r="G183" s="11">
        <v>18484.099999999999</v>
      </c>
      <c r="H183" s="11">
        <v>18758.349999999999</v>
      </c>
      <c r="I183" s="12"/>
      <c r="J183" s="12"/>
      <c r="K183" s="92"/>
      <c r="L183" s="92"/>
      <c r="M183" s="12" t="s">
        <v>40</v>
      </c>
      <c r="N183" s="10">
        <v>18300</v>
      </c>
      <c r="O183" s="95">
        <f>IF(F183=F181,O181,MROUND(G183,100))</f>
        <v>18300</v>
      </c>
      <c r="P183" s="95">
        <f>O183-N183</f>
        <v>0</v>
      </c>
      <c r="Q183" s="12" t="s">
        <v>91</v>
      </c>
      <c r="R183" s="10">
        <v>65</v>
      </c>
      <c r="S183" s="11">
        <v>153.44999999999999</v>
      </c>
      <c r="T183" s="10">
        <v>82</v>
      </c>
      <c r="U183" s="13">
        <v>-0.40739999999999998</v>
      </c>
      <c r="V183" s="13">
        <v>1.9699999999999999E-2</v>
      </c>
      <c r="W183" s="10">
        <v>0</v>
      </c>
      <c r="X183" s="14">
        <v>0</v>
      </c>
      <c r="Y183" s="11">
        <v>-71.45</v>
      </c>
      <c r="Z183" s="14">
        <v>-3.865484389285927E-3</v>
      </c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 t="s">
        <v>90</v>
      </c>
    </row>
    <row r="184" spans="1:48" ht="18" hidden="1" customHeight="1" x14ac:dyDescent="0.25">
      <c r="A184" s="4">
        <v>92</v>
      </c>
      <c r="B184" s="4">
        <v>1</v>
      </c>
      <c r="C184" s="4">
        <v>92</v>
      </c>
      <c r="D184" s="87">
        <v>44895</v>
      </c>
      <c r="E184" s="87">
        <v>44902</v>
      </c>
      <c r="F184" s="87">
        <v>44903</v>
      </c>
      <c r="G184" s="5">
        <v>18758.349999999999</v>
      </c>
      <c r="H184" s="5">
        <v>18560.5</v>
      </c>
      <c r="I184" s="5">
        <v>-197.85</v>
      </c>
      <c r="J184" s="6">
        <v>-1.0547302934426539E-2</v>
      </c>
      <c r="K184" s="90"/>
      <c r="L184" s="90"/>
      <c r="M184" s="7" t="s">
        <v>28</v>
      </c>
      <c r="N184" s="4">
        <v>18800</v>
      </c>
      <c r="O184" s="94"/>
      <c r="P184" s="94"/>
      <c r="Q184" s="7" t="s">
        <v>89</v>
      </c>
      <c r="R184" s="4">
        <v>65</v>
      </c>
      <c r="S184" s="5">
        <v>113.5</v>
      </c>
      <c r="T184" s="5">
        <v>7.65</v>
      </c>
      <c r="U184" s="8">
        <v>-0.39850000000000002</v>
      </c>
      <c r="V184" s="8">
        <v>0.57310000000000005</v>
      </c>
      <c r="W184" s="5">
        <v>105.85</v>
      </c>
      <c r="X184" s="6">
        <v>5.6428203973163948E-3</v>
      </c>
      <c r="Y184" s="4">
        <v>0</v>
      </c>
      <c r="Z184" s="6">
        <v>0</v>
      </c>
      <c r="AA184" s="5">
        <v>32037.9</v>
      </c>
      <c r="AB184" s="5">
        <v>32308.3</v>
      </c>
      <c r="AC184" s="5">
        <v>270.39999999999998</v>
      </c>
      <c r="AD184" s="5">
        <v>0.84399999999999997</v>
      </c>
      <c r="AE184" s="4">
        <v>7</v>
      </c>
      <c r="AF184" s="5">
        <v>-0.11666700000000001</v>
      </c>
      <c r="AG184" s="5">
        <v>233.0224</v>
      </c>
      <c r="AH184" s="5">
        <v>0.72729999999999995</v>
      </c>
      <c r="AI184" s="8">
        <v>0.12690000000000001</v>
      </c>
      <c r="AJ184" s="8">
        <v>1.9362999999999999</v>
      </c>
      <c r="AK184" s="15">
        <v>355.12240000000003</v>
      </c>
      <c r="AL184" s="15">
        <v>1.3782000000000001</v>
      </c>
      <c r="AM184" s="5">
        <v>98.166600000000003</v>
      </c>
      <c r="AN184" s="5">
        <v>103.9051</v>
      </c>
      <c r="AO184" s="5">
        <v>-5.7384000000000004</v>
      </c>
      <c r="AP184" s="5">
        <v>-5.5227000000000004</v>
      </c>
      <c r="AQ184" s="8">
        <v>1.4263999999999999</v>
      </c>
      <c r="AR184" s="8">
        <v>0.82740000000000002</v>
      </c>
      <c r="AS184" s="8">
        <v>0.82740000000000002</v>
      </c>
      <c r="AT184" s="5">
        <v>97.633300000000006</v>
      </c>
      <c r="AU184" s="5">
        <v>-6.0361000000000002</v>
      </c>
      <c r="AV184" s="7" t="s">
        <v>97</v>
      </c>
    </row>
    <row r="185" spans="1:48" ht="18" customHeight="1" x14ac:dyDescent="0.25">
      <c r="A185" s="10">
        <v>92</v>
      </c>
      <c r="B185" s="10">
        <v>2</v>
      </c>
      <c r="C185" s="10">
        <v>92</v>
      </c>
      <c r="D185" s="88">
        <v>44895</v>
      </c>
      <c r="E185" s="88">
        <v>44902</v>
      </c>
      <c r="F185" s="88">
        <v>44924</v>
      </c>
      <c r="G185" s="11">
        <v>18758.349999999999</v>
      </c>
      <c r="H185" s="11">
        <v>18560.5</v>
      </c>
      <c r="I185" s="12"/>
      <c r="J185" s="12"/>
      <c r="K185" s="92"/>
      <c r="L185" s="92"/>
      <c r="M185" s="12" t="s">
        <v>40</v>
      </c>
      <c r="N185" s="10">
        <v>18300</v>
      </c>
      <c r="O185" s="95">
        <f>IF(F185=F183,O183,MROUND(G185,100))</f>
        <v>18300</v>
      </c>
      <c r="P185" s="95">
        <f>O185-N185</f>
        <v>0</v>
      </c>
      <c r="Q185" s="12" t="s">
        <v>91</v>
      </c>
      <c r="R185" s="10">
        <v>65</v>
      </c>
      <c r="S185" s="10">
        <v>82</v>
      </c>
      <c r="T185" s="11">
        <v>98.25</v>
      </c>
      <c r="U185" s="13">
        <v>-0.1114</v>
      </c>
      <c r="V185" s="13">
        <v>0.12740000000000001</v>
      </c>
      <c r="W185" s="10">
        <v>0</v>
      </c>
      <c r="X185" s="14">
        <v>0</v>
      </c>
      <c r="Y185" s="11">
        <v>16.25</v>
      </c>
      <c r="Z185" s="14">
        <v>8.6628088291347593E-4</v>
      </c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 t="s">
        <v>97</v>
      </c>
    </row>
    <row r="186" spans="1:48" ht="18" hidden="1" customHeight="1" x14ac:dyDescent="0.25">
      <c r="A186" s="4">
        <v>93</v>
      </c>
      <c r="B186" s="4">
        <v>1</v>
      </c>
      <c r="C186" s="4">
        <v>93</v>
      </c>
      <c r="D186" s="87">
        <v>44902</v>
      </c>
      <c r="E186" s="87">
        <v>44909</v>
      </c>
      <c r="F186" s="87">
        <v>44910</v>
      </c>
      <c r="G186" s="5">
        <v>18560.5</v>
      </c>
      <c r="H186" s="5">
        <v>18660.3</v>
      </c>
      <c r="I186" s="5">
        <v>99.8</v>
      </c>
      <c r="J186" s="6">
        <v>5.377010317609978E-3</v>
      </c>
      <c r="K186" s="90"/>
      <c r="L186" s="90"/>
      <c r="M186" s="7" t="s">
        <v>28</v>
      </c>
      <c r="N186" s="4">
        <v>18600</v>
      </c>
      <c r="O186" s="94"/>
      <c r="P186" s="94"/>
      <c r="Q186" s="7" t="s">
        <v>89</v>
      </c>
      <c r="R186" s="4">
        <v>65</v>
      </c>
      <c r="S186" s="5">
        <v>145.94999999999999</v>
      </c>
      <c r="T186" s="5">
        <v>104.1</v>
      </c>
      <c r="U186" s="8">
        <v>-0.1026</v>
      </c>
      <c r="V186" s="8">
        <v>0.64629999999999999</v>
      </c>
      <c r="W186" s="5">
        <v>41.85</v>
      </c>
      <c r="X186" s="6">
        <v>2.2547883947091939E-3</v>
      </c>
      <c r="Y186" s="4">
        <v>0</v>
      </c>
      <c r="Z186" s="6">
        <v>0</v>
      </c>
      <c r="AA186" s="5">
        <v>32308.3</v>
      </c>
      <c r="AB186" s="5">
        <v>32863.199999999997</v>
      </c>
      <c r="AC186" s="5">
        <v>554.9</v>
      </c>
      <c r="AD186" s="5">
        <v>1.7175</v>
      </c>
      <c r="AE186" s="4">
        <v>7</v>
      </c>
      <c r="AF186" s="5">
        <v>-0.11666700000000001</v>
      </c>
      <c r="AG186" s="5">
        <v>517.20699999999999</v>
      </c>
      <c r="AH186" s="5">
        <v>1.6008</v>
      </c>
      <c r="AI186" s="8">
        <v>-0.7248</v>
      </c>
      <c r="AJ186" s="8">
        <v>1.8275999999999999</v>
      </c>
      <c r="AK186" s="15">
        <v>508.05700000000002</v>
      </c>
      <c r="AL186" s="15">
        <v>1.5515000000000001</v>
      </c>
      <c r="AM186" s="5">
        <v>99.689700000000002</v>
      </c>
      <c r="AN186" s="5">
        <v>103.9051</v>
      </c>
      <c r="AO186" s="5">
        <v>-4.2153999999999998</v>
      </c>
      <c r="AP186" s="5">
        <v>-4.0568999999999997</v>
      </c>
      <c r="AQ186" s="8">
        <v>1.3915</v>
      </c>
      <c r="AR186" s="8">
        <v>0.1225</v>
      </c>
      <c r="AS186" s="8">
        <v>0.1225</v>
      </c>
      <c r="AT186" s="5">
        <v>98.286900000000003</v>
      </c>
      <c r="AU186" s="5">
        <v>-5.407</v>
      </c>
      <c r="AV186" s="7" t="s">
        <v>90</v>
      </c>
    </row>
    <row r="187" spans="1:48" ht="18" customHeight="1" x14ac:dyDescent="0.25">
      <c r="A187" s="10">
        <v>93</v>
      </c>
      <c r="B187" s="10">
        <v>2</v>
      </c>
      <c r="C187" s="10">
        <v>93</v>
      </c>
      <c r="D187" s="88">
        <v>44902</v>
      </c>
      <c r="E187" s="88">
        <v>44909</v>
      </c>
      <c r="F187" s="88">
        <v>44924</v>
      </c>
      <c r="G187" s="11">
        <v>18560.5</v>
      </c>
      <c r="H187" s="11">
        <v>18660.3</v>
      </c>
      <c r="I187" s="12"/>
      <c r="J187" s="12"/>
      <c r="K187" s="92"/>
      <c r="L187" s="92"/>
      <c r="M187" s="12" t="s">
        <v>40</v>
      </c>
      <c r="N187" s="10">
        <v>18300</v>
      </c>
      <c r="O187" s="95">
        <f>IF(F187=F185,O185,MROUND(G187,100))</f>
        <v>18300</v>
      </c>
      <c r="P187" s="95">
        <f>O187-N187</f>
        <v>0</v>
      </c>
      <c r="Q187" s="12" t="s">
        <v>91</v>
      </c>
      <c r="R187" s="10">
        <v>65</v>
      </c>
      <c r="S187" s="11">
        <v>98.25</v>
      </c>
      <c r="T187" s="11">
        <v>47.25</v>
      </c>
      <c r="U187" s="13">
        <v>-0.33350000000000002</v>
      </c>
      <c r="V187" s="13">
        <v>0.20100000000000001</v>
      </c>
      <c r="W187" s="10">
        <v>0</v>
      </c>
      <c r="X187" s="14">
        <v>0</v>
      </c>
      <c r="Y187" s="10">
        <v>-51</v>
      </c>
      <c r="Z187" s="14">
        <v>-2.747770803588265E-3</v>
      </c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 t="s">
        <v>90</v>
      </c>
    </row>
    <row r="188" spans="1:48" ht="18" hidden="1" customHeight="1" x14ac:dyDescent="0.25">
      <c r="A188" s="4">
        <v>94</v>
      </c>
      <c r="B188" s="4">
        <v>1</v>
      </c>
      <c r="C188" s="4">
        <v>94</v>
      </c>
      <c r="D188" s="87">
        <v>44909</v>
      </c>
      <c r="E188" s="87">
        <v>44910</v>
      </c>
      <c r="F188" s="87">
        <v>44917</v>
      </c>
      <c r="G188" s="5">
        <v>18660.3</v>
      </c>
      <c r="H188" s="5">
        <v>18414.900000000001</v>
      </c>
      <c r="I188" s="5">
        <v>-245.4</v>
      </c>
      <c r="J188" s="6">
        <v>-1.3150913972444171E-2</v>
      </c>
      <c r="K188" s="90"/>
      <c r="L188" s="90"/>
      <c r="M188" s="7" t="s">
        <v>28</v>
      </c>
      <c r="N188" s="4">
        <v>18700</v>
      </c>
      <c r="O188" s="94"/>
      <c r="P188" s="94"/>
      <c r="Q188" s="7" t="s">
        <v>89</v>
      </c>
      <c r="R188" s="4">
        <v>65</v>
      </c>
      <c r="S188" s="5">
        <v>125.4</v>
      </c>
      <c r="T188" s="5">
        <v>25.55</v>
      </c>
      <c r="U188" s="8">
        <v>0.1128</v>
      </c>
      <c r="V188" s="8">
        <v>0.56269999999999998</v>
      </c>
      <c r="W188" s="5">
        <v>99.85</v>
      </c>
      <c r="X188" s="6">
        <v>5.3509321929443793E-3</v>
      </c>
      <c r="Y188" s="4">
        <v>0</v>
      </c>
      <c r="Z188" s="6">
        <v>0</v>
      </c>
      <c r="AA188" s="5">
        <v>32863.199999999997</v>
      </c>
      <c r="AB188" s="5">
        <v>32530.75</v>
      </c>
      <c r="AC188" s="5">
        <v>-332.45</v>
      </c>
      <c r="AD188" s="5">
        <v>-1.0116000000000001</v>
      </c>
      <c r="AE188" s="4">
        <v>1</v>
      </c>
      <c r="AF188" s="5">
        <v>-1.6667000000000001E-2</v>
      </c>
      <c r="AG188" s="5">
        <v>-337.92720000000003</v>
      </c>
      <c r="AH188" s="5">
        <v>-1.0283</v>
      </c>
      <c r="AI188" s="8">
        <v>-1.2708999999999999</v>
      </c>
      <c r="AJ188" s="8">
        <v>0.21490000000000001</v>
      </c>
      <c r="AK188" s="9">
        <v>-178.02719999999999</v>
      </c>
      <c r="AL188" s="9">
        <v>-0.1714</v>
      </c>
      <c r="AM188" s="5">
        <v>99.518799999999999</v>
      </c>
      <c r="AN188" s="5">
        <v>103.9051</v>
      </c>
      <c r="AO188" s="5">
        <v>-4.3861999999999997</v>
      </c>
      <c r="AP188" s="5">
        <v>-4.2214</v>
      </c>
      <c r="AQ188" s="8">
        <v>0.31030000000000002</v>
      </c>
      <c r="AR188" s="8">
        <v>-0.33090000000000003</v>
      </c>
      <c r="AS188" s="8">
        <v>-0.33090000000000003</v>
      </c>
      <c r="AT188" s="5">
        <v>99.359800000000007</v>
      </c>
      <c r="AU188" s="5">
        <v>-4.3743999999999996</v>
      </c>
      <c r="AV188" s="7" t="s">
        <v>93</v>
      </c>
    </row>
    <row r="189" spans="1:48" ht="18" customHeight="1" x14ac:dyDescent="0.25">
      <c r="A189" s="10">
        <v>94</v>
      </c>
      <c r="B189" s="10">
        <v>2</v>
      </c>
      <c r="C189" s="10">
        <v>94</v>
      </c>
      <c r="D189" s="88">
        <v>44909</v>
      </c>
      <c r="E189" s="88">
        <v>44910</v>
      </c>
      <c r="F189" s="88">
        <v>44924</v>
      </c>
      <c r="G189" s="11">
        <v>18660.3</v>
      </c>
      <c r="H189" s="11">
        <v>18414.900000000001</v>
      </c>
      <c r="I189" s="12"/>
      <c r="J189" s="12"/>
      <c r="K189" s="92"/>
      <c r="L189" s="92"/>
      <c r="M189" s="12" t="s">
        <v>40</v>
      </c>
      <c r="N189" s="10">
        <v>18300</v>
      </c>
      <c r="O189" s="95">
        <f>IF(F189=F187,O187,MROUND(G189,100))</f>
        <v>18300</v>
      </c>
      <c r="P189" s="95">
        <f>O189-N189</f>
        <v>0</v>
      </c>
      <c r="Q189" s="12" t="s">
        <v>91</v>
      </c>
      <c r="R189" s="10">
        <v>65</v>
      </c>
      <c r="S189" s="11">
        <v>47.25</v>
      </c>
      <c r="T189" s="11">
        <v>107.3</v>
      </c>
      <c r="U189" s="13">
        <v>-1.7399999999999999E-2</v>
      </c>
      <c r="V189" s="13">
        <v>0.37730000000000002</v>
      </c>
      <c r="W189" s="10">
        <v>0</v>
      </c>
      <c r="X189" s="14">
        <v>0</v>
      </c>
      <c r="Y189" s="11">
        <v>60.05</v>
      </c>
      <c r="Z189" s="14">
        <v>3.2180618746751122E-3</v>
      </c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 t="s">
        <v>93</v>
      </c>
    </row>
    <row r="190" spans="1:48" ht="18" hidden="1" customHeight="1" x14ac:dyDescent="0.25">
      <c r="A190" s="4">
        <v>95</v>
      </c>
      <c r="B190" s="4">
        <v>1</v>
      </c>
      <c r="C190" s="4">
        <v>95</v>
      </c>
      <c r="D190" s="87">
        <v>44910</v>
      </c>
      <c r="E190" s="87">
        <v>44916</v>
      </c>
      <c r="F190" s="87">
        <v>44917</v>
      </c>
      <c r="G190" s="5">
        <v>18414.900000000001</v>
      </c>
      <c r="H190" s="5">
        <v>18199.099999999999</v>
      </c>
      <c r="I190" s="5">
        <v>-215.8</v>
      </c>
      <c r="J190" s="6">
        <v>-1.17187712124421E-2</v>
      </c>
      <c r="K190" s="90"/>
      <c r="L190" s="90"/>
      <c r="M190" s="7" t="s">
        <v>28</v>
      </c>
      <c r="N190" s="4">
        <v>18400</v>
      </c>
      <c r="O190" s="94"/>
      <c r="P190" s="94"/>
      <c r="Q190" s="7" t="s">
        <v>89</v>
      </c>
      <c r="R190" s="4">
        <v>65</v>
      </c>
      <c r="S190" s="5">
        <v>126.55</v>
      </c>
      <c r="T190" s="5">
        <v>17.600000000000001</v>
      </c>
      <c r="U190" s="8">
        <v>-4.2599999999999999E-2</v>
      </c>
      <c r="V190" s="8">
        <v>0.61550000000000005</v>
      </c>
      <c r="W190" s="5">
        <v>108.95</v>
      </c>
      <c r="X190" s="6">
        <v>5.9164046505818654E-3</v>
      </c>
      <c r="Y190" s="4">
        <v>0</v>
      </c>
      <c r="Z190" s="6">
        <v>0</v>
      </c>
      <c r="AA190" s="5">
        <v>32530.75</v>
      </c>
      <c r="AB190" s="5">
        <v>31610.3</v>
      </c>
      <c r="AC190" s="5">
        <v>-920.45</v>
      </c>
      <c r="AD190" s="5">
        <v>-2.8294999999999999</v>
      </c>
      <c r="AE190" s="4">
        <v>6</v>
      </c>
      <c r="AF190" s="5">
        <v>-0.1</v>
      </c>
      <c r="AG190" s="5">
        <v>-952.98080000000004</v>
      </c>
      <c r="AH190" s="5">
        <v>-2.9295</v>
      </c>
      <c r="AI190" s="8">
        <v>-3.2082999999999999</v>
      </c>
      <c r="AJ190" s="8">
        <v>-0.1351</v>
      </c>
      <c r="AK190" s="9">
        <v>-780.38080000000002</v>
      </c>
      <c r="AL190" s="9">
        <v>-1.9922</v>
      </c>
      <c r="AM190" s="5">
        <v>97.536199999999994</v>
      </c>
      <c r="AN190" s="5">
        <v>103.9051</v>
      </c>
      <c r="AO190" s="5">
        <v>-6.3688000000000002</v>
      </c>
      <c r="AP190" s="5">
        <v>-6.1295000000000002</v>
      </c>
      <c r="AQ190" s="8">
        <v>-0.4617</v>
      </c>
      <c r="AR190" s="8">
        <v>-2.0427</v>
      </c>
      <c r="AS190" s="8">
        <v>-2.0427</v>
      </c>
      <c r="AT190" s="5">
        <v>97.486000000000004</v>
      </c>
      <c r="AU190" s="5">
        <v>-6.1779000000000002</v>
      </c>
      <c r="AV190" s="7" t="s">
        <v>90</v>
      </c>
    </row>
    <row r="191" spans="1:48" ht="18" customHeight="1" x14ac:dyDescent="0.25">
      <c r="A191" s="10">
        <v>95</v>
      </c>
      <c r="B191" s="10">
        <v>2</v>
      </c>
      <c r="C191" s="10">
        <v>95</v>
      </c>
      <c r="D191" s="88">
        <v>44910</v>
      </c>
      <c r="E191" s="88">
        <v>44916</v>
      </c>
      <c r="F191" s="88">
        <v>44924</v>
      </c>
      <c r="G191" s="11">
        <v>18414.900000000001</v>
      </c>
      <c r="H191" s="11">
        <v>18199.099999999999</v>
      </c>
      <c r="I191" s="12"/>
      <c r="J191" s="12"/>
      <c r="K191" s="92"/>
      <c r="L191" s="92"/>
      <c r="M191" s="12" t="s">
        <v>40</v>
      </c>
      <c r="N191" s="10">
        <v>18300</v>
      </c>
      <c r="O191" s="95">
        <f>IF(F191=F189,O189,MROUND(G191,100))</f>
        <v>18300</v>
      </c>
      <c r="P191" s="95">
        <f>O191-N191</f>
        <v>0</v>
      </c>
      <c r="Q191" s="12" t="s">
        <v>91</v>
      </c>
      <c r="R191" s="10">
        <v>65</v>
      </c>
      <c r="S191" s="11">
        <v>107.3</v>
      </c>
      <c r="T191" s="11">
        <v>170.95</v>
      </c>
      <c r="U191" s="13">
        <v>-0.28399999999999997</v>
      </c>
      <c r="V191" s="13">
        <v>0.55010000000000003</v>
      </c>
      <c r="W191" s="10">
        <v>0</v>
      </c>
      <c r="X191" s="14">
        <v>0</v>
      </c>
      <c r="Y191" s="11">
        <v>63.65</v>
      </c>
      <c r="Z191" s="14">
        <v>3.4564401653009239E-3</v>
      </c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 t="s">
        <v>90</v>
      </c>
    </row>
    <row r="192" spans="1:48" ht="18" hidden="1" customHeight="1" x14ac:dyDescent="0.25">
      <c r="A192" s="4">
        <v>96</v>
      </c>
      <c r="B192" s="4">
        <v>1</v>
      </c>
      <c r="C192" s="4">
        <v>96</v>
      </c>
      <c r="D192" s="87">
        <v>44916</v>
      </c>
      <c r="E192" s="87">
        <v>44918</v>
      </c>
      <c r="F192" s="87">
        <v>44924</v>
      </c>
      <c r="G192" s="5">
        <v>18199.099999999999</v>
      </c>
      <c r="H192" s="5">
        <v>17806.8</v>
      </c>
      <c r="I192" s="5">
        <v>-392.3</v>
      </c>
      <c r="J192" s="6">
        <v>-2.1556011011533541E-2</v>
      </c>
      <c r="K192" s="90"/>
      <c r="L192" s="90"/>
      <c r="M192" s="7" t="s">
        <v>28</v>
      </c>
      <c r="N192" s="4">
        <v>18200</v>
      </c>
      <c r="O192" s="94"/>
      <c r="P192" s="94"/>
      <c r="Q192" s="7" t="s">
        <v>89</v>
      </c>
      <c r="R192" s="4">
        <v>65</v>
      </c>
      <c r="S192" s="5">
        <v>203.95</v>
      </c>
      <c r="T192" s="5">
        <v>23.4</v>
      </c>
      <c r="U192" s="8">
        <v>-0.23219999999999999</v>
      </c>
      <c r="V192" s="8">
        <v>1.0044</v>
      </c>
      <c r="W192" s="5">
        <v>180.55</v>
      </c>
      <c r="X192" s="6">
        <v>9.9208202603425465E-3</v>
      </c>
      <c r="Y192" s="4">
        <v>0</v>
      </c>
      <c r="Z192" s="6">
        <v>0</v>
      </c>
      <c r="AA192" s="5">
        <v>31610.3</v>
      </c>
      <c r="AB192" s="5">
        <v>30157.65</v>
      </c>
      <c r="AC192" s="5">
        <v>-1452.65</v>
      </c>
      <c r="AD192" s="5">
        <v>-4.5955000000000004</v>
      </c>
      <c r="AE192" s="4">
        <v>2</v>
      </c>
      <c r="AF192" s="5">
        <v>-3.3333000000000002E-2</v>
      </c>
      <c r="AG192" s="5">
        <v>-1463.1867999999999</v>
      </c>
      <c r="AH192" s="5">
        <v>-4.6288</v>
      </c>
      <c r="AI192" s="8">
        <v>-4.8057999999999996</v>
      </c>
      <c r="AJ192" s="8">
        <v>0.76319999999999999</v>
      </c>
      <c r="AK192" s="9">
        <v>-1002.6867999999999</v>
      </c>
      <c r="AL192" s="9">
        <v>-2.0985</v>
      </c>
      <c r="AM192" s="5">
        <v>95.489400000000003</v>
      </c>
      <c r="AN192" s="5">
        <v>103.9051</v>
      </c>
      <c r="AO192" s="5">
        <v>-8.4155999999999995</v>
      </c>
      <c r="AP192" s="5">
        <v>-8.0993999999999993</v>
      </c>
      <c r="AQ192" s="8">
        <v>0.23100000000000001</v>
      </c>
      <c r="AR192" s="8">
        <v>-2.0802</v>
      </c>
      <c r="AS192" s="8">
        <v>-2.0985</v>
      </c>
      <c r="AT192" s="5">
        <v>95.489400000000003</v>
      </c>
      <c r="AU192" s="5">
        <v>-8.0993999999999993</v>
      </c>
      <c r="AV192" s="7" t="s">
        <v>102</v>
      </c>
    </row>
    <row r="193" spans="1:48" ht="18" customHeight="1" x14ac:dyDescent="0.25">
      <c r="A193" s="10">
        <v>96</v>
      </c>
      <c r="B193" s="10">
        <v>2</v>
      </c>
      <c r="C193" s="10">
        <v>96</v>
      </c>
      <c r="D193" s="88">
        <v>44916</v>
      </c>
      <c r="E193" s="88">
        <v>44918</v>
      </c>
      <c r="F193" s="88">
        <v>44924</v>
      </c>
      <c r="G193" s="11">
        <v>18199.099999999999</v>
      </c>
      <c r="H193" s="11">
        <v>17806.8</v>
      </c>
      <c r="I193" s="12"/>
      <c r="J193" s="12"/>
      <c r="K193" s="92"/>
      <c r="L193" s="92"/>
      <c r="M193" s="12" t="s">
        <v>40</v>
      </c>
      <c r="N193" s="10">
        <v>18300</v>
      </c>
      <c r="O193" s="95">
        <f>IF(F193=F191,O191,MROUND(G193,100))</f>
        <v>18300</v>
      </c>
      <c r="P193" s="95">
        <f>O193-N193</f>
        <v>0</v>
      </c>
      <c r="Q193" s="12" t="s">
        <v>91</v>
      </c>
      <c r="R193" s="10">
        <v>65</v>
      </c>
      <c r="S193" s="11">
        <v>170.95</v>
      </c>
      <c r="T193" s="11">
        <v>450.9</v>
      </c>
      <c r="U193" s="13">
        <v>-0.3</v>
      </c>
      <c r="V193" s="13">
        <v>1.7212000000000001</v>
      </c>
      <c r="W193" s="10">
        <v>0</v>
      </c>
      <c r="X193" s="14">
        <v>0</v>
      </c>
      <c r="Y193" s="11">
        <v>279.95</v>
      </c>
      <c r="Z193" s="14">
        <v>1.5382628811314849E-2</v>
      </c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 t="s">
        <v>102</v>
      </c>
    </row>
    <row r="194" spans="1:48" ht="18" hidden="1" customHeight="1" x14ac:dyDescent="0.25">
      <c r="A194" s="4">
        <v>97</v>
      </c>
      <c r="B194" s="4">
        <v>1</v>
      </c>
      <c r="C194" s="4">
        <v>97</v>
      </c>
      <c r="D194" s="87">
        <v>45044</v>
      </c>
      <c r="E194" s="87">
        <v>45049</v>
      </c>
      <c r="F194" s="87">
        <v>45050</v>
      </c>
      <c r="G194" s="4">
        <v>18065</v>
      </c>
      <c r="H194" s="5">
        <v>18089.849999999999</v>
      </c>
      <c r="I194" s="5">
        <v>24.85</v>
      </c>
      <c r="J194" s="6">
        <v>1.3755881538887349E-3</v>
      </c>
      <c r="K194" s="90"/>
      <c r="L194" s="90"/>
      <c r="M194" s="7" t="s">
        <v>28</v>
      </c>
      <c r="N194" s="4">
        <v>18100</v>
      </c>
      <c r="O194" s="94"/>
      <c r="P194" s="94"/>
      <c r="Q194" s="7" t="s">
        <v>89</v>
      </c>
      <c r="R194" s="4">
        <v>65</v>
      </c>
      <c r="S194" s="5">
        <v>49.2</v>
      </c>
      <c r="T194" s="5">
        <v>45.6</v>
      </c>
      <c r="U194" s="8">
        <v>-0.39190000000000003</v>
      </c>
      <c r="V194" s="8">
        <v>0.10630000000000001</v>
      </c>
      <c r="W194" s="5">
        <v>3.6</v>
      </c>
      <c r="X194" s="6">
        <v>1.992803764184888E-4</v>
      </c>
      <c r="Y194" s="4">
        <v>0</v>
      </c>
      <c r="Z194" s="6">
        <v>0</v>
      </c>
      <c r="AA194" s="5">
        <v>31794.75</v>
      </c>
      <c r="AB194" s="5">
        <v>32186.2</v>
      </c>
      <c r="AC194" s="5">
        <v>391.45</v>
      </c>
      <c r="AD194" s="5">
        <v>1.2312000000000001</v>
      </c>
      <c r="AE194" s="4">
        <v>5</v>
      </c>
      <c r="AF194" s="5">
        <v>-8.3333000000000004E-2</v>
      </c>
      <c r="AG194" s="5">
        <v>364.95440000000002</v>
      </c>
      <c r="AH194" s="5">
        <v>1.1477999999999999</v>
      </c>
      <c r="AI194" s="8">
        <v>0.34860000000000002</v>
      </c>
      <c r="AJ194" s="8">
        <v>1.3718999999999999</v>
      </c>
      <c r="AK194" s="15">
        <v>349.25439999999998</v>
      </c>
      <c r="AL194" s="15">
        <v>1.0609</v>
      </c>
      <c r="AM194" s="5">
        <v>101.0609</v>
      </c>
      <c r="AN194" s="5">
        <v>101.0609</v>
      </c>
      <c r="AO194" s="4">
        <v>0</v>
      </c>
      <c r="AP194" s="4">
        <v>0</v>
      </c>
      <c r="AQ194" s="8">
        <v>0.69379999999999997</v>
      </c>
      <c r="AR194" s="8">
        <v>0.51029999999999998</v>
      </c>
      <c r="AS194" s="8">
        <v>0.51029999999999998</v>
      </c>
      <c r="AT194" s="5">
        <v>100.5103</v>
      </c>
      <c r="AU194" s="5">
        <v>0.51029999999999998</v>
      </c>
      <c r="AV194" s="7" t="s">
        <v>90</v>
      </c>
    </row>
    <row r="195" spans="1:48" ht="18" customHeight="1" x14ac:dyDescent="0.25">
      <c r="A195" s="10">
        <v>97</v>
      </c>
      <c r="B195" s="10">
        <v>2</v>
      </c>
      <c r="C195" s="10">
        <v>97</v>
      </c>
      <c r="D195" s="88">
        <v>45044</v>
      </c>
      <c r="E195" s="88">
        <v>45049</v>
      </c>
      <c r="F195" s="88">
        <v>45071</v>
      </c>
      <c r="G195" s="10">
        <v>18065</v>
      </c>
      <c r="H195" s="11">
        <v>18089.849999999999</v>
      </c>
      <c r="I195" s="12"/>
      <c r="J195" s="12"/>
      <c r="K195" s="92"/>
      <c r="L195" s="92"/>
      <c r="M195" s="12" t="s">
        <v>40</v>
      </c>
      <c r="N195" s="10">
        <v>18100</v>
      </c>
      <c r="O195" s="95">
        <f>IF(F195=F193,O193,MROUND(G195,100))</f>
        <v>18100</v>
      </c>
      <c r="P195" s="95">
        <f>O195-N195</f>
        <v>0</v>
      </c>
      <c r="Q195" s="12" t="s">
        <v>91</v>
      </c>
      <c r="R195" s="10">
        <v>65</v>
      </c>
      <c r="S195" s="11">
        <v>175.7</v>
      </c>
      <c r="T195" s="11">
        <v>156.4</v>
      </c>
      <c r="U195" s="13">
        <v>-0.28620000000000001</v>
      </c>
      <c r="V195" s="13">
        <v>5.5399999999999998E-2</v>
      </c>
      <c r="W195" s="10">
        <v>0</v>
      </c>
      <c r="X195" s="14">
        <v>0</v>
      </c>
      <c r="Y195" s="11">
        <v>-19.3</v>
      </c>
      <c r="Z195" s="14">
        <v>-1.0683642402435651E-3</v>
      </c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 t="s">
        <v>90</v>
      </c>
    </row>
    <row r="196" spans="1:48" ht="18" hidden="1" customHeight="1" x14ac:dyDescent="0.25">
      <c r="A196" s="4">
        <v>98</v>
      </c>
      <c r="B196" s="4">
        <v>1</v>
      </c>
      <c r="C196" s="4">
        <v>98</v>
      </c>
      <c r="D196" s="87">
        <v>45049</v>
      </c>
      <c r="E196" s="87">
        <v>45056</v>
      </c>
      <c r="F196" s="87">
        <v>45057</v>
      </c>
      <c r="G196" s="5">
        <v>18089.849999999999</v>
      </c>
      <c r="H196" s="5">
        <v>18315.099999999999</v>
      </c>
      <c r="I196" s="5">
        <v>225.25</v>
      </c>
      <c r="J196" s="6">
        <v>1.2451733983421641E-2</v>
      </c>
      <c r="K196" s="90"/>
      <c r="L196" s="90"/>
      <c r="M196" s="7" t="s">
        <v>28</v>
      </c>
      <c r="N196" s="4">
        <v>18100</v>
      </c>
      <c r="O196" s="94"/>
      <c r="P196" s="94"/>
      <c r="Q196" s="7" t="s">
        <v>89</v>
      </c>
      <c r="R196" s="4">
        <v>65</v>
      </c>
      <c r="S196" s="5">
        <v>113.75</v>
      </c>
      <c r="T196" s="5">
        <v>223.1</v>
      </c>
      <c r="U196" s="8">
        <v>-0.82389999999999997</v>
      </c>
      <c r="V196" s="8">
        <v>0.19600000000000001</v>
      </c>
      <c r="W196" s="5">
        <v>-109.35</v>
      </c>
      <c r="X196" s="6">
        <v>-6.0448262423403176E-3</v>
      </c>
      <c r="Y196" s="4">
        <v>0</v>
      </c>
      <c r="Z196" s="6">
        <v>0</v>
      </c>
      <c r="AA196" s="5">
        <v>32186.2</v>
      </c>
      <c r="AB196" s="5">
        <v>32505.35</v>
      </c>
      <c r="AC196" s="5">
        <v>319.14999999999998</v>
      </c>
      <c r="AD196" s="5">
        <v>0.99160000000000004</v>
      </c>
      <c r="AE196" s="4">
        <v>7</v>
      </c>
      <c r="AF196" s="5">
        <v>-0.11666700000000001</v>
      </c>
      <c r="AG196" s="5">
        <v>281.5994</v>
      </c>
      <c r="AH196" s="5">
        <v>0.87490000000000001</v>
      </c>
      <c r="AI196" s="8">
        <v>-0.26840000000000003</v>
      </c>
      <c r="AJ196" s="8">
        <v>1.6175999999999999</v>
      </c>
      <c r="AK196" s="15">
        <v>86.8994</v>
      </c>
      <c r="AL196" s="15">
        <v>-0.2014</v>
      </c>
      <c r="AM196" s="5">
        <v>100.8574</v>
      </c>
      <c r="AN196" s="5">
        <v>101.0609</v>
      </c>
      <c r="AO196" s="5">
        <v>-0.20349999999999999</v>
      </c>
      <c r="AP196" s="5">
        <v>-0.2014</v>
      </c>
      <c r="AQ196" s="8">
        <v>0.28839999999999999</v>
      </c>
      <c r="AR196" s="8">
        <v>0.06</v>
      </c>
      <c r="AS196" s="8">
        <v>-0.2014</v>
      </c>
      <c r="AT196" s="5">
        <v>100.8574</v>
      </c>
      <c r="AU196" s="5">
        <v>-0.2014</v>
      </c>
      <c r="AV196" s="7" t="s">
        <v>92</v>
      </c>
    </row>
    <row r="197" spans="1:48" ht="18" customHeight="1" x14ac:dyDescent="0.25">
      <c r="A197" s="10">
        <v>98</v>
      </c>
      <c r="B197" s="10">
        <v>2</v>
      </c>
      <c r="C197" s="10">
        <v>98</v>
      </c>
      <c r="D197" s="88">
        <v>45049</v>
      </c>
      <c r="E197" s="88">
        <v>45056</v>
      </c>
      <c r="F197" s="88">
        <v>45071</v>
      </c>
      <c r="G197" s="11">
        <v>18089.849999999999</v>
      </c>
      <c r="H197" s="11">
        <v>18315.099999999999</v>
      </c>
      <c r="I197" s="12"/>
      <c r="J197" s="12"/>
      <c r="K197" s="92"/>
      <c r="L197" s="92"/>
      <c r="M197" s="12" t="s">
        <v>40</v>
      </c>
      <c r="N197" s="10">
        <v>18100</v>
      </c>
      <c r="O197" s="95">
        <f>IF(F197=F195,O195,MROUND(G197,100))</f>
        <v>18100</v>
      </c>
      <c r="P197" s="95">
        <f>O197-N197</f>
        <v>0</v>
      </c>
      <c r="Q197" s="12" t="s">
        <v>91</v>
      </c>
      <c r="R197" s="10">
        <v>65</v>
      </c>
      <c r="S197" s="11">
        <v>156.4</v>
      </c>
      <c r="T197" s="11">
        <v>71.05</v>
      </c>
      <c r="U197" s="13">
        <v>-0.50529999999999997</v>
      </c>
      <c r="V197" s="13">
        <v>0.13239999999999999</v>
      </c>
      <c r="W197" s="10">
        <v>0</v>
      </c>
      <c r="X197" s="14">
        <v>0</v>
      </c>
      <c r="Y197" s="11">
        <v>-85.35</v>
      </c>
      <c r="Z197" s="14">
        <v>-4.7181154072587668E-3</v>
      </c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 t="s">
        <v>92</v>
      </c>
    </row>
    <row r="198" spans="1:48" ht="18" hidden="1" customHeight="1" x14ac:dyDescent="0.25">
      <c r="A198" s="4">
        <v>99</v>
      </c>
      <c r="B198" s="4">
        <v>1</v>
      </c>
      <c r="C198" s="4">
        <v>99</v>
      </c>
      <c r="D198" s="87">
        <v>45056</v>
      </c>
      <c r="E198" s="87">
        <v>45063</v>
      </c>
      <c r="F198" s="87">
        <v>45064</v>
      </c>
      <c r="G198" s="5">
        <v>18315.099999999999</v>
      </c>
      <c r="H198" s="5">
        <v>18181.75</v>
      </c>
      <c r="I198" s="5">
        <v>-133.35</v>
      </c>
      <c r="J198" s="6">
        <v>-7.2808775272862284E-3</v>
      </c>
      <c r="K198" s="90"/>
      <c r="L198" s="90"/>
      <c r="M198" s="7" t="s">
        <v>28</v>
      </c>
      <c r="N198" s="4">
        <v>18300</v>
      </c>
      <c r="O198" s="94"/>
      <c r="P198" s="94"/>
      <c r="Q198" s="7" t="s">
        <v>89</v>
      </c>
      <c r="R198" s="4">
        <v>65</v>
      </c>
      <c r="S198" s="5">
        <v>126.2</v>
      </c>
      <c r="T198" s="5">
        <v>10.199999999999999</v>
      </c>
      <c r="U198" s="8">
        <v>-0.30220000000000002</v>
      </c>
      <c r="V198" s="8">
        <v>0.64429999999999998</v>
      </c>
      <c r="W198" s="4">
        <v>116</v>
      </c>
      <c r="X198" s="6">
        <v>6.3335717522699864E-3</v>
      </c>
      <c r="Y198" s="4">
        <v>0</v>
      </c>
      <c r="Z198" s="6">
        <v>0</v>
      </c>
      <c r="AA198" s="5">
        <v>32505.35</v>
      </c>
      <c r="AB198" s="5">
        <v>32762.75</v>
      </c>
      <c r="AC198" s="5">
        <v>257.39999999999998</v>
      </c>
      <c r="AD198" s="5">
        <v>0.79190000000000005</v>
      </c>
      <c r="AE198" s="4">
        <v>7</v>
      </c>
      <c r="AF198" s="5">
        <v>-0.11666700000000001</v>
      </c>
      <c r="AG198" s="5">
        <v>219.47710000000001</v>
      </c>
      <c r="AH198" s="5">
        <v>0.67520000000000002</v>
      </c>
      <c r="AI198" s="8">
        <v>-0.34039999999999998</v>
      </c>
      <c r="AJ198" s="8">
        <v>1.5580000000000001</v>
      </c>
      <c r="AK198" s="15">
        <v>331.27710000000002</v>
      </c>
      <c r="AL198" s="15">
        <v>1.2856000000000001</v>
      </c>
      <c r="AM198" s="5">
        <v>102.154</v>
      </c>
      <c r="AN198" s="5">
        <v>102.154</v>
      </c>
      <c r="AO198" s="4">
        <v>0</v>
      </c>
      <c r="AP198" s="4">
        <v>0</v>
      </c>
      <c r="AQ198" s="8">
        <v>1.0327999999999999</v>
      </c>
      <c r="AR198" s="8">
        <v>0.4587</v>
      </c>
      <c r="AS198" s="8">
        <v>0.4587</v>
      </c>
      <c r="AT198" s="5">
        <v>101.32</v>
      </c>
      <c r="AU198" s="5">
        <v>0.25640000000000002</v>
      </c>
      <c r="AV198" s="7" t="s">
        <v>90</v>
      </c>
    </row>
    <row r="199" spans="1:48" ht="18" customHeight="1" x14ac:dyDescent="0.25">
      <c r="A199" s="10">
        <v>99</v>
      </c>
      <c r="B199" s="10">
        <v>2</v>
      </c>
      <c r="C199" s="10">
        <v>99</v>
      </c>
      <c r="D199" s="88">
        <v>45056</v>
      </c>
      <c r="E199" s="88">
        <v>45063</v>
      </c>
      <c r="F199" s="88">
        <v>45071</v>
      </c>
      <c r="G199" s="11">
        <v>18315.099999999999</v>
      </c>
      <c r="H199" s="11">
        <v>18181.75</v>
      </c>
      <c r="I199" s="12"/>
      <c r="J199" s="12"/>
      <c r="K199" s="92"/>
      <c r="L199" s="92"/>
      <c r="M199" s="12" t="s">
        <v>40</v>
      </c>
      <c r="N199" s="10">
        <v>18100</v>
      </c>
      <c r="O199" s="95">
        <f>IF(F199=F197,O197,MROUND(G199,100))</f>
        <v>18100</v>
      </c>
      <c r="P199" s="95">
        <f>O199-N199</f>
        <v>0</v>
      </c>
      <c r="Q199" s="12" t="s">
        <v>91</v>
      </c>
      <c r="R199" s="10">
        <v>65</v>
      </c>
      <c r="S199" s="11">
        <v>71.05</v>
      </c>
      <c r="T199" s="11">
        <v>66.849999999999994</v>
      </c>
      <c r="U199" s="13">
        <v>-0.223</v>
      </c>
      <c r="V199" s="13">
        <v>0.15479999999999999</v>
      </c>
      <c r="W199" s="10">
        <v>0</v>
      </c>
      <c r="X199" s="14">
        <v>0</v>
      </c>
      <c r="Y199" s="11">
        <v>-4.2</v>
      </c>
      <c r="Z199" s="14">
        <v>-2.2931897723736151E-4</v>
      </c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 t="s">
        <v>90</v>
      </c>
    </row>
    <row r="200" spans="1:48" ht="18" hidden="1" customHeight="1" x14ac:dyDescent="0.25">
      <c r="A200" s="4">
        <v>100</v>
      </c>
      <c r="B200" s="4">
        <v>1</v>
      </c>
      <c r="C200" s="4">
        <v>100</v>
      </c>
      <c r="D200" s="87">
        <v>45063</v>
      </c>
      <c r="E200" s="87">
        <v>45070</v>
      </c>
      <c r="F200" s="87">
        <v>45071</v>
      </c>
      <c r="G200" s="5">
        <v>18181.75</v>
      </c>
      <c r="H200" s="5">
        <v>18285.400000000001</v>
      </c>
      <c r="I200" s="5">
        <v>103.65</v>
      </c>
      <c r="J200" s="6">
        <v>5.7007713778926671E-3</v>
      </c>
      <c r="K200" s="90"/>
      <c r="L200" s="90"/>
      <c r="M200" s="7" t="s">
        <v>28</v>
      </c>
      <c r="N200" s="4">
        <v>18200</v>
      </c>
      <c r="O200" s="94"/>
      <c r="P200" s="94"/>
      <c r="Q200" s="7" t="s">
        <v>89</v>
      </c>
      <c r="R200" s="4">
        <v>65</v>
      </c>
      <c r="S200" s="5">
        <v>122.65</v>
      </c>
      <c r="T200" s="5">
        <v>105.6</v>
      </c>
      <c r="U200" s="8">
        <v>-0.63639999999999997</v>
      </c>
      <c r="V200" s="8">
        <v>0.4194</v>
      </c>
      <c r="W200" s="5">
        <v>17.05</v>
      </c>
      <c r="X200" s="6">
        <v>9.3775351657568722E-4</v>
      </c>
      <c r="Y200" s="4">
        <v>0</v>
      </c>
      <c r="Z200" s="6">
        <v>0</v>
      </c>
      <c r="AA200" s="5">
        <v>32762.75</v>
      </c>
      <c r="AB200" s="5">
        <v>33031.35</v>
      </c>
      <c r="AC200" s="5">
        <v>268.60000000000002</v>
      </c>
      <c r="AD200" s="5">
        <v>0.81979999999999997</v>
      </c>
      <c r="AE200" s="4">
        <v>7</v>
      </c>
      <c r="AF200" s="5">
        <v>-0.11666700000000001</v>
      </c>
      <c r="AG200" s="5">
        <v>230.3768</v>
      </c>
      <c r="AH200" s="5">
        <v>0.70320000000000005</v>
      </c>
      <c r="AI200" s="8">
        <v>-1.6515</v>
      </c>
      <c r="AJ200" s="8">
        <v>1.0235000000000001</v>
      </c>
      <c r="AK200" s="15">
        <v>184.8768</v>
      </c>
      <c r="AL200" s="15">
        <v>0.45290000000000002</v>
      </c>
      <c r="AM200" s="5">
        <v>102.61660000000001</v>
      </c>
      <c r="AN200" s="5">
        <v>102.61660000000001</v>
      </c>
      <c r="AO200" s="4">
        <v>0</v>
      </c>
      <c r="AP200" s="4">
        <v>0</v>
      </c>
      <c r="AQ200" s="8">
        <v>3.8699999999999998E-2</v>
      </c>
      <c r="AR200" s="8">
        <v>-1.0225</v>
      </c>
      <c r="AS200" s="8">
        <v>-1.0225</v>
      </c>
      <c r="AT200" s="5">
        <v>101.1095</v>
      </c>
      <c r="AU200" s="5">
        <v>-1.0225</v>
      </c>
      <c r="AV200" s="7" t="s">
        <v>90</v>
      </c>
    </row>
    <row r="201" spans="1:48" ht="18" customHeight="1" x14ac:dyDescent="0.25">
      <c r="A201" s="10">
        <v>100</v>
      </c>
      <c r="B201" s="10">
        <v>2</v>
      </c>
      <c r="C201" s="10">
        <v>100</v>
      </c>
      <c r="D201" s="88">
        <v>45063</v>
      </c>
      <c r="E201" s="88">
        <v>45070</v>
      </c>
      <c r="F201" s="88">
        <v>45071</v>
      </c>
      <c r="G201" s="11">
        <v>18181.75</v>
      </c>
      <c r="H201" s="11">
        <v>18285.400000000001</v>
      </c>
      <c r="I201" s="12"/>
      <c r="J201" s="12"/>
      <c r="K201" s="92"/>
      <c r="L201" s="92"/>
      <c r="M201" s="12" t="s">
        <v>40</v>
      </c>
      <c r="N201" s="10">
        <v>18100</v>
      </c>
      <c r="O201" s="95">
        <f>IF(F201=F199,O199,MROUND(G201,100))</f>
        <v>18100</v>
      </c>
      <c r="P201" s="95">
        <f>O201-N201</f>
        <v>0</v>
      </c>
      <c r="Q201" s="12" t="s">
        <v>91</v>
      </c>
      <c r="R201" s="10">
        <v>65</v>
      </c>
      <c r="S201" s="11">
        <v>66.849999999999994</v>
      </c>
      <c r="T201" s="11">
        <v>4.3</v>
      </c>
      <c r="U201" s="13">
        <v>-0.34839999999999999</v>
      </c>
      <c r="V201" s="13">
        <v>0.20960000000000001</v>
      </c>
      <c r="W201" s="10">
        <v>0</v>
      </c>
      <c r="X201" s="14">
        <v>0</v>
      </c>
      <c r="Y201" s="11">
        <v>-62.55</v>
      </c>
      <c r="Z201" s="14">
        <v>-3.4402629009858791E-3</v>
      </c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 t="s">
        <v>90</v>
      </c>
    </row>
    <row r="202" spans="1:48" ht="18" hidden="1" customHeight="1" x14ac:dyDescent="0.25">
      <c r="A202" s="4">
        <v>101</v>
      </c>
      <c r="B202" s="4">
        <v>1</v>
      </c>
      <c r="C202" s="4">
        <v>101</v>
      </c>
      <c r="D202" s="87">
        <v>45070</v>
      </c>
      <c r="E202" s="87">
        <v>45072</v>
      </c>
      <c r="F202" s="87">
        <v>45078</v>
      </c>
      <c r="G202" s="5">
        <v>18285.400000000001</v>
      </c>
      <c r="H202" s="5">
        <v>18499.349999999999</v>
      </c>
      <c r="I202" s="5">
        <v>213.95</v>
      </c>
      <c r="J202" s="6">
        <v>1.1700591728920341E-2</v>
      </c>
      <c r="K202" s="90"/>
      <c r="L202" s="90"/>
      <c r="M202" s="7" t="s">
        <v>28</v>
      </c>
      <c r="N202" s="4">
        <v>18300</v>
      </c>
      <c r="O202" s="94"/>
      <c r="P202" s="94"/>
      <c r="Q202" s="7" t="s">
        <v>89</v>
      </c>
      <c r="R202" s="4">
        <v>65</v>
      </c>
      <c r="S202" s="5">
        <v>122.8</v>
      </c>
      <c r="T202" s="5">
        <v>233.85</v>
      </c>
      <c r="U202" s="8">
        <v>-0.68740000000000001</v>
      </c>
      <c r="V202" s="8">
        <v>0.27779999999999999</v>
      </c>
      <c r="W202" s="5">
        <v>-111.05</v>
      </c>
      <c r="X202" s="6">
        <v>-6.0731512572872338E-3</v>
      </c>
      <c r="Y202" s="4">
        <v>0</v>
      </c>
      <c r="Z202" s="6">
        <v>0</v>
      </c>
      <c r="AA202" s="5">
        <v>33031.35</v>
      </c>
      <c r="AB202" s="5">
        <v>33425.1</v>
      </c>
      <c r="AC202" s="5">
        <v>393.75</v>
      </c>
      <c r="AD202" s="5">
        <v>1.1919999999999999</v>
      </c>
      <c r="AE202" s="4">
        <v>2</v>
      </c>
      <c r="AF202" s="5">
        <v>-3.3333000000000002E-2</v>
      </c>
      <c r="AG202" s="5">
        <v>382.7396</v>
      </c>
      <c r="AH202" s="5">
        <v>1.1587000000000001</v>
      </c>
      <c r="AI202" s="8">
        <v>-0.1951</v>
      </c>
      <c r="AJ202" s="8">
        <v>1.2481</v>
      </c>
      <c r="AK202" s="15">
        <v>188.83959999999999</v>
      </c>
      <c r="AL202" s="15">
        <v>9.8299999999999998E-2</v>
      </c>
      <c r="AM202" s="5">
        <v>102.7175</v>
      </c>
      <c r="AN202" s="5">
        <v>102.7175</v>
      </c>
      <c r="AO202" s="4">
        <v>0</v>
      </c>
      <c r="AP202" s="4">
        <v>0</v>
      </c>
      <c r="AQ202" s="8">
        <v>8.0500000000000002E-2</v>
      </c>
      <c r="AR202" s="8">
        <v>0.28560000000000002</v>
      </c>
      <c r="AS202" s="8">
        <v>8.0500000000000002E-2</v>
      </c>
      <c r="AT202" s="5">
        <v>102.6992</v>
      </c>
      <c r="AU202" s="5">
        <v>8.0500000000000002E-2</v>
      </c>
      <c r="AV202" s="7" t="s">
        <v>96</v>
      </c>
    </row>
    <row r="203" spans="1:48" ht="18" customHeight="1" x14ac:dyDescent="0.25">
      <c r="A203" s="10">
        <v>101</v>
      </c>
      <c r="B203" s="10">
        <v>2</v>
      </c>
      <c r="C203" s="10">
        <v>101</v>
      </c>
      <c r="D203" s="88">
        <v>45070</v>
      </c>
      <c r="E203" s="88">
        <v>45072</v>
      </c>
      <c r="F203" s="88">
        <v>45105</v>
      </c>
      <c r="G203" s="11">
        <v>18285.400000000001</v>
      </c>
      <c r="H203" s="11">
        <v>18499.349999999999</v>
      </c>
      <c r="I203" s="12"/>
      <c r="J203" s="12"/>
      <c r="K203" s="92"/>
      <c r="L203" s="92"/>
      <c r="M203" s="12" t="s">
        <v>40</v>
      </c>
      <c r="N203" s="10">
        <v>18300</v>
      </c>
      <c r="O203" s="95">
        <f>IF(F203=F201,O201,MROUND(G203,100))</f>
        <v>18300</v>
      </c>
      <c r="P203" s="95">
        <f>O203-N203</f>
        <v>0</v>
      </c>
      <c r="Q203" s="12" t="s">
        <v>91</v>
      </c>
      <c r="R203" s="10">
        <v>65</v>
      </c>
      <c r="S203" s="11">
        <v>212.9</v>
      </c>
      <c r="T203" s="11">
        <v>130.05000000000001</v>
      </c>
      <c r="U203" s="13">
        <v>-0.48020000000000002</v>
      </c>
      <c r="V203" s="13">
        <v>0.2029</v>
      </c>
      <c r="W203" s="10">
        <v>0</v>
      </c>
      <c r="X203" s="14">
        <v>0</v>
      </c>
      <c r="Y203" s="11">
        <v>-82.85</v>
      </c>
      <c r="Z203" s="14">
        <v>-4.5309372504839917E-3</v>
      </c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 t="s">
        <v>96</v>
      </c>
    </row>
    <row r="204" spans="1:48" ht="18" hidden="1" customHeight="1" x14ac:dyDescent="0.25">
      <c r="A204" s="4">
        <v>102</v>
      </c>
      <c r="B204" s="4">
        <v>1</v>
      </c>
      <c r="C204" s="4">
        <v>102</v>
      </c>
      <c r="D204" s="87">
        <v>45072</v>
      </c>
      <c r="E204" s="87">
        <v>45077</v>
      </c>
      <c r="F204" s="87">
        <v>45078</v>
      </c>
      <c r="G204" s="5">
        <v>18499.349999999999</v>
      </c>
      <c r="H204" s="5">
        <v>18534.400000000001</v>
      </c>
      <c r="I204" s="5">
        <v>35.049999999999997</v>
      </c>
      <c r="J204" s="6">
        <v>1.894661163770619E-3</v>
      </c>
      <c r="K204" s="90"/>
      <c r="L204" s="90"/>
      <c r="M204" s="7" t="s">
        <v>28</v>
      </c>
      <c r="N204" s="4">
        <v>18500</v>
      </c>
      <c r="O204" s="94"/>
      <c r="P204" s="94"/>
      <c r="Q204" s="7" t="s">
        <v>89</v>
      </c>
      <c r="R204" s="4">
        <v>65</v>
      </c>
      <c r="S204" s="5">
        <v>90.55</v>
      </c>
      <c r="T204" s="5">
        <v>77.349999999999994</v>
      </c>
      <c r="U204" s="8">
        <v>-0.53759999999999997</v>
      </c>
      <c r="V204" s="8">
        <v>0.2019</v>
      </c>
      <c r="W204" s="5">
        <v>13.2</v>
      </c>
      <c r="X204" s="6">
        <v>7.1353858378807907E-4</v>
      </c>
      <c r="Y204" s="4">
        <v>0</v>
      </c>
      <c r="Z204" s="6">
        <v>0</v>
      </c>
      <c r="AA204" s="5">
        <v>33425.1</v>
      </c>
      <c r="AB204" s="5">
        <v>33761.300000000003</v>
      </c>
      <c r="AC204" s="5">
        <v>336.2</v>
      </c>
      <c r="AD204" s="5">
        <v>1.0058</v>
      </c>
      <c r="AE204" s="4">
        <v>5</v>
      </c>
      <c r="AF204" s="5">
        <v>-8.3333000000000004E-2</v>
      </c>
      <c r="AG204" s="5">
        <v>308.3458</v>
      </c>
      <c r="AH204" s="5">
        <v>0.92249999999999999</v>
      </c>
      <c r="AI204" s="8">
        <v>-4.3999999999999997E-2</v>
      </c>
      <c r="AJ204" s="8">
        <v>1.0813999999999999</v>
      </c>
      <c r="AK204" s="15">
        <v>288.8458</v>
      </c>
      <c r="AL204" s="15">
        <v>0.81710000000000005</v>
      </c>
      <c r="AM204" s="5">
        <v>103.5568</v>
      </c>
      <c r="AN204" s="5">
        <v>103.5568</v>
      </c>
      <c r="AO204" s="4">
        <v>0</v>
      </c>
      <c r="AP204" s="4">
        <v>0</v>
      </c>
      <c r="AQ204" s="8">
        <v>0.26840000000000003</v>
      </c>
      <c r="AR204" s="8">
        <v>0.113</v>
      </c>
      <c r="AS204" s="8">
        <v>0.113</v>
      </c>
      <c r="AT204" s="5">
        <v>102.8336</v>
      </c>
      <c r="AU204" s="5">
        <v>0.113</v>
      </c>
      <c r="AV204" s="7" t="s">
        <v>90</v>
      </c>
    </row>
    <row r="205" spans="1:48" ht="18" customHeight="1" x14ac:dyDescent="0.25">
      <c r="A205" s="10">
        <v>102</v>
      </c>
      <c r="B205" s="10">
        <v>2</v>
      </c>
      <c r="C205" s="10">
        <v>102</v>
      </c>
      <c r="D205" s="88">
        <v>45072</v>
      </c>
      <c r="E205" s="88">
        <v>45077</v>
      </c>
      <c r="F205" s="88">
        <v>45105</v>
      </c>
      <c r="G205" s="11">
        <v>18499.349999999999</v>
      </c>
      <c r="H205" s="11">
        <v>18534.400000000001</v>
      </c>
      <c r="I205" s="12"/>
      <c r="J205" s="12"/>
      <c r="K205" s="92"/>
      <c r="L205" s="92"/>
      <c r="M205" s="12" t="s">
        <v>40</v>
      </c>
      <c r="N205" s="10">
        <v>18300</v>
      </c>
      <c r="O205" s="95">
        <f>IF(F205=F203,O203,MROUND(G205,100))</f>
        <v>18300</v>
      </c>
      <c r="P205" s="95">
        <f>O205-N205</f>
        <v>0</v>
      </c>
      <c r="Q205" s="12" t="s">
        <v>91</v>
      </c>
      <c r="R205" s="10">
        <v>65</v>
      </c>
      <c r="S205" s="11">
        <v>130.05000000000001</v>
      </c>
      <c r="T205" s="11">
        <v>97.35</v>
      </c>
      <c r="U205" s="13">
        <v>-0.27539999999999998</v>
      </c>
      <c r="V205" s="13">
        <v>-4.4900000000000002E-2</v>
      </c>
      <c r="W205" s="10">
        <v>0</v>
      </c>
      <c r="X205" s="14">
        <v>0</v>
      </c>
      <c r="Y205" s="11">
        <v>-32.700000000000003</v>
      </c>
      <c r="Z205" s="14">
        <v>-1.767629673475014E-3</v>
      </c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 t="s">
        <v>90</v>
      </c>
    </row>
    <row r="206" spans="1:48" ht="18" hidden="1" customHeight="1" x14ac:dyDescent="0.25">
      <c r="A206" s="4">
        <v>103</v>
      </c>
      <c r="B206" s="4">
        <v>1</v>
      </c>
      <c r="C206" s="4">
        <v>103</v>
      </c>
      <c r="D206" s="87">
        <v>45077</v>
      </c>
      <c r="E206" s="87">
        <v>45084</v>
      </c>
      <c r="F206" s="87">
        <v>45085</v>
      </c>
      <c r="G206" s="5">
        <v>18534.400000000001</v>
      </c>
      <c r="H206" s="5">
        <v>18726.400000000001</v>
      </c>
      <c r="I206" s="4">
        <v>192</v>
      </c>
      <c r="J206" s="6">
        <v>1.0359116022099451E-2</v>
      </c>
      <c r="K206" s="90"/>
      <c r="L206" s="90"/>
      <c r="M206" s="7" t="s">
        <v>28</v>
      </c>
      <c r="N206" s="4">
        <v>18500</v>
      </c>
      <c r="O206" s="94"/>
      <c r="P206" s="94"/>
      <c r="Q206" s="7" t="s">
        <v>89</v>
      </c>
      <c r="R206" s="4">
        <v>65</v>
      </c>
      <c r="S206" s="5">
        <v>158.15</v>
      </c>
      <c r="T206" s="5">
        <v>230.75</v>
      </c>
      <c r="U206" s="8">
        <v>-0.43059999999999998</v>
      </c>
      <c r="V206" s="8">
        <v>0.38229999999999997</v>
      </c>
      <c r="W206" s="5">
        <v>-72.599999999999994</v>
      </c>
      <c r="X206" s="6">
        <v>-3.9170407458563533E-3</v>
      </c>
      <c r="Y206" s="4">
        <v>0</v>
      </c>
      <c r="Z206" s="6">
        <v>0</v>
      </c>
      <c r="AA206" s="5">
        <v>33761.300000000003</v>
      </c>
      <c r="AB206" s="5">
        <v>34390.1</v>
      </c>
      <c r="AC206" s="5">
        <v>628.79999999999995</v>
      </c>
      <c r="AD206" s="5">
        <v>1.8625</v>
      </c>
      <c r="AE206" s="4">
        <v>7</v>
      </c>
      <c r="AF206" s="5">
        <v>-0.11666700000000001</v>
      </c>
      <c r="AG206" s="5">
        <v>589.41179999999997</v>
      </c>
      <c r="AH206" s="5">
        <v>1.7458</v>
      </c>
      <c r="AI206" s="8">
        <v>2.35E-2</v>
      </c>
      <c r="AJ206" s="8">
        <v>1.8262</v>
      </c>
      <c r="AK206" s="15">
        <v>465.96179999999998</v>
      </c>
      <c r="AL206" s="15">
        <v>1.0797000000000001</v>
      </c>
      <c r="AM206" s="5">
        <v>104.67489999999999</v>
      </c>
      <c r="AN206" s="5">
        <v>104.67489999999999</v>
      </c>
      <c r="AO206" s="4">
        <v>0</v>
      </c>
      <c r="AP206" s="4">
        <v>0</v>
      </c>
      <c r="AQ206" s="8">
        <v>1.1126</v>
      </c>
      <c r="AR206" s="8">
        <v>0.51180000000000003</v>
      </c>
      <c r="AS206" s="8">
        <v>0.51180000000000003</v>
      </c>
      <c r="AT206" s="5">
        <v>104.0868</v>
      </c>
      <c r="AU206" s="5">
        <v>0.51180000000000003</v>
      </c>
      <c r="AV206" s="7" t="s">
        <v>92</v>
      </c>
    </row>
    <row r="207" spans="1:48" ht="18" customHeight="1" x14ac:dyDescent="0.25">
      <c r="A207" s="10">
        <v>103</v>
      </c>
      <c r="B207" s="10">
        <v>2</v>
      </c>
      <c r="C207" s="10">
        <v>103</v>
      </c>
      <c r="D207" s="88">
        <v>45077</v>
      </c>
      <c r="E207" s="88">
        <v>45084</v>
      </c>
      <c r="F207" s="88">
        <v>45105</v>
      </c>
      <c r="G207" s="11">
        <v>18534.400000000001</v>
      </c>
      <c r="H207" s="11">
        <v>18726.400000000001</v>
      </c>
      <c r="I207" s="12"/>
      <c r="J207" s="12"/>
      <c r="K207" s="92"/>
      <c r="L207" s="92"/>
      <c r="M207" s="12" t="s">
        <v>40</v>
      </c>
      <c r="N207" s="10">
        <v>18300</v>
      </c>
      <c r="O207" s="95">
        <f>IF(F207=F205,O205,MROUND(G207,100))</f>
        <v>18300</v>
      </c>
      <c r="P207" s="95">
        <f>O207-N207</f>
        <v>0</v>
      </c>
      <c r="Q207" s="12" t="s">
        <v>91</v>
      </c>
      <c r="R207" s="10">
        <v>65</v>
      </c>
      <c r="S207" s="11">
        <v>97.35</v>
      </c>
      <c r="T207" s="11">
        <v>46.5</v>
      </c>
      <c r="U207" s="13">
        <v>-0.28299999999999997</v>
      </c>
      <c r="V207" s="13">
        <v>0.106</v>
      </c>
      <c r="W207" s="10">
        <v>0</v>
      </c>
      <c r="X207" s="14">
        <v>0</v>
      </c>
      <c r="Y207" s="11">
        <v>-50.85</v>
      </c>
      <c r="Z207" s="14">
        <v>-2.7435471339779002E-3</v>
      </c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 t="s">
        <v>92</v>
      </c>
    </row>
    <row r="208" spans="1:48" ht="18" hidden="1" customHeight="1" x14ac:dyDescent="0.25">
      <c r="A208" s="4">
        <v>104</v>
      </c>
      <c r="B208" s="4">
        <v>1</v>
      </c>
      <c r="C208" s="4">
        <v>104</v>
      </c>
      <c r="D208" s="87">
        <v>45084</v>
      </c>
      <c r="E208" s="87">
        <v>45091</v>
      </c>
      <c r="F208" s="87">
        <v>45092</v>
      </c>
      <c r="G208" s="5">
        <v>18726.400000000001</v>
      </c>
      <c r="H208" s="5">
        <v>18755.900000000001</v>
      </c>
      <c r="I208" s="5">
        <v>29.5</v>
      </c>
      <c r="J208" s="6">
        <v>1.5753161312371841E-3</v>
      </c>
      <c r="K208" s="90"/>
      <c r="L208" s="90"/>
      <c r="M208" s="7" t="s">
        <v>28</v>
      </c>
      <c r="N208" s="4">
        <v>18700</v>
      </c>
      <c r="O208" s="94"/>
      <c r="P208" s="94"/>
      <c r="Q208" s="7" t="s">
        <v>89</v>
      </c>
      <c r="R208" s="4">
        <v>65</v>
      </c>
      <c r="S208" s="5">
        <v>134.35</v>
      </c>
      <c r="T208" s="5">
        <v>83.9</v>
      </c>
      <c r="U208" s="8">
        <v>-0.13</v>
      </c>
      <c r="V208" s="8">
        <v>0.54869999999999997</v>
      </c>
      <c r="W208" s="5">
        <v>50.45</v>
      </c>
      <c r="X208" s="6">
        <v>2.6940575871496918E-3</v>
      </c>
      <c r="Y208" s="4">
        <v>0</v>
      </c>
      <c r="Z208" s="6">
        <v>0</v>
      </c>
      <c r="AA208" s="5">
        <v>34390.1</v>
      </c>
      <c r="AB208" s="5">
        <v>34833.300000000003</v>
      </c>
      <c r="AC208" s="5">
        <v>443.2</v>
      </c>
      <c r="AD208" s="5">
        <v>1.2887</v>
      </c>
      <c r="AE208" s="4">
        <v>7</v>
      </c>
      <c r="AF208" s="5">
        <v>-0.11666700000000001</v>
      </c>
      <c r="AG208" s="5">
        <v>403.07819999999998</v>
      </c>
      <c r="AH208" s="5">
        <v>1.1720999999999999</v>
      </c>
      <c r="AI208" s="8">
        <v>-0.95240000000000002</v>
      </c>
      <c r="AJ208" s="8">
        <v>1.2779</v>
      </c>
      <c r="AK208" s="15">
        <v>433.6782</v>
      </c>
      <c r="AL208" s="15">
        <v>1.3354999999999999</v>
      </c>
      <c r="AM208" s="5">
        <v>106.0729</v>
      </c>
      <c r="AN208" s="5">
        <v>106.0729</v>
      </c>
      <c r="AO208" s="4">
        <v>0</v>
      </c>
      <c r="AP208" s="4">
        <v>0</v>
      </c>
      <c r="AQ208" s="8">
        <v>1.0351999999999999</v>
      </c>
      <c r="AR208" s="8">
        <v>-0.30059999999999998</v>
      </c>
      <c r="AS208" s="8">
        <v>-0.30059999999999998</v>
      </c>
      <c r="AT208" s="5">
        <v>104.3603</v>
      </c>
      <c r="AU208" s="5">
        <v>-0.30059999999999998</v>
      </c>
      <c r="AV208" s="7" t="s">
        <v>90</v>
      </c>
    </row>
    <row r="209" spans="1:48" ht="18" customHeight="1" x14ac:dyDescent="0.25">
      <c r="A209" s="10">
        <v>104</v>
      </c>
      <c r="B209" s="10">
        <v>2</v>
      </c>
      <c r="C209" s="10">
        <v>104</v>
      </c>
      <c r="D209" s="88">
        <v>45084</v>
      </c>
      <c r="E209" s="88">
        <v>45091</v>
      </c>
      <c r="F209" s="88">
        <v>45105</v>
      </c>
      <c r="G209" s="11">
        <v>18726.400000000001</v>
      </c>
      <c r="H209" s="11">
        <v>18755.900000000001</v>
      </c>
      <c r="I209" s="12"/>
      <c r="J209" s="12"/>
      <c r="K209" s="92"/>
      <c r="L209" s="92"/>
      <c r="M209" s="12" t="s">
        <v>40</v>
      </c>
      <c r="N209" s="10">
        <v>18300</v>
      </c>
      <c r="O209" s="95">
        <f>IF(F209=F207,O207,MROUND(G209,100))</f>
        <v>18300</v>
      </c>
      <c r="P209" s="95">
        <f>O209-N209</f>
        <v>0</v>
      </c>
      <c r="Q209" s="12" t="s">
        <v>91</v>
      </c>
      <c r="R209" s="10">
        <v>65</v>
      </c>
      <c r="S209" s="11">
        <v>46.5</v>
      </c>
      <c r="T209" s="11">
        <v>26.65</v>
      </c>
      <c r="U209" s="13">
        <v>-0.11269999999999999</v>
      </c>
      <c r="V209" s="13">
        <v>0.1031</v>
      </c>
      <c r="W209" s="10">
        <v>0</v>
      </c>
      <c r="X209" s="14">
        <v>0</v>
      </c>
      <c r="Y209" s="11">
        <v>-19.850000000000001</v>
      </c>
      <c r="Z209" s="14">
        <v>-1.060000854408749E-3</v>
      </c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 t="s">
        <v>90</v>
      </c>
    </row>
    <row r="210" spans="1:48" ht="18" hidden="1" customHeight="1" x14ac:dyDescent="0.25">
      <c r="A210" s="4">
        <v>105</v>
      </c>
      <c r="B210" s="4">
        <v>1</v>
      </c>
      <c r="C210" s="4">
        <v>105</v>
      </c>
      <c r="D210" s="87">
        <v>45091</v>
      </c>
      <c r="E210" s="87">
        <v>45098</v>
      </c>
      <c r="F210" s="87">
        <v>45099</v>
      </c>
      <c r="G210" s="5">
        <v>18755.900000000001</v>
      </c>
      <c r="H210" s="5">
        <v>18856.849999999999</v>
      </c>
      <c r="I210" s="5">
        <v>100.95</v>
      </c>
      <c r="J210" s="6">
        <v>5.3823063675963291E-3</v>
      </c>
      <c r="K210" s="90"/>
      <c r="L210" s="90"/>
      <c r="M210" s="7" t="s">
        <v>28</v>
      </c>
      <c r="N210" s="4">
        <v>18800</v>
      </c>
      <c r="O210" s="94"/>
      <c r="P210" s="94"/>
      <c r="Q210" s="7" t="s">
        <v>89</v>
      </c>
      <c r="R210" s="4">
        <v>65</v>
      </c>
      <c r="S210" s="5">
        <v>96.2</v>
      </c>
      <c r="T210" s="5">
        <v>79.25</v>
      </c>
      <c r="U210" s="8">
        <v>-0.35510000000000003</v>
      </c>
      <c r="V210" s="8">
        <v>0.40810000000000002</v>
      </c>
      <c r="W210" s="5">
        <v>16.95</v>
      </c>
      <c r="X210" s="6">
        <v>9.0371563081483681E-4</v>
      </c>
      <c r="Y210" s="4">
        <v>0</v>
      </c>
      <c r="Z210" s="6">
        <v>0</v>
      </c>
      <c r="AA210" s="5">
        <v>34833.300000000003</v>
      </c>
      <c r="AB210" s="5">
        <v>35614.400000000001</v>
      </c>
      <c r="AC210" s="5">
        <v>781.1</v>
      </c>
      <c r="AD210" s="5">
        <v>2.2423999999999999</v>
      </c>
      <c r="AE210" s="4">
        <v>7</v>
      </c>
      <c r="AF210" s="5">
        <v>-0.11666700000000001</v>
      </c>
      <c r="AG210" s="5">
        <v>740.46109999999999</v>
      </c>
      <c r="AH210" s="5">
        <v>2.1257000000000001</v>
      </c>
      <c r="AI210" s="8">
        <v>-0.1396</v>
      </c>
      <c r="AJ210" s="8">
        <v>2.4967000000000001</v>
      </c>
      <c r="AK210" s="15">
        <v>739.31110000000001</v>
      </c>
      <c r="AL210" s="15">
        <v>2.1196000000000002</v>
      </c>
      <c r="AM210" s="5">
        <v>108.3212</v>
      </c>
      <c r="AN210" s="5">
        <v>108.3212</v>
      </c>
      <c r="AO210" s="4">
        <v>0</v>
      </c>
      <c r="AP210" s="4">
        <v>0</v>
      </c>
      <c r="AQ210" s="8">
        <v>2.0430000000000001</v>
      </c>
      <c r="AR210" s="8">
        <v>0.2858</v>
      </c>
      <c r="AS210" s="8">
        <v>0.2858</v>
      </c>
      <c r="AT210" s="5">
        <v>106.376</v>
      </c>
      <c r="AU210" s="5">
        <v>0.2858</v>
      </c>
      <c r="AV210" s="7" t="s">
        <v>103</v>
      </c>
    </row>
    <row r="211" spans="1:48" ht="18" customHeight="1" x14ac:dyDescent="0.25">
      <c r="A211" s="10">
        <v>105</v>
      </c>
      <c r="B211" s="10">
        <v>2</v>
      </c>
      <c r="C211" s="10">
        <v>105</v>
      </c>
      <c r="D211" s="88">
        <v>45091</v>
      </c>
      <c r="E211" s="88">
        <v>45098</v>
      </c>
      <c r="F211" s="88">
        <v>45105</v>
      </c>
      <c r="G211" s="11">
        <v>18755.900000000001</v>
      </c>
      <c r="H211" s="11">
        <v>18856.849999999999</v>
      </c>
      <c r="I211" s="12"/>
      <c r="J211" s="12"/>
      <c r="K211" s="92"/>
      <c r="L211" s="92"/>
      <c r="M211" s="12" t="s">
        <v>40</v>
      </c>
      <c r="N211" s="10">
        <v>18300</v>
      </c>
      <c r="O211" s="95">
        <f>IF(F211=F209,O209,MROUND(G211,100))</f>
        <v>18300</v>
      </c>
      <c r="P211" s="95">
        <f>O211-N211</f>
        <v>0</v>
      </c>
      <c r="Q211" s="12" t="s">
        <v>91</v>
      </c>
      <c r="R211" s="10">
        <v>65</v>
      </c>
      <c r="S211" s="11">
        <v>26.65</v>
      </c>
      <c r="T211" s="11">
        <v>8.5500000000000007</v>
      </c>
      <c r="U211" s="13">
        <v>-9.8599999999999993E-2</v>
      </c>
      <c r="V211" s="13">
        <v>1.7299999999999999E-2</v>
      </c>
      <c r="W211" s="10">
        <v>0</v>
      </c>
      <c r="X211" s="14">
        <v>0</v>
      </c>
      <c r="Y211" s="11">
        <v>-18.100000000000001</v>
      </c>
      <c r="Z211" s="14">
        <v>-9.6502967066363114E-4</v>
      </c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 t="s">
        <v>103</v>
      </c>
    </row>
    <row r="212" spans="1:48" ht="18" hidden="1" customHeight="1" x14ac:dyDescent="0.25">
      <c r="A212" s="4">
        <v>106</v>
      </c>
      <c r="B212" s="4">
        <v>1</v>
      </c>
      <c r="C212" s="4">
        <v>106</v>
      </c>
      <c r="D212" s="87">
        <v>45098</v>
      </c>
      <c r="E212" s="87">
        <v>45100</v>
      </c>
      <c r="F212" s="87">
        <v>45105</v>
      </c>
      <c r="G212" s="5">
        <v>18856.849999999999</v>
      </c>
      <c r="H212" s="5">
        <v>18665.5</v>
      </c>
      <c r="I212" s="5">
        <v>-191.35</v>
      </c>
      <c r="J212" s="6">
        <v>-1.014750607869289E-2</v>
      </c>
      <c r="K212" s="90"/>
      <c r="L212" s="90"/>
      <c r="M212" s="7" t="s">
        <v>28</v>
      </c>
      <c r="N212" s="4">
        <v>18900</v>
      </c>
      <c r="O212" s="94"/>
      <c r="P212" s="94"/>
      <c r="Q212" s="7" t="s">
        <v>89</v>
      </c>
      <c r="R212" s="4">
        <v>65</v>
      </c>
      <c r="S212" s="5">
        <v>98.55</v>
      </c>
      <c r="T212" s="5">
        <v>17.25</v>
      </c>
      <c r="U212" s="8">
        <v>-4.7500000000000001E-2</v>
      </c>
      <c r="V212" s="8">
        <v>0.4375</v>
      </c>
      <c r="W212" s="5">
        <v>81.3</v>
      </c>
      <c r="X212" s="6">
        <v>4.3114305941872582E-3</v>
      </c>
      <c r="Y212" s="4">
        <v>0</v>
      </c>
      <c r="Z212" s="6">
        <v>0</v>
      </c>
      <c r="AA212" s="5">
        <v>35614.400000000001</v>
      </c>
      <c r="AB212" s="5">
        <v>34799.9</v>
      </c>
      <c r="AC212" s="5">
        <v>-814.5</v>
      </c>
      <c r="AD212" s="5">
        <v>-2.2869999999999999</v>
      </c>
      <c r="AE212" s="4">
        <v>2</v>
      </c>
      <c r="AF212" s="5">
        <v>-3.3333000000000002E-2</v>
      </c>
      <c r="AG212" s="5">
        <v>-826.37149999999997</v>
      </c>
      <c r="AH212" s="5">
        <v>-2.3203</v>
      </c>
      <c r="AI212" s="8">
        <v>-2.4110999999999998</v>
      </c>
      <c r="AJ212" s="8">
        <v>0.2051</v>
      </c>
      <c r="AK212" s="9">
        <v>-748.97149999999999</v>
      </c>
      <c r="AL212" s="9">
        <v>-1.9097999999999999</v>
      </c>
      <c r="AM212" s="5">
        <v>106.2525</v>
      </c>
      <c r="AN212" s="5">
        <v>108.3212</v>
      </c>
      <c r="AO212" s="5">
        <v>-2.0687000000000002</v>
      </c>
      <c r="AP212" s="5">
        <v>-1.9097999999999999</v>
      </c>
      <c r="AQ212" s="8">
        <v>0.13370000000000001</v>
      </c>
      <c r="AR212" s="8">
        <v>-1.9672000000000001</v>
      </c>
      <c r="AS212" s="8">
        <v>-1.9672000000000001</v>
      </c>
      <c r="AT212" s="5">
        <v>106.19029999999999</v>
      </c>
      <c r="AU212" s="5">
        <v>-1.9672000000000001</v>
      </c>
      <c r="AV212" s="7" t="s">
        <v>93</v>
      </c>
    </row>
    <row r="213" spans="1:48" ht="18" customHeight="1" x14ac:dyDescent="0.25">
      <c r="A213" s="10">
        <v>106</v>
      </c>
      <c r="B213" s="10">
        <v>2</v>
      </c>
      <c r="C213" s="10">
        <v>106</v>
      </c>
      <c r="D213" s="88">
        <v>45098</v>
      </c>
      <c r="E213" s="88">
        <v>45100</v>
      </c>
      <c r="F213" s="88">
        <v>45105</v>
      </c>
      <c r="G213" s="11">
        <v>18856.849999999999</v>
      </c>
      <c r="H213" s="11">
        <v>18665.5</v>
      </c>
      <c r="I213" s="12"/>
      <c r="J213" s="12"/>
      <c r="K213" s="92"/>
      <c r="L213" s="92"/>
      <c r="M213" s="12" t="s">
        <v>40</v>
      </c>
      <c r="N213" s="10">
        <v>18300</v>
      </c>
      <c r="O213" s="95">
        <f>IF(F213=F211,O211,MROUND(G213,100))</f>
        <v>18300</v>
      </c>
      <c r="P213" s="95">
        <f>O213-N213</f>
        <v>0</v>
      </c>
      <c r="Q213" s="12" t="s">
        <v>91</v>
      </c>
      <c r="R213" s="10">
        <v>65</v>
      </c>
      <c r="S213" s="11">
        <v>8.5500000000000007</v>
      </c>
      <c r="T213" s="11">
        <v>4.6500000000000004</v>
      </c>
      <c r="U213" s="13">
        <v>-2.3900000000000001E-2</v>
      </c>
      <c r="V213" s="13">
        <v>6.4000000000000003E-3</v>
      </c>
      <c r="W213" s="10">
        <v>0</v>
      </c>
      <c r="X213" s="14">
        <v>0</v>
      </c>
      <c r="Y213" s="11">
        <v>-3.9</v>
      </c>
      <c r="Z213" s="14">
        <v>-2.0682139381710099E-4</v>
      </c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 t="s">
        <v>93</v>
      </c>
    </row>
    <row r="214" spans="1:48" ht="18" hidden="1" customHeight="1" x14ac:dyDescent="0.25">
      <c r="A214" s="4">
        <v>107</v>
      </c>
      <c r="B214" s="4">
        <v>1</v>
      </c>
      <c r="C214" s="4">
        <v>107</v>
      </c>
      <c r="D214" s="87">
        <v>45100</v>
      </c>
      <c r="E214" s="87">
        <v>45104</v>
      </c>
      <c r="F214" s="87">
        <v>45105</v>
      </c>
      <c r="G214" s="5">
        <v>18665.5</v>
      </c>
      <c r="H214" s="5">
        <v>18817.400000000001</v>
      </c>
      <c r="I214" s="5">
        <v>151.9</v>
      </c>
      <c r="J214" s="6">
        <v>8.1380086255390966E-3</v>
      </c>
      <c r="K214" s="90"/>
      <c r="L214" s="90"/>
      <c r="M214" s="7" t="s">
        <v>28</v>
      </c>
      <c r="N214" s="4">
        <v>18700</v>
      </c>
      <c r="O214" s="94"/>
      <c r="P214" s="94"/>
      <c r="Q214" s="7" t="s">
        <v>89</v>
      </c>
      <c r="R214" s="4">
        <v>65</v>
      </c>
      <c r="S214" s="5">
        <v>82.6</v>
      </c>
      <c r="T214" s="5">
        <v>118.55</v>
      </c>
      <c r="U214" s="8">
        <v>-0.24379999999999999</v>
      </c>
      <c r="V214" s="8">
        <v>0.157</v>
      </c>
      <c r="W214" s="5">
        <v>-35.950000000000003</v>
      </c>
      <c r="X214" s="6">
        <v>-1.926013232969918E-3</v>
      </c>
      <c r="Y214" s="4">
        <v>0</v>
      </c>
      <c r="Z214" s="6">
        <v>0</v>
      </c>
      <c r="AA214" s="5">
        <v>34799.9</v>
      </c>
      <c r="AB214" s="5">
        <v>35296.949999999997</v>
      </c>
      <c r="AC214" s="5">
        <v>497.05</v>
      </c>
      <c r="AD214" s="5">
        <v>1.4282999999999999</v>
      </c>
      <c r="AE214" s="4">
        <v>4</v>
      </c>
      <c r="AF214" s="5">
        <v>-6.6667000000000004E-2</v>
      </c>
      <c r="AG214" s="5">
        <v>473.8501</v>
      </c>
      <c r="AH214" s="5">
        <v>1.3615999999999999</v>
      </c>
      <c r="AI214" s="8">
        <v>-0.45250000000000001</v>
      </c>
      <c r="AJ214" s="8">
        <v>1.5932999999999999</v>
      </c>
      <c r="AK214" s="15">
        <v>435.00009999999997</v>
      </c>
      <c r="AL214" s="15">
        <v>1.1535</v>
      </c>
      <c r="AM214" s="5">
        <v>107.4781</v>
      </c>
      <c r="AN214" s="5">
        <v>108.3212</v>
      </c>
      <c r="AO214" s="5">
        <v>-0.84309999999999996</v>
      </c>
      <c r="AP214" s="5">
        <v>-0.77829999999999999</v>
      </c>
      <c r="AQ214" s="8">
        <v>1.3312999999999999</v>
      </c>
      <c r="AR214" s="8">
        <v>-0.29039999999999999</v>
      </c>
      <c r="AS214" s="8">
        <v>-0.29039999999999999</v>
      </c>
      <c r="AT214" s="5">
        <v>105.9439</v>
      </c>
      <c r="AU214" s="5">
        <v>-2.1947000000000001</v>
      </c>
      <c r="AV214" s="7" t="s">
        <v>90</v>
      </c>
    </row>
    <row r="215" spans="1:48" ht="18" customHeight="1" x14ac:dyDescent="0.25">
      <c r="A215" s="10">
        <v>107</v>
      </c>
      <c r="B215" s="10">
        <v>2</v>
      </c>
      <c r="C215" s="10">
        <v>107</v>
      </c>
      <c r="D215" s="88">
        <v>45100</v>
      </c>
      <c r="E215" s="88">
        <v>45104</v>
      </c>
      <c r="F215" s="88">
        <v>45105</v>
      </c>
      <c r="G215" s="11">
        <v>18665.5</v>
      </c>
      <c r="H215" s="11">
        <v>18817.400000000001</v>
      </c>
      <c r="I215" s="12"/>
      <c r="J215" s="12"/>
      <c r="K215" s="92"/>
      <c r="L215" s="92"/>
      <c r="M215" s="12" t="s">
        <v>40</v>
      </c>
      <c r="N215" s="10">
        <v>18300</v>
      </c>
      <c r="O215" s="95">
        <f>IF(F215=F213,O213,MROUND(G215,100))</f>
        <v>18300</v>
      </c>
      <c r="P215" s="95">
        <f>O215-N215</f>
        <v>0</v>
      </c>
      <c r="Q215" s="12" t="s">
        <v>91</v>
      </c>
      <c r="R215" s="10">
        <v>65</v>
      </c>
      <c r="S215" s="11">
        <v>4.6500000000000004</v>
      </c>
      <c r="T215" s="11">
        <v>1.75</v>
      </c>
      <c r="U215" s="13">
        <v>-1.8200000000000001E-2</v>
      </c>
      <c r="V215" s="13">
        <v>5.1000000000000004E-3</v>
      </c>
      <c r="W215" s="10">
        <v>0</v>
      </c>
      <c r="X215" s="14">
        <v>0</v>
      </c>
      <c r="Y215" s="11">
        <v>-2.9</v>
      </c>
      <c r="Z215" s="14">
        <v>-1.5536685328547319E-4</v>
      </c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 t="s">
        <v>90</v>
      </c>
    </row>
    <row r="216" spans="1:48" ht="18" hidden="1" customHeight="1" x14ac:dyDescent="0.25">
      <c r="A216" s="4">
        <v>108</v>
      </c>
      <c r="B216" s="4">
        <v>1</v>
      </c>
      <c r="C216" s="4">
        <v>108</v>
      </c>
      <c r="D216" s="87">
        <v>45104</v>
      </c>
      <c r="E216" s="87">
        <v>45107</v>
      </c>
      <c r="F216" s="87">
        <v>45113</v>
      </c>
      <c r="G216" s="5">
        <v>18817.400000000001</v>
      </c>
      <c r="H216" s="5">
        <v>19189.05</v>
      </c>
      <c r="I216" s="5">
        <v>371.65</v>
      </c>
      <c r="J216" s="6">
        <v>1.9750337453633339E-2</v>
      </c>
      <c r="K216" s="90"/>
      <c r="L216" s="90"/>
      <c r="M216" s="7" t="s">
        <v>28</v>
      </c>
      <c r="N216" s="4">
        <v>18800</v>
      </c>
      <c r="O216" s="94"/>
      <c r="P216" s="94"/>
      <c r="Q216" s="7" t="s">
        <v>89</v>
      </c>
      <c r="R216" s="4">
        <v>65</v>
      </c>
      <c r="S216" s="5">
        <v>127.9</v>
      </c>
      <c r="T216" s="4">
        <v>395</v>
      </c>
      <c r="U216" s="8">
        <v>-1.4890000000000001</v>
      </c>
      <c r="V216" s="8">
        <v>-2.92E-2</v>
      </c>
      <c r="W216" s="5">
        <v>-267.10000000000002</v>
      </c>
      <c r="X216" s="6">
        <v>-1.4194309522038109E-2</v>
      </c>
      <c r="Y216" s="4">
        <v>0</v>
      </c>
      <c r="Z216" s="6">
        <v>0</v>
      </c>
      <c r="AA216" s="5">
        <v>35296.949999999997</v>
      </c>
      <c r="AB216" s="5">
        <v>35754.35</v>
      </c>
      <c r="AC216" s="5">
        <v>457.4</v>
      </c>
      <c r="AD216" s="5">
        <v>1.2959000000000001</v>
      </c>
      <c r="AE216" s="4">
        <v>3</v>
      </c>
      <c r="AF216" s="5">
        <v>-0.05</v>
      </c>
      <c r="AG216" s="5">
        <v>439.75150000000002</v>
      </c>
      <c r="AH216" s="5">
        <v>1.2459</v>
      </c>
      <c r="AI216" s="8">
        <v>0.18840000000000001</v>
      </c>
      <c r="AJ216" s="8">
        <v>1.3242</v>
      </c>
      <c r="AK216" s="15">
        <v>77.951499999999996</v>
      </c>
      <c r="AL216" s="15">
        <v>-0.67679999999999996</v>
      </c>
      <c r="AM216" s="5">
        <v>106.75069999999999</v>
      </c>
      <c r="AN216" s="5">
        <v>108.3212</v>
      </c>
      <c r="AO216" s="5">
        <v>-1.5705</v>
      </c>
      <c r="AP216" s="5">
        <v>-1.4499</v>
      </c>
      <c r="AQ216" s="8">
        <v>-0.67789999999999995</v>
      </c>
      <c r="AR216" s="8">
        <v>9.4600000000000004E-2</v>
      </c>
      <c r="AS216" s="8">
        <v>-0.67789999999999995</v>
      </c>
      <c r="AT216" s="5">
        <v>106.7495</v>
      </c>
      <c r="AU216" s="5">
        <v>-1.4510000000000001</v>
      </c>
      <c r="AV216" s="7" t="s">
        <v>96</v>
      </c>
    </row>
    <row r="217" spans="1:48" ht="18" customHeight="1" x14ac:dyDescent="0.25">
      <c r="A217" s="10">
        <v>108</v>
      </c>
      <c r="B217" s="10">
        <v>2</v>
      </c>
      <c r="C217" s="10">
        <v>108</v>
      </c>
      <c r="D217" s="88">
        <v>45104</v>
      </c>
      <c r="E217" s="88">
        <v>45107</v>
      </c>
      <c r="F217" s="88">
        <v>45134</v>
      </c>
      <c r="G217" s="11">
        <v>18817.400000000001</v>
      </c>
      <c r="H217" s="11">
        <v>19189.05</v>
      </c>
      <c r="I217" s="12"/>
      <c r="J217" s="12"/>
      <c r="K217" s="92"/>
      <c r="L217" s="92"/>
      <c r="M217" s="12" t="s">
        <v>40</v>
      </c>
      <c r="N217" s="10">
        <v>18800</v>
      </c>
      <c r="O217" s="95">
        <f>IF(F217=F215,O215,MROUND(G217,100))</f>
        <v>18800</v>
      </c>
      <c r="P217" s="95">
        <f>O217-N217</f>
        <v>0</v>
      </c>
      <c r="Q217" s="12" t="s">
        <v>91</v>
      </c>
      <c r="R217" s="10">
        <v>65</v>
      </c>
      <c r="S217" s="11">
        <v>164.15</v>
      </c>
      <c r="T217" s="11">
        <v>69.45</v>
      </c>
      <c r="U217" s="13">
        <v>-0.5131</v>
      </c>
      <c r="V217" s="13">
        <v>-6.4600000000000005E-2</v>
      </c>
      <c r="W217" s="10">
        <v>0</v>
      </c>
      <c r="X217" s="14">
        <v>0</v>
      </c>
      <c r="Y217" s="11">
        <v>-94.7</v>
      </c>
      <c r="Z217" s="14">
        <v>-5.0325762326357514E-3</v>
      </c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 t="s">
        <v>96</v>
      </c>
    </row>
    <row r="218" spans="1:48" ht="18" hidden="1" customHeight="1" x14ac:dyDescent="0.25">
      <c r="A218" s="4">
        <v>109</v>
      </c>
      <c r="B218" s="4">
        <v>1</v>
      </c>
      <c r="C218" s="4">
        <v>109</v>
      </c>
      <c r="D218" s="87">
        <v>45107</v>
      </c>
      <c r="E218" s="87">
        <v>45111</v>
      </c>
      <c r="F218" s="87">
        <v>45113</v>
      </c>
      <c r="G218" s="5">
        <v>19189.05</v>
      </c>
      <c r="H218" s="4">
        <v>19389</v>
      </c>
      <c r="I218" s="5">
        <v>199.95</v>
      </c>
      <c r="J218" s="6">
        <v>1.042000515919235E-2</v>
      </c>
      <c r="K218" s="90"/>
      <c r="L218" s="90"/>
      <c r="M218" s="7" t="s">
        <v>28</v>
      </c>
      <c r="N218" s="4">
        <v>19200</v>
      </c>
      <c r="O218" s="94"/>
      <c r="P218" s="94"/>
      <c r="Q218" s="7" t="s">
        <v>89</v>
      </c>
      <c r="R218" s="4">
        <v>65</v>
      </c>
      <c r="S218" s="5">
        <v>73.400000000000006</v>
      </c>
      <c r="T218" s="4">
        <v>200</v>
      </c>
      <c r="U218" s="8">
        <v>-0.89429999999999998</v>
      </c>
      <c r="V218" s="8">
        <v>-8.8900000000000007E-2</v>
      </c>
      <c r="W218" s="5">
        <v>-126.6</v>
      </c>
      <c r="X218" s="6">
        <v>-6.5975126439297409E-3</v>
      </c>
      <c r="Y218" s="4">
        <v>0</v>
      </c>
      <c r="Z218" s="6">
        <v>0</v>
      </c>
      <c r="AA218" s="5">
        <v>35754.35</v>
      </c>
      <c r="AB218" s="5">
        <v>35771.800000000003</v>
      </c>
      <c r="AC218" s="5">
        <v>17.45</v>
      </c>
      <c r="AD218" s="5">
        <v>4.8800000000000003E-2</v>
      </c>
      <c r="AE218" s="4">
        <v>4</v>
      </c>
      <c r="AF218" s="5">
        <v>-6.6667000000000004E-2</v>
      </c>
      <c r="AG218" s="5">
        <v>-6.3861999999999997</v>
      </c>
      <c r="AH218" s="5">
        <v>-1.7899999999999999E-2</v>
      </c>
      <c r="AI218" s="8">
        <v>-0.2198</v>
      </c>
      <c r="AJ218" s="8">
        <v>0.58309999999999995</v>
      </c>
      <c r="AK218" s="9">
        <v>-156.43620000000001</v>
      </c>
      <c r="AL218" s="9">
        <v>-0.79990000000000006</v>
      </c>
      <c r="AM218" s="5">
        <v>105.8968</v>
      </c>
      <c r="AN218" s="5">
        <v>108.3212</v>
      </c>
      <c r="AO218" s="5">
        <v>-2.4243999999999999</v>
      </c>
      <c r="AP218" s="5">
        <v>-2.2382</v>
      </c>
      <c r="AQ218" s="8">
        <v>-0.441</v>
      </c>
      <c r="AR218" s="8">
        <v>-0.3322</v>
      </c>
      <c r="AS218" s="8">
        <v>-0.79990000000000006</v>
      </c>
      <c r="AT218" s="5">
        <v>105.8968</v>
      </c>
      <c r="AU218" s="5">
        <v>-2.2382</v>
      </c>
      <c r="AV218" s="7" t="s">
        <v>101</v>
      </c>
    </row>
    <row r="219" spans="1:48" ht="18" customHeight="1" x14ac:dyDescent="0.25">
      <c r="A219" s="10">
        <v>109</v>
      </c>
      <c r="B219" s="10">
        <v>2</v>
      </c>
      <c r="C219" s="10">
        <v>109</v>
      </c>
      <c r="D219" s="88">
        <v>45107</v>
      </c>
      <c r="E219" s="88">
        <v>45111</v>
      </c>
      <c r="F219" s="88">
        <v>45134</v>
      </c>
      <c r="G219" s="11">
        <v>19189.05</v>
      </c>
      <c r="H219" s="10">
        <v>19389</v>
      </c>
      <c r="I219" s="12"/>
      <c r="J219" s="12"/>
      <c r="K219" s="92"/>
      <c r="L219" s="92"/>
      <c r="M219" s="12" t="s">
        <v>40</v>
      </c>
      <c r="N219" s="10">
        <v>18800</v>
      </c>
      <c r="O219" s="95">
        <f>IF(F219=F217,O217,MROUND(G219,100))</f>
        <v>18800</v>
      </c>
      <c r="P219" s="95">
        <f>O219-N219</f>
        <v>0</v>
      </c>
      <c r="Q219" s="12" t="s">
        <v>91</v>
      </c>
      <c r="R219" s="10">
        <v>65</v>
      </c>
      <c r="S219" s="11">
        <v>69.45</v>
      </c>
      <c r="T219" s="10">
        <v>46</v>
      </c>
      <c r="U219" s="13">
        <v>-0.1298</v>
      </c>
      <c r="V219" s="13">
        <v>-2.35E-2</v>
      </c>
      <c r="W219" s="10">
        <v>0</v>
      </c>
      <c r="X219" s="14">
        <v>0</v>
      </c>
      <c r="Y219" s="11">
        <v>-23.45</v>
      </c>
      <c r="Z219" s="14">
        <v>-1.2220511176947271E-3</v>
      </c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 t="s">
        <v>101</v>
      </c>
    </row>
    <row r="220" spans="1:48" ht="18" hidden="1" customHeight="1" x14ac:dyDescent="0.25">
      <c r="A220" s="4">
        <v>110</v>
      </c>
      <c r="B220" s="4">
        <v>1</v>
      </c>
      <c r="C220" s="4">
        <v>110</v>
      </c>
      <c r="D220" s="87">
        <v>45111</v>
      </c>
      <c r="E220" s="87">
        <v>45112</v>
      </c>
      <c r="F220" s="87">
        <v>45113</v>
      </c>
      <c r="G220" s="4">
        <v>19389</v>
      </c>
      <c r="H220" s="5">
        <v>19398.5</v>
      </c>
      <c r="I220" s="5">
        <v>9.5</v>
      </c>
      <c r="J220" s="6">
        <v>4.8996853886224153E-4</v>
      </c>
      <c r="K220" s="90"/>
      <c r="L220" s="90"/>
      <c r="M220" s="7" t="s">
        <v>28</v>
      </c>
      <c r="N220" s="4">
        <v>19400</v>
      </c>
      <c r="O220" s="94"/>
      <c r="P220" s="94"/>
      <c r="Q220" s="7" t="s">
        <v>89</v>
      </c>
      <c r="R220" s="4">
        <v>65</v>
      </c>
      <c r="S220" s="5">
        <v>52.05</v>
      </c>
      <c r="T220" s="5">
        <v>45.85</v>
      </c>
      <c r="U220" s="8">
        <v>-0.09</v>
      </c>
      <c r="V220" s="8">
        <v>0.1331</v>
      </c>
      <c r="W220" s="5">
        <v>6.2</v>
      </c>
      <c r="X220" s="6">
        <v>3.1976894115219969E-4</v>
      </c>
      <c r="Y220" s="4">
        <v>0</v>
      </c>
      <c r="Z220" s="6">
        <v>0</v>
      </c>
      <c r="AA220" s="5">
        <v>35771.800000000003</v>
      </c>
      <c r="AB220" s="5">
        <v>36024.65</v>
      </c>
      <c r="AC220" s="5">
        <v>252.85</v>
      </c>
      <c r="AD220" s="5">
        <v>0.70679999999999998</v>
      </c>
      <c r="AE220" s="4">
        <v>1</v>
      </c>
      <c r="AF220" s="5">
        <v>-1.6667000000000001E-2</v>
      </c>
      <c r="AG220" s="5">
        <v>246.88800000000001</v>
      </c>
      <c r="AH220" s="5">
        <v>0.69020000000000004</v>
      </c>
      <c r="AI220" s="8">
        <v>2.5499999999999998E-2</v>
      </c>
      <c r="AJ220" s="8">
        <v>0.7742</v>
      </c>
      <c r="AK220" s="15">
        <v>248.988</v>
      </c>
      <c r="AL220" s="15">
        <v>0.70099999999999996</v>
      </c>
      <c r="AM220" s="5">
        <v>106.6391</v>
      </c>
      <c r="AN220" s="5">
        <v>108.3212</v>
      </c>
      <c r="AO220" s="5">
        <v>-1.6820999999999999</v>
      </c>
      <c r="AP220" s="5">
        <v>-1.5528999999999999</v>
      </c>
      <c r="AQ220" s="8">
        <v>0.62260000000000004</v>
      </c>
      <c r="AR220" s="8">
        <v>0.26300000000000001</v>
      </c>
      <c r="AS220" s="8">
        <v>0.26300000000000001</v>
      </c>
      <c r="AT220" s="5">
        <v>106.17529999999999</v>
      </c>
      <c r="AU220" s="5">
        <v>-1.9811000000000001</v>
      </c>
      <c r="AV220" s="7" t="s">
        <v>90</v>
      </c>
    </row>
    <row r="221" spans="1:48" ht="18" customHeight="1" x14ac:dyDescent="0.25">
      <c r="A221" s="10">
        <v>110</v>
      </c>
      <c r="B221" s="10">
        <v>2</v>
      </c>
      <c r="C221" s="10">
        <v>110</v>
      </c>
      <c r="D221" s="88">
        <v>45111</v>
      </c>
      <c r="E221" s="88">
        <v>45112</v>
      </c>
      <c r="F221" s="88">
        <v>45134</v>
      </c>
      <c r="G221" s="10">
        <v>19389</v>
      </c>
      <c r="H221" s="11">
        <v>19398.5</v>
      </c>
      <c r="I221" s="12"/>
      <c r="J221" s="12"/>
      <c r="K221" s="92"/>
      <c r="L221" s="92"/>
      <c r="M221" s="12" t="s">
        <v>40</v>
      </c>
      <c r="N221" s="10">
        <v>19400</v>
      </c>
      <c r="O221" s="95">
        <f>IF(F221=F219,O219,MROUND(G221,100))</f>
        <v>18800</v>
      </c>
      <c r="P221" s="95">
        <f>O221-N221</f>
        <v>-600</v>
      </c>
      <c r="Q221" s="12" t="s">
        <v>91</v>
      </c>
      <c r="R221" s="10">
        <v>65</v>
      </c>
      <c r="S221" s="11">
        <v>176.7</v>
      </c>
      <c r="T221" s="11">
        <v>172.6</v>
      </c>
      <c r="U221" s="13">
        <v>-6.1600000000000002E-2</v>
      </c>
      <c r="V221" s="13">
        <v>0.10440000000000001</v>
      </c>
      <c r="W221" s="10">
        <v>0</v>
      </c>
      <c r="X221" s="14">
        <v>0</v>
      </c>
      <c r="Y221" s="11">
        <v>-4.0999999999999996</v>
      </c>
      <c r="Z221" s="14">
        <v>-2.114601062458095E-4</v>
      </c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 t="s">
        <v>90</v>
      </c>
    </row>
    <row r="222" spans="1:48" ht="18" hidden="1" customHeight="1" x14ac:dyDescent="0.25">
      <c r="A222" s="4">
        <v>111</v>
      </c>
      <c r="B222" s="4">
        <v>1</v>
      </c>
      <c r="C222" s="4">
        <v>111</v>
      </c>
      <c r="D222" s="87">
        <v>45112</v>
      </c>
      <c r="E222" s="87">
        <v>45119</v>
      </c>
      <c r="F222" s="87">
        <v>45120</v>
      </c>
      <c r="G222" s="5">
        <v>19398.5</v>
      </c>
      <c r="H222" s="5">
        <v>19384.3</v>
      </c>
      <c r="I222" s="5">
        <v>-14.2</v>
      </c>
      <c r="J222" s="6">
        <v>-7.3201536201252676E-4</v>
      </c>
      <c r="K222" s="90"/>
      <c r="L222" s="90"/>
      <c r="M222" s="7" t="s">
        <v>28</v>
      </c>
      <c r="N222" s="4">
        <v>19400</v>
      </c>
      <c r="O222" s="94"/>
      <c r="P222" s="94"/>
      <c r="Q222" s="7" t="s">
        <v>89</v>
      </c>
      <c r="R222" s="4">
        <v>65</v>
      </c>
      <c r="S222" s="5">
        <v>123.75</v>
      </c>
      <c r="T222" s="5">
        <v>52.4</v>
      </c>
      <c r="U222" s="8">
        <v>-0.2797</v>
      </c>
      <c r="V222" s="8">
        <v>0.40600000000000003</v>
      </c>
      <c r="W222" s="5">
        <v>71.349999999999994</v>
      </c>
      <c r="X222" s="6">
        <v>3.6781194422249139E-3</v>
      </c>
      <c r="Y222" s="4">
        <v>0</v>
      </c>
      <c r="Z222" s="6">
        <v>0</v>
      </c>
      <c r="AA222" s="5">
        <v>36024.65</v>
      </c>
      <c r="AB222" s="5">
        <v>36408.15</v>
      </c>
      <c r="AC222" s="5">
        <v>383.5</v>
      </c>
      <c r="AD222" s="5">
        <v>1.0645</v>
      </c>
      <c r="AE222" s="4">
        <v>7</v>
      </c>
      <c r="AF222" s="5">
        <v>-0.11666700000000001</v>
      </c>
      <c r="AG222" s="5">
        <v>341.47120000000001</v>
      </c>
      <c r="AH222" s="5">
        <v>0.94789999999999996</v>
      </c>
      <c r="AI222" s="8">
        <v>-0.61809999999999998</v>
      </c>
      <c r="AJ222" s="8">
        <v>1.0868</v>
      </c>
      <c r="AK222" s="15">
        <v>361.37119999999999</v>
      </c>
      <c r="AL222" s="15">
        <v>1.0505</v>
      </c>
      <c r="AM222" s="5">
        <v>107.7593</v>
      </c>
      <c r="AN222" s="5">
        <v>108.3212</v>
      </c>
      <c r="AO222" s="5">
        <v>-0.56179999999999997</v>
      </c>
      <c r="AP222" s="5">
        <v>-0.51870000000000005</v>
      </c>
      <c r="AQ222" s="8">
        <v>0.38129999999999997</v>
      </c>
      <c r="AR222" s="8">
        <v>-0.11</v>
      </c>
      <c r="AS222" s="8">
        <v>-0.11</v>
      </c>
      <c r="AT222" s="5">
        <v>106.5218</v>
      </c>
      <c r="AU222" s="5">
        <v>-1.6611</v>
      </c>
      <c r="AV222" s="7" t="s">
        <v>90</v>
      </c>
    </row>
    <row r="223" spans="1:48" ht="18" customHeight="1" x14ac:dyDescent="0.25">
      <c r="A223" s="10">
        <v>111</v>
      </c>
      <c r="B223" s="10">
        <v>2</v>
      </c>
      <c r="C223" s="10">
        <v>111</v>
      </c>
      <c r="D223" s="88">
        <v>45112</v>
      </c>
      <c r="E223" s="88">
        <v>45119</v>
      </c>
      <c r="F223" s="88">
        <v>45134</v>
      </c>
      <c r="G223" s="11">
        <v>19398.5</v>
      </c>
      <c r="H223" s="11">
        <v>19384.3</v>
      </c>
      <c r="I223" s="12"/>
      <c r="J223" s="12"/>
      <c r="K223" s="92"/>
      <c r="L223" s="92"/>
      <c r="M223" s="12" t="s">
        <v>40</v>
      </c>
      <c r="N223" s="10">
        <v>19400</v>
      </c>
      <c r="O223" s="95">
        <f>IF(F223=F221,O221,MROUND(G223,100))</f>
        <v>18800</v>
      </c>
      <c r="P223" s="95">
        <f>O223-N223</f>
        <v>-600</v>
      </c>
      <c r="Q223" s="12" t="s">
        <v>91</v>
      </c>
      <c r="R223" s="10">
        <v>65</v>
      </c>
      <c r="S223" s="11">
        <v>172.6</v>
      </c>
      <c r="T223" s="11">
        <v>121.15</v>
      </c>
      <c r="U223" s="13">
        <v>-0.42580000000000001</v>
      </c>
      <c r="V223" s="13">
        <v>0.1021</v>
      </c>
      <c r="W223" s="10">
        <v>0</v>
      </c>
      <c r="X223" s="14">
        <v>0</v>
      </c>
      <c r="Y223" s="11">
        <v>-51.45</v>
      </c>
      <c r="Z223" s="14">
        <v>-2.652266927855247E-3</v>
      </c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 t="s">
        <v>90</v>
      </c>
    </row>
    <row r="224" spans="1:48" ht="18" hidden="1" customHeight="1" x14ac:dyDescent="0.25">
      <c r="A224" s="4">
        <v>112</v>
      </c>
      <c r="B224" s="4">
        <v>1</v>
      </c>
      <c r="C224" s="4">
        <v>112</v>
      </c>
      <c r="D224" s="87">
        <v>45119</v>
      </c>
      <c r="E224" s="87">
        <v>45124</v>
      </c>
      <c r="F224" s="87">
        <v>45127</v>
      </c>
      <c r="G224" s="5">
        <v>19384.3</v>
      </c>
      <c r="H224" s="5">
        <v>19711.45</v>
      </c>
      <c r="I224" s="5">
        <v>327.14999999999998</v>
      </c>
      <c r="J224" s="6">
        <v>1.6877060301377918E-2</v>
      </c>
      <c r="K224" s="90"/>
      <c r="L224" s="90"/>
      <c r="M224" s="7" t="s">
        <v>28</v>
      </c>
      <c r="N224" s="4">
        <v>19400</v>
      </c>
      <c r="O224" s="94"/>
      <c r="P224" s="94"/>
      <c r="Q224" s="7" t="s">
        <v>89</v>
      </c>
      <c r="R224" s="4">
        <v>65</v>
      </c>
      <c r="S224" s="5">
        <v>124.1</v>
      </c>
      <c r="T224" s="5">
        <v>318.35000000000002</v>
      </c>
      <c r="U224" s="8">
        <v>-1.0888</v>
      </c>
      <c r="V224" s="8">
        <v>9.2299999999999993E-2</v>
      </c>
      <c r="W224" s="5">
        <v>-194.25</v>
      </c>
      <c r="X224" s="6">
        <v>-1.0020996373353691E-2</v>
      </c>
      <c r="Y224" s="4">
        <v>0</v>
      </c>
      <c r="Z224" s="6">
        <v>0</v>
      </c>
      <c r="AA224" s="5">
        <v>36408.15</v>
      </c>
      <c r="AB224" s="5">
        <v>36641.25</v>
      </c>
      <c r="AC224" s="5">
        <v>233.1</v>
      </c>
      <c r="AD224" s="5">
        <v>0.64019999999999999</v>
      </c>
      <c r="AE224" s="4">
        <v>5</v>
      </c>
      <c r="AF224" s="5">
        <v>-8.3333000000000004E-2</v>
      </c>
      <c r="AG224" s="5">
        <v>202.75989999999999</v>
      </c>
      <c r="AH224" s="5">
        <v>0.55689999999999995</v>
      </c>
      <c r="AI224" s="8">
        <v>-1.1231</v>
      </c>
      <c r="AJ224" s="8">
        <v>0.9002</v>
      </c>
      <c r="AK224" s="9">
        <v>-72.240099999999998</v>
      </c>
      <c r="AL224" s="9">
        <v>-0.86180000000000001</v>
      </c>
      <c r="AM224" s="5">
        <v>106.83069999999999</v>
      </c>
      <c r="AN224" s="5">
        <v>108.3212</v>
      </c>
      <c r="AO224" s="5">
        <v>-1.4904999999999999</v>
      </c>
      <c r="AP224" s="5">
        <v>-1.3759999999999999</v>
      </c>
      <c r="AQ224" s="8">
        <v>-0.61570000000000003</v>
      </c>
      <c r="AR224" s="8">
        <v>-1.0538000000000001</v>
      </c>
      <c r="AS224" s="8">
        <v>-1.0538000000000001</v>
      </c>
      <c r="AT224" s="5">
        <v>106.6238</v>
      </c>
      <c r="AU224" s="5">
        <v>-1.5669999999999999</v>
      </c>
      <c r="AV224" s="7" t="s">
        <v>96</v>
      </c>
    </row>
    <row r="225" spans="1:48" ht="18" customHeight="1" x14ac:dyDescent="0.25">
      <c r="A225" s="10">
        <v>112</v>
      </c>
      <c r="B225" s="10">
        <v>2</v>
      </c>
      <c r="C225" s="10">
        <v>112</v>
      </c>
      <c r="D225" s="88">
        <v>45119</v>
      </c>
      <c r="E225" s="88">
        <v>45124</v>
      </c>
      <c r="F225" s="88">
        <v>45134</v>
      </c>
      <c r="G225" s="11">
        <v>19384.3</v>
      </c>
      <c r="H225" s="11">
        <v>19711.45</v>
      </c>
      <c r="I225" s="12"/>
      <c r="J225" s="12"/>
      <c r="K225" s="92"/>
      <c r="L225" s="92"/>
      <c r="M225" s="12" t="s">
        <v>40</v>
      </c>
      <c r="N225" s="10">
        <v>19400</v>
      </c>
      <c r="O225" s="95">
        <f>IF(F225=F223,O223,MROUND(G225,100))</f>
        <v>18800</v>
      </c>
      <c r="P225" s="95">
        <f>O225-N225</f>
        <v>-600</v>
      </c>
      <c r="Q225" s="12" t="s">
        <v>91</v>
      </c>
      <c r="R225" s="10">
        <v>65</v>
      </c>
      <c r="S225" s="11">
        <v>121.15</v>
      </c>
      <c r="T225" s="11">
        <v>40.4</v>
      </c>
      <c r="U225" s="13">
        <v>-0.42709999999999998</v>
      </c>
      <c r="V225" s="13">
        <v>-2.3E-2</v>
      </c>
      <c r="W225" s="10">
        <v>0</v>
      </c>
      <c r="X225" s="14">
        <v>0</v>
      </c>
      <c r="Y225" s="11">
        <v>-80.75</v>
      </c>
      <c r="Z225" s="14">
        <v>-4.1657423791418829E-3</v>
      </c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 t="s">
        <v>96</v>
      </c>
    </row>
    <row r="226" spans="1:48" ht="18" hidden="1" customHeight="1" x14ac:dyDescent="0.25">
      <c r="A226" s="4">
        <v>113</v>
      </c>
      <c r="B226" s="4">
        <v>1</v>
      </c>
      <c r="C226" s="4">
        <v>113</v>
      </c>
      <c r="D226" s="87">
        <v>45124</v>
      </c>
      <c r="E226" s="87">
        <v>45126</v>
      </c>
      <c r="F226" s="87">
        <v>45127</v>
      </c>
      <c r="G226" s="5">
        <v>19711.45</v>
      </c>
      <c r="H226" s="5">
        <v>19833.150000000001</v>
      </c>
      <c r="I226" s="5">
        <v>121.7</v>
      </c>
      <c r="J226" s="6">
        <v>6.1740764885383874E-3</v>
      </c>
      <c r="K226" s="90"/>
      <c r="L226" s="90"/>
      <c r="M226" s="7" t="s">
        <v>28</v>
      </c>
      <c r="N226" s="4">
        <v>19700</v>
      </c>
      <c r="O226" s="94"/>
      <c r="P226" s="94"/>
      <c r="Q226" s="7" t="s">
        <v>89</v>
      </c>
      <c r="R226" s="4">
        <v>65</v>
      </c>
      <c r="S226" s="5">
        <v>77.099999999999994</v>
      </c>
      <c r="T226" s="5">
        <v>141.6</v>
      </c>
      <c r="U226" s="8">
        <v>-0.44390000000000002</v>
      </c>
      <c r="V226" s="8">
        <v>-3.5999999999999999E-3</v>
      </c>
      <c r="W226" s="5">
        <v>-64.5</v>
      </c>
      <c r="X226" s="6">
        <v>-3.2722098069903529E-3</v>
      </c>
      <c r="Y226" s="4">
        <v>0</v>
      </c>
      <c r="Z226" s="6">
        <v>0</v>
      </c>
      <c r="AA226" s="5">
        <v>36641.25</v>
      </c>
      <c r="AB226" s="4">
        <v>36839</v>
      </c>
      <c r="AC226" s="5">
        <v>197.75</v>
      </c>
      <c r="AD226" s="5">
        <v>0.53969999999999996</v>
      </c>
      <c r="AE226" s="4">
        <v>2</v>
      </c>
      <c r="AF226" s="5">
        <v>-3.3333000000000002E-2</v>
      </c>
      <c r="AG226" s="5">
        <v>185.53630000000001</v>
      </c>
      <c r="AH226" s="5">
        <v>0.50639999999999996</v>
      </c>
      <c r="AI226" s="8">
        <v>-0.64810000000000001</v>
      </c>
      <c r="AJ226" s="8">
        <v>0.56399999999999995</v>
      </c>
      <c r="AK226" s="15">
        <v>97.836200000000005</v>
      </c>
      <c r="AL226" s="15">
        <v>6.1499999999999999E-2</v>
      </c>
      <c r="AM226" s="5">
        <v>106.8964</v>
      </c>
      <c r="AN226" s="5">
        <v>108.3212</v>
      </c>
      <c r="AO226" s="5">
        <v>-1.4248000000000001</v>
      </c>
      <c r="AP226" s="5">
        <v>-1.3152999999999999</v>
      </c>
      <c r="AQ226" s="8">
        <v>-1.9E-3</v>
      </c>
      <c r="AR226" s="8">
        <v>-0.63139999999999996</v>
      </c>
      <c r="AS226" s="8">
        <v>-0.63139999999999996</v>
      </c>
      <c r="AT226" s="5">
        <v>106.1561</v>
      </c>
      <c r="AU226" s="5">
        <v>-1.9986999999999999</v>
      </c>
      <c r="AV226" s="7" t="s">
        <v>90</v>
      </c>
    </row>
    <row r="227" spans="1:48" ht="18" customHeight="1" x14ac:dyDescent="0.25">
      <c r="A227" s="10">
        <v>113</v>
      </c>
      <c r="B227" s="10">
        <v>2</v>
      </c>
      <c r="C227" s="10">
        <v>113</v>
      </c>
      <c r="D227" s="88">
        <v>45124</v>
      </c>
      <c r="E227" s="88">
        <v>45126</v>
      </c>
      <c r="F227" s="88">
        <v>45134</v>
      </c>
      <c r="G227" s="11">
        <v>19711.45</v>
      </c>
      <c r="H227" s="11">
        <v>19833.150000000001</v>
      </c>
      <c r="I227" s="12"/>
      <c r="J227" s="12"/>
      <c r="K227" s="92"/>
      <c r="L227" s="92"/>
      <c r="M227" s="12" t="s">
        <v>40</v>
      </c>
      <c r="N227" s="10">
        <v>19400</v>
      </c>
      <c r="O227" s="95">
        <f>IF(F227=F225,O225,MROUND(G227,100))</f>
        <v>18800</v>
      </c>
      <c r="P227" s="95">
        <f>O227-N227</f>
        <v>-600</v>
      </c>
      <c r="Q227" s="12" t="s">
        <v>91</v>
      </c>
      <c r="R227" s="10">
        <v>65</v>
      </c>
      <c r="S227" s="11">
        <v>40.4</v>
      </c>
      <c r="T227" s="11">
        <v>17.2</v>
      </c>
      <c r="U227" s="13">
        <v>-0.122</v>
      </c>
      <c r="V227" s="13">
        <v>2.0299999999999999E-2</v>
      </c>
      <c r="W227" s="10">
        <v>0</v>
      </c>
      <c r="X227" s="14">
        <v>0</v>
      </c>
      <c r="Y227" s="11">
        <v>-23.2</v>
      </c>
      <c r="Z227" s="14">
        <v>-1.176980891816685E-3</v>
      </c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 t="s">
        <v>90</v>
      </c>
    </row>
    <row r="228" spans="1:48" ht="18" hidden="1" customHeight="1" x14ac:dyDescent="0.25">
      <c r="A228" s="4">
        <v>114</v>
      </c>
      <c r="B228" s="4">
        <v>1</v>
      </c>
      <c r="C228" s="4">
        <v>114</v>
      </c>
      <c r="D228" s="87">
        <v>45126</v>
      </c>
      <c r="E228" s="87">
        <v>45127</v>
      </c>
      <c r="F228" s="87">
        <v>45134</v>
      </c>
      <c r="G228" s="5">
        <v>19833.150000000001</v>
      </c>
      <c r="H228" s="5">
        <v>19979.150000000001</v>
      </c>
      <c r="I228" s="4">
        <v>146</v>
      </c>
      <c r="J228" s="6">
        <v>7.3614125844860736E-3</v>
      </c>
      <c r="K228" s="90"/>
      <c r="L228" s="90"/>
      <c r="M228" s="7" t="s">
        <v>28</v>
      </c>
      <c r="N228" s="4">
        <v>19800</v>
      </c>
      <c r="O228" s="94"/>
      <c r="P228" s="94"/>
      <c r="Q228" s="7" t="s">
        <v>89</v>
      </c>
      <c r="R228" s="4">
        <v>65</v>
      </c>
      <c r="S228" s="5">
        <v>141.44999999999999</v>
      </c>
      <c r="T228" s="5">
        <v>222.2</v>
      </c>
      <c r="U228" s="8">
        <v>-0.44850000000000001</v>
      </c>
      <c r="V228" s="8">
        <v>0.1389</v>
      </c>
      <c r="W228" s="5">
        <v>-80.75</v>
      </c>
      <c r="X228" s="6">
        <v>-4.0714662068304826E-3</v>
      </c>
      <c r="Y228" s="4">
        <v>0</v>
      </c>
      <c r="Z228" s="6">
        <v>0</v>
      </c>
      <c r="AA228" s="4">
        <v>36839</v>
      </c>
      <c r="AB228" s="5">
        <v>36931.699999999997</v>
      </c>
      <c r="AC228" s="5">
        <v>92.7</v>
      </c>
      <c r="AD228" s="5">
        <v>0.25159999999999999</v>
      </c>
      <c r="AE228" s="4">
        <v>1</v>
      </c>
      <c r="AF228" s="5">
        <v>-1.6667000000000001E-2</v>
      </c>
      <c r="AG228" s="5">
        <v>86.560199999999995</v>
      </c>
      <c r="AH228" s="5">
        <v>0.23499999999999999</v>
      </c>
      <c r="AI228" s="8">
        <v>5.0099999999999999E-2</v>
      </c>
      <c r="AJ228" s="8">
        <v>0.32800000000000001</v>
      </c>
      <c r="AK228" s="15">
        <v>0.76019999999999999</v>
      </c>
      <c r="AL228" s="15">
        <v>-0.1976</v>
      </c>
      <c r="AM228" s="5">
        <v>106.68519999999999</v>
      </c>
      <c r="AN228" s="5">
        <v>108.3212</v>
      </c>
      <c r="AO228" s="5">
        <v>-1.6359999999999999</v>
      </c>
      <c r="AP228" s="5">
        <v>-1.5103</v>
      </c>
      <c r="AQ228" s="8">
        <v>-0.15659999999999999</v>
      </c>
      <c r="AR228" s="8">
        <v>0.2029</v>
      </c>
      <c r="AS228" s="8">
        <v>-0.1976</v>
      </c>
      <c r="AT228" s="5">
        <v>106.68519999999999</v>
      </c>
      <c r="AU228" s="5">
        <v>-1.5103</v>
      </c>
      <c r="AV228" s="7" t="s">
        <v>100</v>
      </c>
    </row>
    <row r="229" spans="1:48" ht="18" customHeight="1" x14ac:dyDescent="0.25">
      <c r="A229" s="10">
        <v>114</v>
      </c>
      <c r="B229" s="10">
        <v>2</v>
      </c>
      <c r="C229" s="10">
        <v>114</v>
      </c>
      <c r="D229" s="88">
        <v>45126</v>
      </c>
      <c r="E229" s="88">
        <v>45127</v>
      </c>
      <c r="F229" s="88">
        <v>45134</v>
      </c>
      <c r="G229" s="11">
        <v>19833.150000000001</v>
      </c>
      <c r="H229" s="11">
        <v>19979.150000000001</v>
      </c>
      <c r="I229" s="12"/>
      <c r="J229" s="12"/>
      <c r="K229" s="92"/>
      <c r="L229" s="92"/>
      <c r="M229" s="12" t="s">
        <v>40</v>
      </c>
      <c r="N229" s="10">
        <v>19400</v>
      </c>
      <c r="O229" s="95">
        <f>IF(F229=F227,O227,MROUND(G229,100))</f>
        <v>18800</v>
      </c>
      <c r="P229" s="95">
        <f>O229-N229</f>
        <v>-600</v>
      </c>
      <c r="Q229" s="12" t="s">
        <v>91</v>
      </c>
      <c r="R229" s="10">
        <v>65</v>
      </c>
      <c r="S229" s="11">
        <v>17.2</v>
      </c>
      <c r="T229" s="11">
        <v>12.15</v>
      </c>
      <c r="U229" s="13">
        <v>-3.61E-2</v>
      </c>
      <c r="V229" s="13">
        <v>1.3899999999999999E-2</v>
      </c>
      <c r="W229" s="10">
        <v>0</v>
      </c>
      <c r="X229" s="14">
        <v>0</v>
      </c>
      <c r="Y229" s="11">
        <v>-5.05</v>
      </c>
      <c r="Z229" s="14">
        <v>-2.5462420240859369E-4</v>
      </c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 t="s">
        <v>100</v>
      </c>
    </row>
    <row r="230" spans="1:48" ht="18" hidden="1" customHeight="1" x14ac:dyDescent="0.25">
      <c r="A230" s="4">
        <v>115</v>
      </c>
      <c r="B230" s="4">
        <v>1</v>
      </c>
      <c r="C230" s="4">
        <v>115</v>
      </c>
      <c r="D230" s="87">
        <v>45127</v>
      </c>
      <c r="E230" s="87">
        <v>45128</v>
      </c>
      <c r="F230" s="87">
        <v>45134</v>
      </c>
      <c r="G230" s="5">
        <v>19979.150000000001</v>
      </c>
      <c r="H230" s="4">
        <v>19745</v>
      </c>
      <c r="I230" s="5">
        <v>-234.15</v>
      </c>
      <c r="J230" s="6">
        <v>-1.171971780581256E-2</v>
      </c>
      <c r="K230" s="90"/>
      <c r="L230" s="90"/>
      <c r="M230" s="7" t="s">
        <v>28</v>
      </c>
      <c r="N230" s="4">
        <v>20000</v>
      </c>
      <c r="O230" s="94"/>
      <c r="P230" s="94"/>
      <c r="Q230" s="7" t="s">
        <v>89</v>
      </c>
      <c r="R230" s="4">
        <v>65</v>
      </c>
      <c r="S230" s="5">
        <v>100.3</v>
      </c>
      <c r="T230" s="5">
        <v>34.4</v>
      </c>
      <c r="U230" s="8">
        <v>0.1472</v>
      </c>
      <c r="V230" s="8">
        <v>0.37309999999999999</v>
      </c>
      <c r="W230" s="5">
        <v>65.900000000000006</v>
      </c>
      <c r="X230" s="6">
        <v>3.2984386222637101E-3</v>
      </c>
      <c r="Y230" s="4">
        <v>0</v>
      </c>
      <c r="Z230" s="6">
        <v>0</v>
      </c>
      <c r="AA230" s="5">
        <v>36931.699999999997</v>
      </c>
      <c r="AB230" s="5">
        <v>36799.5</v>
      </c>
      <c r="AC230" s="5">
        <v>-132.19999999999999</v>
      </c>
      <c r="AD230" s="5">
        <v>-0.35799999999999998</v>
      </c>
      <c r="AE230" s="4">
        <v>1</v>
      </c>
      <c r="AF230" s="5">
        <v>-1.6667000000000001E-2</v>
      </c>
      <c r="AG230" s="5">
        <v>-138.3553</v>
      </c>
      <c r="AH230" s="5">
        <v>-0.37459999999999999</v>
      </c>
      <c r="AI230" s="8">
        <v>-0.503</v>
      </c>
      <c r="AJ230" s="8">
        <v>-0.13980000000000001</v>
      </c>
      <c r="AK230" s="15">
        <v>53.744700000000002</v>
      </c>
      <c r="AL230" s="15">
        <v>0.58689999999999998</v>
      </c>
      <c r="AM230" s="5">
        <v>107.3113</v>
      </c>
      <c r="AN230" s="5">
        <v>108.3212</v>
      </c>
      <c r="AO230" s="5">
        <v>-1.0099</v>
      </c>
      <c r="AP230" s="5">
        <v>-0.93230000000000002</v>
      </c>
      <c r="AQ230" s="8">
        <v>0.109</v>
      </c>
      <c r="AR230" s="8">
        <v>0.70369999999999999</v>
      </c>
      <c r="AS230" s="8">
        <v>0.109</v>
      </c>
      <c r="AT230" s="5">
        <v>106.8014</v>
      </c>
      <c r="AU230" s="5">
        <v>-1.403</v>
      </c>
      <c r="AV230" s="7" t="s">
        <v>93</v>
      </c>
    </row>
    <row r="231" spans="1:48" ht="18" customHeight="1" x14ac:dyDescent="0.25">
      <c r="A231" s="10">
        <v>115</v>
      </c>
      <c r="B231" s="10">
        <v>2</v>
      </c>
      <c r="C231" s="10">
        <v>115</v>
      </c>
      <c r="D231" s="88">
        <v>45127</v>
      </c>
      <c r="E231" s="88">
        <v>45128</v>
      </c>
      <c r="F231" s="88">
        <v>45134</v>
      </c>
      <c r="G231" s="11">
        <v>19979.150000000001</v>
      </c>
      <c r="H231" s="10">
        <v>19745</v>
      </c>
      <c r="I231" s="12"/>
      <c r="J231" s="12"/>
      <c r="K231" s="92"/>
      <c r="L231" s="92"/>
      <c r="M231" s="12" t="s">
        <v>40</v>
      </c>
      <c r="N231" s="10">
        <v>20000</v>
      </c>
      <c r="O231" s="95">
        <f>IF(F231=F229,O229,MROUND(G231,100))</f>
        <v>18800</v>
      </c>
      <c r="P231" s="95">
        <f>O231-N231</f>
        <v>-1200</v>
      </c>
      <c r="Q231" s="12" t="s">
        <v>91</v>
      </c>
      <c r="R231" s="10">
        <v>65</v>
      </c>
      <c r="S231" s="11">
        <v>129.69999999999999</v>
      </c>
      <c r="T231" s="11">
        <v>255.9</v>
      </c>
      <c r="U231" s="13">
        <v>0.1016</v>
      </c>
      <c r="V231" s="13">
        <v>0.83360000000000001</v>
      </c>
      <c r="W231" s="10">
        <v>0</v>
      </c>
      <c r="X231" s="14">
        <v>0</v>
      </c>
      <c r="Y231" s="11">
        <v>126.2</v>
      </c>
      <c r="Z231" s="14">
        <v>6.3165850399041004E-3</v>
      </c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 t="s">
        <v>93</v>
      </c>
    </row>
    <row r="232" spans="1:48" ht="18" hidden="1" customHeight="1" x14ac:dyDescent="0.25">
      <c r="A232" s="4">
        <v>116</v>
      </c>
      <c r="B232" s="4">
        <v>1</v>
      </c>
      <c r="C232" s="4">
        <v>116</v>
      </c>
      <c r="D232" s="87">
        <v>45128</v>
      </c>
      <c r="E232" s="87">
        <v>45133</v>
      </c>
      <c r="F232" s="87">
        <v>45134</v>
      </c>
      <c r="G232" s="4">
        <v>19745</v>
      </c>
      <c r="H232" s="5">
        <v>19778.3</v>
      </c>
      <c r="I232" s="5">
        <v>33.299999999999997</v>
      </c>
      <c r="J232" s="6">
        <v>1.6865029121296529E-3</v>
      </c>
      <c r="K232" s="90"/>
      <c r="L232" s="90"/>
      <c r="M232" s="7" t="s">
        <v>28</v>
      </c>
      <c r="N232" s="4">
        <v>19700</v>
      </c>
      <c r="O232" s="94"/>
      <c r="P232" s="94"/>
      <c r="Q232" s="7" t="s">
        <v>89</v>
      </c>
      <c r="R232" s="4">
        <v>65</v>
      </c>
      <c r="S232" s="5">
        <v>149.65</v>
      </c>
      <c r="T232" s="5">
        <v>99.25</v>
      </c>
      <c r="U232" s="8">
        <v>-9.3200000000000005E-2</v>
      </c>
      <c r="V232" s="8">
        <v>0.5151</v>
      </c>
      <c r="W232" s="5">
        <v>50.4</v>
      </c>
      <c r="X232" s="6">
        <v>2.552544948088124E-3</v>
      </c>
      <c r="Y232" s="4">
        <v>0</v>
      </c>
      <c r="Z232" s="6">
        <v>0</v>
      </c>
      <c r="AA232" s="5">
        <v>36799.5</v>
      </c>
      <c r="AB232" s="5">
        <v>37050.1</v>
      </c>
      <c r="AC232" s="5">
        <v>250.6</v>
      </c>
      <c r="AD232" s="5">
        <v>0.68100000000000005</v>
      </c>
      <c r="AE232" s="4">
        <v>5</v>
      </c>
      <c r="AF232" s="5">
        <v>-8.3333000000000004E-2</v>
      </c>
      <c r="AG232" s="5">
        <v>219.93369999999999</v>
      </c>
      <c r="AH232" s="5">
        <v>0.59770000000000001</v>
      </c>
      <c r="AI232" s="8">
        <v>-0.45829999999999999</v>
      </c>
      <c r="AJ232" s="8">
        <v>0.78120000000000001</v>
      </c>
      <c r="AK232" s="15">
        <v>245.53370000000001</v>
      </c>
      <c r="AL232" s="15">
        <v>0.72740000000000005</v>
      </c>
      <c r="AM232" s="5">
        <v>108.0919</v>
      </c>
      <c r="AN232" s="5">
        <v>108.3212</v>
      </c>
      <c r="AO232" s="5">
        <v>-0.2293</v>
      </c>
      <c r="AP232" s="5">
        <v>-0.2117</v>
      </c>
      <c r="AQ232" s="8">
        <v>0.315</v>
      </c>
      <c r="AR232" s="8">
        <v>0.65669999999999995</v>
      </c>
      <c r="AS232" s="8">
        <v>0.315</v>
      </c>
      <c r="AT232" s="5">
        <v>107.6493</v>
      </c>
      <c r="AU232" s="5">
        <v>-0.62019999999999997</v>
      </c>
      <c r="AV232" s="7" t="s">
        <v>90</v>
      </c>
    </row>
    <row r="233" spans="1:48" ht="18" customHeight="1" x14ac:dyDescent="0.25">
      <c r="A233" s="10">
        <v>116</v>
      </c>
      <c r="B233" s="10">
        <v>2</v>
      </c>
      <c r="C233" s="10">
        <v>116</v>
      </c>
      <c r="D233" s="88">
        <v>45128</v>
      </c>
      <c r="E233" s="88">
        <v>45133</v>
      </c>
      <c r="F233" s="88">
        <v>45134</v>
      </c>
      <c r="G233" s="10">
        <v>19745</v>
      </c>
      <c r="H233" s="11">
        <v>19778.3</v>
      </c>
      <c r="I233" s="12"/>
      <c r="J233" s="12"/>
      <c r="K233" s="92"/>
      <c r="L233" s="92"/>
      <c r="M233" s="12" t="s">
        <v>40</v>
      </c>
      <c r="N233" s="10">
        <v>20000</v>
      </c>
      <c r="O233" s="95">
        <f>IF(F233=F231,O231,MROUND(G233,100))</f>
        <v>18800</v>
      </c>
      <c r="P233" s="95">
        <f>O233-N233</f>
        <v>-1200</v>
      </c>
      <c r="Q233" s="12" t="s">
        <v>91</v>
      </c>
      <c r="R233" s="10">
        <v>65</v>
      </c>
      <c r="S233" s="11">
        <v>255.9</v>
      </c>
      <c r="T233" s="11">
        <v>231.1</v>
      </c>
      <c r="U233" s="13">
        <v>-0.373</v>
      </c>
      <c r="V233" s="13">
        <v>0.59989999999999999</v>
      </c>
      <c r="W233" s="10">
        <v>0</v>
      </c>
      <c r="X233" s="14">
        <v>0</v>
      </c>
      <c r="Y233" s="11">
        <v>-24.8</v>
      </c>
      <c r="Z233" s="14">
        <v>-1.256014180805267E-3</v>
      </c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 t="s">
        <v>90</v>
      </c>
    </row>
    <row r="234" spans="1:48" ht="18" hidden="1" customHeight="1" x14ac:dyDescent="0.25">
      <c r="A234" s="4">
        <v>117</v>
      </c>
      <c r="B234" s="4">
        <v>1</v>
      </c>
      <c r="C234" s="4">
        <v>117</v>
      </c>
      <c r="D234" s="87">
        <v>45133</v>
      </c>
      <c r="E234" s="87">
        <v>45140</v>
      </c>
      <c r="F234" s="87">
        <v>45141</v>
      </c>
      <c r="G234" s="5">
        <v>19778.3</v>
      </c>
      <c r="H234" s="5">
        <v>19526.55</v>
      </c>
      <c r="I234" s="5">
        <v>-251.75</v>
      </c>
      <c r="J234" s="6">
        <v>-1.27285964921151E-2</v>
      </c>
      <c r="K234" s="90"/>
      <c r="L234" s="90"/>
      <c r="M234" s="7" t="s">
        <v>28</v>
      </c>
      <c r="N234" s="4">
        <v>19800</v>
      </c>
      <c r="O234" s="94"/>
      <c r="P234" s="94"/>
      <c r="Q234" s="7" t="s">
        <v>89</v>
      </c>
      <c r="R234" s="4">
        <v>65</v>
      </c>
      <c r="S234" s="5">
        <v>127.2</v>
      </c>
      <c r="T234" s="5">
        <v>3.5</v>
      </c>
      <c r="U234" s="8">
        <v>-0.26319999999999999</v>
      </c>
      <c r="V234" s="8">
        <v>0.628</v>
      </c>
      <c r="W234" s="5">
        <v>123.7</v>
      </c>
      <c r="X234" s="6">
        <v>6.2543292396212017E-3</v>
      </c>
      <c r="Y234" s="4">
        <v>0</v>
      </c>
      <c r="Z234" s="6">
        <v>0</v>
      </c>
      <c r="AA234" s="5">
        <v>37050.1</v>
      </c>
      <c r="AB234" s="5">
        <v>37232.699999999997</v>
      </c>
      <c r="AC234" s="5">
        <v>182.6</v>
      </c>
      <c r="AD234" s="5">
        <v>0.49280000000000002</v>
      </c>
      <c r="AE234" s="4">
        <v>7</v>
      </c>
      <c r="AF234" s="5">
        <v>-0.11666700000000001</v>
      </c>
      <c r="AG234" s="5">
        <v>139.3749</v>
      </c>
      <c r="AH234" s="5">
        <v>0.37619999999999998</v>
      </c>
      <c r="AI234" s="8">
        <v>-0.59130000000000005</v>
      </c>
      <c r="AJ234" s="8">
        <v>2.1497999999999999</v>
      </c>
      <c r="AK234" s="15">
        <v>374.92489999999998</v>
      </c>
      <c r="AL234" s="15">
        <v>1.5671999999999999</v>
      </c>
      <c r="AM234" s="5">
        <v>109.7859</v>
      </c>
      <c r="AN234" s="5">
        <v>109.7859</v>
      </c>
      <c r="AO234" s="4">
        <v>0</v>
      </c>
      <c r="AP234" s="4">
        <v>0</v>
      </c>
      <c r="AQ234" s="8">
        <v>1.6813</v>
      </c>
      <c r="AR234" s="8">
        <v>0.92149999999999999</v>
      </c>
      <c r="AS234" s="8">
        <v>0.92149999999999999</v>
      </c>
      <c r="AT234" s="5">
        <v>109.0879</v>
      </c>
      <c r="AU234" s="5">
        <v>0.70789999999999997</v>
      </c>
      <c r="AV234" s="7" t="s">
        <v>97</v>
      </c>
    </row>
    <row r="235" spans="1:48" ht="18" customHeight="1" x14ac:dyDescent="0.25">
      <c r="A235" s="10">
        <v>117</v>
      </c>
      <c r="B235" s="10">
        <v>2</v>
      </c>
      <c r="C235" s="10">
        <v>117</v>
      </c>
      <c r="D235" s="88">
        <v>45133</v>
      </c>
      <c r="E235" s="88">
        <v>45140</v>
      </c>
      <c r="F235" s="88">
        <v>45169</v>
      </c>
      <c r="G235" s="11">
        <v>19778.3</v>
      </c>
      <c r="H235" s="11">
        <v>19526.55</v>
      </c>
      <c r="I235" s="12"/>
      <c r="J235" s="12"/>
      <c r="K235" s="92"/>
      <c r="L235" s="92"/>
      <c r="M235" s="12" t="s">
        <v>40</v>
      </c>
      <c r="N235" s="10">
        <v>19800</v>
      </c>
      <c r="O235" s="95">
        <f>IF(F235=F233,O233,MROUND(G235,100))</f>
        <v>19800</v>
      </c>
      <c r="P235" s="95">
        <f>O235-N235</f>
        <v>0</v>
      </c>
      <c r="Q235" s="12" t="s">
        <v>91</v>
      </c>
      <c r="R235" s="10">
        <v>65</v>
      </c>
      <c r="S235" s="11">
        <v>221.6</v>
      </c>
      <c r="T235" s="11">
        <v>333.45</v>
      </c>
      <c r="U235" s="13">
        <v>-0.20530000000000001</v>
      </c>
      <c r="V235" s="13">
        <v>0.88480000000000003</v>
      </c>
      <c r="W235" s="10">
        <v>0</v>
      </c>
      <c r="X235" s="14">
        <v>0</v>
      </c>
      <c r="Y235" s="11">
        <v>111.85</v>
      </c>
      <c r="Z235" s="14">
        <v>5.6551877562783454E-3</v>
      </c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 t="s">
        <v>97</v>
      </c>
    </row>
    <row r="236" spans="1:48" ht="18" hidden="1" customHeight="1" x14ac:dyDescent="0.25">
      <c r="A236" s="4">
        <v>118</v>
      </c>
      <c r="B236" s="4">
        <v>1</v>
      </c>
      <c r="C236" s="4">
        <v>118</v>
      </c>
      <c r="D236" s="87">
        <v>45140</v>
      </c>
      <c r="E236" s="87">
        <v>45147</v>
      </c>
      <c r="F236" s="87">
        <v>45148</v>
      </c>
      <c r="G236" s="5">
        <v>19526.55</v>
      </c>
      <c r="H236" s="5">
        <v>19632.55</v>
      </c>
      <c r="I236" s="4">
        <v>106</v>
      </c>
      <c r="J236" s="6">
        <v>5.428506315759825E-3</v>
      </c>
      <c r="K236" s="90"/>
      <c r="L236" s="90"/>
      <c r="M236" s="7" t="s">
        <v>28</v>
      </c>
      <c r="N236" s="4">
        <v>19500</v>
      </c>
      <c r="O236" s="94"/>
      <c r="P236" s="94"/>
      <c r="Q236" s="7" t="s">
        <v>89</v>
      </c>
      <c r="R236" s="4">
        <v>65</v>
      </c>
      <c r="S236" s="5">
        <v>148.1</v>
      </c>
      <c r="T236" s="5">
        <v>148.35</v>
      </c>
      <c r="U236" s="8">
        <v>-8.5300000000000001E-2</v>
      </c>
      <c r="V236" s="8">
        <v>0.53620000000000001</v>
      </c>
      <c r="W236" s="5">
        <v>-0.25</v>
      </c>
      <c r="X236" s="6">
        <v>-1.280308093339581E-5</v>
      </c>
      <c r="Y236" s="4">
        <v>0</v>
      </c>
      <c r="Z236" s="6">
        <v>0</v>
      </c>
      <c r="AA236" s="5">
        <v>37232.699999999997</v>
      </c>
      <c r="AB236" s="4">
        <v>38037</v>
      </c>
      <c r="AC236" s="5">
        <v>804.3</v>
      </c>
      <c r="AD236" s="5">
        <v>2.1602000000000001</v>
      </c>
      <c r="AE236" s="4">
        <v>7</v>
      </c>
      <c r="AF236" s="5">
        <v>-0.11666700000000001</v>
      </c>
      <c r="AG236" s="5">
        <v>760.86189999999999</v>
      </c>
      <c r="AH236" s="5">
        <v>2.0434999999999999</v>
      </c>
      <c r="AI236" s="8">
        <v>-0.37069999999999997</v>
      </c>
      <c r="AJ236" s="8">
        <v>2.0985999999999998</v>
      </c>
      <c r="AK236" s="15">
        <v>658.86189999999999</v>
      </c>
      <c r="AL236" s="15">
        <v>1.5210999999999999</v>
      </c>
      <c r="AM236" s="5">
        <v>111.4558</v>
      </c>
      <c r="AN236" s="5">
        <v>111.4558</v>
      </c>
      <c r="AO236" s="4">
        <v>0</v>
      </c>
      <c r="AP236" s="4">
        <v>0</v>
      </c>
      <c r="AQ236" s="8">
        <v>1.4559</v>
      </c>
      <c r="AR236" s="8">
        <v>0.92830000000000001</v>
      </c>
      <c r="AS236" s="8">
        <v>0.92830000000000001</v>
      </c>
      <c r="AT236" s="5">
        <v>110.80500000000001</v>
      </c>
      <c r="AU236" s="5">
        <v>0.92830000000000001</v>
      </c>
      <c r="AV236" s="7" t="s">
        <v>90</v>
      </c>
    </row>
    <row r="237" spans="1:48" ht="18" customHeight="1" x14ac:dyDescent="0.25">
      <c r="A237" s="10">
        <v>118</v>
      </c>
      <c r="B237" s="10">
        <v>2</v>
      </c>
      <c r="C237" s="10">
        <v>118</v>
      </c>
      <c r="D237" s="88">
        <v>45140</v>
      </c>
      <c r="E237" s="88">
        <v>45147</v>
      </c>
      <c r="F237" s="88">
        <v>45169</v>
      </c>
      <c r="G237" s="11">
        <v>19526.55</v>
      </c>
      <c r="H237" s="11">
        <v>19632.55</v>
      </c>
      <c r="I237" s="12"/>
      <c r="J237" s="12"/>
      <c r="K237" s="92"/>
      <c r="L237" s="92"/>
      <c r="M237" s="12" t="s">
        <v>40</v>
      </c>
      <c r="N237" s="10">
        <v>19800</v>
      </c>
      <c r="O237" s="95">
        <f>IF(F237=F235,O235,MROUND(G237,100))</f>
        <v>19800</v>
      </c>
      <c r="P237" s="95">
        <f>O237-N237</f>
        <v>0</v>
      </c>
      <c r="Q237" s="12" t="s">
        <v>91</v>
      </c>
      <c r="R237" s="10">
        <v>65</v>
      </c>
      <c r="S237" s="11">
        <v>333.45</v>
      </c>
      <c r="T237" s="11">
        <v>231.7</v>
      </c>
      <c r="U237" s="13">
        <v>-0.55740000000000001</v>
      </c>
      <c r="V237" s="13">
        <v>0.76280000000000003</v>
      </c>
      <c r="W237" s="10">
        <v>0</v>
      </c>
      <c r="X237" s="14">
        <v>0</v>
      </c>
      <c r="Y237" s="11">
        <v>-101.75</v>
      </c>
      <c r="Z237" s="14">
        <v>-5.2108539398920961E-3</v>
      </c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 t="s">
        <v>90</v>
      </c>
    </row>
    <row r="238" spans="1:48" ht="18" hidden="1" customHeight="1" x14ac:dyDescent="0.25">
      <c r="A238" s="4">
        <v>119</v>
      </c>
      <c r="B238" s="4">
        <v>1</v>
      </c>
      <c r="C238" s="4">
        <v>119</v>
      </c>
      <c r="D238" s="87">
        <v>45147</v>
      </c>
      <c r="E238" s="87">
        <v>45149</v>
      </c>
      <c r="F238" s="87">
        <v>45155</v>
      </c>
      <c r="G238" s="5">
        <v>19632.55</v>
      </c>
      <c r="H238" s="5">
        <v>19428.3</v>
      </c>
      <c r="I238" s="5">
        <v>-204.25</v>
      </c>
      <c r="J238" s="6">
        <v>-1.040364089229367E-2</v>
      </c>
      <c r="K238" s="90"/>
      <c r="L238" s="90"/>
      <c r="M238" s="7" t="s">
        <v>28</v>
      </c>
      <c r="N238" s="4">
        <v>19600</v>
      </c>
      <c r="O238" s="94"/>
      <c r="P238" s="94"/>
      <c r="Q238" s="7" t="s">
        <v>89</v>
      </c>
      <c r="R238" s="4">
        <v>65</v>
      </c>
      <c r="S238" s="5">
        <v>134.75</v>
      </c>
      <c r="T238" s="4">
        <v>39</v>
      </c>
      <c r="U238" s="8">
        <v>-2.3699999999999999E-2</v>
      </c>
      <c r="V238" s="8">
        <v>0.50760000000000005</v>
      </c>
      <c r="W238" s="5">
        <v>95.75</v>
      </c>
      <c r="X238" s="6">
        <v>4.8771046043432978E-3</v>
      </c>
      <c r="Y238" s="4">
        <v>0</v>
      </c>
      <c r="Z238" s="6">
        <v>0</v>
      </c>
      <c r="AA238" s="4">
        <v>38037</v>
      </c>
      <c r="AB238" s="5">
        <v>37836.15</v>
      </c>
      <c r="AC238" s="5">
        <v>-200.85</v>
      </c>
      <c r="AD238" s="5">
        <v>-0.52800000000000002</v>
      </c>
      <c r="AE238" s="4">
        <v>2</v>
      </c>
      <c r="AF238" s="5">
        <v>-3.3333000000000002E-2</v>
      </c>
      <c r="AG238" s="5">
        <v>-213.529</v>
      </c>
      <c r="AH238" s="5">
        <v>-0.56140000000000001</v>
      </c>
      <c r="AI238" s="8">
        <v>-0.67930000000000001</v>
      </c>
      <c r="AJ238" s="8">
        <v>0.317</v>
      </c>
      <c r="AK238" s="9">
        <v>-3.7290000000000001</v>
      </c>
      <c r="AL238" s="9">
        <v>0.50719999999999998</v>
      </c>
      <c r="AM238" s="5">
        <v>112.0211</v>
      </c>
      <c r="AN238" s="5">
        <v>112.0211</v>
      </c>
      <c r="AO238" s="4">
        <v>0</v>
      </c>
      <c r="AP238" s="4">
        <v>0</v>
      </c>
      <c r="AQ238" s="8">
        <v>0.36559999999999998</v>
      </c>
      <c r="AR238" s="8">
        <v>0.4894</v>
      </c>
      <c r="AS238" s="8">
        <v>0.36559999999999998</v>
      </c>
      <c r="AT238" s="5">
        <v>111.8633</v>
      </c>
      <c r="AU238" s="5">
        <v>0.36559999999999998</v>
      </c>
      <c r="AV238" s="7" t="s">
        <v>93</v>
      </c>
    </row>
    <row r="239" spans="1:48" ht="18" customHeight="1" x14ac:dyDescent="0.25">
      <c r="A239" s="10">
        <v>119</v>
      </c>
      <c r="B239" s="10">
        <v>2</v>
      </c>
      <c r="C239" s="10">
        <v>119</v>
      </c>
      <c r="D239" s="88">
        <v>45147</v>
      </c>
      <c r="E239" s="88">
        <v>45149</v>
      </c>
      <c r="F239" s="88">
        <v>45169</v>
      </c>
      <c r="G239" s="11">
        <v>19632.55</v>
      </c>
      <c r="H239" s="11">
        <v>19428.3</v>
      </c>
      <c r="I239" s="12"/>
      <c r="J239" s="12"/>
      <c r="K239" s="92"/>
      <c r="L239" s="92"/>
      <c r="M239" s="12" t="s">
        <v>40</v>
      </c>
      <c r="N239" s="10">
        <v>19800</v>
      </c>
      <c r="O239" s="95">
        <f>IF(F239=F237,O237,MROUND(G239,100))</f>
        <v>19800</v>
      </c>
      <c r="P239" s="95">
        <f>O239-N239</f>
        <v>0</v>
      </c>
      <c r="Q239" s="12" t="s">
        <v>91</v>
      </c>
      <c r="R239" s="10">
        <v>65</v>
      </c>
      <c r="S239" s="11">
        <v>231.7</v>
      </c>
      <c r="T239" s="11">
        <v>345.75</v>
      </c>
      <c r="U239" s="13">
        <v>7.2300000000000003E-2</v>
      </c>
      <c r="V239" s="13">
        <v>0.66110000000000002</v>
      </c>
      <c r="W239" s="10">
        <v>0</v>
      </c>
      <c r="X239" s="14">
        <v>0</v>
      </c>
      <c r="Y239" s="11">
        <v>114.05</v>
      </c>
      <c r="Z239" s="14">
        <v>5.8092300796381523E-3</v>
      </c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 t="s">
        <v>93</v>
      </c>
    </row>
    <row r="240" spans="1:48" ht="18" hidden="1" customHeight="1" x14ac:dyDescent="0.25">
      <c r="A240" s="4">
        <v>120</v>
      </c>
      <c r="B240" s="4">
        <v>1</v>
      </c>
      <c r="C240" s="4">
        <v>120</v>
      </c>
      <c r="D240" s="87">
        <v>45149</v>
      </c>
      <c r="E240" s="87">
        <v>45154</v>
      </c>
      <c r="F240" s="87">
        <v>45155</v>
      </c>
      <c r="G240" s="5">
        <v>19428.3</v>
      </c>
      <c r="H240" s="4">
        <v>19465</v>
      </c>
      <c r="I240" s="5">
        <v>36.700000000000003</v>
      </c>
      <c r="J240" s="6">
        <v>1.8889969786342611E-3</v>
      </c>
      <c r="K240" s="90"/>
      <c r="L240" s="90"/>
      <c r="M240" s="7" t="s">
        <v>28</v>
      </c>
      <c r="N240" s="4">
        <v>19400</v>
      </c>
      <c r="O240" s="94"/>
      <c r="P240" s="94"/>
      <c r="Q240" s="7" t="s">
        <v>89</v>
      </c>
      <c r="R240" s="4">
        <v>65</v>
      </c>
      <c r="S240" s="5">
        <v>132.69999999999999</v>
      </c>
      <c r="T240" s="4">
        <v>82</v>
      </c>
      <c r="U240" s="8">
        <v>9.2899999999999996E-2</v>
      </c>
      <c r="V240" s="8">
        <v>0.52139999999999997</v>
      </c>
      <c r="W240" s="5">
        <v>50.7</v>
      </c>
      <c r="X240" s="6">
        <v>2.6095952811105451E-3</v>
      </c>
      <c r="Y240" s="4">
        <v>0</v>
      </c>
      <c r="Z240" s="6">
        <v>0</v>
      </c>
      <c r="AA240" s="5">
        <v>37836.15</v>
      </c>
      <c r="AB240" s="5">
        <v>37801.65</v>
      </c>
      <c r="AC240" s="5">
        <v>-34.5</v>
      </c>
      <c r="AD240" s="5">
        <v>-9.1200000000000003E-2</v>
      </c>
      <c r="AE240" s="4">
        <v>5</v>
      </c>
      <c r="AF240" s="5">
        <v>-8.3333000000000004E-2</v>
      </c>
      <c r="AG240" s="5">
        <v>-66.030100000000004</v>
      </c>
      <c r="AH240" s="5">
        <v>-0.17449999999999999</v>
      </c>
      <c r="AI240" s="8">
        <v>-1.5755999999999999</v>
      </c>
      <c r="AJ240" s="8">
        <v>-4.4699999999999997E-2</v>
      </c>
      <c r="AK240" s="9">
        <v>-10.530099999999999</v>
      </c>
      <c r="AL240" s="9">
        <v>0.11119999999999999</v>
      </c>
      <c r="AM240" s="5">
        <v>112.14570000000001</v>
      </c>
      <c r="AN240" s="5">
        <v>112.14570000000001</v>
      </c>
      <c r="AO240" s="4">
        <v>0</v>
      </c>
      <c r="AP240" s="4">
        <v>0</v>
      </c>
      <c r="AQ240" s="8">
        <v>-8.3999999999999995E-3</v>
      </c>
      <c r="AR240" s="8">
        <v>-0.2072</v>
      </c>
      <c r="AS240" s="8">
        <v>-0.2072</v>
      </c>
      <c r="AT240" s="5">
        <v>111.789</v>
      </c>
      <c r="AU240" s="5">
        <v>-0.2072</v>
      </c>
      <c r="AV240" s="7" t="s">
        <v>90</v>
      </c>
    </row>
    <row r="241" spans="1:48" ht="18" customHeight="1" x14ac:dyDescent="0.25">
      <c r="A241" s="10">
        <v>120</v>
      </c>
      <c r="B241" s="10">
        <v>2</v>
      </c>
      <c r="C241" s="10">
        <v>120</v>
      </c>
      <c r="D241" s="88">
        <v>45149</v>
      </c>
      <c r="E241" s="88">
        <v>45154</v>
      </c>
      <c r="F241" s="88">
        <v>45169</v>
      </c>
      <c r="G241" s="11">
        <v>19428.3</v>
      </c>
      <c r="H241" s="10">
        <v>19465</v>
      </c>
      <c r="I241" s="12"/>
      <c r="J241" s="12"/>
      <c r="K241" s="92"/>
      <c r="L241" s="92"/>
      <c r="M241" s="12" t="s">
        <v>40</v>
      </c>
      <c r="N241" s="10">
        <v>19800</v>
      </c>
      <c r="O241" s="95">
        <f>IF(F241=F239,O239,MROUND(G241,100))</f>
        <v>19800</v>
      </c>
      <c r="P241" s="95">
        <f>O241-N241</f>
        <v>0</v>
      </c>
      <c r="Q241" s="12" t="s">
        <v>91</v>
      </c>
      <c r="R241" s="10">
        <v>65</v>
      </c>
      <c r="S241" s="11">
        <v>345.75</v>
      </c>
      <c r="T241" s="11">
        <v>350.55</v>
      </c>
      <c r="U241" s="13">
        <v>-5.6599999999999998E-2</v>
      </c>
      <c r="V241" s="13">
        <v>0.84699999999999998</v>
      </c>
      <c r="W241" s="10">
        <v>0</v>
      </c>
      <c r="X241" s="14">
        <v>0</v>
      </c>
      <c r="Y241" s="11">
        <v>4.8</v>
      </c>
      <c r="Z241" s="14">
        <v>2.4706227513472608E-4</v>
      </c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 t="s">
        <v>90</v>
      </c>
    </row>
    <row r="242" spans="1:48" ht="18" hidden="1" customHeight="1" x14ac:dyDescent="0.25">
      <c r="A242" s="4">
        <v>121</v>
      </c>
      <c r="B242" s="4">
        <v>1</v>
      </c>
      <c r="C242" s="4">
        <v>121</v>
      </c>
      <c r="D242" s="87">
        <v>45154</v>
      </c>
      <c r="E242" s="87">
        <v>45161</v>
      </c>
      <c r="F242" s="87">
        <v>45162</v>
      </c>
      <c r="G242" s="4">
        <v>19465</v>
      </c>
      <c r="H242" s="4">
        <v>19444</v>
      </c>
      <c r="I242" s="4">
        <v>-21</v>
      </c>
      <c r="J242" s="6">
        <v>-1.0788594913948111E-3</v>
      </c>
      <c r="K242" s="90"/>
      <c r="L242" s="90"/>
      <c r="M242" s="7" t="s">
        <v>28</v>
      </c>
      <c r="N242" s="4">
        <v>19500</v>
      </c>
      <c r="O242" s="94"/>
      <c r="P242" s="94"/>
      <c r="Q242" s="7" t="s">
        <v>89</v>
      </c>
      <c r="R242" s="4">
        <v>65</v>
      </c>
      <c r="S242" s="4">
        <v>90</v>
      </c>
      <c r="T242" s="5">
        <v>19.45</v>
      </c>
      <c r="U242" s="8">
        <v>3.6700000000000003E-2</v>
      </c>
      <c r="V242" s="8">
        <v>0.41720000000000002</v>
      </c>
      <c r="W242" s="5">
        <v>70.55</v>
      </c>
      <c r="X242" s="6">
        <v>3.6244541484716161E-3</v>
      </c>
      <c r="Y242" s="4">
        <v>0</v>
      </c>
      <c r="Z242" s="6">
        <v>0</v>
      </c>
      <c r="AA242" s="5">
        <v>37801.65</v>
      </c>
      <c r="AB242" s="5">
        <v>38694.65</v>
      </c>
      <c r="AC242" s="4">
        <v>893</v>
      </c>
      <c r="AD242" s="5">
        <v>2.3622999999999998</v>
      </c>
      <c r="AE242" s="4">
        <v>7</v>
      </c>
      <c r="AF242" s="5">
        <v>-0.11666700000000001</v>
      </c>
      <c r="AG242" s="5">
        <v>848.8981</v>
      </c>
      <c r="AH242" s="5">
        <v>2.2456999999999998</v>
      </c>
      <c r="AI242" s="8">
        <v>-0.26200000000000001</v>
      </c>
      <c r="AJ242" s="8">
        <v>2.6053999999999999</v>
      </c>
      <c r="AK242" s="15">
        <v>943.94809999999995</v>
      </c>
      <c r="AL242" s="15">
        <v>2.734</v>
      </c>
      <c r="AM242" s="5">
        <v>115.2118</v>
      </c>
      <c r="AN242" s="5">
        <v>115.2118</v>
      </c>
      <c r="AO242" s="4">
        <v>0</v>
      </c>
      <c r="AP242" s="4">
        <v>0</v>
      </c>
      <c r="AQ242" s="8">
        <v>2.6637</v>
      </c>
      <c r="AR242" s="8">
        <v>1.0982000000000001</v>
      </c>
      <c r="AS242" s="8">
        <v>1.0982000000000001</v>
      </c>
      <c r="AT242" s="5">
        <v>113.37730000000001</v>
      </c>
      <c r="AU242" s="5">
        <v>1.0982000000000001</v>
      </c>
      <c r="AV242" s="7" t="s">
        <v>90</v>
      </c>
    </row>
    <row r="243" spans="1:48" ht="18" customHeight="1" x14ac:dyDescent="0.25">
      <c r="A243" s="10">
        <v>121</v>
      </c>
      <c r="B243" s="10">
        <v>2</v>
      </c>
      <c r="C243" s="10">
        <v>121</v>
      </c>
      <c r="D243" s="88">
        <v>45154</v>
      </c>
      <c r="E243" s="88">
        <v>45161</v>
      </c>
      <c r="F243" s="88">
        <v>45169</v>
      </c>
      <c r="G243" s="10">
        <v>19465</v>
      </c>
      <c r="H243" s="10">
        <v>19444</v>
      </c>
      <c r="I243" s="12"/>
      <c r="J243" s="12"/>
      <c r="K243" s="92"/>
      <c r="L243" s="92"/>
      <c r="M243" s="12" t="s">
        <v>40</v>
      </c>
      <c r="N243" s="10">
        <v>19800</v>
      </c>
      <c r="O243" s="95">
        <f>IF(F243=F241,O241,MROUND(G243,100))</f>
        <v>19800</v>
      </c>
      <c r="P243" s="95">
        <f>O243-N243</f>
        <v>0</v>
      </c>
      <c r="Q243" s="12" t="s">
        <v>91</v>
      </c>
      <c r="R243" s="10">
        <v>65</v>
      </c>
      <c r="S243" s="11">
        <v>350.55</v>
      </c>
      <c r="T243" s="11">
        <v>375.05</v>
      </c>
      <c r="U243" s="13">
        <v>2.1600000000000001E-2</v>
      </c>
      <c r="V243" s="13">
        <v>0.94299999999999995</v>
      </c>
      <c r="W243" s="10">
        <v>0</v>
      </c>
      <c r="X243" s="14">
        <v>0</v>
      </c>
      <c r="Y243" s="11">
        <v>24.5</v>
      </c>
      <c r="Z243" s="14">
        <v>1.25866940662728E-3</v>
      </c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 t="s">
        <v>90</v>
      </c>
    </row>
    <row r="244" spans="1:48" ht="18" hidden="1" customHeight="1" x14ac:dyDescent="0.25">
      <c r="A244" s="4">
        <v>122</v>
      </c>
      <c r="B244" s="4">
        <v>1</v>
      </c>
      <c r="C244" s="4">
        <v>122</v>
      </c>
      <c r="D244" s="87">
        <v>45161</v>
      </c>
      <c r="E244" s="87">
        <v>45168</v>
      </c>
      <c r="F244" s="87">
        <v>45169</v>
      </c>
      <c r="G244" s="4">
        <v>19444</v>
      </c>
      <c r="H244" s="5">
        <v>19347.45</v>
      </c>
      <c r="I244" s="5">
        <v>-96.55</v>
      </c>
      <c r="J244" s="6">
        <v>-4.9655420695330181E-3</v>
      </c>
      <c r="K244" s="90"/>
      <c r="L244" s="90"/>
      <c r="M244" s="7" t="s">
        <v>28</v>
      </c>
      <c r="N244" s="4">
        <v>19400</v>
      </c>
      <c r="O244" s="94"/>
      <c r="P244" s="94"/>
      <c r="Q244" s="7" t="s">
        <v>89</v>
      </c>
      <c r="R244" s="4">
        <v>65</v>
      </c>
      <c r="S244" s="5">
        <v>121.35</v>
      </c>
      <c r="T244" s="5">
        <v>19.100000000000001</v>
      </c>
      <c r="U244" s="8">
        <v>-0.4708</v>
      </c>
      <c r="V244" s="8">
        <v>0.53800000000000003</v>
      </c>
      <c r="W244" s="5">
        <v>102.25</v>
      </c>
      <c r="X244" s="6">
        <v>5.2586916272371938E-3</v>
      </c>
      <c r="Y244" s="4">
        <v>0</v>
      </c>
      <c r="Z244" s="6">
        <v>0</v>
      </c>
      <c r="AA244" s="5">
        <v>38694.65</v>
      </c>
      <c r="AB244" s="5">
        <v>39077.550000000003</v>
      </c>
      <c r="AC244" s="5">
        <v>382.9</v>
      </c>
      <c r="AD244" s="5">
        <v>0.98950000000000005</v>
      </c>
      <c r="AE244" s="4">
        <v>7</v>
      </c>
      <c r="AF244" s="5">
        <v>-0.11666700000000001</v>
      </c>
      <c r="AG244" s="5">
        <v>337.75619999999998</v>
      </c>
      <c r="AH244" s="5">
        <v>0.87290000000000001</v>
      </c>
      <c r="AI244" s="8">
        <v>-0.83289999999999997</v>
      </c>
      <c r="AJ244" s="8">
        <v>1.0638000000000001</v>
      </c>
      <c r="AK244" s="15">
        <v>522.05619999999999</v>
      </c>
      <c r="AL244" s="15">
        <v>1.8208</v>
      </c>
      <c r="AM244" s="5">
        <v>117.3096</v>
      </c>
      <c r="AN244" s="5">
        <v>117.3096</v>
      </c>
      <c r="AO244" s="4">
        <v>0</v>
      </c>
      <c r="AP244" s="4">
        <v>0</v>
      </c>
      <c r="AQ244" s="8">
        <v>-6.0400000000000002E-2</v>
      </c>
      <c r="AR244" s="8">
        <v>0.76790000000000003</v>
      </c>
      <c r="AS244" s="8">
        <v>-6.0400000000000002E-2</v>
      </c>
      <c r="AT244" s="5">
        <v>115.1422</v>
      </c>
      <c r="AU244" s="5">
        <v>-6.0400000000000002E-2</v>
      </c>
      <c r="AV244" s="7" t="s">
        <v>90</v>
      </c>
    </row>
    <row r="245" spans="1:48" ht="18" customHeight="1" x14ac:dyDescent="0.25">
      <c r="A245" s="10">
        <v>122</v>
      </c>
      <c r="B245" s="10">
        <v>2</v>
      </c>
      <c r="C245" s="10">
        <v>122</v>
      </c>
      <c r="D245" s="88">
        <v>45161</v>
      </c>
      <c r="E245" s="88">
        <v>45168</v>
      </c>
      <c r="F245" s="88">
        <v>45169</v>
      </c>
      <c r="G245" s="10">
        <v>19444</v>
      </c>
      <c r="H245" s="11">
        <v>19347.45</v>
      </c>
      <c r="I245" s="12"/>
      <c r="J245" s="12"/>
      <c r="K245" s="92"/>
      <c r="L245" s="92"/>
      <c r="M245" s="12" t="s">
        <v>40</v>
      </c>
      <c r="N245" s="10">
        <v>19800</v>
      </c>
      <c r="O245" s="95">
        <f>IF(F245=F243,O243,MROUND(G245,100))</f>
        <v>19800</v>
      </c>
      <c r="P245" s="95">
        <f>O245-N245</f>
        <v>0</v>
      </c>
      <c r="Q245" s="12" t="s">
        <v>91</v>
      </c>
      <c r="R245" s="10">
        <v>65</v>
      </c>
      <c r="S245" s="11">
        <v>375.05</v>
      </c>
      <c r="T245" s="11">
        <v>457.1</v>
      </c>
      <c r="U245" s="13">
        <v>-0.65339999999999998</v>
      </c>
      <c r="V245" s="13">
        <v>1.0628</v>
      </c>
      <c r="W245" s="10">
        <v>0</v>
      </c>
      <c r="X245" s="14">
        <v>0</v>
      </c>
      <c r="Y245" s="11">
        <v>82.05</v>
      </c>
      <c r="Z245" s="14">
        <v>4.219810738531166E-3</v>
      </c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 t="s">
        <v>90</v>
      </c>
    </row>
    <row r="246" spans="1:48" ht="18" hidden="1" customHeight="1" x14ac:dyDescent="0.25">
      <c r="A246" s="4">
        <v>123</v>
      </c>
      <c r="B246" s="4">
        <v>1</v>
      </c>
      <c r="C246" s="4">
        <v>123</v>
      </c>
      <c r="D246" s="87">
        <v>45168</v>
      </c>
      <c r="E246" s="87">
        <v>45174</v>
      </c>
      <c r="F246" s="87">
        <v>45176</v>
      </c>
      <c r="G246" s="5">
        <v>19347.45</v>
      </c>
      <c r="H246" s="5">
        <v>19574.900000000001</v>
      </c>
      <c r="I246" s="5">
        <v>227.45</v>
      </c>
      <c r="J246" s="6">
        <v>1.1756071213519089E-2</v>
      </c>
      <c r="K246" s="90"/>
      <c r="L246" s="90"/>
      <c r="M246" s="7" t="s">
        <v>28</v>
      </c>
      <c r="N246" s="4">
        <v>19300</v>
      </c>
      <c r="O246" s="94"/>
      <c r="P246" s="94"/>
      <c r="Q246" s="7" t="s">
        <v>89</v>
      </c>
      <c r="R246" s="4">
        <v>65</v>
      </c>
      <c r="S246" s="5">
        <v>156.80000000000001</v>
      </c>
      <c r="T246" s="5">
        <v>285.8</v>
      </c>
      <c r="U246" s="8">
        <v>-0.71950000000000003</v>
      </c>
      <c r="V246" s="8">
        <v>0.31269999999999998</v>
      </c>
      <c r="W246" s="4">
        <v>-129</v>
      </c>
      <c r="X246" s="6">
        <v>-6.6675453354318008E-3</v>
      </c>
      <c r="Y246" s="4">
        <v>0</v>
      </c>
      <c r="Z246" s="6">
        <v>0</v>
      </c>
      <c r="AA246" s="5">
        <v>39077.550000000003</v>
      </c>
      <c r="AB246" s="5">
        <v>40253.599999999999</v>
      </c>
      <c r="AC246" s="5">
        <v>1176.05</v>
      </c>
      <c r="AD246" s="5">
        <v>3.0095000000000001</v>
      </c>
      <c r="AE246" s="4">
        <v>6</v>
      </c>
      <c r="AF246" s="5">
        <v>-0.1</v>
      </c>
      <c r="AG246" s="5">
        <v>1136.9724000000001</v>
      </c>
      <c r="AH246" s="5">
        <v>2.9095</v>
      </c>
      <c r="AI246" s="8">
        <v>-0.30230000000000001</v>
      </c>
      <c r="AJ246" s="8">
        <v>3.0051999999999999</v>
      </c>
      <c r="AK246" s="15">
        <v>914.27239999999995</v>
      </c>
      <c r="AL246" s="15">
        <v>1.7584</v>
      </c>
      <c r="AM246" s="5">
        <v>119.3723</v>
      </c>
      <c r="AN246" s="5">
        <v>119.3723</v>
      </c>
      <c r="AO246" s="4">
        <v>0</v>
      </c>
      <c r="AP246" s="4">
        <v>0</v>
      </c>
      <c r="AQ246" s="8">
        <v>1.7898000000000001</v>
      </c>
      <c r="AR246" s="8">
        <v>0.14810000000000001</v>
      </c>
      <c r="AS246" s="8">
        <v>0.14810000000000001</v>
      </c>
      <c r="AT246" s="5">
        <v>117.4833</v>
      </c>
      <c r="AU246" s="5">
        <v>0.14810000000000001</v>
      </c>
      <c r="AV246" s="7" t="s">
        <v>96</v>
      </c>
    </row>
    <row r="247" spans="1:48" ht="18" customHeight="1" x14ac:dyDescent="0.25">
      <c r="A247" s="10">
        <v>123</v>
      </c>
      <c r="B247" s="10">
        <v>2</v>
      </c>
      <c r="C247" s="10">
        <v>123</v>
      </c>
      <c r="D247" s="88">
        <v>45168</v>
      </c>
      <c r="E247" s="88">
        <v>45174</v>
      </c>
      <c r="F247" s="88">
        <v>45197</v>
      </c>
      <c r="G247" s="11">
        <v>19347.45</v>
      </c>
      <c r="H247" s="11">
        <v>19574.900000000001</v>
      </c>
      <c r="I247" s="12"/>
      <c r="J247" s="12"/>
      <c r="K247" s="92"/>
      <c r="L247" s="92"/>
      <c r="M247" s="12" t="s">
        <v>40</v>
      </c>
      <c r="N247" s="10">
        <v>19300</v>
      </c>
      <c r="O247" s="95">
        <f>IF(F247=F245,O245,MROUND(G247,100))</f>
        <v>19300</v>
      </c>
      <c r="P247" s="95">
        <f>O247-N247</f>
        <v>0</v>
      </c>
      <c r="Q247" s="12" t="s">
        <v>91</v>
      </c>
      <c r="R247" s="10">
        <v>65</v>
      </c>
      <c r="S247" s="11">
        <v>160.75</v>
      </c>
      <c r="T247" s="11">
        <v>67.05</v>
      </c>
      <c r="U247" s="13">
        <v>-0.49590000000000001</v>
      </c>
      <c r="V247" s="13">
        <v>0.13769999999999999</v>
      </c>
      <c r="W247" s="10">
        <v>0</v>
      </c>
      <c r="X247" s="14">
        <v>0</v>
      </c>
      <c r="Y247" s="11">
        <v>-93.7</v>
      </c>
      <c r="Z247" s="14">
        <v>-4.8430154878291451E-3</v>
      </c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 t="s">
        <v>96</v>
      </c>
    </row>
    <row r="248" spans="1:48" ht="18" hidden="1" customHeight="1" x14ac:dyDescent="0.25">
      <c r="A248" s="4">
        <v>124</v>
      </c>
      <c r="B248" s="4">
        <v>1</v>
      </c>
      <c r="C248" s="4">
        <v>124</v>
      </c>
      <c r="D248" s="87">
        <v>45174</v>
      </c>
      <c r="E248" s="87">
        <v>45175</v>
      </c>
      <c r="F248" s="87">
        <v>45176</v>
      </c>
      <c r="G248" s="5">
        <v>19574.900000000001</v>
      </c>
      <c r="H248" s="5">
        <v>19611.05</v>
      </c>
      <c r="I248" s="5">
        <v>36.15</v>
      </c>
      <c r="J248" s="6">
        <v>1.8467527292604299E-3</v>
      </c>
      <c r="K248" s="90"/>
      <c r="L248" s="90"/>
      <c r="M248" s="7" t="s">
        <v>28</v>
      </c>
      <c r="N248" s="4">
        <v>19600</v>
      </c>
      <c r="O248" s="94"/>
      <c r="P248" s="94"/>
      <c r="Q248" s="7" t="s">
        <v>89</v>
      </c>
      <c r="R248" s="4">
        <v>65</v>
      </c>
      <c r="S248" s="5">
        <v>40.799999999999997</v>
      </c>
      <c r="T248" s="5">
        <v>32.450000000000003</v>
      </c>
      <c r="U248" s="8">
        <v>-1.5100000000000001E-2</v>
      </c>
      <c r="V248" s="8">
        <v>0.1663</v>
      </c>
      <c r="W248" s="5">
        <v>8.35</v>
      </c>
      <c r="X248" s="6">
        <v>4.265666746701132E-4</v>
      </c>
      <c r="Y248" s="4">
        <v>0</v>
      </c>
      <c r="Z248" s="6">
        <v>0</v>
      </c>
      <c r="AA248" s="5">
        <v>40253.599999999999</v>
      </c>
      <c r="AB248" s="5">
        <v>40284.1</v>
      </c>
      <c r="AC248" s="5">
        <v>30.5</v>
      </c>
      <c r="AD248" s="5">
        <v>7.5800000000000006E-2</v>
      </c>
      <c r="AE248" s="4">
        <v>1</v>
      </c>
      <c r="AF248" s="5">
        <v>-1.6667000000000001E-2</v>
      </c>
      <c r="AG248" s="5">
        <v>23.7911</v>
      </c>
      <c r="AH248" s="5">
        <v>5.91E-2</v>
      </c>
      <c r="AI248" s="8">
        <v>-0.2621</v>
      </c>
      <c r="AJ248" s="8">
        <v>0.29060000000000002</v>
      </c>
      <c r="AK248" s="15">
        <v>27.741099999999999</v>
      </c>
      <c r="AL248" s="15">
        <v>7.9299999999999995E-2</v>
      </c>
      <c r="AM248" s="5">
        <v>119.467</v>
      </c>
      <c r="AN248" s="5">
        <v>119.467</v>
      </c>
      <c r="AO248" s="4">
        <v>0</v>
      </c>
      <c r="AP248" s="4">
        <v>0</v>
      </c>
      <c r="AQ248" s="8">
        <v>0.24079999999999999</v>
      </c>
      <c r="AR248" s="8">
        <v>1.66E-2</v>
      </c>
      <c r="AS248" s="8">
        <v>1.66E-2</v>
      </c>
      <c r="AT248" s="5">
        <v>119.3921</v>
      </c>
      <c r="AU248" s="5">
        <v>1.66E-2</v>
      </c>
      <c r="AV248" s="7" t="s">
        <v>90</v>
      </c>
    </row>
    <row r="249" spans="1:48" ht="18" customHeight="1" x14ac:dyDescent="0.25">
      <c r="A249" s="10">
        <v>124</v>
      </c>
      <c r="B249" s="10">
        <v>2</v>
      </c>
      <c r="C249" s="10">
        <v>124</v>
      </c>
      <c r="D249" s="88">
        <v>45174</v>
      </c>
      <c r="E249" s="88">
        <v>45175</v>
      </c>
      <c r="F249" s="88">
        <v>45197</v>
      </c>
      <c r="G249" s="11">
        <v>19574.900000000001</v>
      </c>
      <c r="H249" s="11">
        <v>19611.05</v>
      </c>
      <c r="I249" s="12"/>
      <c r="J249" s="12"/>
      <c r="K249" s="92"/>
      <c r="L249" s="92"/>
      <c r="M249" s="12" t="s">
        <v>40</v>
      </c>
      <c r="N249" s="10">
        <v>19300</v>
      </c>
      <c r="O249" s="95">
        <f>IF(F249=F247,O247,MROUND(G249,100))</f>
        <v>19300</v>
      </c>
      <c r="P249" s="95">
        <f>O249-N249</f>
        <v>0</v>
      </c>
      <c r="Q249" s="12" t="s">
        <v>91</v>
      </c>
      <c r="R249" s="10">
        <v>65</v>
      </c>
      <c r="S249" s="11">
        <v>67.05</v>
      </c>
      <c r="T249" s="11">
        <v>62.65</v>
      </c>
      <c r="U249" s="13">
        <v>-3.4700000000000002E-2</v>
      </c>
      <c r="V249" s="13">
        <v>0.1124</v>
      </c>
      <c r="W249" s="10">
        <v>0</v>
      </c>
      <c r="X249" s="14">
        <v>0</v>
      </c>
      <c r="Y249" s="11">
        <v>-4.4000000000000004</v>
      </c>
      <c r="Z249" s="14">
        <v>-2.2477764892796389E-4</v>
      </c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 t="s">
        <v>90</v>
      </c>
    </row>
    <row r="250" spans="1:48" ht="18" hidden="1" customHeight="1" x14ac:dyDescent="0.25">
      <c r="A250" s="4">
        <v>125</v>
      </c>
      <c r="B250" s="4">
        <v>1</v>
      </c>
      <c r="C250" s="4">
        <v>125</v>
      </c>
      <c r="D250" s="87">
        <v>45175</v>
      </c>
      <c r="E250" s="87">
        <v>45177</v>
      </c>
      <c r="F250" s="87">
        <v>45183</v>
      </c>
      <c r="G250" s="5">
        <v>19611.05</v>
      </c>
      <c r="H250" s="5">
        <v>19819.95</v>
      </c>
      <c r="I250" s="5">
        <v>208.9</v>
      </c>
      <c r="J250" s="6">
        <v>1.0652157839585339E-2</v>
      </c>
      <c r="K250" s="90"/>
      <c r="L250" s="90"/>
      <c r="M250" s="7" t="s">
        <v>28</v>
      </c>
      <c r="N250" s="4">
        <v>19600</v>
      </c>
      <c r="O250" s="94"/>
      <c r="P250" s="94"/>
      <c r="Q250" s="7" t="s">
        <v>89</v>
      </c>
      <c r="R250" s="4">
        <v>65</v>
      </c>
      <c r="S250" s="5">
        <v>102.5</v>
      </c>
      <c r="T250" s="5">
        <v>252.05</v>
      </c>
      <c r="U250" s="8">
        <v>-0.96730000000000005</v>
      </c>
      <c r="V250" s="8">
        <v>0.14180000000000001</v>
      </c>
      <c r="W250" s="5">
        <v>-149.55000000000001</v>
      </c>
      <c r="X250" s="6">
        <v>-7.6258027999520691E-3</v>
      </c>
      <c r="Y250" s="4">
        <v>0</v>
      </c>
      <c r="Z250" s="6">
        <v>0</v>
      </c>
      <c r="AA250" s="5">
        <v>40284.1</v>
      </c>
      <c r="AB250" s="5">
        <v>40977.75</v>
      </c>
      <c r="AC250" s="5">
        <v>693.65</v>
      </c>
      <c r="AD250" s="5">
        <v>1.7219</v>
      </c>
      <c r="AE250" s="4">
        <v>2</v>
      </c>
      <c r="AF250" s="5">
        <v>-3.3333000000000002E-2</v>
      </c>
      <c r="AG250" s="5">
        <v>680.22199999999998</v>
      </c>
      <c r="AH250" s="5">
        <v>1.6886000000000001</v>
      </c>
      <c r="AI250" s="8">
        <v>-1.67E-2</v>
      </c>
      <c r="AJ250" s="8">
        <v>1.7708999999999999</v>
      </c>
      <c r="AK250" s="15">
        <v>503.62200000000001</v>
      </c>
      <c r="AL250" s="15">
        <v>0.78810000000000002</v>
      </c>
      <c r="AM250" s="5">
        <v>120.4085</v>
      </c>
      <c r="AN250" s="5">
        <v>120.4085</v>
      </c>
      <c r="AO250" s="4">
        <v>0</v>
      </c>
      <c r="AP250" s="4">
        <v>0</v>
      </c>
      <c r="AQ250" s="8">
        <v>0.65269999999999995</v>
      </c>
      <c r="AR250" s="8">
        <v>0.19159999999999999</v>
      </c>
      <c r="AS250" s="8">
        <v>0.19159999999999999</v>
      </c>
      <c r="AT250" s="5">
        <v>119.69589999999999</v>
      </c>
      <c r="AU250" s="5">
        <v>0.19159999999999999</v>
      </c>
      <c r="AV250" s="7" t="s">
        <v>96</v>
      </c>
    </row>
    <row r="251" spans="1:48" ht="18" customHeight="1" x14ac:dyDescent="0.25">
      <c r="A251" s="10">
        <v>125</v>
      </c>
      <c r="B251" s="10">
        <v>2</v>
      </c>
      <c r="C251" s="10">
        <v>125</v>
      </c>
      <c r="D251" s="88">
        <v>45175</v>
      </c>
      <c r="E251" s="88">
        <v>45177</v>
      </c>
      <c r="F251" s="88">
        <v>45197</v>
      </c>
      <c r="G251" s="11">
        <v>19611.05</v>
      </c>
      <c r="H251" s="11">
        <v>19819.95</v>
      </c>
      <c r="I251" s="12"/>
      <c r="J251" s="12"/>
      <c r="K251" s="92"/>
      <c r="L251" s="92"/>
      <c r="M251" s="12" t="s">
        <v>40</v>
      </c>
      <c r="N251" s="10">
        <v>19300</v>
      </c>
      <c r="O251" s="95">
        <f>IF(F251=F249,O249,MROUND(G251,100))</f>
        <v>19300</v>
      </c>
      <c r="P251" s="95">
        <f>O251-N251</f>
        <v>0</v>
      </c>
      <c r="Q251" s="12" t="s">
        <v>91</v>
      </c>
      <c r="R251" s="10">
        <v>65</v>
      </c>
      <c r="S251" s="11">
        <v>62.65</v>
      </c>
      <c r="T251" s="11">
        <v>35.6</v>
      </c>
      <c r="U251" s="13">
        <v>-0.15090000000000001</v>
      </c>
      <c r="V251" s="13">
        <v>6.6500000000000004E-2</v>
      </c>
      <c r="W251" s="10">
        <v>0</v>
      </c>
      <c r="X251" s="14">
        <v>0</v>
      </c>
      <c r="Y251" s="11">
        <v>-27.05</v>
      </c>
      <c r="Z251" s="14">
        <v>-1.379324411492501E-3</v>
      </c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 t="s">
        <v>96</v>
      </c>
    </row>
    <row r="252" spans="1:48" ht="18" hidden="1" customHeight="1" x14ac:dyDescent="0.25">
      <c r="A252" s="4">
        <v>126</v>
      </c>
      <c r="B252" s="4">
        <v>1</v>
      </c>
      <c r="C252" s="4">
        <v>126</v>
      </c>
      <c r="D252" s="87">
        <v>45177</v>
      </c>
      <c r="E252" s="87">
        <v>45180</v>
      </c>
      <c r="F252" s="87">
        <v>45183</v>
      </c>
      <c r="G252" s="5">
        <v>19819.95</v>
      </c>
      <c r="H252" s="5">
        <v>19996.349999999999</v>
      </c>
      <c r="I252" s="5">
        <v>176.4</v>
      </c>
      <c r="J252" s="6">
        <v>8.9001233605533817E-3</v>
      </c>
      <c r="K252" s="90"/>
      <c r="L252" s="90"/>
      <c r="M252" s="7" t="s">
        <v>28</v>
      </c>
      <c r="N252" s="4">
        <v>19800</v>
      </c>
      <c r="O252" s="94"/>
      <c r="P252" s="94"/>
      <c r="Q252" s="7" t="s">
        <v>89</v>
      </c>
      <c r="R252" s="4">
        <v>65</v>
      </c>
      <c r="S252" s="5">
        <v>103.5</v>
      </c>
      <c r="T252" s="5">
        <v>213.35</v>
      </c>
      <c r="U252" s="8">
        <v>-0.63819999999999999</v>
      </c>
      <c r="V252" s="8">
        <v>-8.6300000000000002E-2</v>
      </c>
      <c r="W252" s="5">
        <v>-109.85</v>
      </c>
      <c r="X252" s="6">
        <v>-5.5423954147210252E-3</v>
      </c>
      <c r="Y252" s="4">
        <v>0</v>
      </c>
      <c r="Z252" s="6">
        <v>0</v>
      </c>
      <c r="AA252" s="5">
        <v>40977.75</v>
      </c>
      <c r="AB252" s="5">
        <v>41444.199999999997</v>
      </c>
      <c r="AC252" s="5">
        <v>466.45</v>
      </c>
      <c r="AD252" s="5">
        <v>1.1383000000000001</v>
      </c>
      <c r="AE252" s="4">
        <v>3</v>
      </c>
      <c r="AF252" s="5">
        <v>-0.05</v>
      </c>
      <c r="AG252" s="5">
        <v>445.96109999999999</v>
      </c>
      <c r="AH252" s="5">
        <v>1.0883</v>
      </c>
      <c r="AI252" s="8">
        <v>0.36699999999999999</v>
      </c>
      <c r="AJ252" s="8">
        <v>1.1438999999999999</v>
      </c>
      <c r="AK252" s="15">
        <v>326.5111</v>
      </c>
      <c r="AL252" s="15">
        <v>0.48559999999999998</v>
      </c>
      <c r="AM252" s="5">
        <v>120.9932</v>
      </c>
      <c r="AN252" s="5">
        <v>120.9932</v>
      </c>
      <c r="AO252" s="4">
        <v>0</v>
      </c>
      <c r="AP252" s="4">
        <v>0</v>
      </c>
      <c r="AQ252" s="8">
        <v>0.44969999999999999</v>
      </c>
      <c r="AR252" s="8">
        <v>0.26179999999999998</v>
      </c>
      <c r="AS252" s="8">
        <v>0.26179999999999998</v>
      </c>
      <c r="AT252" s="5">
        <v>120.72369999999999</v>
      </c>
      <c r="AU252" s="5">
        <v>0.26179999999999998</v>
      </c>
      <c r="AV252" s="7" t="s">
        <v>95</v>
      </c>
    </row>
    <row r="253" spans="1:48" ht="18" customHeight="1" x14ac:dyDescent="0.25">
      <c r="A253" s="10">
        <v>126</v>
      </c>
      <c r="B253" s="10">
        <v>2</v>
      </c>
      <c r="C253" s="10">
        <v>126</v>
      </c>
      <c r="D253" s="88">
        <v>45177</v>
      </c>
      <c r="E253" s="88">
        <v>45180</v>
      </c>
      <c r="F253" s="88">
        <v>45197</v>
      </c>
      <c r="G253" s="11">
        <v>19819.95</v>
      </c>
      <c r="H253" s="11">
        <v>19996.349999999999</v>
      </c>
      <c r="I253" s="12"/>
      <c r="J253" s="12"/>
      <c r="K253" s="92"/>
      <c r="L253" s="92"/>
      <c r="M253" s="12" t="s">
        <v>40</v>
      </c>
      <c r="N253" s="10">
        <v>19300</v>
      </c>
      <c r="O253" s="95">
        <f>IF(F253=F251,O251,MROUND(G253,100))</f>
        <v>19300</v>
      </c>
      <c r="P253" s="95">
        <f>O253-N253</f>
        <v>0</v>
      </c>
      <c r="Q253" s="12" t="s">
        <v>91</v>
      </c>
      <c r="R253" s="10">
        <v>65</v>
      </c>
      <c r="S253" s="11">
        <v>35.6</v>
      </c>
      <c r="T253" s="10">
        <v>26</v>
      </c>
      <c r="U253" s="13">
        <v>-5.6000000000000001E-2</v>
      </c>
      <c r="V253" s="13">
        <v>-1.89E-2</v>
      </c>
      <c r="W253" s="10">
        <v>0</v>
      </c>
      <c r="X253" s="14">
        <v>0</v>
      </c>
      <c r="Y253" s="11">
        <v>-9.6</v>
      </c>
      <c r="Z253" s="14">
        <v>-4.843604549961023E-4</v>
      </c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 t="s">
        <v>95</v>
      </c>
    </row>
    <row r="254" spans="1:48" ht="18" hidden="1" customHeight="1" x14ac:dyDescent="0.25">
      <c r="A254" s="4">
        <v>127</v>
      </c>
      <c r="B254" s="4">
        <v>1</v>
      </c>
      <c r="C254" s="4">
        <v>127</v>
      </c>
      <c r="D254" s="87">
        <v>45180</v>
      </c>
      <c r="E254" s="87">
        <v>45182</v>
      </c>
      <c r="F254" s="87">
        <v>45183</v>
      </c>
      <c r="G254" s="5">
        <v>19996.349999999999</v>
      </c>
      <c r="H254" s="4">
        <v>20070</v>
      </c>
      <c r="I254" s="5">
        <v>73.650000000000006</v>
      </c>
      <c r="J254" s="6">
        <v>3.6831721789226538E-3</v>
      </c>
      <c r="K254" s="90"/>
      <c r="L254" s="90"/>
      <c r="M254" s="7" t="s">
        <v>28</v>
      </c>
      <c r="N254" s="4">
        <v>20000</v>
      </c>
      <c r="O254" s="94"/>
      <c r="P254" s="94"/>
      <c r="Q254" s="7" t="s">
        <v>89</v>
      </c>
      <c r="R254" s="4">
        <v>65</v>
      </c>
      <c r="S254" s="5">
        <v>73.45</v>
      </c>
      <c r="T254" s="5">
        <v>98.15</v>
      </c>
      <c r="U254" s="8">
        <v>-0.29759999999999998</v>
      </c>
      <c r="V254" s="8">
        <v>0.13730000000000001</v>
      </c>
      <c r="W254" s="5">
        <v>-24.7</v>
      </c>
      <c r="X254" s="6">
        <v>-1.235225428640727E-3</v>
      </c>
      <c r="Y254" s="4">
        <v>0</v>
      </c>
      <c r="Z254" s="6">
        <v>0</v>
      </c>
      <c r="AA254" s="5">
        <v>41444.199999999997</v>
      </c>
      <c r="AB254" s="5">
        <v>40245.1</v>
      </c>
      <c r="AC254" s="5">
        <v>-1199.0999999999999</v>
      </c>
      <c r="AD254" s="5">
        <v>-2.8933</v>
      </c>
      <c r="AE254" s="4">
        <v>2</v>
      </c>
      <c r="AF254" s="5">
        <v>-3.3333000000000002E-2</v>
      </c>
      <c r="AG254" s="5">
        <v>-1212.9147</v>
      </c>
      <c r="AH254" s="5">
        <v>-2.9266000000000001</v>
      </c>
      <c r="AI254" s="8">
        <v>-4.4729000000000001</v>
      </c>
      <c r="AJ254" s="8">
        <v>0.56850000000000001</v>
      </c>
      <c r="AK254" s="9">
        <v>-1270.7646999999999</v>
      </c>
      <c r="AL254" s="9">
        <v>-3.2159</v>
      </c>
      <c r="AM254" s="5">
        <v>117.1022</v>
      </c>
      <c r="AN254" s="5">
        <v>120.9932</v>
      </c>
      <c r="AO254" s="5">
        <v>-3.891</v>
      </c>
      <c r="AP254" s="5">
        <v>-3.2159</v>
      </c>
      <c r="AQ254" s="8">
        <v>1.8100000000000002E-2</v>
      </c>
      <c r="AR254" s="8">
        <v>-4.1581000000000001</v>
      </c>
      <c r="AS254" s="8">
        <v>-4.1581000000000001</v>
      </c>
      <c r="AT254" s="5">
        <v>115.9622</v>
      </c>
      <c r="AU254" s="5">
        <v>-4.1581000000000001</v>
      </c>
      <c r="AV254" s="7" t="s">
        <v>90</v>
      </c>
    </row>
    <row r="255" spans="1:48" ht="18" customHeight="1" x14ac:dyDescent="0.25">
      <c r="A255" s="10">
        <v>127</v>
      </c>
      <c r="B255" s="10">
        <v>2</v>
      </c>
      <c r="C255" s="10">
        <v>127</v>
      </c>
      <c r="D255" s="88">
        <v>45180</v>
      </c>
      <c r="E255" s="88">
        <v>45182</v>
      </c>
      <c r="F255" s="88">
        <v>45197</v>
      </c>
      <c r="G255" s="11">
        <v>19996.349999999999</v>
      </c>
      <c r="H255" s="10">
        <v>20070</v>
      </c>
      <c r="I255" s="12"/>
      <c r="J255" s="12"/>
      <c r="K255" s="92"/>
      <c r="L255" s="92"/>
      <c r="M255" s="12" t="s">
        <v>40</v>
      </c>
      <c r="N255" s="10">
        <v>20000</v>
      </c>
      <c r="O255" s="95">
        <f>IF(F255=F253,O253,MROUND(G255,100))</f>
        <v>19300</v>
      </c>
      <c r="P255" s="95">
        <f>O255-N255</f>
        <v>-700</v>
      </c>
      <c r="Q255" s="12" t="s">
        <v>91</v>
      </c>
      <c r="R255" s="10">
        <v>65</v>
      </c>
      <c r="S255" s="11">
        <v>148.5</v>
      </c>
      <c r="T255" s="11">
        <v>115.35</v>
      </c>
      <c r="U255" s="13">
        <v>-0.25280000000000002</v>
      </c>
      <c r="V255" s="13">
        <v>0.17749999999999999</v>
      </c>
      <c r="W255" s="10">
        <v>0</v>
      </c>
      <c r="X255" s="14">
        <v>0</v>
      </c>
      <c r="Y255" s="11">
        <v>-33.15</v>
      </c>
      <c r="Z255" s="14">
        <v>-1.6578025489651859E-3</v>
      </c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 t="s">
        <v>90</v>
      </c>
    </row>
    <row r="256" spans="1:48" ht="18" hidden="1" customHeight="1" x14ac:dyDescent="0.25">
      <c r="A256" s="4">
        <v>128</v>
      </c>
      <c r="B256" s="4">
        <v>1</v>
      </c>
      <c r="C256" s="4">
        <v>128</v>
      </c>
      <c r="D256" s="87">
        <v>45182</v>
      </c>
      <c r="E256" s="87">
        <v>45189</v>
      </c>
      <c r="F256" s="87">
        <v>45190</v>
      </c>
      <c r="G256" s="4">
        <v>20070</v>
      </c>
      <c r="H256" s="5">
        <v>19901.400000000001</v>
      </c>
      <c r="I256" s="5">
        <v>-168.6</v>
      </c>
      <c r="J256" s="6">
        <v>-8.4005979073243642E-3</v>
      </c>
      <c r="K256" s="90"/>
      <c r="L256" s="90"/>
      <c r="M256" s="7" t="s">
        <v>28</v>
      </c>
      <c r="N256" s="4">
        <v>20100</v>
      </c>
      <c r="O256" s="94"/>
      <c r="P256" s="94"/>
      <c r="Q256" s="7" t="s">
        <v>89</v>
      </c>
      <c r="R256" s="4">
        <v>65</v>
      </c>
      <c r="S256" s="4">
        <v>118</v>
      </c>
      <c r="T256" s="5">
        <v>5.0999999999999996</v>
      </c>
      <c r="U256" s="8">
        <v>-0.31390000000000001</v>
      </c>
      <c r="V256" s="8">
        <v>0.56530000000000002</v>
      </c>
      <c r="W256" s="5">
        <v>112.9</v>
      </c>
      <c r="X256" s="6">
        <v>5.6253114100647738E-3</v>
      </c>
      <c r="Y256" s="4">
        <v>0</v>
      </c>
      <c r="Z256" s="6">
        <v>0</v>
      </c>
      <c r="AA256" s="5">
        <v>40245.1</v>
      </c>
      <c r="AB256" s="5">
        <v>40543.85</v>
      </c>
      <c r="AC256" s="5">
        <v>298.75</v>
      </c>
      <c r="AD256" s="5">
        <v>0.74229999999999996</v>
      </c>
      <c r="AE256" s="4">
        <v>7</v>
      </c>
      <c r="AF256" s="5">
        <v>-0.11666700000000001</v>
      </c>
      <c r="AG256" s="5">
        <v>251.79740000000001</v>
      </c>
      <c r="AH256" s="5">
        <v>0.62570000000000003</v>
      </c>
      <c r="AI256" s="8">
        <v>4.8599999999999997E-2</v>
      </c>
      <c r="AJ256" s="8">
        <v>1.7989999999999999</v>
      </c>
      <c r="AK256" s="15">
        <v>379.04739999999998</v>
      </c>
      <c r="AL256" s="15">
        <v>1.2597</v>
      </c>
      <c r="AM256" s="5">
        <v>118.57729999999999</v>
      </c>
      <c r="AN256" s="5">
        <v>120.9932</v>
      </c>
      <c r="AO256" s="5">
        <v>-2.4159000000000002</v>
      </c>
      <c r="AP256" s="5">
        <v>-1.9966999999999999</v>
      </c>
      <c r="AQ256" s="8">
        <v>1.1679999999999999</v>
      </c>
      <c r="AR256" s="8">
        <v>0.84040000000000004</v>
      </c>
      <c r="AS256" s="8">
        <v>0.84040000000000004</v>
      </c>
      <c r="AT256" s="5">
        <v>118.08629999999999</v>
      </c>
      <c r="AU256" s="5">
        <v>-2.4024999999999999</v>
      </c>
      <c r="AV256" s="7" t="s">
        <v>90</v>
      </c>
    </row>
    <row r="257" spans="1:48" ht="18" customHeight="1" x14ac:dyDescent="0.25">
      <c r="A257" s="10">
        <v>128</v>
      </c>
      <c r="B257" s="10">
        <v>2</v>
      </c>
      <c r="C257" s="10">
        <v>128</v>
      </c>
      <c r="D257" s="88">
        <v>45182</v>
      </c>
      <c r="E257" s="88">
        <v>45189</v>
      </c>
      <c r="F257" s="88">
        <v>45197</v>
      </c>
      <c r="G257" s="10">
        <v>20070</v>
      </c>
      <c r="H257" s="11">
        <v>19901.400000000001</v>
      </c>
      <c r="I257" s="12"/>
      <c r="J257" s="12"/>
      <c r="K257" s="92"/>
      <c r="L257" s="92"/>
      <c r="M257" s="12" t="s">
        <v>40</v>
      </c>
      <c r="N257" s="10">
        <v>20000</v>
      </c>
      <c r="O257" s="95">
        <f>IF(F257=F255,O255,MROUND(G257,100))</f>
        <v>19300</v>
      </c>
      <c r="P257" s="95">
        <f>O257-N257</f>
        <v>-700</v>
      </c>
      <c r="Q257" s="12" t="s">
        <v>91</v>
      </c>
      <c r="R257" s="10">
        <v>65</v>
      </c>
      <c r="S257" s="11">
        <v>115.35</v>
      </c>
      <c r="T257" s="11">
        <v>129.69999999999999</v>
      </c>
      <c r="U257" s="13">
        <v>-0.31709999999999999</v>
      </c>
      <c r="V257" s="13">
        <v>0.22650000000000001</v>
      </c>
      <c r="W257" s="10">
        <v>0</v>
      </c>
      <c r="X257" s="14">
        <v>0</v>
      </c>
      <c r="Y257" s="11">
        <v>14.35</v>
      </c>
      <c r="Z257" s="14">
        <v>7.1499750871948178E-4</v>
      </c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 t="s">
        <v>90</v>
      </c>
    </row>
    <row r="258" spans="1:48" ht="18" hidden="1" customHeight="1" x14ac:dyDescent="0.25">
      <c r="A258" s="4">
        <v>129</v>
      </c>
      <c r="B258" s="4">
        <v>1</v>
      </c>
      <c r="C258" s="4">
        <v>129</v>
      </c>
      <c r="D258" s="87">
        <v>45189</v>
      </c>
      <c r="E258" s="87">
        <v>45191</v>
      </c>
      <c r="F258" s="87">
        <v>45197</v>
      </c>
      <c r="G258" s="5">
        <v>19901.400000000001</v>
      </c>
      <c r="H258" s="5">
        <v>19674.25</v>
      </c>
      <c r="I258" s="5">
        <v>-227.15</v>
      </c>
      <c r="J258" s="6">
        <v>-1.1413769885535691E-2</v>
      </c>
      <c r="K258" s="90"/>
      <c r="L258" s="90"/>
      <c r="M258" s="7" t="s">
        <v>28</v>
      </c>
      <c r="N258" s="4">
        <v>19900</v>
      </c>
      <c r="O258" s="94"/>
      <c r="P258" s="94"/>
      <c r="Q258" s="7" t="s">
        <v>89</v>
      </c>
      <c r="R258" s="4">
        <v>65</v>
      </c>
      <c r="S258" s="5">
        <v>161.69999999999999</v>
      </c>
      <c r="T258" s="5">
        <v>24.5</v>
      </c>
      <c r="U258" s="8">
        <v>0.1711</v>
      </c>
      <c r="V258" s="8">
        <v>0.70520000000000005</v>
      </c>
      <c r="W258" s="5">
        <v>137.19999999999999</v>
      </c>
      <c r="X258" s="6">
        <v>6.8939873576733283E-3</v>
      </c>
      <c r="Y258" s="4">
        <v>0</v>
      </c>
      <c r="Z258" s="6">
        <v>0</v>
      </c>
      <c r="AA258" s="5">
        <v>40543.85</v>
      </c>
      <c r="AB258" s="5">
        <v>40139.15</v>
      </c>
      <c r="AC258" s="5">
        <v>-404.7</v>
      </c>
      <c r="AD258" s="5">
        <v>-0.99819999999999998</v>
      </c>
      <c r="AE258" s="4">
        <v>2</v>
      </c>
      <c r="AF258" s="5">
        <v>-3.3333000000000002E-2</v>
      </c>
      <c r="AG258" s="5">
        <v>-418.21460000000002</v>
      </c>
      <c r="AH258" s="5">
        <v>-1.0315000000000001</v>
      </c>
      <c r="AI258" s="8">
        <v>-1.5980000000000001</v>
      </c>
      <c r="AJ258" s="8">
        <v>0.28199999999999997</v>
      </c>
      <c r="AK258" s="9">
        <v>-107.16459999999999</v>
      </c>
      <c r="AL258" s="9">
        <v>0.53149999999999997</v>
      </c>
      <c r="AM258" s="5">
        <v>119.2076</v>
      </c>
      <c r="AN258" s="5">
        <v>120.9932</v>
      </c>
      <c r="AO258" s="5">
        <v>-1.7856000000000001</v>
      </c>
      <c r="AP258" s="5">
        <v>-1.4758</v>
      </c>
      <c r="AQ258" s="8">
        <v>0.53</v>
      </c>
      <c r="AR258" s="8">
        <v>9.0800000000000006E-2</v>
      </c>
      <c r="AS258" s="8">
        <v>9.0800000000000006E-2</v>
      </c>
      <c r="AT258" s="5">
        <v>118.685</v>
      </c>
      <c r="AU258" s="5">
        <v>-1.9077</v>
      </c>
      <c r="AV258" s="7" t="s">
        <v>93</v>
      </c>
    </row>
    <row r="259" spans="1:48" ht="18" customHeight="1" x14ac:dyDescent="0.25">
      <c r="A259" s="10">
        <v>129</v>
      </c>
      <c r="B259" s="10">
        <v>2</v>
      </c>
      <c r="C259" s="10">
        <v>129</v>
      </c>
      <c r="D259" s="88">
        <v>45189</v>
      </c>
      <c r="E259" s="88">
        <v>45191</v>
      </c>
      <c r="F259" s="88">
        <v>45197</v>
      </c>
      <c r="G259" s="11">
        <v>19901.400000000001</v>
      </c>
      <c r="H259" s="11">
        <v>19674.25</v>
      </c>
      <c r="I259" s="12"/>
      <c r="J259" s="12"/>
      <c r="K259" s="92"/>
      <c r="L259" s="92"/>
      <c r="M259" s="12" t="s">
        <v>40</v>
      </c>
      <c r="N259" s="10">
        <v>20000</v>
      </c>
      <c r="O259" s="95">
        <f>IF(F259=F257,O257,MROUND(G259,100))</f>
        <v>19300</v>
      </c>
      <c r="P259" s="95">
        <f>O259-N259</f>
        <v>-700</v>
      </c>
      <c r="Q259" s="12" t="s">
        <v>91</v>
      </c>
      <c r="R259" s="10">
        <v>65</v>
      </c>
      <c r="S259" s="11">
        <v>129.69999999999999</v>
      </c>
      <c r="T259" s="11">
        <v>303.55</v>
      </c>
      <c r="U259" s="13">
        <v>7.6899999999999996E-2</v>
      </c>
      <c r="V259" s="13">
        <v>0.98360000000000003</v>
      </c>
      <c r="W259" s="10">
        <v>0</v>
      </c>
      <c r="X259" s="14">
        <v>0</v>
      </c>
      <c r="Y259" s="11">
        <v>173.85</v>
      </c>
      <c r="Z259" s="14">
        <v>8.7355663420663858E-3</v>
      </c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 t="s">
        <v>93</v>
      </c>
    </row>
    <row r="260" spans="1:48" ht="18" hidden="1" customHeight="1" x14ac:dyDescent="0.25">
      <c r="A260" s="4">
        <v>130</v>
      </c>
      <c r="B260" s="4">
        <v>1</v>
      </c>
      <c r="C260" s="4">
        <v>130</v>
      </c>
      <c r="D260" s="87">
        <v>45191</v>
      </c>
      <c r="E260" s="87">
        <v>45196</v>
      </c>
      <c r="F260" s="87">
        <v>45197</v>
      </c>
      <c r="G260" s="5">
        <v>19674.25</v>
      </c>
      <c r="H260" s="5">
        <v>19716.45</v>
      </c>
      <c r="I260" s="5">
        <v>42.2</v>
      </c>
      <c r="J260" s="6">
        <v>2.1449356392238589E-3</v>
      </c>
      <c r="K260" s="90"/>
      <c r="L260" s="90"/>
      <c r="M260" s="7" t="s">
        <v>28</v>
      </c>
      <c r="N260" s="4">
        <v>19700</v>
      </c>
      <c r="O260" s="94"/>
      <c r="P260" s="94"/>
      <c r="Q260" s="7" t="s">
        <v>89</v>
      </c>
      <c r="R260" s="4">
        <v>65</v>
      </c>
      <c r="S260" s="5">
        <v>96.2</v>
      </c>
      <c r="T260" s="5">
        <v>53.5</v>
      </c>
      <c r="U260" s="8">
        <v>-9.9599999999999994E-2</v>
      </c>
      <c r="V260" s="8">
        <v>0.42159999999999997</v>
      </c>
      <c r="W260" s="5">
        <v>42.7</v>
      </c>
      <c r="X260" s="6">
        <v>2.1703495685985491E-3</v>
      </c>
      <c r="Y260" s="4">
        <v>0</v>
      </c>
      <c r="Z260" s="6">
        <v>0</v>
      </c>
      <c r="AA260" s="5">
        <v>40139.15</v>
      </c>
      <c r="AB260" s="5">
        <v>40640.800000000003</v>
      </c>
      <c r="AC260" s="5">
        <v>501.65</v>
      </c>
      <c r="AD260" s="5">
        <v>1.2498</v>
      </c>
      <c r="AE260" s="4">
        <v>5</v>
      </c>
      <c r="AF260" s="5">
        <v>-8.3333000000000004E-2</v>
      </c>
      <c r="AG260" s="5">
        <v>468.20069999999998</v>
      </c>
      <c r="AH260" s="5">
        <v>1.1664000000000001</v>
      </c>
      <c r="AI260" s="8">
        <v>-0.62090000000000001</v>
      </c>
      <c r="AJ260" s="8">
        <v>1.2591000000000001</v>
      </c>
      <c r="AK260" s="15">
        <v>492.35070000000002</v>
      </c>
      <c r="AL260" s="15">
        <v>1.2890999999999999</v>
      </c>
      <c r="AM260" s="5">
        <v>120.7443</v>
      </c>
      <c r="AN260" s="5">
        <v>120.9932</v>
      </c>
      <c r="AO260" s="5">
        <v>-0.24890000000000001</v>
      </c>
      <c r="AP260" s="5">
        <v>-0.20569999999999999</v>
      </c>
      <c r="AQ260" s="8">
        <v>0.88380000000000003</v>
      </c>
      <c r="AR260" s="8">
        <v>0.59440000000000004</v>
      </c>
      <c r="AS260" s="8">
        <v>0.59440000000000004</v>
      </c>
      <c r="AT260" s="5">
        <v>119.9161</v>
      </c>
      <c r="AU260" s="5">
        <v>-0.89019999999999999</v>
      </c>
      <c r="AV260" s="7" t="s">
        <v>90</v>
      </c>
    </row>
    <row r="261" spans="1:48" ht="18" customHeight="1" x14ac:dyDescent="0.25">
      <c r="A261" s="10">
        <v>130</v>
      </c>
      <c r="B261" s="10">
        <v>2</v>
      </c>
      <c r="C261" s="10">
        <v>130</v>
      </c>
      <c r="D261" s="88">
        <v>45191</v>
      </c>
      <c r="E261" s="88">
        <v>45196</v>
      </c>
      <c r="F261" s="88">
        <v>45197</v>
      </c>
      <c r="G261" s="11">
        <v>19674.25</v>
      </c>
      <c r="H261" s="11">
        <v>19716.45</v>
      </c>
      <c r="I261" s="12"/>
      <c r="J261" s="12"/>
      <c r="K261" s="92"/>
      <c r="L261" s="92"/>
      <c r="M261" s="12" t="s">
        <v>40</v>
      </c>
      <c r="N261" s="10">
        <v>20000</v>
      </c>
      <c r="O261" s="95">
        <f>IF(F261=F259,O259,MROUND(G261,100))</f>
        <v>19300</v>
      </c>
      <c r="P261" s="95">
        <f>O261-N261</f>
        <v>-700</v>
      </c>
      <c r="Q261" s="12" t="s">
        <v>91</v>
      </c>
      <c r="R261" s="10">
        <v>65</v>
      </c>
      <c r="S261" s="11">
        <v>303.55</v>
      </c>
      <c r="T261" s="10">
        <v>285</v>
      </c>
      <c r="U261" s="13">
        <v>-0.2757</v>
      </c>
      <c r="V261" s="13">
        <v>0.79369999999999996</v>
      </c>
      <c r="W261" s="10">
        <v>0</v>
      </c>
      <c r="X261" s="14">
        <v>0</v>
      </c>
      <c r="Y261" s="11">
        <v>-18.55</v>
      </c>
      <c r="Z261" s="14">
        <v>-9.4285677980100898E-4</v>
      </c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 t="s">
        <v>90</v>
      </c>
    </row>
    <row r="262" spans="1:48" ht="18" hidden="1" customHeight="1" x14ac:dyDescent="0.25">
      <c r="A262" s="4">
        <v>131</v>
      </c>
      <c r="B262" s="4">
        <v>1</v>
      </c>
      <c r="C262" s="4">
        <v>131</v>
      </c>
      <c r="D262" s="87">
        <v>45196</v>
      </c>
      <c r="E262" s="87">
        <v>45203</v>
      </c>
      <c r="F262" s="87">
        <v>45204</v>
      </c>
      <c r="G262" s="5">
        <v>19716.45</v>
      </c>
      <c r="H262" s="5">
        <v>19436.099999999999</v>
      </c>
      <c r="I262" s="5">
        <v>-280.35000000000002</v>
      </c>
      <c r="J262" s="6">
        <v>-1.4219091164991669E-2</v>
      </c>
      <c r="K262" s="90"/>
      <c r="L262" s="90"/>
      <c r="M262" s="7" t="s">
        <v>28</v>
      </c>
      <c r="N262" s="4">
        <v>19700</v>
      </c>
      <c r="O262" s="94"/>
      <c r="P262" s="94"/>
      <c r="Q262" s="7" t="s">
        <v>89</v>
      </c>
      <c r="R262" s="4">
        <v>65</v>
      </c>
      <c r="S262" s="5">
        <v>145.55000000000001</v>
      </c>
      <c r="T262" s="5">
        <v>1.4</v>
      </c>
      <c r="U262" s="8">
        <v>-7.3499999999999996E-2</v>
      </c>
      <c r="V262" s="8">
        <v>0.73240000000000005</v>
      </c>
      <c r="W262" s="5">
        <v>144.15</v>
      </c>
      <c r="X262" s="6">
        <v>7.3111538841931483E-3</v>
      </c>
      <c r="Y262" s="4">
        <v>0</v>
      </c>
      <c r="Z262" s="6">
        <v>0</v>
      </c>
      <c r="AA262" s="5">
        <v>40640.800000000003</v>
      </c>
      <c r="AB262" s="5">
        <v>40047.5</v>
      </c>
      <c r="AC262" s="5">
        <v>-593.29999999999995</v>
      </c>
      <c r="AD262" s="5">
        <v>-1.4599</v>
      </c>
      <c r="AE262" s="4">
        <v>7</v>
      </c>
      <c r="AF262" s="5">
        <v>-0.11666700000000001</v>
      </c>
      <c r="AG262" s="5">
        <v>-640.71429999999998</v>
      </c>
      <c r="AH262" s="5">
        <v>-1.5765</v>
      </c>
      <c r="AI262" s="8">
        <v>-2.3136000000000001</v>
      </c>
      <c r="AJ262" s="8">
        <v>0.29320000000000002</v>
      </c>
      <c r="AK262" s="9">
        <v>-348.26429999999999</v>
      </c>
      <c r="AL262" s="9">
        <v>-9.3200000000000005E-2</v>
      </c>
      <c r="AM262" s="5">
        <v>120.6317</v>
      </c>
      <c r="AN262" s="5">
        <v>120.9932</v>
      </c>
      <c r="AO262" s="5">
        <v>-0.36149999999999999</v>
      </c>
      <c r="AP262" s="5">
        <v>-0.29880000000000001</v>
      </c>
      <c r="AQ262" s="8">
        <v>0.16370000000000001</v>
      </c>
      <c r="AR262" s="8">
        <v>-0.41849999999999998</v>
      </c>
      <c r="AS262" s="8">
        <v>-0.41849999999999998</v>
      </c>
      <c r="AT262" s="5">
        <v>120.239</v>
      </c>
      <c r="AU262" s="5">
        <v>-0.62339999999999995</v>
      </c>
      <c r="AV262" s="7" t="s">
        <v>97</v>
      </c>
    </row>
    <row r="263" spans="1:48" ht="18" customHeight="1" x14ac:dyDescent="0.25">
      <c r="A263" s="10">
        <v>131</v>
      </c>
      <c r="B263" s="10">
        <v>2</v>
      </c>
      <c r="C263" s="10">
        <v>131</v>
      </c>
      <c r="D263" s="88">
        <v>45196</v>
      </c>
      <c r="E263" s="88">
        <v>45203</v>
      </c>
      <c r="F263" s="88">
        <v>45225</v>
      </c>
      <c r="G263" s="11">
        <v>19716.45</v>
      </c>
      <c r="H263" s="11">
        <v>19436.099999999999</v>
      </c>
      <c r="I263" s="12"/>
      <c r="J263" s="12"/>
      <c r="K263" s="92"/>
      <c r="L263" s="92"/>
      <c r="M263" s="12" t="s">
        <v>40</v>
      </c>
      <c r="N263" s="10">
        <v>19700</v>
      </c>
      <c r="O263" s="95">
        <f>IF(F263=F261,O261,MROUND(G263,100))</f>
        <v>19700</v>
      </c>
      <c r="P263" s="95">
        <f>O263-N263</f>
        <v>0</v>
      </c>
      <c r="Q263" s="12" t="s">
        <v>91</v>
      </c>
      <c r="R263" s="10">
        <v>65</v>
      </c>
      <c r="S263" s="11">
        <v>184.25</v>
      </c>
      <c r="T263" s="11">
        <v>332.55</v>
      </c>
      <c r="U263" s="13">
        <v>-5.6000000000000001E-2</v>
      </c>
      <c r="V263" s="13">
        <v>1.1627000000000001</v>
      </c>
      <c r="W263" s="10">
        <v>0</v>
      </c>
      <c r="X263" s="14">
        <v>0</v>
      </c>
      <c r="Y263" s="11">
        <v>148.30000000000001</v>
      </c>
      <c r="Z263" s="14">
        <v>7.5216380230721048E-3</v>
      </c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 t="s">
        <v>97</v>
      </c>
    </row>
    <row r="264" spans="1:48" ht="18" hidden="1" customHeight="1" x14ac:dyDescent="0.25">
      <c r="A264" s="4">
        <v>132</v>
      </c>
      <c r="B264" s="4">
        <v>1</v>
      </c>
      <c r="C264" s="4">
        <v>132</v>
      </c>
      <c r="D264" s="87">
        <v>45203</v>
      </c>
      <c r="E264" s="87">
        <v>45205</v>
      </c>
      <c r="F264" s="87">
        <v>45211</v>
      </c>
      <c r="G264" s="5">
        <v>19436.099999999999</v>
      </c>
      <c r="H264" s="5">
        <v>19653.5</v>
      </c>
      <c r="I264" s="5">
        <v>217.4</v>
      </c>
      <c r="J264" s="6">
        <v>1.1185371550876981E-2</v>
      </c>
      <c r="K264" s="90"/>
      <c r="L264" s="90"/>
      <c r="M264" s="7" t="s">
        <v>28</v>
      </c>
      <c r="N264" s="4">
        <v>19400</v>
      </c>
      <c r="O264" s="94"/>
      <c r="P264" s="94"/>
      <c r="Q264" s="7" t="s">
        <v>89</v>
      </c>
      <c r="R264" s="4">
        <v>65</v>
      </c>
      <c r="S264" s="5">
        <v>139.94999999999999</v>
      </c>
      <c r="T264" s="5">
        <v>282.25</v>
      </c>
      <c r="U264" s="8">
        <v>-0.81830000000000003</v>
      </c>
      <c r="V264" s="8">
        <v>-8.77E-2</v>
      </c>
      <c r="W264" s="5">
        <v>-142.30000000000001</v>
      </c>
      <c r="X264" s="6">
        <v>-7.3214276526669458E-3</v>
      </c>
      <c r="Y264" s="4">
        <v>0</v>
      </c>
      <c r="Z264" s="6">
        <v>0</v>
      </c>
      <c r="AA264" s="5">
        <v>40047.5</v>
      </c>
      <c r="AB264" s="5">
        <v>40284.699999999997</v>
      </c>
      <c r="AC264" s="5">
        <v>237.2</v>
      </c>
      <c r="AD264" s="5">
        <v>0.59230000000000005</v>
      </c>
      <c r="AE264" s="4">
        <v>2</v>
      </c>
      <c r="AF264" s="5">
        <v>-3.3333000000000002E-2</v>
      </c>
      <c r="AG264" s="5">
        <v>223.85079999999999</v>
      </c>
      <c r="AH264" s="5">
        <v>0.55900000000000005</v>
      </c>
      <c r="AI264" s="8">
        <v>-0.1002</v>
      </c>
      <c r="AJ264" s="8">
        <v>0.86939999999999995</v>
      </c>
      <c r="AK264" s="9">
        <v>-68.499200000000002</v>
      </c>
      <c r="AL264" s="9">
        <v>-0.94520000000000004</v>
      </c>
      <c r="AM264" s="5">
        <v>119.4915</v>
      </c>
      <c r="AN264" s="5">
        <v>120.9932</v>
      </c>
      <c r="AO264" s="5">
        <v>-1.5017</v>
      </c>
      <c r="AP264" s="5">
        <v>-1.2411000000000001</v>
      </c>
      <c r="AQ264" s="8">
        <v>-0.75539999999999996</v>
      </c>
      <c r="AR264" s="8">
        <v>-0.3891</v>
      </c>
      <c r="AS264" s="8">
        <v>-0.94520000000000004</v>
      </c>
      <c r="AT264" s="5">
        <v>119.4915</v>
      </c>
      <c r="AU264" s="5">
        <v>-1.2411000000000001</v>
      </c>
      <c r="AV264" s="7" t="s">
        <v>96</v>
      </c>
    </row>
    <row r="265" spans="1:48" ht="18" customHeight="1" x14ac:dyDescent="0.25">
      <c r="A265" s="10">
        <v>132</v>
      </c>
      <c r="B265" s="10">
        <v>2</v>
      </c>
      <c r="C265" s="10">
        <v>132</v>
      </c>
      <c r="D265" s="88">
        <v>45203</v>
      </c>
      <c r="E265" s="88">
        <v>45205</v>
      </c>
      <c r="F265" s="88">
        <v>45225</v>
      </c>
      <c r="G265" s="11">
        <v>19436.099999999999</v>
      </c>
      <c r="H265" s="11">
        <v>19653.5</v>
      </c>
      <c r="I265" s="12"/>
      <c r="J265" s="12"/>
      <c r="K265" s="92"/>
      <c r="L265" s="92"/>
      <c r="M265" s="12" t="s">
        <v>40</v>
      </c>
      <c r="N265" s="10">
        <v>19700</v>
      </c>
      <c r="O265" s="95">
        <f>IF(F265=F263,O263,MROUND(G265,100))</f>
        <v>19700</v>
      </c>
      <c r="P265" s="95">
        <f>O265-N265</f>
        <v>0</v>
      </c>
      <c r="Q265" s="12" t="s">
        <v>91</v>
      </c>
      <c r="R265" s="10">
        <v>65</v>
      </c>
      <c r="S265" s="11">
        <v>332.55</v>
      </c>
      <c r="T265" s="11">
        <v>182.5</v>
      </c>
      <c r="U265" s="13">
        <v>-0.80649999999999999</v>
      </c>
      <c r="V265" s="13">
        <v>-0.20119999999999999</v>
      </c>
      <c r="W265" s="10">
        <v>0</v>
      </c>
      <c r="X265" s="14">
        <v>0</v>
      </c>
      <c r="Y265" s="11">
        <v>-150.05000000000001</v>
      </c>
      <c r="Z265" s="14">
        <v>-7.7201701987538668E-3</v>
      </c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 t="s">
        <v>96</v>
      </c>
    </row>
    <row r="266" spans="1:48" ht="18" hidden="1" customHeight="1" x14ac:dyDescent="0.25">
      <c r="A266" s="4">
        <v>133</v>
      </c>
      <c r="B266" s="4">
        <v>1</v>
      </c>
      <c r="C266" s="4">
        <v>133</v>
      </c>
      <c r="D266" s="87">
        <v>45205</v>
      </c>
      <c r="E266" s="87">
        <v>45210</v>
      </c>
      <c r="F266" s="87">
        <v>45211</v>
      </c>
      <c r="G266" s="5">
        <v>19653.5</v>
      </c>
      <c r="H266" s="5">
        <v>19811.349999999999</v>
      </c>
      <c r="I266" s="5">
        <v>157.85</v>
      </c>
      <c r="J266" s="6">
        <v>8.0316483069173428E-3</v>
      </c>
      <c r="K266" s="90"/>
      <c r="L266" s="90"/>
      <c r="M266" s="7" t="s">
        <v>28</v>
      </c>
      <c r="N266" s="4">
        <v>19700</v>
      </c>
      <c r="O266" s="94"/>
      <c r="P266" s="94"/>
      <c r="Q266" s="7" t="s">
        <v>89</v>
      </c>
      <c r="R266" s="4">
        <v>65</v>
      </c>
      <c r="S266" s="4">
        <v>68</v>
      </c>
      <c r="T266" s="5">
        <v>134.30000000000001</v>
      </c>
      <c r="U266" s="8">
        <v>-0.48309999999999997</v>
      </c>
      <c r="V266" s="8">
        <v>0.25009999999999999</v>
      </c>
      <c r="W266" s="5">
        <v>-66.3</v>
      </c>
      <c r="X266" s="6">
        <v>-3.3734449334724089E-3</v>
      </c>
      <c r="Y266" s="4">
        <v>0</v>
      </c>
      <c r="Z266" s="6">
        <v>0</v>
      </c>
      <c r="AA266" s="5">
        <v>40284.699999999997</v>
      </c>
      <c r="AB266" s="5">
        <v>40486.25</v>
      </c>
      <c r="AC266" s="5">
        <v>201.55</v>
      </c>
      <c r="AD266" s="5">
        <v>0.50029999999999997</v>
      </c>
      <c r="AE266" s="4">
        <v>5</v>
      </c>
      <c r="AF266" s="5">
        <v>-8.3333000000000004E-2</v>
      </c>
      <c r="AG266" s="5">
        <v>167.9794</v>
      </c>
      <c r="AH266" s="5">
        <v>0.41699999999999998</v>
      </c>
      <c r="AI266" s="8">
        <v>-1.6627000000000001</v>
      </c>
      <c r="AJ266" s="8">
        <v>1.0241</v>
      </c>
      <c r="AK266" s="15">
        <v>24.5794</v>
      </c>
      <c r="AL266" s="15">
        <v>-0.31259999999999999</v>
      </c>
      <c r="AM266" s="5">
        <v>119.11799999999999</v>
      </c>
      <c r="AN266" s="5">
        <v>120.9932</v>
      </c>
      <c r="AO266" s="5">
        <v>-1.8752</v>
      </c>
      <c r="AP266" s="5">
        <v>-1.5499000000000001</v>
      </c>
      <c r="AQ266" s="8">
        <v>0.1174</v>
      </c>
      <c r="AR266" s="8">
        <v>-0.8427</v>
      </c>
      <c r="AS266" s="8">
        <v>-0.8427</v>
      </c>
      <c r="AT266" s="5">
        <v>118.4846</v>
      </c>
      <c r="AU266" s="5">
        <v>-2.0733999999999999</v>
      </c>
      <c r="AV266" s="7" t="s">
        <v>90</v>
      </c>
    </row>
    <row r="267" spans="1:48" ht="18" customHeight="1" x14ac:dyDescent="0.25">
      <c r="A267" s="10">
        <v>133</v>
      </c>
      <c r="B267" s="10">
        <v>2</v>
      </c>
      <c r="C267" s="10">
        <v>133</v>
      </c>
      <c r="D267" s="88">
        <v>45205</v>
      </c>
      <c r="E267" s="88">
        <v>45210</v>
      </c>
      <c r="F267" s="88">
        <v>45225</v>
      </c>
      <c r="G267" s="11">
        <v>19653.5</v>
      </c>
      <c r="H267" s="11">
        <v>19811.349999999999</v>
      </c>
      <c r="I267" s="12"/>
      <c r="J267" s="12"/>
      <c r="K267" s="92"/>
      <c r="L267" s="92"/>
      <c r="M267" s="12" t="s">
        <v>40</v>
      </c>
      <c r="N267" s="10">
        <v>19700</v>
      </c>
      <c r="O267" s="95">
        <f>IF(F267=F265,O265,MROUND(G267,100))</f>
        <v>19700</v>
      </c>
      <c r="P267" s="95">
        <f>O267-N267</f>
        <v>0</v>
      </c>
      <c r="Q267" s="12" t="s">
        <v>91</v>
      </c>
      <c r="R267" s="10">
        <v>65</v>
      </c>
      <c r="S267" s="11">
        <v>182.5</v>
      </c>
      <c r="T267" s="11">
        <v>105.4</v>
      </c>
      <c r="U267" s="13">
        <v>-0.42359999999999998</v>
      </c>
      <c r="V267" s="13">
        <v>0.56989999999999996</v>
      </c>
      <c r="W267" s="10">
        <v>0</v>
      </c>
      <c r="X267" s="14">
        <v>0</v>
      </c>
      <c r="Y267" s="11">
        <v>-77.099999999999994</v>
      </c>
      <c r="Z267" s="14">
        <v>-3.9229653751240226E-3</v>
      </c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 t="s">
        <v>90</v>
      </c>
    </row>
    <row r="268" spans="1:48" ht="18" hidden="1" customHeight="1" x14ac:dyDescent="0.25">
      <c r="A268" s="4">
        <v>134</v>
      </c>
      <c r="B268" s="4">
        <v>1</v>
      </c>
      <c r="C268" s="4">
        <v>134</v>
      </c>
      <c r="D268" s="87">
        <v>45210</v>
      </c>
      <c r="E268" s="87">
        <v>45217</v>
      </c>
      <c r="F268" s="87">
        <v>45218</v>
      </c>
      <c r="G268" s="5">
        <v>19811.349999999999</v>
      </c>
      <c r="H268" s="5">
        <v>19671.099999999999</v>
      </c>
      <c r="I268" s="5">
        <v>-140.25</v>
      </c>
      <c r="J268" s="6">
        <v>-7.0792752639269917E-3</v>
      </c>
      <c r="K268" s="90"/>
      <c r="L268" s="90"/>
      <c r="M268" s="7" t="s">
        <v>28</v>
      </c>
      <c r="N268" s="4">
        <v>19800</v>
      </c>
      <c r="O268" s="94"/>
      <c r="P268" s="94"/>
      <c r="Q268" s="7" t="s">
        <v>89</v>
      </c>
      <c r="R268" s="4">
        <v>65</v>
      </c>
      <c r="S268" s="5">
        <v>139.85</v>
      </c>
      <c r="T268" s="5">
        <v>12.4</v>
      </c>
      <c r="U268" s="8">
        <v>-7.6499999999999999E-2</v>
      </c>
      <c r="V268" s="8">
        <v>0.6643</v>
      </c>
      <c r="W268" s="5">
        <v>127.45</v>
      </c>
      <c r="X268" s="6">
        <v>6.4331809795899831E-3</v>
      </c>
      <c r="Y268" s="4">
        <v>0</v>
      </c>
      <c r="Z268" s="6">
        <v>0</v>
      </c>
      <c r="AA268" s="5">
        <v>40486.25</v>
      </c>
      <c r="AB268" s="5">
        <v>40367.15</v>
      </c>
      <c r="AC268" s="5">
        <v>-119.1</v>
      </c>
      <c r="AD268" s="5">
        <v>-0.29420000000000002</v>
      </c>
      <c r="AE268" s="4">
        <v>7</v>
      </c>
      <c r="AF268" s="5">
        <v>-0.11666700000000001</v>
      </c>
      <c r="AG268" s="5">
        <v>-166.334</v>
      </c>
      <c r="AH268" s="5">
        <v>-0.4108</v>
      </c>
      <c r="AI268" s="8">
        <v>-0.52949999999999997</v>
      </c>
      <c r="AJ268" s="8">
        <v>0.79630000000000001</v>
      </c>
      <c r="AK268" s="9">
        <v>-15.933999999999999</v>
      </c>
      <c r="AL268" s="9">
        <v>0.34839999999999999</v>
      </c>
      <c r="AM268" s="5">
        <v>119.533</v>
      </c>
      <c r="AN268" s="5">
        <v>120.9932</v>
      </c>
      <c r="AO268" s="5">
        <v>-1.4601999999999999</v>
      </c>
      <c r="AP268" s="5">
        <v>-1.2069000000000001</v>
      </c>
      <c r="AQ268" s="8">
        <v>0.49869999999999998</v>
      </c>
      <c r="AR268" s="8">
        <v>0.42449999999999999</v>
      </c>
      <c r="AS268" s="8">
        <v>0.34839999999999999</v>
      </c>
      <c r="AT268" s="5">
        <v>119.533</v>
      </c>
      <c r="AU268" s="5">
        <v>-1.2069000000000001</v>
      </c>
      <c r="AV268" s="7" t="s">
        <v>90</v>
      </c>
    </row>
    <row r="269" spans="1:48" ht="18" customHeight="1" x14ac:dyDescent="0.25">
      <c r="A269" s="10">
        <v>134</v>
      </c>
      <c r="B269" s="10">
        <v>2</v>
      </c>
      <c r="C269" s="10">
        <v>134</v>
      </c>
      <c r="D269" s="88">
        <v>45210</v>
      </c>
      <c r="E269" s="88">
        <v>45217</v>
      </c>
      <c r="F269" s="88">
        <v>45225</v>
      </c>
      <c r="G269" s="11">
        <v>19811.349999999999</v>
      </c>
      <c r="H269" s="11">
        <v>19671.099999999999</v>
      </c>
      <c r="I269" s="12"/>
      <c r="J269" s="12"/>
      <c r="K269" s="92"/>
      <c r="L269" s="92"/>
      <c r="M269" s="12" t="s">
        <v>40</v>
      </c>
      <c r="N269" s="10">
        <v>19700</v>
      </c>
      <c r="O269" s="95">
        <f>IF(F269=F267,O267,MROUND(G269,100))</f>
        <v>19700</v>
      </c>
      <c r="P269" s="95">
        <f>O269-N269</f>
        <v>0</v>
      </c>
      <c r="Q269" s="12" t="s">
        <v>91</v>
      </c>
      <c r="R269" s="10">
        <v>65</v>
      </c>
      <c r="S269" s="11">
        <v>105.4</v>
      </c>
      <c r="T269" s="11">
        <v>128.35</v>
      </c>
      <c r="U269" s="13">
        <v>-0.22109999999999999</v>
      </c>
      <c r="V269" s="13">
        <v>0.28970000000000001</v>
      </c>
      <c r="W269" s="10">
        <v>0</v>
      </c>
      <c r="X269" s="14">
        <v>0</v>
      </c>
      <c r="Y269" s="11">
        <v>22.95</v>
      </c>
      <c r="Z269" s="14">
        <v>1.158426861369871E-3</v>
      </c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 t="s">
        <v>90</v>
      </c>
    </row>
    <row r="270" spans="1:48" ht="18" hidden="1" customHeight="1" x14ac:dyDescent="0.25">
      <c r="A270" s="4">
        <v>135</v>
      </c>
      <c r="B270" s="4">
        <v>1</v>
      </c>
      <c r="C270" s="4">
        <v>135</v>
      </c>
      <c r="D270" s="87">
        <v>45217</v>
      </c>
      <c r="E270" s="87">
        <v>45222</v>
      </c>
      <c r="F270" s="87">
        <v>45225</v>
      </c>
      <c r="G270" s="5">
        <v>19671.099999999999</v>
      </c>
      <c r="H270" s="5">
        <v>19281.75</v>
      </c>
      <c r="I270" s="5">
        <v>-389.35</v>
      </c>
      <c r="J270" s="6">
        <v>-1.9792995816197371E-2</v>
      </c>
      <c r="K270" s="90"/>
      <c r="L270" s="90"/>
      <c r="M270" s="7" t="s">
        <v>28</v>
      </c>
      <c r="N270" s="4">
        <v>19700</v>
      </c>
      <c r="O270" s="94"/>
      <c r="P270" s="94"/>
      <c r="Q270" s="7" t="s">
        <v>89</v>
      </c>
      <c r="R270" s="4">
        <v>65</v>
      </c>
      <c r="S270" s="5">
        <v>115.3</v>
      </c>
      <c r="T270" s="5">
        <v>5.3</v>
      </c>
      <c r="U270" s="8">
        <v>0.1167</v>
      </c>
      <c r="V270" s="8">
        <v>0.57599999999999996</v>
      </c>
      <c r="W270" s="4">
        <v>110</v>
      </c>
      <c r="X270" s="6">
        <v>5.5919597785583936E-3</v>
      </c>
      <c r="Y270" s="4">
        <v>0</v>
      </c>
      <c r="Z270" s="6">
        <v>0</v>
      </c>
      <c r="AA270" s="5">
        <v>40367.15</v>
      </c>
      <c r="AB270" s="5">
        <v>38817.35</v>
      </c>
      <c r="AC270" s="5">
        <v>-1549.8</v>
      </c>
      <c r="AD270" s="5">
        <v>-3.8393000000000002</v>
      </c>
      <c r="AE270" s="4">
        <v>5</v>
      </c>
      <c r="AF270" s="5">
        <v>-8.3333000000000004E-2</v>
      </c>
      <c r="AG270" s="5">
        <v>-1583.4393</v>
      </c>
      <c r="AH270" s="5">
        <v>-3.9226000000000001</v>
      </c>
      <c r="AI270" s="8">
        <v>-4.1947000000000001</v>
      </c>
      <c r="AJ270" s="8">
        <v>4.3E-3</v>
      </c>
      <c r="AK270" s="9">
        <v>-1172.7892999999999</v>
      </c>
      <c r="AL270" s="9">
        <v>-1.835</v>
      </c>
      <c r="AM270" s="5">
        <v>117.3396</v>
      </c>
      <c r="AN270" s="5">
        <v>120.9932</v>
      </c>
      <c r="AO270" s="5">
        <v>-3.6536</v>
      </c>
      <c r="AP270" s="5">
        <v>-3.0196999999999998</v>
      </c>
      <c r="AQ270" s="8">
        <v>8.8700000000000001E-2</v>
      </c>
      <c r="AR270" s="8">
        <v>-1.9111</v>
      </c>
      <c r="AS270" s="8">
        <v>-1.9111</v>
      </c>
      <c r="AT270" s="5">
        <v>117.2486</v>
      </c>
      <c r="AU270" s="5">
        <v>-3.0949</v>
      </c>
      <c r="AV270" s="7" t="s">
        <v>93</v>
      </c>
    </row>
    <row r="271" spans="1:48" ht="18" customHeight="1" x14ac:dyDescent="0.25">
      <c r="A271" s="10">
        <v>135</v>
      </c>
      <c r="B271" s="10">
        <v>2</v>
      </c>
      <c r="C271" s="10">
        <v>135</v>
      </c>
      <c r="D271" s="88">
        <v>45217</v>
      </c>
      <c r="E271" s="88">
        <v>45222</v>
      </c>
      <c r="F271" s="88">
        <v>45225</v>
      </c>
      <c r="G271" s="11">
        <v>19671.099999999999</v>
      </c>
      <c r="H271" s="11">
        <v>19281.75</v>
      </c>
      <c r="I271" s="12"/>
      <c r="J271" s="12"/>
      <c r="K271" s="92"/>
      <c r="L271" s="92"/>
      <c r="M271" s="12" t="s">
        <v>40</v>
      </c>
      <c r="N271" s="10">
        <v>19700</v>
      </c>
      <c r="O271" s="95">
        <f>IF(F271=F269,O269,MROUND(G271,100))</f>
        <v>19700</v>
      </c>
      <c r="P271" s="95">
        <f>O271-N271</f>
        <v>0</v>
      </c>
      <c r="Q271" s="12" t="s">
        <v>91</v>
      </c>
      <c r="R271" s="10">
        <v>65</v>
      </c>
      <c r="S271" s="11">
        <v>128.35</v>
      </c>
      <c r="T271" s="10">
        <v>429</v>
      </c>
      <c r="U271" s="13">
        <v>-3.2300000000000002E-2</v>
      </c>
      <c r="V271" s="13">
        <v>1.7076</v>
      </c>
      <c r="W271" s="10">
        <v>0</v>
      </c>
      <c r="X271" s="14">
        <v>0</v>
      </c>
      <c r="Y271" s="11">
        <v>300.64999999999998</v>
      </c>
      <c r="Z271" s="14">
        <v>1.5283842794759819E-2</v>
      </c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 t="s">
        <v>93</v>
      </c>
    </row>
    <row r="272" spans="1:48" ht="18" hidden="1" customHeight="1" x14ac:dyDescent="0.25">
      <c r="A272" s="4">
        <v>136</v>
      </c>
      <c r="B272" s="4">
        <v>1</v>
      </c>
      <c r="C272" s="4">
        <v>136</v>
      </c>
      <c r="D272" s="87">
        <v>45222</v>
      </c>
      <c r="E272" s="87">
        <v>45224</v>
      </c>
      <c r="F272" s="87">
        <v>45225</v>
      </c>
      <c r="G272" s="5">
        <v>19281.75</v>
      </c>
      <c r="H272" s="5">
        <v>19122.150000000001</v>
      </c>
      <c r="I272" s="5">
        <v>-159.6</v>
      </c>
      <c r="J272" s="6">
        <v>-8.2772569917149638E-3</v>
      </c>
      <c r="K272" s="90"/>
      <c r="L272" s="90"/>
      <c r="M272" s="7" t="s">
        <v>28</v>
      </c>
      <c r="N272" s="4">
        <v>19300</v>
      </c>
      <c r="O272" s="94"/>
      <c r="P272" s="94"/>
      <c r="Q272" s="7" t="s">
        <v>89</v>
      </c>
      <c r="R272" s="4">
        <v>65</v>
      </c>
      <c r="S272" s="5">
        <v>73.75</v>
      </c>
      <c r="T272" s="5">
        <v>9.9</v>
      </c>
      <c r="U272" s="8">
        <v>-0.1361</v>
      </c>
      <c r="V272" s="8">
        <v>0.34510000000000002</v>
      </c>
      <c r="W272" s="5">
        <v>63.85</v>
      </c>
      <c r="X272" s="6">
        <v>3.31142142181078E-3</v>
      </c>
      <c r="Y272" s="4">
        <v>0</v>
      </c>
      <c r="Z272" s="6">
        <v>0</v>
      </c>
      <c r="AA272" s="5">
        <v>38817.35</v>
      </c>
      <c r="AB272" s="5">
        <v>38564.25</v>
      </c>
      <c r="AC272" s="5">
        <v>-253.1</v>
      </c>
      <c r="AD272" s="5">
        <v>-0.65200000000000002</v>
      </c>
      <c r="AE272" s="4">
        <v>2</v>
      </c>
      <c r="AF272" s="5">
        <v>-3.3333000000000002E-2</v>
      </c>
      <c r="AG272" s="5">
        <v>-266.03910000000002</v>
      </c>
      <c r="AH272" s="5">
        <v>-0.68540000000000001</v>
      </c>
      <c r="AI272" s="8">
        <v>-1.655</v>
      </c>
      <c r="AJ272" s="8">
        <v>0.65180000000000005</v>
      </c>
      <c r="AK272" s="9">
        <v>-56.589100000000002</v>
      </c>
      <c r="AL272" s="9">
        <v>0.40089999999999998</v>
      </c>
      <c r="AM272" s="5">
        <v>117.81</v>
      </c>
      <c r="AN272" s="5">
        <v>120.9932</v>
      </c>
      <c r="AO272" s="5">
        <v>-3.1831999999999998</v>
      </c>
      <c r="AP272" s="5">
        <v>-2.6309</v>
      </c>
      <c r="AQ272" s="8">
        <v>0.12670000000000001</v>
      </c>
      <c r="AR272" s="8">
        <v>-0.24779999999999999</v>
      </c>
      <c r="AS272" s="8">
        <v>-0.24779999999999999</v>
      </c>
      <c r="AT272" s="5">
        <v>117.0488</v>
      </c>
      <c r="AU272" s="5">
        <v>-3.26</v>
      </c>
      <c r="AV272" s="7" t="s">
        <v>90</v>
      </c>
    </row>
    <row r="273" spans="1:48" ht="18" customHeight="1" x14ac:dyDescent="0.25">
      <c r="A273" s="10">
        <v>136</v>
      </c>
      <c r="B273" s="10">
        <v>2</v>
      </c>
      <c r="C273" s="10">
        <v>136</v>
      </c>
      <c r="D273" s="88">
        <v>45222</v>
      </c>
      <c r="E273" s="88">
        <v>45224</v>
      </c>
      <c r="F273" s="88">
        <v>45225</v>
      </c>
      <c r="G273" s="11">
        <v>19281.75</v>
      </c>
      <c r="H273" s="11">
        <v>19122.150000000001</v>
      </c>
      <c r="I273" s="12"/>
      <c r="J273" s="12"/>
      <c r="K273" s="92"/>
      <c r="L273" s="92"/>
      <c r="M273" s="12" t="s">
        <v>40</v>
      </c>
      <c r="N273" s="10">
        <v>19700</v>
      </c>
      <c r="O273" s="95">
        <f>IF(F273=F271,O271,MROUND(G273,100))</f>
        <v>19700</v>
      </c>
      <c r="P273" s="95">
        <f>O273-N273</f>
        <v>0</v>
      </c>
      <c r="Q273" s="12" t="s">
        <v>91</v>
      </c>
      <c r="R273" s="10">
        <v>65</v>
      </c>
      <c r="S273" s="10">
        <v>429</v>
      </c>
      <c r="T273" s="11">
        <v>574.6</v>
      </c>
      <c r="U273" s="13">
        <v>-0.38900000000000001</v>
      </c>
      <c r="V273" s="13">
        <v>1.0621</v>
      </c>
      <c r="W273" s="10">
        <v>0</v>
      </c>
      <c r="X273" s="14">
        <v>0</v>
      </c>
      <c r="Y273" s="11">
        <v>145.6</v>
      </c>
      <c r="Z273" s="14">
        <v>7.5511818170031246E-3</v>
      </c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 t="s">
        <v>90</v>
      </c>
    </row>
    <row r="274" spans="1:48" ht="18" hidden="1" customHeight="1" x14ac:dyDescent="0.25">
      <c r="A274" s="4">
        <v>137</v>
      </c>
      <c r="B274" s="4">
        <v>1</v>
      </c>
      <c r="C274" s="4">
        <v>137</v>
      </c>
      <c r="D274" s="87">
        <v>45224</v>
      </c>
      <c r="E274" s="87">
        <v>45225</v>
      </c>
      <c r="F274" s="87">
        <v>45232</v>
      </c>
      <c r="G274" s="5">
        <v>19122.150000000001</v>
      </c>
      <c r="H274" s="5">
        <v>18857.25</v>
      </c>
      <c r="I274" s="5">
        <v>-264.89999999999998</v>
      </c>
      <c r="J274" s="6">
        <v>-1.385304476745554E-2</v>
      </c>
      <c r="K274" s="90"/>
      <c r="L274" s="90"/>
      <c r="M274" s="7" t="s">
        <v>28</v>
      </c>
      <c r="N274" s="4">
        <v>19100</v>
      </c>
      <c r="O274" s="94"/>
      <c r="P274" s="94"/>
      <c r="Q274" s="7" t="s">
        <v>89</v>
      </c>
      <c r="R274" s="4">
        <v>65</v>
      </c>
      <c r="S274" s="5">
        <v>180.05</v>
      </c>
      <c r="T274" s="5">
        <v>50.6</v>
      </c>
      <c r="U274" s="8">
        <v>0.24740000000000001</v>
      </c>
      <c r="V274" s="8">
        <v>0.70079999999999998</v>
      </c>
      <c r="W274" s="5">
        <v>129.44999999999999</v>
      </c>
      <c r="X274" s="6">
        <v>6.7696362595210252E-3</v>
      </c>
      <c r="Y274" s="4">
        <v>0</v>
      </c>
      <c r="Z274" s="6">
        <v>0</v>
      </c>
      <c r="AA274" s="5">
        <v>38564.25</v>
      </c>
      <c r="AB274" s="5">
        <v>38116.75</v>
      </c>
      <c r="AC274" s="5">
        <v>-447.5</v>
      </c>
      <c r="AD274" s="5">
        <v>-1.1604000000000001</v>
      </c>
      <c r="AE274" s="4">
        <v>1</v>
      </c>
      <c r="AF274" s="5">
        <v>-1.6667000000000001E-2</v>
      </c>
      <c r="AG274" s="5">
        <v>-453.92739999999998</v>
      </c>
      <c r="AH274" s="5">
        <v>-1.1771</v>
      </c>
      <c r="AI274" s="8">
        <v>-2.3717999999999999</v>
      </c>
      <c r="AJ274" s="8">
        <v>-0.53120000000000001</v>
      </c>
      <c r="AK274" s="9">
        <v>-214.47739999999999</v>
      </c>
      <c r="AL274" s="9">
        <v>7.51E-2</v>
      </c>
      <c r="AM274" s="5">
        <v>117.8985</v>
      </c>
      <c r="AN274" s="5">
        <v>120.9932</v>
      </c>
      <c r="AO274" s="5">
        <v>-3.0948000000000002</v>
      </c>
      <c r="AP274" s="5">
        <v>-2.5577999999999999</v>
      </c>
      <c r="AQ274" s="8">
        <v>-0.24510000000000001</v>
      </c>
      <c r="AR274" s="8">
        <v>-0.94169999999999998</v>
      </c>
      <c r="AS274" s="8">
        <v>-0.94169999999999998</v>
      </c>
      <c r="AT274" s="5">
        <v>116.70059999999999</v>
      </c>
      <c r="AU274" s="5">
        <v>-3.5478000000000001</v>
      </c>
      <c r="AV274" s="7" t="s">
        <v>93</v>
      </c>
    </row>
    <row r="275" spans="1:48" ht="18" customHeight="1" x14ac:dyDescent="0.25">
      <c r="A275" s="10">
        <v>137</v>
      </c>
      <c r="B275" s="10">
        <v>2</v>
      </c>
      <c r="C275" s="10">
        <v>137</v>
      </c>
      <c r="D275" s="88">
        <v>45224</v>
      </c>
      <c r="E275" s="88">
        <v>45225</v>
      </c>
      <c r="F275" s="88">
        <v>45260</v>
      </c>
      <c r="G275" s="11">
        <v>19122.150000000001</v>
      </c>
      <c r="H275" s="11">
        <v>18857.25</v>
      </c>
      <c r="I275" s="12"/>
      <c r="J275" s="12"/>
      <c r="K275" s="92"/>
      <c r="L275" s="92"/>
      <c r="M275" s="12" t="s">
        <v>40</v>
      </c>
      <c r="N275" s="10">
        <v>19100</v>
      </c>
      <c r="O275" s="95">
        <f>IF(F275=F273,O273,MROUND(G275,100))</f>
        <v>19100</v>
      </c>
      <c r="P275" s="95">
        <f>O275-N275</f>
        <v>0</v>
      </c>
      <c r="Q275" s="12" t="s">
        <v>91</v>
      </c>
      <c r="R275" s="10">
        <v>65</v>
      </c>
      <c r="S275" s="11">
        <v>224.15</v>
      </c>
      <c r="T275" s="11">
        <v>334.15</v>
      </c>
      <c r="U275" s="13">
        <v>3.8699999999999998E-2</v>
      </c>
      <c r="V275" s="13">
        <v>0.72929999999999995</v>
      </c>
      <c r="W275" s="10">
        <v>0</v>
      </c>
      <c r="X275" s="14">
        <v>0</v>
      </c>
      <c r="Y275" s="10">
        <v>110</v>
      </c>
      <c r="Z275" s="14">
        <v>5.7524912209139661E-3</v>
      </c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 t="s">
        <v>93</v>
      </c>
    </row>
    <row r="276" spans="1:48" ht="18" hidden="1" customHeight="1" x14ac:dyDescent="0.25">
      <c r="A276" s="4">
        <v>138</v>
      </c>
      <c r="B276" s="4">
        <v>1</v>
      </c>
      <c r="C276" s="4">
        <v>138</v>
      </c>
      <c r="D276" s="87">
        <v>45225</v>
      </c>
      <c r="E276" s="87">
        <v>45226</v>
      </c>
      <c r="F276" s="87">
        <v>45232</v>
      </c>
      <c r="G276" s="5">
        <v>18857.25</v>
      </c>
      <c r="H276" s="5">
        <v>19047.25</v>
      </c>
      <c r="I276" s="4">
        <v>190</v>
      </c>
      <c r="J276" s="6">
        <v>1.007570032746026E-2</v>
      </c>
      <c r="K276" s="90"/>
      <c r="L276" s="90"/>
      <c r="M276" s="7" t="s">
        <v>28</v>
      </c>
      <c r="N276" s="4">
        <v>18900</v>
      </c>
      <c r="O276" s="94"/>
      <c r="P276" s="94"/>
      <c r="Q276" s="7" t="s">
        <v>89</v>
      </c>
      <c r="R276" s="4">
        <v>65</v>
      </c>
      <c r="S276" s="5">
        <v>133.25</v>
      </c>
      <c r="T276" s="5">
        <v>215.15</v>
      </c>
      <c r="U276" s="8">
        <v>-0.55420000000000003</v>
      </c>
      <c r="V276" s="8">
        <v>-4.1099999999999998E-2</v>
      </c>
      <c r="W276" s="5">
        <v>-81.900000000000006</v>
      </c>
      <c r="X276" s="6">
        <v>-4.3431571411526072E-3</v>
      </c>
      <c r="Y276" s="4">
        <v>0</v>
      </c>
      <c r="Z276" s="6">
        <v>0</v>
      </c>
      <c r="AA276" s="5">
        <v>38116.75</v>
      </c>
      <c r="AB276" s="5">
        <v>38701.85</v>
      </c>
      <c r="AC276" s="5">
        <v>585.1</v>
      </c>
      <c r="AD276" s="5">
        <v>1.5349999999999999</v>
      </c>
      <c r="AE276" s="4">
        <v>1</v>
      </c>
      <c r="AF276" s="5">
        <v>-1.6667000000000001E-2</v>
      </c>
      <c r="AG276" s="5">
        <v>578.74720000000002</v>
      </c>
      <c r="AH276" s="5">
        <v>1.5184</v>
      </c>
      <c r="AI276" s="8">
        <v>0.68169999999999997</v>
      </c>
      <c r="AJ276" s="8">
        <v>1.8499000000000001</v>
      </c>
      <c r="AK276" s="15">
        <v>394.6472</v>
      </c>
      <c r="AL276" s="15">
        <v>0.54210000000000003</v>
      </c>
      <c r="AM276" s="5">
        <v>118.5376</v>
      </c>
      <c r="AN276" s="5">
        <v>120.9932</v>
      </c>
      <c r="AO276" s="5">
        <v>-2.4556</v>
      </c>
      <c r="AP276" s="5">
        <v>-2.0295999999999998</v>
      </c>
      <c r="AQ276" s="8">
        <v>0.65480000000000005</v>
      </c>
      <c r="AR276" s="8">
        <v>0.4728</v>
      </c>
      <c r="AS276" s="8">
        <v>0.4728</v>
      </c>
      <c r="AT276" s="5">
        <v>118.4559</v>
      </c>
      <c r="AU276" s="5">
        <v>-2.0971000000000002</v>
      </c>
      <c r="AV276" s="7" t="s">
        <v>96</v>
      </c>
    </row>
    <row r="277" spans="1:48" ht="18" customHeight="1" x14ac:dyDescent="0.25">
      <c r="A277" s="10">
        <v>138</v>
      </c>
      <c r="B277" s="10">
        <v>2</v>
      </c>
      <c r="C277" s="10">
        <v>138</v>
      </c>
      <c r="D277" s="88">
        <v>45225</v>
      </c>
      <c r="E277" s="88">
        <v>45226</v>
      </c>
      <c r="F277" s="88">
        <v>45260</v>
      </c>
      <c r="G277" s="11">
        <v>18857.25</v>
      </c>
      <c r="H277" s="11">
        <v>19047.25</v>
      </c>
      <c r="I277" s="12"/>
      <c r="J277" s="12"/>
      <c r="K277" s="92"/>
      <c r="L277" s="92"/>
      <c r="M277" s="12" t="s">
        <v>40</v>
      </c>
      <c r="N277" s="10">
        <v>19100</v>
      </c>
      <c r="O277" s="95">
        <f>IF(F277=F275,O275,MROUND(G277,100))</f>
        <v>19100</v>
      </c>
      <c r="P277" s="95">
        <f>O277-N277</f>
        <v>0</v>
      </c>
      <c r="Q277" s="12" t="s">
        <v>91</v>
      </c>
      <c r="R277" s="10">
        <v>65</v>
      </c>
      <c r="S277" s="11">
        <v>334.15</v>
      </c>
      <c r="T277" s="11">
        <v>231.95</v>
      </c>
      <c r="U277" s="13">
        <v>-0.64090000000000003</v>
      </c>
      <c r="V277" s="13">
        <v>-0.1678</v>
      </c>
      <c r="W277" s="10">
        <v>0</v>
      </c>
      <c r="X277" s="14">
        <v>0</v>
      </c>
      <c r="Y277" s="11">
        <v>-102.2</v>
      </c>
      <c r="Z277" s="14">
        <v>-5.4196661761391511E-3</v>
      </c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 t="s">
        <v>96</v>
      </c>
    </row>
    <row r="278" spans="1:48" ht="18" hidden="1" customHeight="1" x14ac:dyDescent="0.25">
      <c r="A278" s="4">
        <v>139</v>
      </c>
      <c r="B278" s="4">
        <v>1</v>
      </c>
      <c r="C278" s="4">
        <v>139</v>
      </c>
      <c r="D278" s="87">
        <v>45226</v>
      </c>
      <c r="E278" s="87">
        <v>45231</v>
      </c>
      <c r="F278" s="87">
        <v>45232</v>
      </c>
      <c r="G278" s="5">
        <v>19047.25</v>
      </c>
      <c r="H278" s="5">
        <v>18989.150000000001</v>
      </c>
      <c r="I278" s="5">
        <v>-58.1</v>
      </c>
      <c r="J278" s="6">
        <v>-3.0503090997388081E-3</v>
      </c>
      <c r="K278" s="90"/>
      <c r="L278" s="90"/>
      <c r="M278" s="7" t="s">
        <v>28</v>
      </c>
      <c r="N278" s="4">
        <v>19000</v>
      </c>
      <c r="O278" s="94"/>
      <c r="P278" s="94"/>
      <c r="Q278" s="7" t="s">
        <v>89</v>
      </c>
      <c r="R278" s="4">
        <v>65</v>
      </c>
      <c r="S278" s="5">
        <v>145.30000000000001</v>
      </c>
      <c r="T278" s="5">
        <v>51.75</v>
      </c>
      <c r="U278" s="8">
        <v>-0.50429999999999997</v>
      </c>
      <c r="V278" s="8">
        <v>0.51239999999999997</v>
      </c>
      <c r="W278" s="5">
        <v>93.55</v>
      </c>
      <c r="X278" s="6">
        <v>4.9114701597343449E-3</v>
      </c>
      <c r="Y278" s="4">
        <v>0</v>
      </c>
      <c r="Z278" s="6">
        <v>0</v>
      </c>
      <c r="AA278" s="5">
        <v>38701.85</v>
      </c>
      <c r="AB278" s="5">
        <v>38775.1</v>
      </c>
      <c r="AC278" s="5">
        <v>73.25</v>
      </c>
      <c r="AD278" s="5">
        <v>0.1893</v>
      </c>
      <c r="AE278" s="4">
        <v>5</v>
      </c>
      <c r="AF278" s="5">
        <v>-8.3333000000000004E-2</v>
      </c>
      <c r="AG278" s="5">
        <v>40.9985</v>
      </c>
      <c r="AH278" s="5">
        <v>0.10589999999999999</v>
      </c>
      <c r="AI278" s="8">
        <v>-0.92449999999999999</v>
      </c>
      <c r="AJ278" s="8">
        <v>1.0044999999999999</v>
      </c>
      <c r="AK278" s="15">
        <v>153.0985</v>
      </c>
      <c r="AL278" s="15">
        <v>0.69440000000000002</v>
      </c>
      <c r="AM278" s="5">
        <v>119.36069999999999</v>
      </c>
      <c r="AN278" s="5">
        <v>120.9932</v>
      </c>
      <c r="AO278" s="5">
        <v>-1.6325000000000001</v>
      </c>
      <c r="AP278" s="5">
        <v>-1.3492</v>
      </c>
      <c r="AQ278" s="8">
        <v>8.1500000000000003E-2</v>
      </c>
      <c r="AR278" s="8">
        <v>-0.1065</v>
      </c>
      <c r="AS278" s="8">
        <v>-0.1065</v>
      </c>
      <c r="AT278" s="5">
        <v>118.4113</v>
      </c>
      <c r="AU278" s="5">
        <v>-2.1339000000000001</v>
      </c>
      <c r="AV278" s="7" t="s">
        <v>90</v>
      </c>
    </row>
    <row r="279" spans="1:48" ht="18" customHeight="1" x14ac:dyDescent="0.25">
      <c r="A279" s="10">
        <v>139</v>
      </c>
      <c r="B279" s="10">
        <v>2</v>
      </c>
      <c r="C279" s="10">
        <v>139</v>
      </c>
      <c r="D279" s="88">
        <v>45226</v>
      </c>
      <c r="E279" s="88">
        <v>45231</v>
      </c>
      <c r="F279" s="88">
        <v>45260</v>
      </c>
      <c r="G279" s="11">
        <v>19047.25</v>
      </c>
      <c r="H279" s="11">
        <v>18989.150000000001</v>
      </c>
      <c r="I279" s="12"/>
      <c r="J279" s="12"/>
      <c r="K279" s="92"/>
      <c r="L279" s="92"/>
      <c r="M279" s="12" t="s">
        <v>40</v>
      </c>
      <c r="N279" s="10">
        <v>19100</v>
      </c>
      <c r="O279" s="95">
        <f>IF(F279=F277,O277,MROUND(G279,100))</f>
        <v>19100</v>
      </c>
      <c r="P279" s="95">
        <f>O279-N279</f>
        <v>0</v>
      </c>
      <c r="Q279" s="12" t="s">
        <v>91</v>
      </c>
      <c r="R279" s="10">
        <v>65</v>
      </c>
      <c r="S279" s="11">
        <v>231.95</v>
      </c>
      <c r="T279" s="11">
        <v>250.5</v>
      </c>
      <c r="U279" s="13">
        <v>-0.41870000000000002</v>
      </c>
      <c r="V279" s="13">
        <v>0.30559999999999998</v>
      </c>
      <c r="W279" s="10">
        <v>0</v>
      </c>
      <c r="X279" s="14">
        <v>0</v>
      </c>
      <c r="Y279" s="11">
        <v>18.55</v>
      </c>
      <c r="Z279" s="14">
        <v>9.7389386919371568E-4</v>
      </c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 t="s">
        <v>90</v>
      </c>
    </row>
    <row r="280" spans="1:48" ht="18" hidden="1" customHeight="1" x14ac:dyDescent="0.25">
      <c r="A280" s="4">
        <v>140</v>
      </c>
      <c r="B280" s="4">
        <v>1</v>
      </c>
      <c r="C280" s="4">
        <v>140</v>
      </c>
      <c r="D280" s="87">
        <v>45231</v>
      </c>
      <c r="E280" s="87">
        <v>45233</v>
      </c>
      <c r="F280" s="87">
        <v>45239</v>
      </c>
      <c r="G280" s="5">
        <v>18989.150000000001</v>
      </c>
      <c r="H280" s="5">
        <v>19230.599999999999</v>
      </c>
      <c r="I280" s="5">
        <v>241.45</v>
      </c>
      <c r="J280" s="6">
        <v>1.2715155759999789E-2</v>
      </c>
      <c r="K280" s="90"/>
      <c r="L280" s="90"/>
      <c r="M280" s="7" t="s">
        <v>28</v>
      </c>
      <c r="N280" s="4">
        <v>19000</v>
      </c>
      <c r="O280" s="94"/>
      <c r="P280" s="94"/>
      <c r="Q280" s="7" t="s">
        <v>89</v>
      </c>
      <c r="R280" s="4">
        <v>65</v>
      </c>
      <c r="S280" s="5">
        <v>133.75</v>
      </c>
      <c r="T280" s="5">
        <v>272.55</v>
      </c>
      <c r="U280" s="8">
        <v>-1.0545</v>
      </c>
      <c r="V280" s="8">
        <v>-0.14380000000000001</v>
      </c>
      <c r="W280" s="5">
        <v>-138.80000000000001</v>
      </c>
      <c r="X280" s="6">
        <v>-7.3094372312610097E-3</v>
      </c>
      <c r="Y280" s="4">
        <v>0</v>
      </c>
      <c r="Z280" s="6">
        <v>0</v>
      </c>
      <c r="AA280" s="5">
        <v>38775.1</v>
      </c>
      <c r="AB280" s="5">
        <v>39587.4</v>
      </c>
      <c r="AC280" s="5">
        <v>812.3</v>
      </c>
      <c r="AD280" s="5">
        <v>2.0949</v>
      </c>
      <c r="AE280" s="4">
        <v>2</v>
      </c>
      <c r="AF280" s="5">
        <v>-3.3333000000000002E-2</v>
      </c>
      <c r="AG280" s="5">
        <v>799.375</v>
      </c>
      <c r="AH280" s="5">
        <v>2.0615999999999999</v>
      </c>
      <c r="AI280" s="8">
        <v>0.70620000000000005</v>
      </c>
      <c r="AJ280" s="8">
        <v>2.1966000000000001</v>
      </c>
      <c r="AK280" s="15">
        <v>531.57500000000005</v>
      </c>
      <c r="AL280" s="15">
        <v>0.65129999999999999</v>
      </c>
      <c r="AM280" s="5">
        <v>120.13809999999999</v>
      </c>
      <c r="AN280" s="5">
        <v>120.9932</v>
      </c>
      <c r="AO280" s="5">
        <v>-0.85509999999999997</v>
      </c>
      <c r="AP280" s="5">
        <v>-0.70669999999999999</v>
      </c>
      <c r="AQ280" s="8">
        <v>0.36559999999999998</v>
      </c>
      <c r="AR280" s="8">
        <v>0.29649999999999999</v>
      </c>
      <c r="AS280" s="8">
        <v>0.29649999999999999</v>
      </c>
      <c r="AT280" s="5">
        <v>119.7146</v>
      </c>
      <c r="AU280" s="5">
        <v>-1.0567</v>
      </c>
      <c r="AV280" s="7" t="s">
        <v>96</v>
      </c>
    </row>
    <row r="281" spans="1:48" ht="18" customHeight="1" x14ac:dyDescent="0.25">
      <c r="A281" s="10">
        <v>140</v>
      </c>
      <c r="B281" s="10">
        <v>2</v>
      </c>
      <c r="C281" s="10">
        <v>140</v>
      </c>
      <c r="D281" s="88">
        <v>45231</v>
      </c>
      <c r="E281" s="88">
        <v>45233</v>
      </c>
      <c r="F281" s="88">
        <v>45260</v>
      </c>
      <c r="G281" s="11">
        <v>18989.150000000001</v>
      </c>
      <c r="H281" s="11">
        <v>19230.599999999999</v>
      </c>
      <c r="I281" s="12"/>
      <c r="J281" s="12"/>
      <c r="K281" s="92"/>
      <c r="L281" s="92"/>
      <c r="M281" s="12" t="s">
        <v>40</v>
      </c>
      <c r="N281" s="10">
        <v>19100</v>
      </c>
      <c r="O281" s="95">
        <f>IF(F281=F279,O279,MROUND(G281,100))</f>
        <v>19100</v>
      </c>
      <c r="P281" s="95">
        <f>O281-N281</f>
        <v>0</v>
      </c>
      <c r="Q281" s="12" t="s">
        <v>91</v>
      </c>
      <c r="R281" s="10">
        <v>65</v>
      </c>
      <c r="S281" s="11">
        <v>250.5</v>
      </c>
      <c r="T281" s="11">
        <v>121.5</v>
      </c>
      <c r="U281" s="13">
        <v>-0.77649999999999997</v>
      </c>
      <c r="V281" s="13">
        <v>-0.26590000000000003</v>
      </c>
      <c r="W281" s="10">
        <v>0</v>
      </c>
      <c r="X281" s="14">
        <v>0</v>
      </c>
      <c r="Y281" s="10">
        <v>-129</v>
      </c>
      <c r="Z281" s="14">
        <v>-6.7933530463448856E-3</v>
      </c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 t="s">
        <v>96</v>
      </c>
    </row>
    <row r="282" spans="1:48" ht="18" hidden="1" customHeight="1" x14ac:dyDescent="0.25">
      <c r="A282" s="4">
        <v>141</v>
      </c>
      <c r="B282" s="4">
        <v>1</v>
      </c>
      <c r="C282" s="4">
        <v>141</v>
      </c>
      <c r="D282" s="87">
        <v>45233</v>
      </c>
      <c r="E282" s="87">
        <v>45238</v>
      </c>
      <c r="F282" s="87">
        <v>45239</v>
      </c>
      <c r="G282" s="5">
        <v>19230.599999999999</v>
      </c>
      <c r="H282" s="5">
        <v>19443.5</v>
      </c>
      <c r="I282" s="5">
        <v>212.9</v>
      </c>
      <c r="J282" s="6">
        <v>1.107089742389733E-2</v>
      </c>
      <c r="K282" s="90"/>
      <c r="L282" s="90"/>
      <c r="M282" s="7" t="s">
        <v>28</v>
      </c>
      <c r="N282" s="4">
        <v>19200</v>
      </c>
      <c r="O282" s="94"/>
      <c r="P282" s="94"/>
      <c r="Q282" s="7" t="s">
        <v>89</v>
      </c>
      <c r="R282" s="4">
        <v>65</v>
      </c>
      <c r="S282" s="5">
        <v>120.45</v>
      </c>
      <c r="T282" s="5">
        <v>235.6</v>
      </c>
      <c r="U282" s="8">
        <v>-0.74519999999999997</v>
      </c>
      <c r="V282" s="8">
        <v>-0.1037</v>
      </c>
      <c r="W282" s="5">
        <v>-115.15</v>
      </c>
      <c r="X282" s="6">
        <v>-5.9878526931037004E-3</v>
      </c>
      <c r="Y282" s="4">
        <v>0</v>
      </c>
      <c r="Z282" s="6">
        <v>0</v>
      </c>
      <c r="AA282" s="5">
        <v>39587.4</v>
      </c>
      <c r="AB282" s="5">
        <v>40446.85</v>
      </c>
      <c r="AC282" s="5">
        <v>859.45</v>
      </c>
      <c r="AD282" s="5">
        <v>2.1709999999999998</v>
      </c>
      <c r="AE282" s="4">
        <v>5</v>
      </c>
      <c r="AF282" s="5">
        <v>-8.3333000000000004E-2</v>
      </c>
      <c r="AG282" s="5">
        <v>826.46050000000002</v>
      </c>
      <c r="AH282" s="5">
        <v>2.0876999999999999</v>
      </c>
      <c r="AI282" s="8">
        <v>0.34389999999999998</v>
      </c>
      <c r="AJ282" s="8">
        <v>2.1753999999999998</v>
      </c>
      <c r="AK282" s="15">
        <v>646.91049999999996</v>
      </c>
      <c r="AL282" s="15">
        <v>1.1539999999999999</v>
      </c>
      <c r="AM282" s="5">
        <v>121.5245</v>
      </c>
      <c r="AN282" s="5">
        <v>121.5245</v>
      </c>
      <c r="AO282" s="4">
        <v>0</v>
      </c>
      <c r="AP282" s="4">
        <v>0</v>
      </c>
      <c r="AQ282" s="8">
        <v>1.0704</v>
      </c>
      <c r="AR282" s="8">
        <v>0.1583</v>
      </c>
      <c r="AS282" s="8">
        <v>0.1583</v>
      </c>
      <c r="AT282" s="5">
        <v>120.3283</v>
      </c>
      <c r="AU282" s="5">
        <v>-0.54959999999999998</v>
      </c>
      <c r="AV282" s="7" t="s">
        <v>90</v>
      </c>
    </row>
    <row r="283" spans="1:48" ht="18" customHeight="1" x14ac:dyDescent="0.25">
      <c r="A283" s="10">
        <v>141</v>
      </c>
      <c r="B283" s="10">
        <v>2</v>
      </c>
      <c r="C283" s="10">
        <v>141</v>
      </c>
      <c r="D283" s="88">
        <v>45233</v>
      </c>
      <c r="E283" s="88">
        <v>45238</v>
      </c>
      <c r="F283" s="88">
        <v>45260</v>
      </c>
      <c r="G283" s="11">
        <v>19230.599999999999</v>
      </c>
      <c r="H283" s="11">
        <v>19443.5</v>
      </c>
      <c r="I283" s="12"/>
      <c r="J283" s="12"/>
      <c r="K283" s="92"/>
      <c r="L283" s="92"/>
      <c r="M283" s="12" t="s">
        <v>40</v>
      </c>
      <c r="N283" s="10">
        <v>19100</v>
      </c>
      <c r="O283" s="95">
        <f>IF(F283=F281,O281,MROUND(G283,100))</f>
        <v>19100</v>
      </c>
      <c r="P283" s="95">
        <f>O283-N283</f>
        <v>0</v>
      </c>
      <c r="Q283" s="12" t="s">
        <v>91</v>
      </c>
      <c r="R283" s="10">
        <v>65</v>
      </c>
      <c r="S283" s="11">
        <v>121.5</v>
      </c>
      <c r="T283" s="11">
        <v>57.1</v>
      </c>
      <c r="U283" s="13">
        <v>-0.35980000000000001</v>
      </c>
      <c r="V283" s="13">
        <v>-8.1900000000000001E-2</v>
      </c>
      <c r="W283" s="10">
        <v>0</v>
      </c>
      <c r="X283" s="14">
        <v>0</v>
      </c>
      <c r="Y283" s="11">
        <v>-64.400000000000006</v>
      </c>
      <c r="Z283" s="14">
        <v>-3.3488294696993339E-3</v>
      </c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 t="s">
        <v>90</v>
      </c>
    </row>
    <row r="284" spans="1:48" ht="18" hidden="1" customHeight="1" x14ac:dyDescent="0.25">
      <c r="A284" s="4">
        <v>142</v>
      </c>
      <c r="B284" s="4">
        <v>1</v>
      </c>
      <c r="C284" s="4">
        <v>142</v>
      </c>
      <c r="D284" s="87">
        <v>45238</v>
      </c>
      <c r="E284" s="87">
        <v>45245</v>
      </c>
      <c r="F284" s="87">
        <v>45246</v>
      </c>
      <c r="G284" s="5">
        <v>19443.5</v>
      </c>
      <c r="H284" s="5">
        <v>19675.45</v>
      </c>
      <c r="I284" s="5">
        <v>231.95</v>
      </c>
      <c r="J284" s="6">
        <v>1.1929436572633531E-2</v>
      </c>
      <c r="K284" s="90"/>
      <c r="L284" s="90"/>
      <c r="M284" s="7" t="s">
        <v>28</v>
      </c>
      <c r="N284" s="4">
        <v>19400</v>
      </c>
      <c r="O284" s="94"/>
      <c r="P284" s="94"/>
      <c r="Q284" s="7" t="s">
        <v>89</v>
      </c>
      <c r="R284" s="4">
        <v>65</v>
      </c>
      <c r="S284" s="5">
        <v>137.44999999999999</v>
      </c>
      <c r="T284" s="4">
        <v>282</v>
      </c>
      <c r="U284" s="8">
        <v>-0.93189999999999995</v>
      </c>
      <c r="V284" s="8">
        <v>0.3916</v>
      </c>
      <c r="W284" s="5">
        <v>-144.55000000000001</v>
      </c>
      <c r="X284" s="6">
        <v>-7.4343610975390242E-3</v>
      </c>
      <c r="Y284" s="4">
        <v>0</v>
      </c>
      <c r="Z284" s="6">
        <v>0</v>
      </c>
      <c r="AA284" s="5">
        <v>40446.85</v>
      </c>
      <c r="AB284" s="5">
        <v>41404.85</v>
      </c>
      <c r="AC284" s="4">
        <v>958</v>
      </c>
      <c r="AD284" s="5">
        <v>2.3685</v>
      </c>
      <c r="AE284" s="4">
        <v>7</v>
      </c>
      <c r="AF284" s="5">
        <v>-0.11666700000000001</v>
      </c>
      <c r="AG284" s="5">
        <v>910.81200000000001</v>
      </c>
      <c r="AH284" s="5">
        <v>2.2519</v>
      </c>
      <c r="AI284" s="8">
        <v>-0.40300000000000002</v>
      </c>
      <c r="AJ284" s="8">
        <v>2.3176999999999999</v>
      </c>
      <c r="AK284" s="15">
        <v>726.56200000000001</v>
      </c>
      <c r="AL284" s="15">
        <v>1.3043</v>
      </c>
      <c r="AM284" s="5">
        <v>123.1095</v>
      </c>
      <c r="AN284" s="5">
        <v>123.1095</v>
      </c>
      <c r="AO284" s="4">
        <v>0</v>
      </c>
      <c r="AP284" s="4">
        <v>0</v>
      </c>
      <c r="AQ284" s="8">
        <v>1.1685000000000001</v>
      </c>
      <c r="AR284" s="8">
        <v>5.8299999999999998E-2</v>
      </c>
      <c r="AS284" s="8">
        <v>5.8299999999999998E-2</v>
      </c>
      <c r="AT284" s="5">
        <v>121.59529999999999</v>
      </c>
      <c r="AU284" s="5">
        <v>5.8299999999999998E-2</v>
      </c>
      <c r="AV284" s="7" t="s">
        <v>92</v>
      </c>
    </row>
    <row r="285" spans="1:48" ht="18" customHeight="1" x14ac:dyDescent="0.25">
      <c r="A285" s="10">
        <v>142</v>
      </c>
      <c r="B285" s="10">
        <v>2</v>
      </c>
      <c r="C285" s="10">
        <v>142</v>
      </c>
      <c r="D285" s="88">
        <v>45238</v>
      </c>
      <c r="E285" s="88">
        <v>45245</v>
      </c>
      <c r="F285" s="88">
        <v>45260</v>
      </c>
      <c r="G285" s="11">
        <v>19443.5</v>
      </c>
      <c r="H285" s="11">
        <v>19675.45</v>
      </c>
      <c r="I285" s="12"/>
      <c r="J285" s="12"/>
      <c r="K285" s="92"/>
      <c r="L285" s="92"/>
      <c r="M285" s="12" t="s">
        <v>40</v>
      </c>
      <c r="N285" s="10">
        <v>19100</v>
      </c>
      <c r="O285" s="95">
        <f>IF(F285=F283,O283,MROUND(G285,100))</f>
        <v>19100</v>
      </c>
      <c r="P285" s="95">
        <f>O285-N285</f>
        <v>0</v>
      </c>
      <c r="Q285" s="12" t="s">
        <v>91</v>
      </c>
      <c r="R285" s="10">
        <v>65</v>
      </c>
      <c r="S285" s="11">
        <v>57.1</v>
      </c>
      <c r="T285" s="11">
        <v>17.399999999999999</v>
      </c>
      <c r="U285" s="13">
        <v>-0.21729999999999999</v>
      </c>
      <c r="V285" s="13">
        <v>6.9699999999999998E-2</v>
      </c>
      <c r="W285" s="10">
        <v>0</v>
      </c>
      <c r="X285" s="14">
        <v>0</v>
      </c>
      <c r="Y285" s="11">
        <v>-39.700000000000003</v>
      </c>
      <c r="Z285" s="14">
        <v>-2.0418134595108911E-3</v>
      </c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 t="s">
        <v>92</v>
      </c>
    </row>
    <row r="286" spans="1:48" ht="18" hidden="1" customHeight="1" x14ac:dyDescent="0.25">
      <c r="A286" s="4">
        <v>143</v>
      </c>
      <c r="B286" s="4">
        <v>1</v>
      </c>
      <c r="C286" s="4">
        <v>143</v>
      </c>
      <c r="D286" s="87">
        <v>45245</v>
      </c>
      <c r="E286" s="87">
        <v>45246</v>
      </c>
      <c r="F286" s="87">
        <v>45253</v>
      </c>
      <c r="G286" s="5">
        <v>19675.45</v>
      </c>
      <c r="H286" s="5">
        <v>19765.2</v>
      </c>
      <c r="I286" s="5">
        <v>89.75</v>
      </c>
      <c r="J286" s="6">
        <v>4.5615220998757337E-3</v>
      </c>
      <c r="K286" s="90"/>
      <c r="L286" s="90"/>
      <c r="M286" s="7" t="s">
        <v>28</v>
      </c>
      <c r="N286" s="4">
        <v>19700</v>
      </c>
      <c r="O286" s="94"/>
      <c r="P286" s="94"/>
      <c r="Q286" s="7" t="s">
        <v>89</v>
      </c>
      <c r="R286" s="4">
        <v>65</v>
      </c>
      <c r="S286" s="4">
        <v>106</v>
      </c>
      <c r="T286" s="5">
        <v>158.75</v>
      </c>
      <c r="U286" s="8">
        <v>-0.70420000000000005</v>
      </c>
      <c r="V286" s="8">
        <v>0.1016</v>
      </c>
      <c r="W286" s="5">
        <v>-52.75</v>
      </c>
      <c r="X286" s="6">
        <v>-2.6810060252751519E-3</v>
      </c>
      <c r="Y286" s="4">
        <v>0</v>
      </c>
      <c r="Z286" s="6">
        <v>0</v>
      </c>
      <c r="AA286" s="5">
        <v>41404.85</v>
      </c>
      <c r="AB286" s="5">
        <v>41726.300000000003</v>
      </c>
      <c r="AC286" s="5">
        <v>321.45</v>
      </c>
      <c r="AD286" s="5">
        <v>0.77639999999999998</v>
      </c>
      <c r="AE286" s="4">
        <v>1</v>
      </c>
      <c r="AF286" s="5">
        <v>-1.6667000000000001E-2</v>
      </c>
      <c r="AG286" s="5">
        <v>314.54919999999998</v>
      </c>
      <c r="AH286" s="5">
        <v>0.75970000000000004</v>
      </c>
      <c r="AI286" s="8">
        <v>7.6E-3</v>
      </c>
      <c r="AJ286" s="8">
        <v>0.98329999999999995</v>
      </c>
      <c r="AK286" s="15">
        <v>257.29919999999998</v>
      </c>
      <c r="AL286" s="15">
        <v>0.46870000000000001</v>
      </c>
      <c r="AM286" s="5">
        <v>123.6866</v>
      </c>
      <c r="AN286" s="5">
        <v>123.6866</v>
      </c>
      <c r="AO286" s="4">
        <v>0</v>
      </c>
      <c r="AP286" s="4">
        <v>0</v>
      </c>
      <c r="AQ286" s="8">
        <v>0.24959999999999999</v>
      </c>
      <c r="AR286" s="8">
        <v>0.11219999999999999</v>
      </c>
      <c r="AS286" s="8">
        <v>0.11219999999999999</v>
      </c>
      <c r="AT286" s="5">
        <v>123.24769999999999</v>
      </c>
      <c r="AU286" s="5">
        <v>0.11219999999999999</v>
      </c>
      <c r="AV286" s="7" t="s">
        <v>100</v>
      </c>
    </row>
    <row r="287" spans="1:48" ht="18" customHeight="1" x14ac:dyDescent="0.25">
      <c r="A287" s="10">
        <v>143</v>
      </c>
      <c r="B287" s="10">
        <v>2</v>
      </c>
      <c r="C287" s="10">
        <v>143</v>
      </c>
      <c r="D287" s="88">
        <v>45245</v>
      </c>
      <c r="E287" s="88">
        <v>45246</v>
      </c>
      <c r="F287" s="88">
        <v>45260</v>
      </c>
      <c r="G287" s="11">
        <v>19675.45</v>
      </c>
      <c r="H287" s="11">
        <v>19765.2</v>
      </c>
      <c r="I287" s="12"/>
      <c r="J287" s="12"/>
      <c r="K287" s="92"/>
      <c r="L287" s="92"/>
      <c r="M287" s="12" t="s">
        <v>40</v>
      </c>
      <c r="N287" s="10">
        <v>19100</v>
      </c>
      <c r="O287" s="95">
        <f>IF(F287=F285,O285,MROUND(G287,100))</f>
        <v>19100</v>
      </c>
      <c r="P287" s="95">
        <f>O287-N287</f>
        <v>0</v>
      </c>
      <c r="Q287" s="12" t="s">
        <v>91</v>
      </c>
      <c r="R287" s="10">
        <v>65</v>
      </c>
      <c r="S287" s="11">
        <v>17.399999999999999</v>
      </c>
      <c r="T287" s="11">
        <v>12.9</v>
      </c>
      <c r="U287" s="13">
        <v>-2.9499999999999998E-2</v>
      </c>
      <c r="V287" s="13">
        <v>3.0000000000000001E-3</v>
      </c>
      <c r="W287" s="10">
        <v>0</v>
      </c>
      <c r="X287" s="14">
        <v>0</v>
      </c>
      <c r="Y287" s="11">
        <v>-4.5</v>
      </c>
      <c r="Z287" s="14">
        <v>-2.28711414478449E-4</v>
      </c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 t="s">
        <v>100</v>
      </c>
    </row>
    <row r="288" spans="1:48" ht="18" hidden="1" customHeight="1" x14ac:dyDescent="0.25">
      <c r="A288" s="4">
        <v>144</v>
      </c>
      <c r="B288" s="4">
        <v>1</v>
      </c>
      <c r="C288" s="4">
        <v>144</v>
      </c>
      <c r="D288" s="87">
        <v>45246</v>
      </c>
      <c r="E288" s="87">
        <v>45252</v>
      </c>
      <c r="F288" s="87">
        <v>45253</v>
      </c>
      <c r="G288" s="5">
        <v>19765.2</v>
      </c>
      <c r="H288" s="5">
        <v>19811.849999999999</v>
      </c>
      <c r="I288" s="5">
        <v>46.65</v>
      </c>
      <c r="J288" s="6">
        <v>2.3602088519215588E-3</v>
      </c>
      <c r="K288" s="90"/>
      <c r="L288" s="90"/>
      <c r="M288" s="7" t="s">
        <v>28</v>
      </c>
      <c r="N288" s="4">
        <v>19800</v>
      </c>
      <c r="O288" s="94"/>
      <c r="P288" s="94"/>
      <c r="Q288" s="7" t="s">
        <v>89</v>
      </c>
      <c r="R288" s="4">
        <v>65</v>
      </c>
      <c r="S288" s="5">
        <v>100.9</v>
      </c>
      <c r="T288" s="5">
        <v>66.150000000000006</v>
      </c>
      <c r="U288" s="8">
        <v>-0.10730000000000001</v>
      </c>
      <c r="V288" s="8">
        <v>0.39489999999999997</v>
      </c>
      <c r="W288" s="5">
        <v>34.75</v>
      </c>
      <c r="X288" s="6">
        <v>1.7581405702952659E-3</v>
      </c>
      <c r="Y288" s="4">
        <v>0</v>
      </c>
      <c r="Z288" s="6">
        <v>0</v>
      </c>
      <c r="AA288" s="5">
        <v>41726.300000000003</v>
      </c>
      <c r="AB288" s="5">
        <v>42027.1</v>
      </c>
      <c r="AC288" s="5">
        <v>300.8</v>
      </c>
      <c r="AD288" s="5">
        <v>0.72089999999999999</v>
      </c>
      <c r="AE288" s="4">
        <v>6</v>
      </c>
      <c r="AF288" s="5">
        <v>-0.1</v>
      </c>
      <c r="AG288" s="5">
        <v>259.07369999999997</v>
      </c>
      <c r="AH288" s="5">
        <v>0.62090000000000001</v>
      </c>
      <c r="AI288" s="8">
        <v>-0.35730000000000001</v>
      </c>
      <c r="AJ288" s="8">
        <v>0.74280000000000002</v>
      </c>
      <c r="AK288" s="15">
        <v>238.27369999999999</v>
      </c>
      <c r="AL288" s="15">
        <v>0.51570000000000005</v>
      </c>
      <c r="AM288" s="5">
        <v>124.3244</v>
      </c>
      <c r="AN288" s="5">
        <v>124.3244</v>
      </c>
      <c r="AO288" s="4">
        <v>0</v>
      </c>
      <c r="AP288" s="4">
        <v>0</v>
      </c>
      <c r="AQ288" s="8">
        <v>0.33239999999999997</v>
      </c>
      <c r="AR288" s="8">
        <v>0.32600000000000001</v>
      </c>
      <c r="AS288" s="8">
        <v>0.32600000000000001</v>
      </c>
      <c r="AT288" s="5">
        <v>124.0898</v>
      </c>
      <c r="AU288" s="5">
        <v>0.32600000000000001</v>
      </c>
      <c r="AV288" s="7" t="s">
        <v>90</v>
      </c>
    </row>
    <row r="289" spans="1:48" ht="18" customHeight="1" x14ac:dyDescent="0.25">
      <c r="A289" s="10">
        <v>144</v>
      </c>
      <c r="B289" s="10">
        <v>2</v>
      </c>
      <c r="C289" s="10">
        <v>144</v>
      </c>
      <c r="D289" s="88">
        <v>45246</v>
      </c>
      <c r="E289" s="88">
        <v>45252</v>
      </c>
      <c r="F289" s="88">
        <v>45260</v>
      </c>
      <c r="G289" s="11">
        <v>19765.2</v>
      </c>
      <c r="H289" s="11">
        <v>19811.849999999999</v>
      </c>
      <c r="I289" s="12"/>
      <c r="J289" s="12"/>
      <c r="K289" s="92"/>
      <c r="L289" s="92"/>
      <c r="M289" s="12" t="s">
        <v>40</v>
      </c>
      <c r="N289" s="10">
        <v>19800</v>
      </c>
      <c r="O289" s="95">
        <f>IF(F289=F287,O287,MROUND(G289,100))</f>
        <v>19100</v>
      </c>
      <c r="P289" s="95">
        <f>O289-N289</f>
        <v>-700</v>
      </c>
      <c r="Q289" s="12" t="s">
        <v>91</v>
      </c>
      <c r="R289" s="10">
        <v>65</v>
      </c>
      <c r="S289" s="11">
        <v>122.1</v>
      </c>
      <c r="T289" s="11">
        <v>66.55</v>
      </c>
      <c r="U289" s="13">
        <v>-0.30309999999999998</v>
      </c>
      <c r="V289" s="13">
        <v>0.28839999999999999</v>
      </c>
      <c r="W289" s="10">
        <v>0</v>
      </c>
      <c r="X289" s="14">
        <v>0</v>
      </c>
      <c r="Y289" s="11">
        <v>-55.55</v>
      </c>
      <c r="Z289" s="14">
        <v>-2.8104952138101312E-3</v>
      </c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 t="s">
        <v>90</v>
      </c>
    </row>
    <row r="290" spans="1:48" ht="18" hidden="1" customHeight="1" x14ac:dyDescent="0.25">
      <c r="A290" s="4">
        <v>145</v>
      </c>
      <c r="B290" s="4">
        <v>1</v>
      </c>
      <c r="C290" s="4">
        <v>145</v>
      </c>
      <c r="D290" s="87">
        <v>45252</v>
      </c>
      <c r="E290" s="87">
        <v>45259</v>
      </c>
      <c r="F290" s="87">
        <v>45260</v>
      </c>
      <c r="G290" s="5">
        <v>19811.849999999999</v>
      </c>
      <c r="H290" s="5">
        <v>20096.599999999999</v>
      </c>
      <c r="I290" s="5">
        <v>284.75</v>
      </c>
      <c r="J290" s="6">
        <v>1.4372711281379579E-2</v>
      </c>
      <c r="K290" s="90"/>
      <c r="L290" s="90"/>
      <c r="M290" s="7" t="s">
        <v>28</v>
      </c>
      <c r="N290" s="4">
        <v>19800</v>
      </c>
      <c r="O290" s="94"/>
      <c r="P290" s="94"/>
      <c r="Q290" s="7" t="s">
        <v>89</v>
      </c>
      <c r="R290" s="4">
        <v>65</v>
      </c>
      <c r="S290" s="4">
        <v>154</v>
      </c>
      <c r="T290" s="5">
        <v>334.85</v>
      </c>
      <c r="U290" s="8">
        <v>-0.97719999999999996</v>
      </c>
      <c r="V290" s="8">
        <v>0.3553</v>
      </c>
      <c r="W290" s="5">
        <v>-180.85</v>
      </c>
      <c r="X290" s="6">
        <v>-9.1283751895961263E-3</v>
      </c>
      <c r="Y290" s="4">
        <v>0</v>
      </c>
      <c r="Z290" s="6">
        <v>0</v>
      </c>
      <c r="AA290" s="5">
        <v>42027.1</v>
      </c>
      <c r="AB290" s="5">
        <v>42618.7</v>
      </c>
      <c r="AC290" s="5">
        <v>591.6</v>
      </c>
      <c r="AD290" s="5">
        <v>1.4077</v>
      </c>
      <c r="AE290" s="4">
        <v>7</v>
      </c>
      <c r="AF290" s="5">
        <v>-0.11666700000000001</v>
      </c>
      <c r="AG290" s="5">
        <v>542.5684</v>
      </c>
      <c r="AH290" s="5">
        <v>1.2909999999999999</v>
      </c>
      <c r="AI290" s="8">
        <v>-0.11459999999999999</v>
      </c>
      <c r="AJ290" s="8">
        <v>1.3988</v>
      </c>
      <c r="AK290" s="15">
        <v>299.3184</v>
      </c>
      <c r="AL290" s="15">
        <v>6.3200000000000006E-2</v>
      </c>
      <c r="AM290" s="5">
        <v>124.40300000000001</v>
      </c>
      <c r="AN290" s="5">
        <v>124.40300000000001</v>
      </c>
      <c r="AO290" s="4">
        <v>0</v>
      </c>
      <c r="AP290" s="4">
        <v>0</v>
      </c>
      <c r="AQ290" s="8">
        <v>0.1036</v>
      </c>
      <c r="AR290" s="8">
        <v>0.33529999999999999</v>
      </c>
      <c r="AS290" s="8">
        <v>6.3200000000000006E-2</v>
      </c>
      <c r="AT290" s="5">
        <v>124.40300000000001</v>
      </c>
      <c r="AU290" s="5">
        <v>6.3200000000000006E-2</v>
      </c>
      <c r="AV290" s="7" t="s">
        <v>92</v>
      </c>
    </row>
    <row r="291" spans="1:48" ht="18" customHeight="1" x14ac:dyDescent="0.25">
      <c r="A291" s="10">
        <v>145</v>
      </c>
      <c r="B291" s="10">
        <v>2</v>
      </c>
      <c r="C291" s="10">
        <v>145</v>
      </c>
      <c r="D291" s="88">
        <v>45252</v>
      </c>
      <c r="E291" s="88">
        <v>45259</v>
      </c>
      <c r="F291" s="88">
        <v>45260</v>
      </c>
      <c r="G291" s="11">
        <v>19811.849999999999</v>
      </c>
      <c r="H291" s="11">
        <v>20096.599999999999</v>
      </c>
      <c r="I291" s="12"/>
      <c r="J291" s="12"/>
      <c r="K291" s="92"/>
      <c r="L291" s="92"/>
      <c r="M291" s="12" t="s">
        <v>40</v>
      </c>
      <c r="N291" s="10">
        <v>19800</v>
      </c>
      <c r="O291" s="95">
        <f>IF(F291=F289,O289,MROUND(G291,100))</f>
        <v>19100</v>
      </c>
      <c r="P291" s="95">
        <f>O291-N291</f>
        <v>-700</v>
      </c>
      <c r="Q291" s="12" t="s">
        <v>91</v>
      </c>
      <c r="R291" s="10">
        <v>65</v>
      </c>
      <c r="S291" s="11">
        <v>66.55</v>
      </c>
      <c r="T291" s="11">
        <v>4.1500000000000004</v>
      </c>
      <c r="U291" s="13">
        <v>-0.318</v>
      </c>
      <c r="V291" s="13">
        <v>9.4600000000000004E-2</v>
      </c>
      <c r="W291" s="10">
        <v>0</v>
      </c>
      <c r="X291" s="14">
        <v>0</v>
      </c>
      <c r="Y291" s="11">
        <v>-62.4</v>
      </c>
      <c r="Z291" s="14">
        <v>-3.1496301455946822E-3</v>
      </c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 t="s">
        <v>92</v>
      </c>
    </row>
    <row r="292" spans="1:48" ht="18" hidden="1" customHeight="1" x14ac:dyDescent="0.25">
      <c r="A292" s="4">
        <v>146</v>
      </c>
      <c r="B292" s="4">
        <v>1</v>
      </c>
      <c r="C292" s="4">
        <v>146</v>
      </c>
      <c r="D292" s="87">
        <v>45259</v>
      </c>
      <c r="E292" s="87">
        <v>45264</v>
      </c>
      <c r="F292" s="87">
        <v>45267</v>
      </c>
      <c r="G292" s="5">
        <v>20096.599999999999</v>
      </c>
      <c r="H292" s="5">
        <v>20686.8</v>
      </c>
      <c r="I292" s="5">
        <v>590.20000000000005</v>
      </c>
      <c r="J292" s="6">
        <v>2.9368151826677149E-2</v>
      </c>
      <c r="K292" s="90"/>
      <c r="L292" s="90"/>
      <c r="M292" s="7" t="s">
        <v>28</v>
      </c>
      <c r="N292" s="4">
        <v>20100</v>
      </c>
      <c r="O292" s="94"/>
      <c r="P292" s="94"/>
      <c r="Q292" s="7" t="s">
        <v>89</v>
      </c>
      <c r="R292" s="4">
        <v>65</v>
      </c>
      <c r="S292" s="5">
        <v>178.6</v>
      </c>
      <c r="T292" s="5">
        <v>610.79999999999995</v>
      </c>
      <c r="U292" s="8">
        <v>-2.3026</v>
      </c>
      <c r="V292" s="8">
        <v>0.27289999999999998</v>
      </c>
      <c r="W292" s="5">
        <v>-432.2</v>
      </c>
      <c r="X292" s="6">
        <v>-2.1506125414249181E-2</v>
      </c>
      <c r="Y292" s="4">
        <v>0</v>
      </c>
      <c r="Z292" s="6">
        <v>0</v>
      </c>
      <c r="AA292" s="5">
        <v>42618.7</v>
      </c>
      <c r="AB292" s="5">
        <v>43918.6</v>
      </c>
      <c r="AC292" s="5">
        <v>1299.9000000000001</v>
      </c>
      <c r="AD292" s="5">
        <v>3.0501</v>
      </c>
      <c r="AE292" s="4">
        <v>5</v>
      </c>
      <c r="AF292" s="5">
        <v>-8.3333000000000004E-2</v>
      </c>
      <c r="AG292" s="5">
        <v>1264.3843999999999</v>
      </c>
      <c r="AH292" s="5">
        <v>2.9666999999999999</v>
      </c>
      <c r="AI292" s="8">
        <v>-0.33339999999999997</v>
      </c>
      <c r="AJ292" s="8">
        <v>3.5042</v>
      </c>
      <c r="AK292" s="15">
        <v>707.88440000000003</v>
      </c>
      <c r="AL292" s="15">
        <v>0.1976</v>
      </c>
      <c r="AM292" s="5">
        <v>124.64879999999999</v>
      </c>
      <c r="AN292" s="5">
        <v>124.64879999999999</v>
      </c>
      <c r="AO292" s="4">
        <v>0</v>
      </c>
      <c r="AP292" s="4">
        <v>0</v>
      </c>
      <c r="AQ292" s="8">
        <v>0.57210000000000005</v>
      </c>
      <c r="AR292" s="8">
        <v>0.152</v>
      </c>
      <c r="AS292" s="8">
        <v>0.152</v>
      </c>
      <c r="AT292" s="5">
        <v>124.5921</v>
      </c>
      <c r="AU292" s="5">
        <v>0.152</v>
      </c>
      <c r="AV292" s="7" t="s">
        <v>96</v>
      </c>
    </row>
    <row r="293" spans="1:48" ht="18" customHeight="1" x14ac:dyDescent="0.25">
      <c r="A293" s="10">
        <v>146</v>
      </c>
      <c r="B293" s="10">
        <v>2</v>
      </c>
      <c r="C293" s="10">
        <v>146</v>
      </c>
      <c r="D293" s="88">
        <v>45259</v>
      </c>
      <c r="E293" s="88">
        <v>45264</v>
      </c>
      <c r="F293" s="88">
        <v>45288</v>
      </c>
      <c r="G293" s="11">
        <v>20096.599999999999</v>
      </c>
      <c r="H293" s="11">
        <v>20686.8</v>
      </c>
      <c r="I293" s="12"/>
      <c r="J293" s="12"/>
      <c r="K293" s="92"/>
      <c r="L293" s="92"/>
      <c r="M293" s="12" t="s">
        <v>40</v>
      </c>
      <c r="N293" s="10">
        <v>20100</v>
      </c>
      <c r="O293" s="95">
        <f>IF(F293=F291,O291,MROUND(G293,100))</f>
        <v>20100</v>
      </c>
      <c r="P293" s="95">
        <f>O293-N293</f>
        <v>0</v>
      </c>
      <c r="Q293" s="12" t="s">
        <v>91</v>
      </c>
      <c r="R293" s="10">
        <v>65</v>
      </c>
      <c r="S293" s="11">
        <v>175.8</v>
      </c>
      <c r="T293" s="11">
        <v>51.5</v>
      </c>
      <c r="U293" s="13">
        <v>-0.62949999999999995</v>
      </c>
      <c r="V293" s="13">
        <v>0.21249999999999999</v>
      </c>
      <c r="W293" s="10">
        <v>0</v>
      </c>
      <c r="X293" s="14">
        <v>0</v>
      </c>
      <c r="Y293" s="11">
        <v>-124.3</v>
      </c>
      <c r="Z293" s="14">
        <v>-6.1851258421822602E-3</v>
      </c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 t="s">
        <v>96</v>
      </c>
    </row>
    <row r="294" spans="1:48" ht="18" hidden="1" customHeight="1" x14ac:dyDescent="0.25">
      <c r="A294" s="4">
        <v>147</v>
      </c>
      <c r="B294" s="4">
        <v>1</v>
      </c>
      <c r="C294" s="4">
        <v>147</v>
      </c>
      <c r="D294" s="87">
        <v>45264</v>
      </c>
      <c r="E294" s="87">
        <v>45265</v>
      </c>
      <c r="F294" s="87">
        <v>45267</v>
      </c>
      <c r="G294" s="5">
        <v>20686.8</v>
      </c>
      <c r="H294" s="5">
        <v>20855.099999999999</v>
      </c>
      <c r="I294" s="5">
        <v>168.3</v>
      </c>
      <c r="J294" s="6">
        <v>8.1356227159347996E-3</v>
      </c>
      <c r="K294" s="90"/>
      <c r="L294" s="90"/>
      <c r="M294" s="7" t="s">
        <v>28</v>
      </c>
      <c r="N294" s="4">
        <v>20700</v>
      </c>
      <c r="O294" s="94"/>
      <c r="P294" s="94"/>
      <c r="Q294" s="7" t="s">
        <v>89</v>
      </c>
      <c r="R294" s="4">
        <v>65</v>
      </c>
      <c r="S294" s="5">
        <v>104.2</v>
      </c>
      <c r="T294" s="5">
        <v>192.45</v>
      </c>
      <c r="U294" s="8">
        <v>-0.47660000000000002</v>
      </c>
      <c r="V294" s="8">
        <v>0</v>
      </c>
      <c r="W294" s="5">
        <v>-88.25</v>
      </c>
      <c r="X294" s="6">
        <v>-4.2660053754084732E-3</v>
      </c>
      <c r="Y294" s="4">
        <v>0</v>
      </c>
      <c r="Z294" s="6">
        <v>0</v>
      </c>
      <c r="AA294" s="5">
        <v>43918.6</v>
      </c>
      <c r="AB294" s="5">
        <v>44122.9</v>
      </c>
      <c r="AC294" s="5">
        <v>204.3</v>
      </c>
      <c r="AD294" s="5">
        <v>0.4652</v>
      </c>
      <c r="AE294" s="4">
        <v>1</v>
      </c>
      <c r="AF294" s="5">
        <v>-1.6667000000000001E-2</v>
      </c>
      <c r="AG294" s="5">
        <v>196.9802</v>
      </c>
      <c r="AH294" s="5">
        <v>0.44850000000000001</v>
      </c>
      <c r="AI294" s="8">
        <v>-0.60289999999999999</v>
      </c>
      <c r="AJ294" s="8">
        <v>0.59650000000000003</v>
      </c>
      <c r="AK294" s="15">
        <v>97.230199999999996</v>
      </c>
      <c r="AL294" s="15">
        <v>-3.3700000000000001E-2</v>
      </c>
      <c r="AM294" s="5">
        <v>124.60680000000001</v>
      </c>
      <c r="AN294" s="5">
        <v>124.64879999999999</v>
      </c>
      <c r="AO294" s="5">
        <v>-4.2000000000000003E-2</v>
      </c>
      <c r="AP294" s="5">
        <v>-3.3700000000000001E-2</v>
      </c>
      <c r="AQ294" s="8">
        <v>5.9700000000000003E-2</v>
      </c>
      <c r="AR294" s="8">
        <v>-0.59560000000000002</v>
      </c>
      <c r="AS294" s="8">
        <v>-0.59560000000000002</v>
      </c>
      <c r="AT294" s="5">
        <v>123.9064</v>
      </c>
      <c r="AU294" s="5">
        <v>-0.59560000000000002</v>
      </c>
      <c r="AV294" s="7" t="s">
        <v>95</v>
      </c>
    </row>
    <row r="295" spans="1:48" ht="18" customHeight="1" x14ac:dyDescent="0.25">
      <c r="A295" s="10">
        <v>147</v>
      </c>
      <c r="B295" s="10">
        <v>2</v>
      </c>
      <c r="C295" s="10">
        <v>147</v>
      </c>
      <c r="D295" s="88">
        <v>45264</v>
      </c>
      <c r="E295" s="88">
        <v>45265</v>
      </c>
      <c r="F295" s="88">
        <v>45288</v>
      </c>
      <c r="G295" s="11">
        <v>20686.8</v>
      </c>
      <c r="H295" s="11">
        <v>20855.099999999999</v>
      </c>
      <c r="I295" s="12"/>
      <c r="J295" s="12"/>
      <c r="K295" s="92"/>
      <c r="L295" s="92"/>
      <c r="M295" s="12" t="s">
        <v>40</v>
      </c>
      <c r="N295" s="10">
        <v>20100</v>
      </c>
      <c r="O295" s="95">
        <f>IF(F295=F293,O293,MROUND(G295,100))</f>
        <v>20100</v>
      </c>
      <c r="P295" s="95">
        <f>O295-N295</f>
        <v>0</v>
      </c>
      <c r="Q295" s="12" t="s">
        <v>91</v>
      </c>
      <c r="R295" s="10">
        <v>65</v>
      </c>
      <c r="S295" s="11">
        <v>51.5</v>
      </c>
      <c r="T295" s="10">
        <v>40</v>
      </c>
      <c r="U295" s="13">
        <v>-6.0199999999999997E-2</v>
      </c>
      <c r="V295" s="13">
        <v>7.3000000000000001E-3</v>
      </c>
      <c r="W295" s="10">
        <v>0</v>
      </c>
      <c r="X295" s="14">
        <v>0</v>
      </c>
      <c r="Y295" s="11">
        <v>-11.5</v>
      </c>
      <c r="Z295" s="14">
        <v>-5.559100489200843E-4</v>
      </c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 t="s">
        <v>95</v>
      </c>
    </row>
    <row r="296" spans="1:48" ht="18" hidden="1" customHeight="1" x14ac:dyDescent="0.25">
      <c r="A296" s="4">
        <v>148</v>
      </c>
      <c r="B296" s="4">
        <v>1</v>
      </c>
      <c r="C296" s="4">
        <v>148</v>
      </c>
      <c r="D296" s="87">
        <v>45265</v>
      </c>
      <c r="E296" s="87">
        <v>45266</v>
      </c>
      <c r="F296" s="87">
        <v>45267</v>
      </c>
      <c r="G296" s="5">
        <v>20855.099999999999</v>
      </c>
      <c r="H296" s="5">
        <v>20937.7</v>
      </c>
      <c r="I296" s="5">
        <v>82.6</v>
      </c>
      <c r="J296" s="6">
        <v>3.9606619004464126E-3</v>
      </c>
      <c r="K296" s="90"/>
      <c r="L296" s="90"/>
      <c r="M296" s="7" t="s">
        <v>28</v>
      </c>
      <c r="N296" s="4">
        <v>20900</v>
      </c>
      <c r="O296" s="94"/>
      <c r="P296" s="94"/>
      <c r="Q296" s="7" t="s">
        <v>89</v>
      </c>
      <c r="R296" s="4">
        <v>65</v>
      </c>
      <c r="S296" s="5">
        <v>67.400000000000006</v>
      </c>
      <c r="T296" s="5">
        <v>87.95</v>
      </c>
      <c r="U296" s="8">
        <v>-0.24049999999999999</v>
      </c>
      <c r="V296" s="8">
        <v>0.1043</v>
      </c>
      <c r="W296" s="5">
        <v>-20.55</v>
      </c>
      <c r="X296" s="6">
        <v>-9.8537048491735839E-4</v>
      </c>
      <c r="Y296" s="4">
        <v>0</v>
      </c>
      <c r="Z296" s="6">
        <v>0</v>
      </c>
      <c r="AA296" s="5">
        <v>44122.9</v>
      </c>
      <c r="AB296" s="5">
        <v>44232.45</v>
      </c>
      <c r="AC296" s="5">
        <v>109.55</v>
      </c>
      <c r="AD296" s="5">
        <v>0.24829999999999999</v>
      </c>
      <c r="AE296" s="4">
        <v>1</v>
      </c>
      <c r="AF296" s="5">
        <v>-1.6667000000000001E-2</v>
      </c>
      <c r="AG296" s="5">
        <v>102.1962</v>
      </c>
      <c r="AH296" s="5">
        <v>0.2316</v>
      </c>
      <c r="AI296" s="8">
        <v>-0.31950000000000001</v>
      </c>
      <c r="AJ296" s="8">
        <v>0.69</v>
      </c>
      <c r="AK296" s="15">
        <v>41.946199999999997</v>
      </c>
      <c r="AL296" s="15">
        <v>-5.7299999999999997E-2</v>
      </c>
      <c r="AM296" s="5">
        <v>124.5354</v>
      </c>
      <c r="AN296" s="5">
        <v>124.64879999999999</v>
      </c>
      <c r="AO296" s="5">
        <v>-0.1134</v>
      </c>
      <c r="AP296" s="5">
        <v>-9.0999999999999998E-2</v>
      </c>
      <c r="AQ296" s="8">
        <v>0.23369999999999999</v>
      </c>
      <c r="AR296" s="8">
        <v>-0.20699999999999999</v>
      </c>
      <c r="AS296" s="8">
        <v>-0.20699999999999999</v>
      </c>
      <c r="AT296" s="5">
        <v>124.3489</v>
      </c>
      <c r="AU296" s="5">
        <v>-0.24060000000000001</v>
      </c>
      <c r="AV296" s="7" t="s">
        <v>90</v>
      </c>
    </row>
    <row r="297" spans="1:48" ht="18" customHeight="1" x14ac:dyDescent="0.25">
      <c r="A297" s="10">
        <v>148</v>
      </c>
      <c r="B297" s="10">
        <v>2</v>
      </c>
      <c r="C297" s="10">
        <v>148</v>
      </c>
      <c r="D297" s="88">
        <v>45265</v>
      </c>
      <c r="E297" s="88">
        <v>45266</v>
      </c>
      <c r="F297" s="88">
        <v>45288</v>
      </c>
      <c r="G297" s="11">
        <v>20855.099999999999</v>
      </c>
      <c r="H297" s="11">
        <v>20937.7</v>
      </c>
      <c r="I297" s="12"/>
      <c r="J297" s="12"/>
      <c r="K297" s="92"/>
      <c r="L297" s="92"/>
      <c r="M297" s="12" t="s">
        <v>40</v>
      </c>
      <c r="N297" s="10">
        <v>20900</v>
      </c>
      <c r="O297" s="95">
        <f>IF(F297=F295,O295,MROUND(G297,100))</f>
        <v>20100</v>
      </c>
      <c r="P297" s="95">
        <f>O297-N297</f>
        <v>-800</v>
      </c>
      <c r="Q297" s="12" t="s">
        <v>91</v>
      </c>
      <c r="R297" s="10">
        <v>65</v>
      </c>
      <c r="S297" s="11">
        <v>210.6</v>
      </c>
      <c r="T297" s="11">
        <v>170.9</v>
      </c>
      <c r="U297" s="13">
        <v>-0.21579999999999999</v>
      </c>
      <c r="V297" s="13">
        <v>8.2000000000000007E-3</v>
      </c>
      <c r="W297" s="10">
        <v>0</v>
      </c>
      <c r="X297" s="14">
        <v>0</v>
      </c>
      <c r="Y297" s="11">
        <v>-39.700000000000003</v>
      </c>
      <c r="Z297" s="14">
        <v>-1.903611107115286E-3</v>
      </c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 t="s">
        <v>90</v>
      </c>
    </row>
    <row r="298" spans="1:48" ht="18" hidden="1" customHeight="1" x14ac:dyDescent="0.25">
      <c r="A298" s="4">
        <v>149</v>
      </c>
      <c r="B298" s="4">
        <v>1</v>
      </c>
      <c r="C298" s="4">
        <v>149</v>
      </c>
      <c r="D298" s="87">
        <v>45266</v>
      </c>
      <c r="E298" s="87">
        <v>45273</v>
      </c>
      <c r="F298" s="87">
        <v>45274</v>
      </c>
      <c r="G298" s="5">
        <v>20937.7</v>
      </c>
      <c r="H298" s="5">
        <v>20926.349999999999</v>
      </c>
      <c r="I298" s="5">
        <v>-11.35</v>
      </c>
      <c r="J298" s="6">
        <v>-5.4208437411941131E-4</v>
      </c>
      <c r="K298" s="90"/>
      <c r="L298" s="90"/>
      <c r="M298" s="7" t="s">
        <v>28</v>
      </c>
      <c r="N298" s="4">
        <v>20900</v>
      </c>
      <c r="O298" s="94"/>
      <c r="P298" s="94"/>
      <c r="Q298" s="7" t="s">
        <v>89</v>
      </c>
      <c r="R298" s="4">
        <v>65</v>
      </c>
      <c r="S298" s="5">
        <v>195.7</v>
      </c>
      <c r="T298" s="5">
        <v>66.7</v>
      </c>
      <c r="U298" s="8">
        <v>-9.2200000000000004E-2</v>
      </c>
      <c r="V298" s="8">
        <v>0.81669999999999998</v>
      </c>
      <c r="W298" s="4">
        <v>129</v>
      </c>
      <c r="X298" s="6">
        <v>6.1611351772162173E-3</v>
      </c>
      <c r="Y298" s="4">
        <v>0</v>
      </c>
      <c r="Z298" s="6">
        <v>0</v>
      </c>
      <c r="AA298" s="5">
        <v>44232.45</v>
      </c>
      <c r="AB298" s="5">
        <v>44947.3</v>
      </c>
      <c r="AC298" s="5">
        <v>714.85</v>
      </c>
      <c r="AD298" s="5">
        <v>1.6161000000000001</v>
      </c>
      <c r="AE298" s="4">
        <v>7</v>
      </c>
      <c r="AF298" s="5">
        <v>-0.11666700000000001</v>
      </c>
      <c r="AG298" s="5">
        <v>663.24549999999999</v>
      </c>
      <c r="AH298" s="5">
        <v>1.4995000000000001</v>
      </c>
      <c r="AI298" s="8">
        <v>-0.52410000000000001</v>
      </c>
      <c r="AJ298" s="8">
        <v>1.6112</v>
      </c>
      <c r="AK298" s="15">
        <v>732.14549999999997</v>
      </c>
      <c r="AL298" s="15">
        <v>1.8286</v>
      </c>
      <c r="AM298" s="5">
        <v>126.81270000000001</v>
      </c>
      <c r="AN298" s="5">
        <v>126.81270000000001</v>
      </c>
      <c r="AO298" s="4">
        <v>0</v>
      </c>
      <c r="AP298" s="4">
        <v>0</v>
      </c>
      <c r="AQ298" s="8">
        <v>1.1798999999999999</v>
      </c>
      <c r="AR298" s="8">
        <v>0.42820000000000003</v>
      </c>
      <c r="AS298" s="8">
        <v>0.42820000000000003</v>
      </c>
      <c r="AT298" s="5">
        <v>125.06870000000001</v>
      </c>
      <c r="AU298" s="5">
        <v>0.33679999999999999</v>
      </c>
      <c r="AV298" s="7" t="s">
        <v>90</v>
      </c>
    </row>
    <row r="299" spans="1:48" ht="18" customHeight="1" x14ac:dyDescent="0.25">
      <c r="A299" s="10">
        <v>149</v>
      </c>
      <c r="B299" s="10">
        <v>2</v>
      </c>
      <c r="C299" s="10">
        <v>149</v>
      </c>
      <c r="D299" s="88">
        <v>45266</v>
      </c>
      <c r="E299" s="88">
        <v>45273</v>
      </c>
      <c r="F299" s="88">
        <v>45288</v>
      </c>
      <c r="G299" s="11">
        <v>20937.7</v>
      </c>
      <c r="H299" s="11">
        <v>20926.349999999999</v>
      </c>
      <c r="I299" s="12"/>
      <c r="J299" s="12"/>
      <c r="K299" s="92"/>
      <c r="L299" s="92"/>
      <c r="M299" s="12" t="s">
        <v>40</v>
      </c>
      <c r="N299" s="10">
        <v>20900</v>
      </c>
      <c r="O299" s="95">
        <f>IF(F299=F297,O297,MROUND(G299,100))</f>
        <v>20100</v>
      </c>
      <c r="P299" s="95">
        <f>O299-N299</f>
        <v>-800</v>
      </c>
      <c r="Q299" s="12" t="s">
        <v>91</v>
      </c>
      <c r="R299" s="10">
        <v>65</v>
      </c>
      <c r="S299" s="11">
        <v>170.9</v>
      </c>
      <c r="T299" s="11">
        <v>110.8</v>
      </c>
      <c r="U299" s="13">
        <v>-0.33910000000000001</v>
      </c>
      <c r="V299" s="13">
        <v>0.1356</v>
      </c>
      <c r="W299" s="10">
        <v>0</v>
      </c>
      <c r="X299" s="14">
        <v>0</v>
      </c>
      <c r="Y299" s="11">
        <v>-60.1</v>
      </c>
      <c r="Z299" s="14">
        <v>-2.8704203422534472E-3</v>
      </c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 t="s">
        <v>90</v>
      </c>
    </row>
    <row r="300" spans="1:48" ht="18" hidden="1" customHeight="1" x14ac:dyDescent="0.25">
      <c r="A300" s="4">
        <v>150</v>
      </c>
      <c r="B300" s="4">
        <v>1</v>
      </c>
      <c r="C300" s="4">
        <v>150</v>
      </c>
      <c r="D300" s="87">
        <v>45273</v>
      </c>
      <c r="E300" s="87">
        <v>45274</v>
      </c>
      <c r="F300" s="87">
        <v>45281</v>
      </c>
      <c r="G300" s="5">
        <v>20926.349999999999</v>
      </c>
      <c r="H300" s="5">
        <v>21182.7</v>
      </c>
      <c r="I300" s="5">
        <v>256.35000000000002</v>
      </c>
      <c r="J300" s="6">
        <v>1.2250105727945869E-2</v>
      </c>
      <c r="K300" s="90"/>
      <c r="L300" s="90"/>
      <c r="M300" s="7" t="s">
        <v>28</v>
      </c>
      <c r="N300" s="4">
        <v>20900</v>
      </c>
      <c r="O300" s="94"/>
      <c r="P300" s="94"/>
      <c r="Q300" s="7" t="s">
        <v>89</v>
      </c>
      <c r="R300" s="4">
        <v>65</v>
      </c>
      <c r="S300" s="5">
        <v>177.25</v>
      </c>
      <c r="T300" s="5">
        <v>394.3</v>
      </c>
      <c r="U300" s="8">
        <v>-1.1865000000000001</v>
      </c>
      <c r="V300" s="8">
        <v>-0.32379999999999998</v>
      </c>
      <c r="W300" s="5">
        <v>-217.05</v>
      </c>
      <c r="X300" s="6">
        <v>-1.037209068948957E-2</v>
      </c>
      <c r="Y300" s="4">
        <v>0</v>
      </c>
      <c r="Z300" s="6">
        <v>0</v>
      </c>
      <c r="AA300" s="5">
        <v>44947.3</v>
      </c>
      <c r="AB300" s="5">
        <v>45534.3</v>
      </c>
      <c r="AC300" s="4">
        <v>587</v>
      </c>
      <c r="AD300" s="5">
        <v>1.306</v>
      </c>
      <c r="AE300" s="4">
        <v>1</v>
      </c>
      <c r="AF300" s="5">
        <v>-1.6667000000000001E-2</v>
      </c>
      <c r="AG300" s="5">
        <v>579.50879999999995</v>
      </c>
      <c r="AH300" s="5">
        <v>1.2892999999999999</v>
      </c>
      <c r="AI300" s="8">
        <v>0.59319999999999995</v>
      </c>
      <c r="AJ300" s="8">
        <v>1.4063000000000001</v>
      </c>
      <c r="AK300" s="15">
        <v>296.35879999999997</v>
      </c>
      <c r="AL300" s="15">
        <v>-6.3799999999999996E-2</v>
      </c>
      <c r="AM300" s="5">
        <v>126.7317</v>
      </c>
      <c r="AN300" s="5">
        <v>126.81270000000001</v>
      </c>
      <c r="AO300" s="5">
        <v>-8.09E-2</v>
      </c>
      <c r="AP300" s="5">
        <v>-6.3799999999999996E-2</v>
      </c>
      <c r="AQ300" s="8">
        <v>-0.1138</v>
      </c>
      <c r="AR300" s="8">
        <v>7.8700000000000006E-2</v>
      </c>
      <c r="AS300" s="8">
        <v>-0.1138</v>
      </c>
      <c r="AT300" s="5">
        <v>126.6683</v>
      </c>
      <c r="AU300" s="5">
        <v>-0.1138</v>
      </c>
      <c r="AV300" s="7" t="s">
        <v>96</v>
      </c>
    </row>
    <row r="301" spans="1:48" ht="18" customHeight="1" x14ac:dyDescent="0.25">
      <c r="A301" s="10">
        <v>150</v>
      </c>
      <c r="B301" s="10">
        <v>2</v>
      </c>
      <c r="C301" s="10">
        <v>150</v>
      </c>
      <c r="D301" s="88">
        <v>45273</v>
      </c>
      <c r="E301" s="88">
        <v>45274</v>
      </c>
      <c r="F301" s="88">
        <v>45288</v>
      </c>
      <c r="G301" s="11">
        <v>20926.349999999999</v>
      </c>
      <c r="H301" s="11">
        <v>21182.7</v>
      </c>
      <c r="I301" s="12"/>
      <c r="J301" s="12"/>
      <c r="K301" s="92"/>
      <c r="L301" s="92"/>
      <c r="M301" s="12" t="s">
        <v>40</v>
      </c>
      <c r="N301" s="10">
        <v>20900</v>
      </c>
      <c r="O301" s="95">
        <f>IF(F301=F299,O299,MROUND(G301,100))</f>
        <v>20100</v>
      </c>
      <c r="P301" s="95">
        <f>O301-N301</f>
        <v>-800</v>
      </c>
      <c r="Q301" s="12" t="s">
        <v>91</v>
      </c>
      <c r="R301" s="10">
        <v>65</v>
      </c>
      <c r="S301" s="11">
        <v>110.8</v>
      </c>
      <c r="T301" s="11">
        <v>44.7</v>
      </c>
      <c r="U301" s="13">
        <v>-0.33360000000000001</v>
      </c>
      <c r="V301" s="13">
        <v>-0.19070000000000001</v>
      </c>
      <c r="W301" s="10">
        <v>0</v>
      </c>
      <c r="X301" s="14">
        <v>0</v>
      </c>
      <c r="Y301" s="11">
        <v>-66.099999999999994</v>
      </c>
      <c r="Z301" s="14">
        <v>-3.1586970494137771E-3</v>
      </c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 t="s">
        <v>96</v>
      </c>
    </row>
    <row r="302" spans="1:48" ht="18" hidden="1" customHeight="1" x14ac:dyDescent="0.25">
      <c r="A302" s="4">
        <v>151</v>
      </c>
      <c r="B302" s="4">
        <v>1</v>
      </c>
      <c r="C302" s="4">
        <v>151</v>
      </c>
      <c r="D302" s="87">
        <v>45274</v>
      </c>
      <c r="E302" s="87">
        <v>45275</v>
      </c>
      <c r="F302" s="87">
        <v>45281</v>
      </c>
      <c r="G302" s="5">
        <v>21182.7</v>
      </c>
      <c r="H302" s="5">
        <v>21456.65</v>
      </c>
      <c r="I302" s="5">
        <v>273.95</v>
      </c>
      <c r="J302" s="6">
        <v>1.293272340164379E-2</v>
      </c>
      <c r="K302" s="90"/>
      <c r="L302" s="90"/>
      <c r="M302" s="7" t="s">
        <v>28</v>
      </c>
      <c r="N302" s="4">
        <v>21200</v>
      </c>
      <c r="O302" s="94"/>
      <c r="P302" s="94"/>
      <c r="Q302" s="7" t="s">
        <v>89</v>
      </c>
      <c r="R302" s="4">
        <v>65</v>
      </c>
      <c r="S302" s="5">
        <v>162.1</v>
      </c>
      <c r="T302" s="5">
        <v>342.25</v>
      </c>
      <c r="U302" s="8">
        <v>-1.0421</v>
      </c>
      <c r="V302" s="8">
        <v>-4.3900000000000002E-2</v>
      </c>
      <c r="W302" s="5">
        <v>-180.15</v>
      </c>
      <c r="X302" s="6">
        <v>-8.5045815689218096E-3</v>
      </c>
      <c r="Y302" s="4">
        <v>0</v>
      </c>
      <c r="Z302" s="6">
        <v>0</v>
      </c>
      <c r="AA302" s="5">
        <v>45534.3</v>
      </c>
      <c r="AB302" s="5">
        <v>45586.55</v>
      </c>
      <c r="AC302" s="5">
        <v>52.25</v>
      </c>
      <c r="AD302" s="5">
        <v>0.1147</v>
      </c>
      <c r="AE302" s="4">
        <v>1</v>
      </c>
      <c r="AF302" s="5">
        <v>-1.6667000000000001E-2</v>
      </c>
      <c r="AG302" s="5">
        <v>44.661000000000001</v>
      </c>
      <c r="AH302" s="5">
        <v>9.8100000000000007E-2</v>
      </c>
      <c r="AI302" s="8">
        <v>-6.0999999999999999E-2</v>
      </c>
      <c r="AJ302" s="8">
        <v>0.59850000000000003</v>
      </c>
      <c r="AK302" s="9">
        <v>-146.6891</v>
      </c>
      <c r="AL302" s="9">
        <v>-0.80520000000000003</v>
      </c>
      <c r="AM302" s="5">
        <v>125.71129999999999</v>
      </c>
      <c r="AN302" s="5">
        <v>126.81270000000001</v>
      </c>
      <c r="AO302" s="5">
        <v>-1.1013999999999999</v>
      </c>
      <c r="AP302" s="5">
        <v>-0.86850000000000005</v>
      </c>
      <c r="AQ302" s="8">
        <v>-0.51249999999999996</v>
      </c>
      <c r="AR302" s="8">
        <v>-0.1285</v>
      </c>
      <c r="AS302" s="8">
        <v>-0.80520000000000003</v>
      </c>
      <c r="AT302" s="5">
        <v>125.71129999999999</v>
      </c>
      <c r="AU302" s="5">
        <v>-0.86850000000000005</v>
      </c>
      <c r="AV302" s="7" t="s">
        <v>96</v>
      </c>
    </row>
    <row r="303" spans="1:48" ht="18" customHeight="1" x14ac:dyDescent="0.25">
      <c r="A303" s="10">
        <v>151</v>
      </c>
      <c r="B303" s="10">
        <v>2</v>
      </c>
      <c r="C303" s="10">
        <v>151</v>
      </c>
      <c r="D303" s="88">
        <v>45274</v>
      </c>
      <c r="E303" s="88">
        <v>45275</v>
      </c>
      <c r="F303" s="88">
        <v>45288</v>
      </c>
      <c r="G303" s="11">
        <v>21182.7</v>
      </c>
      <c r="H303" s="11">
        <v>21456.65</v>
      </c>
      <c r="I303" s="12"/>
      <c r="J303" s="12"/>
      <c r="K303" s="92"/>
      <c r="L303" s="92"/>
      <c r="M303" s="12" t="s">
        <v>40</v>
      </c>
      <c r="N303" s="10">
        <v>20900</v>
      </c>
      <c r="O303" s="95">
        <f>IF(F303=F301,O301,MROUND(G303,100))</f>
        <v>20100</v>
      </c>
      <c r="P303" s="95">
        <f>O303-N303</f>
        <v>-800</v>
      </c>
      <c r="Q303" s="12" t="s">
        <v>91</v>
      </c>
      <c r="R303" s="10">
        <v>65</v>
      </c>
      <c r="S303" s="11">
        <v>44.7</v>
      </c>
      <c r="T303" s="11">
        <v>33.5</v>
      </c>
      <c r="U303" s="13">
        <v>-6.8900000000000003E-2</v>
      </c>
      <c r="V303" s="13">
        <v>-2.3599999999999999E-2</v>
      </c>
      <c r="W303" s="10">
        <v>0</v>
      </c>
      <c r="X303" s="14">
        <v>0</v>
      </c>
      <c r="Y303" s="11">
        <v>-11.2</v>
      </c>
      <c r="Z303" s="14">
        <v>-5.28733353160834E-4</v>
      </c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 t="s">
        <v>96</v>
      </c>
    </row>
    <row r="304" spans="1:48" ht="18" hidden="1" customHeight="1" x14ac:dyDescent="0.25">
      <c r="A304" s="4">
        <v>152</v>
      </c>
      <c r="B304" s="4">
        <v>1</v>
      </c>
      <c r="C304" s="4">
        <v>152</v>
      </c>
      <c r="D304" s="87">
        <v>45275</v>
      </c>
      <c r="E304" s="87">
        <v>45280</v>
      </c>
      <c r="F304" s="87">
        <v>45281</v>
      </c>
      <c r="G304" s="5">
        <v>21456.65</v>
      </c>
      <c r="H304" s="5">
        <v>21150.15</v>
      </c>
      <c r="I304" s="5">
        <v>-306.5</v>
      </c>
      <c r="J304" s="6">
        <v>-1.428461572519475E-2</v>
      </c>
      <c r="K304" s="90"/>
      <c r="L304" s="90"/>
      <c r="M304" s="7" t="s">
        <v>28</v>
      </c>
      <c r="N304" s="4">
        <v>21500</v>
      </c>
      <c r="O304" s="94"/>
      <c r="P304" s="94"/>
      <c r="Q304" s="7" t="s">
        <v>89</v>
      </c>
      <c r="R304" s="4">
        <v>65</v>
      </c>
      <c r="S304" s="5">
        <v>123.45</v>
      </c>
      <c r="T304" s="5">
        <v>4.7</v>
      </c>
      <c r="U304" s="8">
        <v>-7.1999999999999998E-3</v>
      </c>
      <c r="V304" s="8">
        <v>0.55900000000000005</v>
      </c>
      <c r="W304" s="5">
        <v>118.75</v>
      </c>
      <c r="X304" s="6">
        <v>5.5344147385542478E-3</v>
      </c>
      <c r="Y304" s="4">
        <v>0</v>
      </c>
      <c r="Z304" s="6">
        <v>0</v>
      </c>
      <c r="AA304" s="5">
        <v>45586.55</v>
      </c>
      <c r="AB304" s="5">
        <v>44024.95</v>
      </c>
      <c r="AC304" s="5">
        <v>-1561.6</v>
      </c>
      <c r="AD304" s="5">
        <v>-3.4256000000000002</v>
      </c>
      <c r="AE304" s="4">
        <v>5</v>
      </c>
      <c r="AF304" s="5">
        <v>-8.3333000000000004E-2</v>
      </c>
      <c r="AG304" s="5">
        <v>-1599.5888</v>
      </c>
      <c r="AH304" s="5">
        <v>-3.5089000000000001</v>
      </c>
      <c r="AI304" s="8">
        <v>-3.8996</v>
      </c>
      <c r="AJ304" s="8">
        <v>0.72640000000000005</v>
      </c>
      <c r="AK304" s="9">
        <v>-1461.9387999999999</v>
      </c>
      <c r="AL304" s="9">
        <v>-2.8673999999999999</v>
      </c>
      <c r="AM304" s="5">
        <v>122.1067</v>
      </c>
      <c r="AN304" s="5">
        <v>126.81270000000001</v>
      </c>
      <c r="AO304" s="5">
        <v>-4.7060000000000004</v>
      </c>
      <c r="AP304" s="5">
        <v>-3.7109999999999999</v>
      </c>
      <c r="AQ304" s="8">
        <v>0.6139</v>
      </c>
      <c r="AR304" s="8">
        <v>-3.1938</v>
      </c>
      <c r="AS304" s="8">
        <v>-3.1938</v>
      </c>
      <c r="AT304" s="5">
        <v>121.69629999999999</v>
      </c>
      <c r="AU304" s="5">
        <v>-4.0345000000000004</v>
      </c>
      <c r="AV304" s="7" t="s">
        <v>90</v>
      </c>
    </row>
    <row r="305" spans="1:48" ht="18" customHeight="1" x14ac:dyDescent="0.25">
      <c r="A305" s="10">
        <v>152</v>
      </c>
      <c r="B305" s="10">
        <v>2</v>
      </c>
      <c r="C305" s="10">
        <v>152</v>
      </c>
      <c r="D305" s="88">
        <v>45275</v>
      </c>
      <c r="E305" s="88">
        <v>45280</v>
      </c>
      <c r="F305" s="88">
        <v>45288</v>
      </c>
      <c r="G305" s="11">
        <v>21456.65</v>
      </c>
      <c r="H305" s="11">
        <v>21150.15</v>
      </c>
      <c r="I305" s="12"/>
      <c r="J305" s="12"/>
      <c r="K305" s="92"/>
      <c r="L305" s="92"/>
      <c r="M305" s="12" t="s">
        <v>40</v>
      </c>
      <c r="N305" s="10">
        <v>20900</v>
      </c>
      <c r="O305" s="95">
        <f>IF(F305=F303,O303,MROUND(G305,100))</f>
        <v>20100</v>
      </c>
      <c r="P305" s="95">
        <f>O305-N305</f>
        <v>-800</v>
      </c>
      <c r="Q305" s="12" t="s">
        <v>91</v>
      </c>
      <c r="R305" s="10">
        <v>65</v>
      </c>
      <c r="S305" s="11">
        <v>33.5</v>
      </c>
      <c r="T305" s="11">
        <v>52.4</v>
      </c>
      <c r="U305" s="13">
        <v>-0.1053</v>
      </c>
      <c r="V305" s="13">
        <v>0.14680000000000001</v>
      </c>
      <c r="W305" s="10">
        <v>0</v>
      </c>
      <c r="X305" s="14">
        <v>0</v>
      </c>
      <c r="Y305" s="11">
        <v>18.899999999999999</v>
      </c>
      <c r="Z305" s="14">
        <v>8.808457983888444E-4</v>
      </c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 t="s">
        <v>90</v>
      </c>
    </row>
    <row r="306" spans="1:48" ht="18" hidden="1" customHeight="1" x14ac:dyDescent="0.25">
      <c r="A306" s="4">
        <v>153</v>
      </c>
      <c r="B306" s="4">
        <v>1</v>
      </c>
      <c r="C306" s="4">
        <v>153</v>
      </c>
      <c r="D306" s="87">
        <v>45280</v>
      </c>
      <c r="E306" s="87">
        <v>45286</v>
      </c>
      <c r="F306" s="87">
        <v>45288</v>
      </c>
      <c r="G306" s="5">
        <v>21150.15</v>
      </c>
      <c r="H306" s="5">
        <v>21441.35</v>
      </c>
      <c r="I306" s="5">
        <v>291.2</v>
      </c>
      <c r="J306" s="6">
        <v>1.376822386602459E-2</v>
      </c>
      <c r="K306" s="90"/>
      <c r="L306" s="90"/>
      <c r="M306" s="7" t="s">
        <v>28</v>
      </c>
      <c r="N306" s="4">
        <v>21200</v>
      </c>
      <c r="O306" s="94"/>
      <c r="P306" s="94"/>
      <c r="Q306" s="7" t="s">
        <v>89</v>
      </c>
      <c r="R306" s="4">
        <v>65</v>
      </c>
      <c r="S306" s="5">
        <v>162.9</v>
      </c>
      <c r="T306" s="5">
        <v>297.5</v>
      </c>
      <c r="U306" s="8">
        <v>-0.93779999999999997</v>
      </c>
      <c r="V306" s="8">
        <v>0.38040000000000002</v>
      </c>
      <c r="W306" s="5">
        <v>-134.6</v>
      </c>
      <c r="X306" s="6">
        <v>-6.3640210589522997E-3</v>
      </c>
      <c r="Y306" s="4">
        <v>0</v>
      </c>
      <c r="Z306" s="6">
        <v>0</v>
      </c>
      <c r="AA306" s="5">
        <v>44024.95</v>
      </c>
      <c r="AB306" s="5">
        <v>45388.1</v>
      </c>
      <c r="AC306" s="5">
        <v>1363.15</v>
      </c>
      <c r="AD306" s="5">
        <v>3.0962999999999998</v>
      </c>
      <c r="AE306" s="4">
        <v>6</v>
      </c>
      <c r="AF306" s="5">
        <v>-0.1</v>
      </c>
      <c r="AG306" s="5">
        <v>1319.1251</v>
      </c>
      <c r="AH306" s="5">
        <v>2.9963000000000002</v>
      </c>
      <c r="AI306" s="8">
        <v>-1.7055</v>
      </c>
      <c r="AJ306" s="8">
        <v>3.2523</v>
      </c>
      <c r="AK306" s="15">
        <v>1138.8751</v>
      </c>
      <c r="AL306" s="15">
        <v>2.1440999999999999</v>
      </c>
      <c r="AM306" s="5">
        <v>124.7247</v>
      </c>
      <c r="AN306" s="5">
        <v>126.81270000000001</v>
      </c>
      <c r="AO306" s="5">
        <v>-2.0878999999999999</v>
      </c>
      <c r="AP306" s="5">
        <v>-1.6465000000000001</v>
      </c>
      <c r="AQ306" s="8">
        <v>2.093</v>
      </c>
      <c r="AR306" s="8">
        <v>-1.1142000000000001</v>
      </c>
      <c r="AS306" s="8">
        <v>-1.1142000000000001</v>
      </c>
      <c r="AT306" s="5">
        <v>120.7461</v>
      </c>
      <c r="AU306" s="5">
        <v>-4.7838000000000003</v>
      </c>
      <c r="AV306" s="7" t="s">
        <v>96</v>
      </c>
    </row>
    <row r="307" spans="1:48" ht="18" customHeight="1" x14ac:dyDescent="0.25">
      <c r="A307" s="10">
        <v>153</v>
      </c>
      <c r="B307" s="10">
        <v>2</v>
      </c>
      <c r="C307" s="10">
        <v>153</v>
      </c>
      <c r="D307" s="88">
        <v>45280</v>
      </c>
      <c r="E307" s="88">
        <v>45286</v>
      </c>
      <c r="F307" s="88">
        <v>45288</v>
      </c>
      <c r="G307" s="11">
        <v>21150.15</v>
      </c>
      <c r="H307" s="11">
        <v>21441.35</v>
      </c>
      <c r="I307" s="12"/>
      <c r="J307" s="12"/>
      <c r="K307" s="92"/>
      <c r="L307" s="92"/>
      <c r="M307" s="12" t="s">
        <v>40</v>
      </c>
      <c r="N307" s="10">
        <v>20900</v>
      </c>
      <c r="O307" s="95">
        <f>IF(F307=F305,O305,MROUND(G307,100))</f>
        <v>20100</v>
      </c>
      <c r="P307" s="95">
        <f>O307-N307</f>
        <v>-800</v>
      </c>
      <c r="Q307" s="12" t="s">
        <v>91</v>
      </c>
      <c r="R307" s="10">
        <v>65</v>
      </c>
      <c r="S307" s="11">
        <v>52.4</v>
      </c>
      <c r="T307" s="11">
        <v>6.75</v>
      </c>
      <c r="U307" s="13">
        <v>-0.2215</v>
      </c>
      <c r="V307" s="13">
        <v>0.2109</v>
      </c>
      <c r="W307" s="10">
        <v>0</v>
      </c>
      <c r="X307" s="14">
        <v>0</v>
      </c>
      <c r="Y307" s="11">
        <v>-45.65</v>
      </c>
      <c r="Z307" s="14">
        <v>-2.158377127348979E-3</v>
      </c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 t="s">
        <v>96</v>
      </c>
    </row>
    <row r="308" spans="1:48" ht="18" hidden="1" customHeight="1" x14ac:dyDescent="0.25">
      <c r="A308" s="4">
        <v>154</v>
      </c>
      <c r="B308" s="4">
        <v>1</v>
      </c>
      <c r="C308" s="4">
        <v>154</v>
      </c>
      <c r="D308" s="87">
        <v>45286</v>
      </c>
      <c r="E308" s="87">
        <v>45287</v>
      </c>
      <c r="F308" s="87">
        <v>45288</v>
      </c>
      <c r="G308" s="5">
        <v>21441.35</v>
      </c>
      <c r="H308" s="5">
        <v>21654.75</v>
      </c>
      <c r="I308" s="5">
        <v>213.4</v>
      </c>
      <c r="J308" s="6">
        <v>9.9527315211029171E-3</v>
      </c>
      <c r="K308" s="90"/>
      <c r="L308" s="90"/>
      <c r="M308" s="7" t="s">
        <v>28</v>
      </c>
      <c r="N308" s="4">
        <v>21400</v>
      </c>
      <c r="O308" s="94"/>
      <c r="P308" s="94"/>
      <c r="Q308" s="7" t="s">
        <v>89</v>
      </c>
      <c r="R308" s="4">
        <v>65</v>
      </c>
      <c r="S308" s="5">
        <v>134.55000000000001</v>
      </c>
      <c r="T308" s="5">
        <v>286.3</v>
      </c>
      <c r="U308" s="8">
        <v>-0.85840000000000005</v>
      </c>
      <c r="V308" s="8">
        <v>-7.2099999999999997E-2</v>
      </c>
      <c r="W308" s="5">
        <v>-151.75</v>
      </c>
      <c r="X308" s="6">
        <v>-7.0774461496127816E-3</v>
      </c>
      <c r="Y308" s="4">
        <v>0</v>
      </c>
      <c r="Z308" s="6">
        <v>0</v>
      </c>
      <c r="AA308" s="5">
        <v>45388.1</v>
      </c>
      <c r="AB308" s="5">
        <v>45558.95</v>
      </c>
      <c r="AC308" s="5">
        <v>170.85</v>
      </c>
      <c r="AD308" s="5">
        <v>0.37640000000000001</v>
      </c>
      <c r="AE308" s="4">
        <v>1</v>
      </c>
      <c r="AF308" s="5">
        <v>-1.6667000000000001E-2</v>
      </c>
      <c r="AG308" s="5">
        <v>163.28530000000001</v>
      </c>
      <c r="AH308" s="5">
        <v>0.35980000000000001</v>
      </c>
      <c r="AI308" s="8">
        <v>-0.1192</v>
      </c>
      <c r="AJ308" s="8">
        <v>0.85019999999999996</v>
      </c>
      <c r="AK308" s="15">
        <v>8.0352999999999994</v>
      </c>
      <c r="AL308" s="15">
        <v>-0.36430000000000001</v>
      </c>
      <c r="AM308" s="5">
        <v>124.2704</v>
      </c>
      <c r="AN308" s="5">
        <v>126.81270000000001</v>
      </c>
      <c r="AO308" s="5">
        <v>-2.5423</v>
      </c>
      <c r="AP308" s="5">
        <v>-2.0047999999999999</v>
      </c>
      <c r="AQ308" s="8">
        <v>-2.87E-2</v>
      </c>
      <c r="AR308" s="8">
        <v>-0.1976</v>
      </c>
      <c r="AS308" s="8">
        <v>-0.36430000000000001</v>
      </c>
      <c r="AT308" s="5">
        <v>124.2704</v>
      </c>
      <c r="AU308" s="5">
        <v>-2.0047999999999999</v>
      </c>
      <c r="AV308" s="7" t="s">
        <v>90</v>
      </c>
    </row>
    <row r="309" spans="1:48" ht="18" customHeight="1" x14ac:dyDescent="0.25">
      <c r="A309" s="10">
        <v>154</v>
      </c>
      <c r="B309" s="10">
        <v>2</v>
      </c>
      <c r="C309" s="10">
        <v>154</v>
      </c>
      <c r="D309" s="88">
        <v>45286</v>
      </c>
      <c r="E309" s="88">
        <v>45287</v>
      </c>
      <c r="F309" s="88">
        <v>45288</v>
      </c>
      <c r="G309" s="11">
        <v>21441.35</v>
      </c>
      <c r="H309" s="11">
        <v>21654.75</v>
      </c>
      <c r="I309" s="12"/>
      <c r="J309" s="12"/>
      <c r="K309" s="92"/>
      <c r="L309" s="92"/>
      <c r="M309" s="12" t="s">
        <v>40</v>
      </c>
      <c r="N309" s="10">
        <v>20900</v>
      </c>
      <c r="O309" s="95">
        <f>IF(F309=F307,O307,MROUND(G309,100))</f>
        <v>20100</v>
      </c>
      <c r="P309" s="95">
        <f>O309-N309</f>
        <v>-800</v>
      </c>
      <c r="Q309" s="12" t="s">
        <v>91</v>
      </c>
      <c r="R309" s="10">
        <v>65</v>
      </c>
      <c r="S309" s="11">
        <v>6.75</v>
      </c>
      <c r="T309" s="11">
        <v>3.25</v>
      </c>
      <c r="U309" s="13">
        <v>-2.0500000000000001E-2</v>
      </c>
      <c r="V309" s="13">
        <v>-6.3E-3</v>
      </c>
      <c r="W309" s="10">
        <v>0</v>
      </c>
      <c r="X309" s="14">
        <v>0</v>
      </c>
      <c r="Y309" s="11">
        <v>-3.5</v>
      </c>
      <c r="Z309" s="14">
        <v>-1.63235990271135E-4</v>
      </c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 t="s">
        <v>90</v>
      </c>
    </row>
    <row r="310" spans="1:48" ht="18" hidden="1" customHeight="1" x14ac:dyDescent="0.25">
      <c r="A310" s="4">
        <v>155</v>
      </c>
      <c r="B310" s="4">
        <v>1</v>
      </c>
      <c r="C310" s="4">
        <v>155</v>
      </c>
      <c r="D310" s="87">
        <v>45287</v>
      </c>
      <c r="E310" s="87">
        <v>45294</v>
      </c>
      <c r="F310" s="87">
        <v>45295</v>
      </c>
      <c r="G310" s="5">
        <v>21654.75</v>
      </c>
      <c r="H310" s="5">
        <v>21517.35</v>
      </c>
      <c r="I310" s="5">
        <v>-137.4</v>
      </c>
      <c r="J310" s="6">
        <v>-6.3450282270633464E-3</v>
      </c>
      <c r="K310" s="90"/>
      <c r="L310" s="90"/>
      <c r="M310" s="7" t="s">
        <v>28</v>
      </c>
      <c r="N310" s="4">
        <v>21700</v>
      </c>
      <c r="O310" s="94"/>
      <c r="P310" s="94"/>
      <c r="Q310" s="7" t="s">
        <v>89</v>
      </c>
      <c r="R310" s="4">
        <v>65</v>
      </c>
      <c r="S310" s="5">
        <v>207.3</v>
      </c>
      <c r="T310" s="5">
        <v>7.95</v>
      </c>
      <c r="U310" s="8">
        <v>-0.42809999999999998</v>
      </c>
      <c r="V310" s="8">
        <v>0.92959999999999998</v>
      </c>
      <c r="W310" s="5">
        <v>199.35</v>
      </c>
      <c r="X310" s="6">
        <v>9.2058324386104663E-3</v>
      </c>
      <c r="Y310" s="4">
        <v>0</v>
      </c>
      <c r="Z310" s="6">
        <v>0</v>
      </c>
      <c r="AA310" s="5">
        <v>45558.95</v>
      </c>
      <c r="AB310" s="5">
        <v>46529.05</v>
      </c>
      <c r="AC310" s="5">
        <v>970.1</v>
      </c>
      <c r="AD310" s="5">
        <v>2.1293000000000002</v>
      </c>
      <c r="AE310" s="4">
        <v>7</v>
      </c>
      <c r="AF310" s="5">
        <v>-0.11666700000000001</v>
      </c>
      <c r="AG310" s="5">
        <v>916.9479</v>
      </c>
      <c r="AH310" s="5">
        <v>2.0127000000000002</v>
      </c>
      <c r="AI310" s="8">
        <v>-3.8199999999999998E-2</v>
      </c>
      <c r="AJ310" s="8">
        <v>2.2974999999999999</v>
      </c>
      <c r="AK310" s="15">
        <v>1160.7479000000001</v>
      </c>
      <c r="AL310" s="15">
        <v>3.1385000000000001</v>
      </c>
      <c r="AM310" s="5">
        <v>128.17060000000001</v>
      </c>
      <c r="AN310" s="5">
        <v>128.17060000000001</v>
      </c>
      <c r="AO310" s="4">
        <v>0</v>
      </c>
      <c r="AP310" s="4">
        <v>0</v>
      </c>
      <c r="AQ310" s="8">
        <v>1.4164000000000001</v>
      </c>
      <c r="AR310" s="8">
        <v>1.1486000000000001</v>
      </c>
      <c r="AS310" s="8">
        <v>1.1486000000000001</v>
      </c>
      <c r="AT310" s="5">
        <v>125.6977</v>
      </c>
      <c r="AU310" s="5">
        <v>-0.87919999999999998</v>
      </c>
      <c r="AV310" s="7" t="s">
        <v>90</v>
      </c>
    </row>
    <row r="311" spans="1:48" ht="18" customHeight="1" x14ac:dyDescent="0.25">
      <c r="A311" s="10">
        <v>155</v>
      </c>
      <c r="B311" s="10">
        <v>2</v>
      </c>
      <c r="C311" s="10">
        <v>155</v>
      </c>
      <c r="D311" s="88">
        <v>45287</v>
      </c>
      <c r="E311" s="88">
        <v>45294</v>
      </c>
      <c r="F311" s="88">
        <v>45316</v>
      </c>
      <c r="G311" s="11">
        <v>21654.75</v>
      </c>
      <c r="H311" s="11">
        <v>21517.35</v>
      </c>
      <c r="I311" s="12"/>
      <c r="J311" s="12"/>
      <c r="K311" s="92"/>
      <c r="L311" s="92"/>
      <c r="M311" s="12" t="s">
        <v>40</v>
      </c>
      <c r="N311" s="10">
        <v>21700</v>
      </c>
      <c r="O311" s="95">
        <f>IF(F311=F309,O309,MROUND(G311,100))</f>
        <v>21700</v>
      </c>
      <c r="P311" s="95">
        <f>O311-N311</f>
        <v>0</v>
      </c>
      <c r="Q311" s="12" t="s">
        <v>91</v>
      </c>
      <c r="R311" s="10">
        <v>65</v>
      </c>
      <c r="S311" s="11">
        <v>284.10000000000002</v>
      </c>
      <c r="T311" s="11">
        <v>328.55</v>
      </c>
      <c r="U311" s="13">
        <v>-0.45300000000000001</v>
      </c>
      <c r="V311" s="13">
        <v>0.25719999999999998</v>
      </c>
      <c r="W311" s="10">
        <v>0</v>
      </c>
      <c r="X311" s="14">
        <v>0</v>
      </c>
      <c r="Y311" s="11">
        <v>44.45</v>
      </c>
      <c r="Z311" s="14">
        <v>2.0526674286242049E-3</v>
      </c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 t="s">
        <v>90</v>
      </c>
    </row>
    <row r="312" spans="1:48" ht="18" hidden="1" customHeight="1" x14ac:dyDescent="0.25">
      <c r="A312" s="4">
        <v>156</v>
      </c>
      <c r="B312" s="4">
        <v>1</v>
      </c>
      <c r="C312" s="4">
        <v>156</v>
      </c>
      <c r="D312" s="87">
        <v>45294</v>
      </c>
      <c r="E312" s="87">
        <v>45301</v>
      </c>
      <c r="F312" s="87">
        <v>45302</v>
      </c>
      <c r="G312" s="5">
        <v>21517.35</v>
      </c>
      <c r="H312" s="5">
        <v>21618.7</v>
      </c>
      <c r="I312" s="5">
        <v>101.35</v>
      </c>
      <c r="J312" s="6">
        <v>4.710152504839118E-3</v>
      </c>
      <c r="K312" s="90"/>
      <c r="L312" s="90"/>
      <c r="M312" s="7" t="s">
        <v>28</v>
      </c>
      <c r="N312" s="4">
        <v>21500</v>
      </c>
      <c r="O312" s="94"/>
      <c r="P312" s="94"/>
      <c r="Q312" s="7" t="s">
        <v>89</v>
      </c>
      <c r="R312" s="4">
        <v>65</v>
      </c>
      <c r="S312" s="5">
        <v>173.7</v>
      </c>
      <c r="T312" s="5">
        <v>171.7</v>
      </c>
      <c r="U312" s="8">
        <v>-0.56330000000000002</v>
      </c>
      <c r="V312" s="8">
        <v>0.53769999999999996</v>
      </c>
      <c r="W312" s="4">
        <v>2</v>
      </c>
      <c r="X312" s="6">
        <v>9.2948248738808459E-5</v>
      </c>
      <c r="Y312" s="4">
        <v>0</v>
      </c>
      <c r="Z312" s="6">
        <v>0</v>
      </c>
      <c r="AA312" s="5">
        <v>46529.05</v>
      </c>
      <c r="AB312" s="5">
        <v>47107.15</v>
      </c>
      <c r="AC312" s="5">
        <v>578.1</v>
      </c>
      <c r="AD312" s="5">
        <v>1.2423999999999999</v>
      </c>
      <c r="AE312" s="4">
        <v>7</v>
      </c>
      <c r="AF312" s="5">
        <v>-0.11666700000000001</v>
      </c>
      <c r="AG312" s="5">
        <v>523.81610000000001</v>
      </c>
      <c r="AH312" s="5">
        <v>1.1257999999999999</v>
      </c>
      <c r="AI312" s="8">
        <v>-1.3899999999999999E-2</v>
      </c>
      <c r="AJ312" s="8">
        <v>2.3704999999999998</v>
      </c>
      <c r="AK312" s="15">
        <v>406.46609999999998</v>
      </c>
      <c r="AL312" s="15">
        <v>0.58040000000000003</v>
      </c>
      <c r="AM312" s="5">
        <v>128.9145</v>
      </c>
      <c r="AN312" s="5">
        <v>128.9145</v>
      </c>
      <c r="AO312" s="4">
        <v>0</v>
      </c>
      <c r="AP312" s="4">
        <v>0</v>
      </c>
      <c r="AQ312" s="8">
        <v>1.1229</v>
      </c>
      <c r="AR312" s="8">
        <v>0.58930000000000005</v>
      </c>
      <c r="AS312" s="8">
        <v>0.58040000000000003</v>
      </c>
      <c r="AT312" s="5">
        <v>128.9145</v>
      </c>
      <c r="AU312" s="5">
        <v>0.58040000000000003</v>
      </c>
      <c r="AV312" s="7" t="s">
        <v>90</v>
      </c>
    </row>
    <row r="313" spans="1:48" ht="18" customHeight="1" x14ac:dyDescent="0.25">
      <c r="A313" s="10">
        <v>156</v>
      </c>
      <c r="B313" s="10">
        <v>2</v>
      </c>
      <c r="C313" s="10">
        <v>156</v>
      </c>
      <c r="D313" s="88">
        <v>45294</v>
      </c>
      <c r="E313" s="88">
        <v>45301</v>
      </c>
      <c r="F313" s="88">
        <v>45316</v>
      </c>
      <c r="G313" s="11">
        <v>21517.35</v>
      </c>
      <c r="H313" s="11">
        <v>21618.7</v>
      </c>
      <c r="I313" s="12"/>
      <c r="J313" s="12"/>
      <c r="K313" s="92"/>
      <c r="L313" s="92"/>
      <c r="M313" s="12" t="s">
        <v>40</v>
      </c>
      <c r="N313" s="10">
        <v>21700</v>
      </c>
      <c r="O313" s="95">
        <f>IF(F313=F311,O311,MROUND(G313,100))</f>
        <v>21700</v>
      </c>
      <c r="P313" s="95">
        <f>O313-N313</f>
        <v>0</v>
      </c>
      <c r="Q313" s="12" t="s">
        <v>91</v>
      </c>
      <c r="R313" s="10">
        <v>65</v>
      </c>
      <c r="S313" s="11">
        <v>328.55</v>
      </c>
      <c r="T313" s="11">
        <v>209.2</v>
      </c>
      <c r="U313" s="13">
        <v>-0.68430000000000002</v>
      </c>
      <c r="V313" s="13">
        <v>6.5500000000000003E-2</v>
      </c>
      <c r="W313" s="10">
        <v>0</v>
      </c>
      <c r="X313" s="14">
        <v>0</v>
      </c>
      <c r="Y313" s="11">
        <v>-119.35</v>
      </c>
      <c r="Z313" s="14">
        <v>-5.5466867434883936E-3</v>
      </c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 t="s">
        <v>90</v>
      </c>
    </row>
    <row r="314" spans="1:48" ht="18" hidden="1" customHeight="1" x14ac:dyDescent="0.25">
      <c r="A314" s="4">
        <v>157</v>
      </c>
      <c r="B314" s="4">
        <v>1</v>
      </c>
      <c r="C314" s="4">
        <v>157</v>
      </c>
      <c r="D314" s="87">
        <v>45301</v>
      </c>
      <c r="E314" s="87">
        <v>45303</v>
      </c>
      <c r="F314" s="87">
        <v>45309</v>
      </c>
      <c r="G314" s="5">
        <v>21618.7</v>
      </c>
      <c r="H314" s="5">
        <v>21894.55</v>
      </c>
      <c r="I314" s="5">
        <v>275.85000000000002</v>
      </c>
      <c r="J314" s="6">
        <v>1.275978666617327E-2</v>
      </c>
      <c r="K314" s="90"/>
      <c r="L314" s="90"/>
      <c r="M314" s="7" t="s">
        <v>28</v>
      </c>
      <c r="N314" s="4">
        <v>21600</v>
      </c>
      <c r="O314" s="94"/>
      <c r="P314" s="94"/>
      <c r="Q314" s="7" t="s">
        <v>89</v>
      </c>
      <c r="R314" s="4">
        <v>65</v>
      </c>
      <c r="S314" s="5">
        <v>192.85</v>
      </c>
      <c r="T314" s="5">
        <v>359.5</v>
      </c>
      <c r="U314" s="8">
        <v>-1.0349999999999999</v>
      </c>
      <c r="V314" s="8">
        <v>0.2271</v>
      </c>
      <c r="W314" s="5">
        <v>-166.65</v>
      </c>
      <c r="X314" s="6">
        <v>-7.7086041251324088E-3</v>
      </c>
      <c r="Y314" s="4">
        <v>0</v>
      </c>
      <c r="Z314" s="6">
        <v>0</v>
      </c>
      <c r="AA314" s="5">
        <v>47107.15</v>
      </c>
      <c r="AB314" s="5">
        <v>47512.6</v>
      </c>
      <c r="AC314" s="5">
        <v>405.45</v>
      </c>
      <c r="AD314" s="5">
        <v>0.86070000000000002</v>
      </c>
      <c r="AE314" s="4">
        <v>2</v>
      </c>
      <c r="AF314" s="5">
        <v>-3.3333000000000002E-2</v>
      </c>
      <c r="AG314" s="5">
        <v>389.74759999999998</v>
      </c>
      <c r="AH314" s="5">
        <v>0.82740000000000002</v>
      </c>
      <c r="AI314" s="8">
        <v>0.1749</v>
      </c>
      <c r="AJ314" s="8">
        <v>1.0027999999999999</v>
      </c>
      <c r="AK314" s="15">
        <v>122.7976</v>
      </c>
      <c r="AL314" s="15">
        <v>-0.40739999999999998</v>
      </c>
      <c r="AM314" s="5">
        <v>128.38929999999999</v>
      </c>
      <c r="AN314" s="5">
        <v>128.9145</v>
      </c>
      <c r="AO314" s="5">
        <v>-0.5252</v>
      </c>
      <c r="AP314" s="5">
        <v>-0.40739999999999998</v>
      </c>
      <c r="AQ314" s="8">
        <v>-0.54610000000000003</v>
      </c>
      <c r="AR314" s="8">
        <v>0.56689999999999996</v>
      </c>
      <c r="AS314" s="8">
        <v>-0.54610000000000003</v>
      </c>
      <c r="AT314" s="5">
        <v>128.2105</v>
      </c>
      <c r="AU314" s="5">
        <v>-0.54610000000000003</v>
      </c>
      <c r="AV314" s="7" t="s">
        <v>96</v>
      </c>
    </row>
    <row r="315" spans="1:48" ht="18" customHeight="1" x14ac:dyDescent="0.25">
      <c r="A315" s="10">
        <v>157</v>
      </c>
      <c r="B315" s="10">
        <v>2</v>
      </c>
      <c r="C315" s="10">
        <v>157</v>
      </c>
      <c r="D315" s="88">
        <v>45301</v>
      </c>
      <c r="E315" s="88">
        <v>45303</v>
      </c>
      <c r="F315" s="88">
        <v>45316</v>
      </c>
      <c r="G315" s="11">
        <v>21618.7</v>
      </c>
      <c r="H315" s="11">
        <v>21894.55</v>
      </c>
      <c r="I315" s="12"/>
      <c r="J315" s="12"/>
      <c r="K315" s="92"/>
      <c r="L315" s="92"/>
      <c r="M315" s="12" t="s">
        <v>40</v>
      </c>
      <c r="N315" s="10">
        <v>21700</v>
      </c>
      <c r="O315" s="95">
        <f>IF(F315=F313,O313,MROUND(G315,100))</f>
        <v>21700</v>
      </c>
      <c r="P315" s="95">
        <f>O315-N315</f>
        <v>0</v>
      </c>
      <c r="Q315" s="12" t="s">
        <v>91</v>
      </c>
      <c r="R315" s="10">
        <v>65</v>
      </c>
      <c r="S315" s="11">
        <v>209.2</v>
      </c>
      <c r="T315" s="11">
        <v>108.9</v>
      </c>
      <c r="U315" s="13">
        <v>-0.51390000000000002</v>
      </c>
      <c r="V315" s="13">
        <v>0.16489999999999999</v>
      </c>
      <c r="W315" s="10">
        <v>0</v>
      </c>
      <c r="X315" s="14">
        <v>0</v>
      </c>
      <c r="Y315" s="11">
        <v>-100.3</v>
      </c>
      <c r="Z315" s="14">
        <v>-4.6395019126959534E-3</v>
      </c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 t="s">
        <v>96</v>
      </c>
    </row>
    <row r="316" spans="1:48" ht="18" hidden="1" customHeight="1" x14ac:dyDescent="0.25">
      <c r="A316" s="4">
        <v>158</v>
      </c>
      <c r="B316" s="4">
        <v>1</v>
      </c>
      <c r="C316" s="4">
        <v>158</v>
      </c>
      <c r="D316" s="87">
        <v>45303</v>
      </c>
      <c r="E316" s="87">
        <v>45308</v>
      </c>
      <c r="F316" s="87">
        <v>45309</v>
      </c>
      <c r="G316" s="5">
        <v>21894.55</v>
      </c>
      <c r="H316" s="5">
        <v>21571.95</v>
      </c>
      <c r="I316" s="5">
        <v>-322.60000000000002</v>
      </c>
      <c r="J316" s="6">
        <v>-1.473426035246214E-2</v>
      </c>
      <c r="K316" s="90"/>
      <c r="L316" s="90"/>
      <c r="M316" s="7" t="s">
        <v>28</v>
      </c>
      <c r="N316" s="4">
        <v>21900</v>
      </c>
      <c r="O316" s="94"/>
      <c r="P316" s="94"/>
      <c r="Q316" s="7" t="s">
        <v>89</v>
      </c>
      <c r="R316" s="4">
        <v>65</v>
      </c>
      <c r="S316" s="5">
        <v>144.15</v>
      </c>
      <c r="T316" s="5">
        <v>7.1</v>
      </c>
      <c r="U316" s="8">
        <v>-0.5867</v>
      </c>
      <c r="V316" s="8">
        <v>0.63439999999999996</v>
      </c>
      <c r="W316" s="5">
        <v>137.05000000000001</v>
      </c>
      <c r="X316" s="6">
        <v>6.2595486091287563E-3</v>
      </c>
      <c r="Y316" s="4">
        <v>0</v>
      </c>
      <c r="Z316" s="6">
        <v>0</v>
      </c>
      <c r="AA316" s="5">
        <v>47512.6</v>
      </c>
      <c r="AB316" s="5">
        <v>47151.55</v>
      </c>
      <c r="AC316" s="5">
        <v>-361.05</v>
      </c>
      <c r="AD316" s="5">
        <v>-0.75990000000000002</v>
      </c>
      <c r="AE316" s="4">
        <v>5</v>
      </c>
      <c r="AF316" s="5">
        <v>-8.3333000000000004E-2</v>
      </c>
      <c r="AG316" s="5">
        <v>-400.6438</v>
      </c>
      <c r="AH316" s="5">
        <v>-0.84319999999999995</v>
      </c>
      <c r="AI316" s="8">
        <v>-1.3725000000000001</v>
      </c>
      <c r="AJ316" s="8">
        <v>1.071</v>
      </c>
      <c r="AK316" s="9">
        <v>-108.6938</v>
      </c>
      <c r="AL316" s="9">
        <v>0.49020000000000002</v>
      </c>
      <c r="AM316" s="5">
        <v>129.0187</v>
      </c>
      <c r="AN316" s="5">
        <v>129.0187</v>
      </c>
      <c r="AO316" s="4">
        <v>0</v>
      </c>
      <c r="AP316" s="4">
        <v>0</v>
      </c>
      <c r="AQ316" s="8">
        <v>0.25409999999999999</v>
      </c>
      <c r="AR316" s="8">
        <v>5.6599999999999998E-2</v>
      </c>
      <c r="AS316" s="8">
        <v>5.6599999999999998E-2</v>
      </c>
      <c r="AT316" s="5">
        <v>128.46199999999999</v>
      </c>
      <c r="AU316" s="5">
        <v>-0.35099999999999998</v>
      </c>
      <c r="AV316" s="7" t="s">
        <v>90</v>
      </c>
    </row>
    <row r="317" spans="1:48" ht="18" customHeight="1" x14ac:dyDescent="0.25">
      <c r="A317" s="10">
        <v>158</v>
      </c>
      <c r="B317" s="10">
        <v>2</v>
      </c>
      <c r="C317" s="10">
        <v>158</v>
      </c>
      <c r="D317" s="88">
        <v>45303</v>
      </c>
      <c r="E317" s="88">
        <v>45308</v>
      </c>
      <c r="F317" s="88">
        <v>45316</v>
      </c>
      <c r="G317" s="11">
        <v>21894.55</v>
      </c>
      <c r="H317" s="11">
        <v>21571.95</v>
      </c>
      <c r="I317" s="12"/>
      <c r="J317" s="12"/>
      <c r="K317" s="92"/>
      <c r="L317" s="92"/>
      <c r="M317" s="12" t="s">
        <v>40</v>
      </c>
      <c r="N317" s="10">
        <v>21700</v>
      </c>
      <c r="O317" s="95">
        <f>IF(F317=F315,O315,MROUND(G317,100))</f>
        <v>21700</v>
      </c>
      <c r="P317" s="95">
        <f>O317-N317</f>
        <v>0</v>
      </c>
      <c r="Q317" s="12" t="s">
        <v>91</v>
      </c>
      <c r="R317" s="10">
        <v>65</v>
      </c>
      <c r="S317" s="11">
        <v>108.9</v>
      </c>
      <c r="T317" s="11">
        <v>263.8</v>
      </c>
      <c r="U317" s="13">
        <v>-0.23019999999999999</v>
      </c>
      <c r="V317" s="13">
        <v>0.79469999999999996</v>
      </c>
      <c r="W317" s="10">
        <v>0</v>
      </c>
      <c r="X317" s="14">
        <v>0</v>
      </c>
      <c r="Y317" s="11">
        <v>154.9</v>
      </c>
      <c r="Z317" s="14">
        <v>7.0748199894494299E-3</v>
      </c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 t="s">
        <v>90</v>
      </c>
    </row>
    <row r="318" spans="1:48" ht="18" hidden="1" customHeight="1" x14ac:dyDescent="0.25">
      <c r="A318" s="4">
        <v>159</v>
      </c>
      <c r="B318" s="4">
        <v>1</v>
      </c>
      <c r="C318" s="4">
        <v>159</v>
      </c>
      <c r="D318" s="87">
        <v>45308</v>
      </c>
      <c r="E318" s="87">
        <v>45314</v>
      </c>
      <c r="F318" s="87">
        <v>45316</v>
      </c>
      <c r="G318" s="5">
        <v>21571.95</v>
      </c>
      <c r="H318" s="5">
        <v>21238.799999999999</v>
      </c>
      <c r="I318" s="5">
        <v>-333.15</v>
      </c>
      <c r="J318" s="6">
        <v>-1.544366642793071E-2</v>
      </c>
      <c r="K318" s="90"/>
      <c r="L318" s="90"/>
      <c r="M318" s="7" t="s">
        <v>28</v>
      </c>
      <c r="N318" s="4">
        <v>21600</v>
      </c>
      <c r="O318" s="94"/>
      <c r="P318" s="94"/>
      <c r="Q318" s="7" t="s">
        <v>89</v>
      </c>
      <c r="R318" s="4">
        <v>65</v>
      </c>
      <c r="S318" s="5">
        <v>203.3</v>
      </c>
      <c r="T318" s="5">
        <v>18.05</v>
      </c>
      <c r="U318" s="8">
        <v>-0.10059999999999999</v>
      </c>
      <c r="V318" s="8">
        <v>0.87609999999999999</v>
      </c>
      <c r="W318" s="5">
        <v>185.25</v>
      </c>
      <c r="X318" s="6">
        <v>8.5875407647431033E-3</v>
      </c>
      <c r="Y318" s="4">
        <v>0</v>
      </c>
      <c r="Z318" s="6">
        <v>0</v>
      </c>
      <c r="AA318" s="5">
        <v>47151.55</v>
      </c>
      <c r="AB318" s="5">
        <v>46569.599999999999</v>
      </c>
      <c r="AC318" s="5">
        <v>-581.95000000000005</v>
      </c>
      <c r="AD318" s="5">
        <v>-1.2342</v>
      </c>
      <c r="AE318" s="4">
        <v>6</v>
      </c>
      <c r="AF318" s="5">
        <v>-0.1</v>
      </c>
      <c r="AG318" s="5">
        <v>-629.10159999999996</v>
      </c>
      <c r="AH318" s="5">
        <v>-1.3342000000000001</v>
      </c>
      <c r="AI318" s="8">
        <v>-2.7547999999999999</v>
      </c>
      <c r="AJ318" s="8">
        <v>2.7442000000000002</v>
      </c>
      <c r="AK318" s="9">
        <v>-189.35159999999999</v>
      </c>
      <c r="AL318" s="9">
        <v>0.70430000000000004</v>
      </c>
      <c r="AM318" s="5">
        <v>129.9273</v>
      </c>
      <c r="AN318" s="5">
        <v>129.9273</v>
      </c>
      <c r="AO318" s="4">
        <v>0</v>
      </c>
      <c r="AP318" s="4">
        <v>0</v>
      </c>
      <c r="AQ318" s="8">
        <v>1.7248000000000001</v>
      </c>
      <c r="AR318" s="8">
        <v>-0.51329999999999998</v>
      </c>
      <c r="AS318" s="8">
        <v>-0.51329999999999998</v>
      </c>
      <c r="AT318" s="5">
        <v>128.35640000000001</v>
      </c>
      <c r="AU318" s="5">
        <v>-0.51329999999999998</v>
      </c>
      <c r="AV318" s="7" t="s">
        <v>93</v>
      </c>
    </row>
    <row r="319" spans="1:48" ht="18" customHeight="1" x14ac:dyDescent="0.25">
      <c r="A319" s="10">
        <v>159</v>
      </c>
      <c r="B319" s="10">
        <v>2</v>
      </c>
      <c r="C319" s="10">
        <v>159</v>
      </c>
      <c r="D319" s="88">
        <v>45308</v>
      </c>
      <c r="E319" s="88">
        <v>45314</v>
      </c>
      <c r="F319" s="88">
        <v>45316</v>
      </c>
      <c r="G319" s="11">
        <v>21571.95</v>
      </c>
      <c r="H319" s="11">
        <v>21238.799999999999</v>
      </c>
      <c r="I319" s="12"/>
      <c r="J319" s="12"/>
      <c r="K319" s="92"/>
      <c r="L319" s="92"/>
      <c r="M319" s="12" t="s">
        <v>40</v>
      </c>
      <c r="N319" s="10">
        <v>21700</v>
      </c>
      <c r="O319" s="95">
        <f>IF(F319=F317,O317,MROUND(G319,100))</f>
        <v>21700</v>
      </c>
      <c r="P319" s="95">
        <f>O319-N319</f>
        <v>0</v>
      </c>
      <c r="Q319" s="12" t="s">
        <v>91</v>
      </c>
      <c r="R319" s="10">
        <v>65</v>
      </c>
      <c r="S319" s="11">
        <v>263.8</v>
      </c>
      <c r="T319" s="11">
        <v>518.29999999999995</v>
      </c>
      <c r="U319" s="13">
        <v>-0.91879999999999995</v>
      </c>
      <c r="V319" s="13">
        <v>1.3653999999999999</v>
      </c>
      <c r="W319" s="10">
        <v>0</v>
      </c>
      <c r="X319" s="14">
        <v>0</v>
      </c>
      <c r="Y319" s="11">
        <v>254.5</v>
      </c>
      <c r="Z319" s="14">
        <v>1.1797728068162591E-2</v>
      </c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 t="s">
        <v>93</v>
      </c>
    </row>
    <row r="320" spans="1:48" ht="18" hidden="1" customHeight="1" x14ac:dyDescent="0.25">
      <c r="A320" s="4">
        <v>160</v>
      </c>
      <c r="B320" s="4">
        <v>1</v>
      </c>
      <c r="C320" s="4">
        <v>160</v>
      </c>
      <c r="D320" s="87">
        <v>45314</v>
      </c>
      <c r="E320" s="87">
        <v>45315</v>
      </c>
      <c r="F320" s="87">
        <v>45316</v>
      </c>
      <c r="G320" s="5">
        <v>21238.799999999999</v>
      </c>
      <c r="H320" s="5">
        <v>21453.95</v>
      </c>
      <c r="I320" s="5">
        <v>215.15</v>
      </c>
      <c r="J320" s="6">
        <v>1.013004501195925E-2</v>
      </c>
      <c r="K320" s="90"/>
      <c r="L320" s="90"/>
      <c r="M320" s="7" t="s">
        <v>28</v>
      </c>
      <c r="N320" s="4">
        <v>21200</v>
      </c>
      <c r="O320" s="94"/>
      <c r="P320" s="94"/>
      <c r="Q320" s="7" t="s">
        <v>89</v>
      </c>
      <c r="R320" s="4">
        <v>65</v>
      </c>
      <c r="S320" s="5">
        <v>113.15</v>
      </c>
      <c r="T320" s="5">
        <v>288.14999999999998</v>
      </c>
      <c r="U320" s="8">
        <v>-0.94279999999999997</v>
      </c>
      <c r="V320" s="8">
        <v>0.10879999999999999</v>
      </c>
      <c r="W320" s="4">
        <v>-175</v>
      </c>
      <c r="X320" s="6">
        <v>-8.239636890973125E-3</v>
      </c>
      <c r="Y320" s="4">
        <v>0</v>
      </c>
      <c r="Z320" s="6">
        <v>0</v>
      </c>
      <c r="AA320" s="5">
        <v>46569.599999999999</v>
      </c>
      <c r="AB320" s="5">
        <v>47423.4</v>
      </c>
      <c r="AC320" s="5">
        <v>853.8</v>
      </c>
      <c r="AD320" s="5">
        <v>1.8333999999999999</v>
      </c>
      <c r="AE320" s="4">
        <v>1</v>
      </c>
      <c r="AF320" s="5">
        <v>-1.6667000000000001E-2</v>
      </c>
      <c r="AG320" s="5">
        <v>846.03840000000002</v>
      </c>
      <c r="AH320" s="5">
        <v>1.8167</v>
      </c>
      <c r="AI320" s="8">
        <v>-1.0649</v>
      </c>
      <c r="AJ320" s="8">
        <v>1.9924999999999999</v>
      </c>
      <c r="AK320" s="15">
        <v>389.88839999999999</v>
      </c>
      <c r="AL320" s="15">
        <v>-0.33100000000000002</v>
      </c>
      <c r="AM320" s="5">
        <v>129.4973</v>
      </c>
      <c r="AN320" s="5">
        <v>129.9273</v>
      </c>
      <c r="AO320" s="5">
        <v>-0.43009999999999998</v>
      </c>
      <c r="AP320" s="5">
        <v>-0.33100000000000002</v>
      </c>
      <c r="AQ320" s="8">
        <v>-0.4118</v>
      </c>
      <c r="AR320" s="8">
        <v>-0.74850000000000005</v>
      </c>
      <c r="AS320" s="8">
        <v>-0.74850000000000005</v>
      </c>
      <c r="AT320" s="5">
        <v>128.95480000000001</v>
      </c>
      <c r="AU320" s="5">
        <v>-0.74850000000000005</v>
      </c>
      <c r="AV320" s="7" t="s">
        <v>90</v>
      </c>
    </row>
    <row r="321" spans="1:48" ht="18" customHeight="1" x14ac:dyDescent="0.25">
      <c r="A321" s="10">
        <v>160</v>
      </c>
      <c r="B321" s="10">
        <v>2</v>
      </c>
      <c r="C321" s="10">
        <v>160</v>
      </c>
      <c r="D321" s="88">
        <v>45314</v>
      </c>
      <c r="E321" s="88">
        <v>45315</v>
      </c>
      <c r="F321" s="88">
        <v>45316</v>
      </c>
      <c r="G321" s="11">
        <v>21238.799999999999</v>
      </c>
      <c r="H321" s="11">
        <v>21453.95</v>
      </c>
      <c r="I321" s="12"/>
      <c r="J321" s="12"/>
      <c r="K321" s="92"/>
      <c r="L321" s="92"/>
      <c r="M321" s="12" t="s">
        <v>40</v>
      </c>
      <c r="N321" s="10">
        <v>21700</v>
      </c>
      <c r="O321" s="95">
        <f>IF(F321=F319,O319,MROUND(G321,100))</f>
        <v>21700</v>
      </c>
      <c r="P321" s="95">
        <f>O321-N321</f>
        <v>0</v>
      </c>
      <c r="Q321" s="12" t="s">
        <v>91</v>
      </c>
      <c r="R321" s="10">
        <v>65</v>
      </c>
      <c r="S321" s="11">
        <v>518.29999999999995</v>
      </c>
      <c r="T321" s="11">
        <v>237.15</v>
      </c>
      <c r="U321" s="13">
        <v>-1.4615</v>
      </c>
      <c r="V321" s="13">
        <v>0.20760000000000001</v>
      </c>
      <c r="W321" s="10">
        <v>0</v>
      </c>
      <c r="X321" s="14">
        <v>0</v>
      </c>
      <c r="Y321" s="11">
        <v>-281.14999999999998</v>
      </c>
      <c r="Z321" s="14">
        <v>-1.3237565210840539E-2</v>
      </c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 t="s">
        <v>90</v>
      </c>
    </row>
    <row r="322" spans="1:48" ht="18" hidden="1" customHeight="1" x14ac:dyDescent="0.25">
      <c r="A322" s="4">
        <v>161</v>
      </c>
      <c r="B322" s="4">
        <v>1</v>
      </c>
      <c r="C322" s="4">
        <v>161</v>
      </c>
      <c r="D322" s="87">
        <v>45315</v>
      </c>
      <c r="E322" s="87">
        <v>45320</v>
      </c>
      <c r="F322" s="87">
        <v>45323</v>
      </c>
      <c r="G322" s="5">
        <v>21453.95</v>
      </c>
      <c r="H322" s="5">
        <v>21737.599999999999</v>
      </c>
      <c r="I322" s="5">
        <v>283.64999999999998</v>
      </c>
      <c r="J322" s="6">
        <v>1.322134152452112E-2</v>
      </c>
      <c r="K322" s="90"/>
      <c r="L322" s="90"/>
      <c r="M322" s="7" t="s">
        <v>28</v>
      </c>
      <c r="N322" s="4">
        <v>21500</v>
      </c>
      <c r="O322" s="94"/>
      <c r="P322" s="94"/>
      <c r="Q322" s="7" t="s">
        <v>89</v>
      </c>
      <c r="R322" s="4">
        <v>65</v>
      </c>
      <c r="S322" s="5">
        <v>224.4</v>
      </c>
      <c r="T322" s="5">
        <v>348.05</v>
      </c>
      <c r="U322" s="8">
        <v>-0.6875</v>
      </c>
      <c r="V322" s="8">
        <v>0.51759999999999995</v>
      </c>
      <c r="W322" s="5">
        <v>-123.65</v>
      </c>
      <c r="X322" s="6">
        <v>-5.7635074193796484E-3</v>
      </c>
      <c r="Y322" s="4">
        <v>0</v>
      </c>
      <c r="Z322" s="6">
        <v>0</v>
      </c>
      <c r="AA322" s="5">
        <v>47423.4</v>
      </c>
      <c r="AB322" s="5">
        <v>47979.05</v>
      </c>
      <c r="AC322" s="5">
        <v>555.65</v>
      </c>
      <c r="AD322" s="5">
        <v>1.1717</v>
      </c>
      <c r="AE322" s="4">
        <v>5</v>
      </c>
      <c r="AF322" s="5">
        <v>-8.3333000000000004E-2</v>
      </c>
      <c r="AG322" s="5">
        <v>516.13049999999998</v>
      </c>
      <c r="AH322" s="5">
        <v>1.0883</v>
      </c>
      <c r="AI322" s="8">
        <v>-1.0116000000000001</v>
      </c>
      <c r="AJ322" s="8">
        <v>1.1382000000000001</v>
      </c>
      <c r="AK322" s="15">
        <v>314.48050000000001</v>
      </c>
      <c r="AL322" s="15">
        <v>0.1484</v>
      </c>
      <c r="AM322" s="5">
        <v>129.68950000000001</v>
      </c>
      <c r="AN322" s="5">
        <v>129.9273</v>
      </c>
      <c r="AO322" s="5">
        <v>-0.2379</v>
      </c>
      <c r="AP322" s="5">
        <v>-0.18310000000000001</v>
      </c>
      <c r="AQ322" s="8">
        <v>-5.0599999999999999E-2</v>
      </c>
      <c r="AR322" s="8">
        <v>5.3499999999999999E-2</v>
      </c>
      <c r="AS322" s="8">
        <v>-5.0599999999999999E-2</v>
      </c>
      <c r="AT322" s="5">
        <v>129.43180000000001</v>
      </c>
      <c r="AU322" s="5">
        <v>-0.38140000000000002</v>
      </c>
      <c r="AV322" s="7" t="s">
        <v>96</v>
      </c>
    </row>
    <row r="323" spans="1:48" ht="18" customHeight="1" x14ac:dyDescent="0.25">
      <c r="A323" s="10">
        <v>161</v>
      </c>
      <c r="B323" s="10">
        <v>2</v>
      </c>
      <c r="C323" s="10">
        <v>161</v>
      </c>
      <c r="D323" s="88">
        <v>45315</v>
      </c>
      <c r="E323" s="88">
        <v>45320</v>
      </c>
      <c r="F323" s="88">
        <v>45351</v>
      </c>
      <c r="G323" s="11">
        <v>21453.95</v>
      </c>
      <c r="H323" s="11">
        <v>21737.599999999999</v>
      </c>
      <c r="I323" s="12"/>
      <c r="J323" s="12"/>
      <c r="K323" s="92"/>
      <c r="L323" s="92"/>
      <c r="M323" s="12" t="s">
        <v>40</v>
      </c>
      <c r="N323" s="10">
        <v>21500</v>
      </c>
      <c r="O323" s="95">
        <f>IF(F323=F321,O321,MROUND(G323,100))</f>
        <v>21500</v>
      </c>
      <c r="P323" s="95">
        <f>O323-N323</f>
        <v>0</v>
      </c>
      <c r="Q323" s="12" t="s">
        <v>91</v>
      </c>
      <c r="R323" s="10">
        <v>65</v>
      </c>
      <c r="S323" s="11">
        <v>317.55</v>
      </c>
      <c r="T323" s="11">
        <v>239.55</v>
      </c>
      <c r="U323" s="13">
        <v>-0.50129999999999997</v>
      </c>
      <c r="V323" s="13">
        <v>0.54749999999999999</v>
      </c>
      <c r="W323" s="10">
        <v>0</v>
      </c>
      <c r="X323" s="14">
        <v>0</v>
      </c>
      <c r="Y323" s="10">
        <v>-78</v>
      </c>
      <c r="Z323" s="14">
        <v>-3.6356941262564702E-3</v>
      </c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 t="s">
        <v>96</v>
      </c>
    </row>
    <row r="324" spans="1:48" ht="18" hidden="1" customHeight="1" x14ac:dyDescent="0.25">
      <c r="A324" s="4">
        <v>162</v>
      </c>
      <c r="B324" s="4">
        <v>1</v>
      </c>
      <c r="C324" s="4">
        <v>162</v>
      </c>
      <c r="D324" s="87">
        <v>45320</v>
      </c>
      <c r="E324" s="87">
        <v>45322</v>
      </c>
      <c r="F324" s="87">
        <v>45323</v>
      </c>
      <c r="G324" s="5">
        <v>21737.599999999999</v>
      </c>
      <c r="H324" s="5">
        <v>21725.7</v>
      </c>
      <c r="I324" s="5">
        <v>-11.9</v>
      </c>
      <c r="J324" s="6">
        <v>-5.474385396731931E-4</v>
      </c>
      <c r="K324" s="90"/>
      <c r="L324" s="90"/>
      <c r="M324" s="7" t="s">
        <v>28</v>
      </c>
      <c r="N324" s="4">
        <v>21700</v>
      </c>
      <c r="O324" s="94"/>
      <c r="P324" s="94"/>
      <c r="Q324" s="7" t="s">
        <v>89</v>
      </c>
      <c r="R324" s="4">
        <v>65</v>
      </c>
      <c r="S324" s="5">
        <v>212.55</v>
      </c>
      <c r="T324" s="5">
        <v>144.1</v>
      </c>
      <c r="U324" s="8">
        <v>-0.23369999999999999</v>
      </c>
      <c r="V324" s="8">
        <v>0.74729999999999996</v>
      </c>
      <c r="W324" s="5">
        <v>68.45</v>
      </c>
      <c r="X324" s="6">
        <v>3.1489216840865598E-3</v>
      </c>
      <c r="Y324" s="4">
        <v>0</v>
      </c>
      <c r="Z324" s="6">
        <v>0</v>
      </c>
      <c r="AA324" s="5">
        <v>47979.05</v>
      </c>
      <c r="AB324" s="5">
        <v>48568.6</v>
      </c>
      <c r="AC324" s="5">
        <v>589.54999999999995</v>
      </c>
      <c r="AD324" s="5">
        <v>1.2287999999999999</v>
      </c>
      <c r="AE324" s="4">
        <v>2</v>
      </c>
      <c r="AF324" s="5">
        <v>-3.3333000000000002E-2</v>
      </c>
      <c r="AG324" s="5">
        <v>573.55700000000002</v>
      </c>
      <c r="AH324" s="5">
        <v>1.1954</v>
      </c>
      <c r="AI324" s="8">
        <v>-0.53180000000000005</v>
      </c>
      <c r="AJ324" s="8">
        <v>1.2564</v>
      </c>
      <c r="AK324" s="15">
        <v>649.80700000000002</v>
      </c>
      <c r="AL324" s="15">
        <v>1.5462</v>
      </c>
      <c r="AM324" s="5">
        <v>131.69470000000001</v>
      </c>
      <c r="AN324" s="5">
        <v>131.69470000000001</v>
      </c>
      <c r="AO324" s="4">
        <v>0</v>
      </c>
      <c r="AP324" s="4">
        <v>0</v>
      </c>
      <c r="AQ324" s="8">
        <v>0.88349999999999995</v>
      </c>
      <c r="AR324" s="8">
        <v>0.72360000000000002</v>
      </c>
      <c r="AS324" s="8">
        <v>0.72360000000000002</v>
      </c>
      <c r="AT324" s="5">
        <v>130.62790000000001</v>
      </c>
      <c r="AU324" s="5">
        <v>0.53920000000000001</v>
      </c>
      <c r="AV324" s="7" t="s">
        <v>90</v>
      </c>
    </row>
    <row r="325" spans="1:48" ht="18" customHeight="1" x14ac:dyDescent="0.25">
      <c r="A325" s="10">
        <v>162</v>
      </c>
      <c r="B325" s="10">
        <v>2</v>
      </c>
      <c r="C325" s="10">
        <v>162</v>
      </c>
      <c r="D325" s="88">
        <v>45320</v>
      </c>
      <c r="E325" s="88">
        <v>45322</v>
      </c>
      <c r="F325" s="88">
        <v>45351</v>
      </c>
      <c r="G325" s="11">
        <v>21737.599999999999</v>
      </c>
      <c r="H325" s="11">
        <v>21725.7</v>
      </c>
      <c r="I325" s="12"/>
      <c r="J325" s="12"/>
      <c r="K325" s="92"/>
      <c r="L325" s="92"/>
      <c r="M325" s="12" t="s">
        <v>40</v>
      </c>
      <c r="N325" s="10">
        <v>21500</v>
      </c>
      <c r="O325" s="95">
        <f>IF(F325=F323,O323,MROUND(G325,100))</f>
        <v>21500</v>
      </c>
      <c r="P325" s="95">
        <f>O325-N325</f>
        <v>0</v>
      </c>
      <c r="Q325" s="12" t="s">
        <v>91</v>
      </c>
      <c r="R325" s="10">
        <v>65</v>
      </c>
      <c r="S325" s="11">
        <v>239.55</v>
      </c>
      <c r="T325" s="11">
        <v>247.35</v>
      </c>
      <c r="U325" s="13">
        <v>-0.13919999999999999</v>
      </c>
      <c r="V325" s="13">
        <v>0.5081</v>
      </c>
      <c r="W325" s="10">
        <v>0</v>
      </c>
      <c r="X325" s="14">
        <v>0</v>
      </c>
      <c r="Y325" s="11">
        <v>7.8</v>
      </c>
      <c r="Z325" s="14">
        <v>3.5882526129839542E-4</v>
      </c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 t="s">
        <v>90</v>
      </c>
    </row>
    <row r="326" spans="1:48" ht="18" hidden="1" customHeight="1" x14ac:dyDescent="0.25">
      <c r="A326" s="4">
        <v>163</v>
      </c>
      <c r="B326" s="4">
        <v>1</v>
      </c>
      <c r="C326" s="4">
        <v>163</v>
      </c>
      <c r="D326" s="87">
        <v>45322</v>
      </c>
      <c r="E326" s="87">
        <v>45329</v>
      </c>
      <c r="F326" s="87">
        <v>45330</v>
      </c>
      <c r="G326" s="5">
        <v>21725.7</v>
      </c>
      <c r="H326" s="5">
        <v>21930.5</v>
      </c>
      <c r="I326" s="5">
        <v>204.8</v>
      </c>
      <c r="J326" s="6">
        <v>9.426623768163972E-3</v>
      </c>
      <c r="K326" s="90"/>
      <c r="L326" s="90"/>
      <c r="M326" s="7" t="s">
        <v>28</v>
      </c>
      <c r="N326" s="4">
        <v>21700</v>
      </c>
      <c r="O326" s="94"/>
      <c r="P326" s="94"/>
      <c r="Q326" s="7" t="s">
        <v>89</v>
      </c>
      <c r="R326" s="4">
        <v>65</v>
      </c>
      <c r="S326" s="5">
        <v>275.7</v>
      </c>
      <c r="T326" s="5">
        <v>264.39999999999998</v>
      </c>
      <c r="U326" s="8">
        <v>-1.0185999999999999</v>
      </c>
      <c r="V326" s="8">
        <v>0.61699999999999999</v>
      </c>
      <c r="W326" s="5">
        <v>11.3</v>
      </c>
      <c r="X326" s="6">
        <v>5.2012133095826602E-4</v>
      </c>
      <c r="Y326" s="4">
        <v>0</v>
      </c>
      <c r="Z326" s="6">
        <v>0</v>
      </c>
      <c r="AA326" s="5">
        <v>48568.6</v>
      </c>
      <c r="AB326" s="5">
        <v>49352.05</v>
      </c>
      <c r="AC326" s="5">
        <v>783.45</v>
      </c>
      <c r="AD326" s="5">
        <v>1.6131</v>
      </c>
      <c r="AE326" s="4">
        <v>7</v>
      </c>
      <c r="AF326" s="5">
        <v>-0.11666700000000001</v>
      </c>
      <c r="AG326" s="5">
        <v>726.78660000000002</v>
      </c>
      <c r="AH326" s="5">
        <v>1.4964</v>
      </c>
      <c r="AI326" s="8">
        <v>-1.2133</v>
      </c>
      <c r="AJ326" s="8">
        <v>1.6567000000000001</v>
      </c>
      <c r="AK326" s="15">
        <v>624.9366</v>
      </c>
      <c r="AL326" s="15">
        <v>1.0276000000000001</v>
      </c>
      <c r="AM326" s="5">
        <v>133.048</v>
      </c>
      <c r="AN326" s="5">
        <v>133.048</v>
      </c>
      <c r="AO326" s="4">
        <v>0</v>
      </c>
      <c r="AP326" s="4">
        <v>0</v>
      </c>
      <c r="AQ326" s="8">
        <v>2.3400000000000001E-2</v>
      </c>
      <c r="AR326" s="8">
        <v>-0.58460000000000001</v>
      </c>
      <c r="AS326" s="8">
        <v>-0.58460000000000001</v>
      </c>
      <c r="AT326" s="5">
        <v>130.9248</v>
      </c>
      <c r="AU326" s="5">
        <v>-0.58460000000000001</v>
      </c>
      <c r="AV326" s="7" t="s">
        <v>90</v>
      </c>
    </row>
    <row r="327" spans="1:48" ht="18" customHeight="1" x14ac:dyDescent="0.25">
      <c r="A327" s="10">
        <v>163</v>
      </c>
      <c r="B327" s="10">
        <v>2</v>
      </c>
      <c r="C327" s="10">
        <v>163</v>
      </c>
      <c r="D327" s="88">
        <v>45322</v>
      </c>
      <c r="E327" s="88">
        <v>45329</v>
      </c>
      <c r="F327" s="88">
        <v>45351</v>
      </c>
      <c r="G327" s="11">
        <v>21725.7</v>
      </c>
      <c r="H327" s="11">
        <v>21930.5</v>
      </c>
      <c r="I327" s="12"/>
      <c r="J327" s="12"/>
      <c r="K327" s="92"/>
      <c r="L327" s="92"/>
      <c r="M327" s="12" t="s">
        <v>40</v>
      </c>
      <c r="N327" s="10">
        <v>21500</v>
      </c>
      <c r="O327" s="95">
        <f>IF(F327=F325,O325,MROUND(G327,100))</f>
        <v>21500</v>
      </c>
      <c r="P327" s="95">
        <f>O327-N327</f>
        <v>0</v>
      </c>
      <c r="Q327" s="12" t="s">
        <v>91</v>
      </c>
      <c r="R327" s="10">
        <v>65</v>
      </c>
      <c r="S327" s="11">
        <v>247.35</v>
      </c>
      <c r="T327" s="11">
        <v>134.19999999999999</v>
      </c>
      <c r="U327" s="13">
        <v>-0.61470000000000002</v>
      </c>
      <c r="V327" s="13">
        <v>1.17E-2</v>
      </c>
      <c r="W327" s="10">
        <v>0</v>
      </c>
      <c r="X327" s="14">
        <v>0</v>
      </c>
      <c r="Y327" s="11">
        <v>-113.15</v>
      </c>
      <c r="Z327" s="14">
        <v>-5.2081175750378584E-3</v>
      </c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 t="s">
        <v>90</v>
      </c>
    </row>
    <row r="328" spans="1:48" ht="18" hidden="1" customHeight="1" x14ac:dyDescent="0.25">
      <c r="A328" s="4">
        <v>164</v>
      </c>
      <c r="B328" s="4">
        <v>1</v>
      </c>
      <c r="C328" s="4">
        <v>164</v>
      </c>
      <c r="D328" s="87">
        <v>45329</v>
      </c>
      <c r="E328" s="87">
        <v>45334</v>
      </c>
      <c r="F328" s="87">
        <v>45337</v>
      </c>
      <c r="G328" s="5">
        <v>21930.5</v>
      </c>
      <c r="H328" s="5">
        <v>21616.05</v>
      </c>
      <c r="I328" s="5">
        <v>-314.45</v>
      </c>
      <c r="J328" s="6">
        <v>-1.433847837486605E-2</v>
      </c>
      <c r="K328" s="90"/>
      <c r="L328" s="90"/>
      <c r="M328" s="7" t="s">
        <v>28</v>
      </c>
      <c r="N328" s="4">
        <v>21900</v>
      </c>
      <c r="O328" s="94"/>
      <c r="P328" s="94"/>
      <c r="Q328" s="7" t="s">
        <v>89</v>
      </c>
      <c r="R328" s="4">
        <v>65</v>
      </c>
      <c r="S328" s="5">
        <v>222.3</v>
      </c>
      <c r="T328" s="5">
        <v>43.55</v>
      </c>
      <c r="U328" s="8">
        <v>-0.19420000000000001</v>
      </c>
      <c r="V328" s="8">
        <v>0.83989999999999998</v>
      </c>
      <c r="W328" s="5">
        <v>178.75</v>
      </c>
      <c r="X328" s="6">
        <v>8.1507489569321266E-3</v>
      </c>
      <c r="Y328" s="4">
        <v>0</v>
      </c>
      <c r="Z328" s="6">
        <v>0</v>
      </c>
      <c r="AA328" s="5">
        <v>49352.05</v>
      </c>
      <c r="AB328" s="5">
        <v>47675.8</v>
      </c>
      <c r="AC328" s="5">
        <v>-1676.25</v>
      </c>
      <c r="AD328" s="5">
        <v>-3.3965000000000001</v>
      </c>
      <c r="AE328" s="4">
        <v>5</v>
      </c>
      <c r="AF328" s="5">
        <v>-8.3333000000000004E-2</v>
      </c>
      <c r="AG328" s="5">
        <v>-1717.3767</v>
      </c>
      <c r="AH328" s="5">
        <v>-3.4798</v>
      </c>
      <c r="AI328" s="8">
        <v>-3.7791000000000001</v>
      </c>
      <c r="AJ328" s="8">
        <v>0.85170000000000001</v>
      </c>
      <c r="AK328" s="9">
        <v>-1474.8767</v>
      </c>
      <c r="AL328" s="9">
        <v>-2.3740000000000001</v>
      </c>
      <c r="AM328" s="5">
        <v>129.8895</v>
      </c>
      <c r="AN328" s="5">
        <v>133.048</v>
      </c>
      <c r="AO328" s="5">
        <v>-3.1585999999999999</v>
      </c>
      <c r="AP328" s="5">
        <v>-2.3740000000000001</v>
      </c>
      <c r="AQ328" s="8">
        <v>0.50249999999999995</v>
      </c>
      <c r="AR328" s="8">
        <v>-2.4958</v>
      </c>
      <c r="AS328" s="8">
        <v>-2.4958</v>
      </c>
      <c r="AT328" s="5">
        <v>129.72739999999999</v>
      </c>
      <c r="AU328" s="5">
        <v>-2.4958</v>
      </c>
      <c r="AV328" s="7" t="s">
        <v>93</v>
      </c>
    </row>
    <row r="329" spans="1:48" ht="18" customHeight="1" x14ac:dyDescent="0.25">
      <c r="A329" s="10">
        <v>164</v>
      </c>
      <c r="B329" s="10">
        <v>2</v>
      </c>
      <c r="C329" s="10">
        <v>164</v>
      </c>
      <c r="D329" s="88">
        <v>45329</v>
      </c>
      <c r="E329" s="88">
        <v>45334</v>
      </c>
      <c r="F329" s="88">
        <v>45351</v>
      </c>
      <c r="G329" s="11">
        <v>21930.5</v>
      </c>
      <c r="H329" s="11">
        <v>21616.05</v>
      </c>
      <c r="I329" s="12"/>
      <c r="J329" s="12"/>
      <c r="K329" s="92"/>
      <c r="L329" s="92"/>
      <c r="M329" s="12" t="s">
        <v>40</v>
      </c>
      <c r="N329" s="10">
        <v>21500</v>
      </c>
      <c r="O329" s="95">
        <f>IF(F329=F327,O327,MROUND(G329,100))</f>
        <v>21500</v>
      </c>
      <c r="P329" s="95">
        <f>O329-N329</f>
        <v>0</v>
      </c>
      <c r="Q329" s="12" t="s">
        <v>91</v>
      </c>
      <c r="R329" s="10">
        <v>65</v>
      </c>
      <c r="S329" s="11">
        <v>134.19999999999999</v>
      </c>
      <c r="T329" s="11">
        <v>197.95</v>
      </c>
      <c r="U329" s="13">
        <v>-0.155</v>
      </c>
      <c r="V329" s="13">
        <v>0.44340000000000002</v>
      </c>
      <c r="W329" s="10">
        <v>0</v>
      </c>
      <c r="X329" s="14">
        <v>0</v>
      </c>
      <c r="Y329" s="11">
        <v>63.75</v>
      </c>
      <c r="Z329" s="14">
        <v>2.906910467157612E-3</v>
      </c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 t="s">
        <v>93</v>
      </c>
    </row>
    <row r="330" spans="1:48" ht="18" hidden="1" customHeight="1" x14ac:dyDescent="0.25">
      <c r="A330" s="4">
        <v>165</v>
      </c>
      <c r="B330" s="4">
        <v>1</v>
      </c>
      <c r="C330" s="4">
        <v>165</v>
      </c>
      <c r="D330" s="87">
        <v>45334</v>
      </c>
      <c r="E330" s="87">
        <v>45336</v>
      </c>
      <c r="F330" s="87">
        <v>45337</v>
      </c>
      <c r="G330" s="5">
        <v>21616.05</v>
      </c>
      <c r="H330" s="5">
        <v>21840.05</v>
      </c>
      <c r="I330" s="4">
        <v>224</v>
      </c>
      <c r="J330" s="6">
        <v>1.0362670330610819E-2</v>
      </c>
      <c r="K330" s="90"/>
      <c r="L330" s="90"/>
      <c r="M330" s="7" t="s">
        <v>28</v>
      </c>
      <c r="N330" s="4">
        <v>21600</v>
      </c>
      <c r="O330" s="94"/>
      <c r="P330" s="94"/>
      <c r="Q330" s="7" t="s">
        <v>89</v>
      </c>
      <c r="R330" s="4">
        <v>65</v>
      </c>
      <c r="S330" s="5">
        <v>155.30000000000001</v>
      </c>
      <c r="T330" s="5">
        <v>289.14999999999998</v>
      </c>
      <c r="U330" s="8">
        <v>-0.82389999999999997</v>
      </c>
      <c r="V330" s="8">
        <v>0.40689999999999998</v>
      </c>
      <c r="W330" s="5">
        <v>-133.85</v>
      </c>
      <c r="X330" s="6">
        <v>-6.1921581417511522E-3</v>
      </c>
      <c r="Y330" s="4">
        <v>0</v>
      </c>
      <c r="Z330" s="6">
        <v>0</v>
      </c>
      <c r="AA330" s="5">
        <v>47675.8</v>
      </c>
      <c r="AB330" s="5">
        <v>48331.9</v>
      </c>
      <c r="AC330" s="5">
        <v>656.1</v>
      </c>
      <c r="AD330" s="5">
        <v>1.3762000000000001</v>
      </c>
      <c r="AE330" s="4">
        <v>2</v>
      </c>
      <c r="AF330" s="5">
        <v>-3.3333000000000002E-2</v>
      </c>
      <c r="AG330" s="5">
        <v>640.20809999999994</v>
      </c>
      <c r="AH330" s="5">
        <v>1.3428</v>
      </c>
      <c r="AI330" s="8">
        <v>-1.5528999999999999</v>
      </c>
      <c r="AJ330" s="8">
        <v>1.6840999999999999</v>
      </c>
      <c r="AK330" s="15">
        <v>410.7081</v>
      </c>
      <c r="AL330" s="15">
        <v>0.28110000000000002</v>
      </c>
      <c r="AM330" s="5">
        <v>130.25460000000001</v>
      </c>
      <c r="AN330" s="5">
        <v>133.048</v>
      </c>
      <c r="AO330" s="5">
        <v>-2.7934000000000001</v>
      </c>
      <c r="AP330" s="5">
        <v>-2.0996000000000001</v>
      </c>
      <c r="AQ330" s="8">
        <v>0.3906</v>
      </c>
      <c r="AR330" s="8">
        <v>-1</v>
      </c>
      <c r="AS330" s="8">
        <v>-1</v>
      </c>
      <c r="AT330" s="5">
        <v>128.59059999999999</v>
      </c>
      <c r="AU330" s="5">
        <v>-3.3502999999999998</v>
      </c>
      <c r="AV330" s="7" t="s">
        <v>90</v>
      </c>
    </row>
    <row r="331" spans="1:48" ht="18" customHeight="1" x14ac:dyDescent="0.25">
      <c r="A331" s="10">
        <v>165</v>
      </c>
      <c r="B331" s="10">
        <v>2</v>
      </c>
      <c r="C331" s="10">
        <v>165</v>
      </c>
      <c r="D331" s="88">
        <v>45334</v>
      </c>
      <c r="E331" s="88">
        <v>45336</v>
      </c>
      <c r="F331" s="88">
        <v>45351</v>
      </c>
      <c r="G331" s="11">
        <v>21616.05</v>
      </c>
      <c r="H331" s="11">
        <v>21840.05</v>
      </c>
      <c r="I331" s="12"/>
      <c r="J331" s="12"/>
      <c r="K331" s="92"/>
      <c r="L331" s="92"/>
      <c r="M331" s="12" t="s">
        <v>40</v>
      </c>
      <c r="N331" s="10">
        <v>21500</v>
      </c>
      <c r="O331" s="95">
        <f>IF(F331=F329,O329,MROUND(G331,100))</f>
        <v>21500</v>
      </c>
      <c r="P331" s="95">
        <f>O331-N331</f>
        <v>0</v>
      </c>
      <c r="Q331" s="12" t="s">
        <v>91</v>
      </c>
      <c r="R331" s="10">
        <v>65</v>
      </c>
      <c r="S331" s="11">
        <v>197.95</v>
      </c>
      <c r="T331" s="11">
        <v>102.3</v>
      </c>
      <c r="U331" s="13">
        <v>-0.46960000000000002</v>
      </c>
      <c r="V331" s="13">
        <v>0.14599999999999999</v>
      </c>
      <c r="W331" s="10">
        <v>0</v>
      </c>
      <c r="X331" s="14">
        <v>0</v>
      </c>
      <c r="Y331" s="11">
        <v>-95.65</v>
      </c>
      <c r="Z331" s="14">
        <v>-4.4249527550130584E-3</v>
      </c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 t="s">
        <v>90</v>
      </c>
    </row>
    <row r="332" spans="1:48" ht="18" hidden="1" customHeight="1" x14ac:dyDescent="0.25">
      <c r="A332" s="4">
        <v>166</v>
      </c>
      <c r="B332" s="4">
        <v>1</v>
      </c>
      <c r="C332" s="4">
        <v>166</v>
      </c>
      <c r="D332" s="87">
        <v>45336</v>
      </c>
      <c r="E332" s="87">
        <v>45341</v>
      </c>
      <c r="F332" s="87">
        <v>45344</v>
      </c>
      <c r="G332" s="5">
        <v>21840.05</v>
      </c>
      <c r="H332" s="5">
        <v>22122.25</v>
      </c>
      <c r="I332" s="5">
        <v>282.2</v>
      </c>
      <c r="J332" s="6">
        <v>1.2921215839707329E-2</v>
      </c>
      <c r="K332" s="90"/>
      <c r="L332" s="90"/>
      <c r="M332" s="7" t="s">
        <v>28</v>
      </c>
      <c r="N332" s="4">
        <v>21800</v>
      </c>
      <c r="O332" s="94"/>
      <c r="P332" s="94"/>
      <c r="Q332" s="7" t="s">
        <v>89</v>
      </c>
      <c r="R332" s="4">
        <v>65</v>
      </c>
      <c r="S332" s="5">
        <v>227.2</v>
      </c>
      <c r="T332" s="5">
        <v>358.9</v>
      </c>
      <c r="U332" s="8">
        <v>-1.0014000000000001</v>
      </c>
      <c r="V332" s="8">
        <v>0.2024</v>
      </c>
      <c r="W332" s="5">
        <v>-131.69999999999999</v>
      </c>
      <c r="X332" s="6">
        <v>-6.0302059748031708E-3</v>
      </c>
      <c r="Y332" s="4">
        <v>0</v>
      </c>
      <c r="Z332" s="6">
        <v>0</v>
      </c>
      <c r="AA332" s="5">
        <v>48331.9</v>
      </c>
      <c r="AB332" s="5">
        <v>49310.95</v>
      </c>
      <c r="AC332" s="5">
        <v>979.05</v>
      </c>
      <c r="AD332" s="5">
        <v>2.0257000000000001</v>
      </c>
      <c r="AE332" s="4">
        <v>5</v>
      </c>
      <c r="AF332" s="5">
        <v>-8.3333000000000004E-2</v>
      </c>
      <c r="AG332" s="5">
        <v>938.77340000000004</v>
      </c>
      <c r="AH332" s="5">
        <v>1.9422999999999999</v>
      </c>
      <c r="AI332" s="8">
        <v>0.50360000000000005</v>
      </c>
      <c r="AJ332" s="8">
        <v>2.3828999999999998</v>
      </c>
      <c r="AK332" s="15">
        <v>748.62339999999995</v>
      </c>
      <c r="AL332" s="15">
        <v>1.0717000000000001</v>
      </c>
      <c r="AM332" s="5">
        <v>131.65049999999999</v>
      </c>
      <c r="AN332" s="5">
        <v>133.048</v>
      </c>
      <c r="AO332" s="5">
        <v>-1.3975</v>
      </c>
      <c r="AP332" s="5">
        <v>-1.0504</v>
      </c>
      <c r="AQ332" s="8">
        <v>1.0833999999999999</v>
      </c>
      <c r="AR332" s="8">
        <v>0.78039999999999998</v>
      </c>
      <c r="AS332" s="8">
        <v>0.78039999999999998</v>
      </c>
      <c r="AT332" s="5">
        <v>131.27109999999999</v>
      </c>
      <c r="AU332" s="5">
        <v>-1.3355999999999999</v>
      </c>
      <c r="AV332" s="7" t="s">
        <v>101</v>
      </c>
    </row>
    <row r="333" spans="1:48" ht="18" customHeight="1" x14ac:dyDescent="0.25">
      <c r="A333" s="10">
        <v>166</v>
      </c>
      <c r="B333" s="10">
        <v>2</v>
      </c>
      <c r="C333" s="10">
        <v>166</v>
      </c>
      <c r="D333" s="88">
        <v>45336</v>
      </c>
      <c r="E333" s="88">
        <v>45341</v>
      </c>
      <c r="F333" s="88">
        <v>45351</v>
      </c>
      <c r="G333" s="11">
        <v>21840.05</v>
      </c>
      <c r="H333" s="11">
        <v>22122.25</v>
      </c>
      <c r="I333" s="12"/>
      <c r="J333" s="12"/>
      <c r="K333" s="92"/>
      <c r="L333" s="92"/>
      <c r="M333" s="12" t="s">
        <v>40</v>
      </c>
      <c r="N333" s="10">
        <v>21500</v>
      </c>
      <c r="O333" s="95">
        <f>IF(F333=F331,O331,MROUND(G333,100))</f>
        <v>21500</v>
      </c>
      <c r="P333" s="95">
        <f>O333-N333</f>
        <v>0</v>
      </c>
      <c r="Q333" s="12" t="s">
        <v>91</v>
      </c>
      <c r="R333" s="10">
        <v>65</v>
      </c>
      <c r="S333" s="11">
        <v>102.3</v>
      </c>
      <c r="T333" s="11">
        <v>43.85</v>
      </c>
      <c r="U333" s="13">
        <v>-0.29809999999999998</v>
      </c>
      <c r="V333" s="13">
        <v>7.4399999999999994E-2</v>
      </c>
      <c r="W333" s="10">
        <v>0</v>
      </c>
      <c r="X333" s="14">
        <v>0</v>
      </c>
      <c r="Y333" s="11">
        <v>-58.45</v>
      </c>
      <c r="Z333" s="14">
        <v>-2.6762759242767299E-3</v>
      </c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 t="s">
        <v>101</v>
      </c>
    </row>
    <row r="334" spans="1:48" ht="18" hidden="1" customHeight="1" x14ac:dyDescent="0.25">
      <c r="A334" s="4">
        <v>167</v>
      </c>
      <c r="B334" s="4">
        <v>1</v>
      </c>
      <c r="C334" s="4">
        <v>167</v>
      </c>
      <c r="D334" s="87">
        <v>45341</v>
      </c>
      <c r="E334" s="87">
        <v>45343</v>
      </c>
      <c r="F334" s="87">
        <v>45344</v>
      </c>
      <c r="G334" s="5">
        <v>22122.25</v>
      </c>
      <c r="H334" s="5">
        <v>22055.05</v>
      </c>
      <c r="I334" s="5">
        <v>-67.2</v>
      </c>
      <c r="J334" s="6">
        <v>-3.0376656985614029E-3</v>
      </c>
      <c r="K334" s="90"/>
      <c r="L334" s="90"/>
      <c r="M334" s="7" t="s">
        <v>28</v>
      </c>
      <c r="N334" s="4">
        <v>22100</v>
      </c>
      <c r="O334" s="94"/>
      <c r="P334" s="94"/>
      <c r="Q334" s="7" t="s">
        <v>89</v>
      </c>
      <c r="R334" s="4">
        <v>65</v>
      </c>
      <c r="S334" s="5">
        <v>146.44999999999999</v>
      </c>
      <c r="T334" s="5">
        <v>45.2</v>
      </c>
      <c r="U334" s="8">
        <v>-0.18579999999999999</v>
      </c>
      <c r="V334" s="8">
        <v>0.52639999999999998</v>
      </c>
      <c r="W334" s="5">
        <v>101.25</v>
      </c>
      <c r="X334" s="6">
        <v>4.5768400592163996E-3</v>
      </c>
      <c r="Y334" s="4">
        <v>0</v>
      </c>
      <c r="Z334" s="6">
        <v>0</v>
      </c>
      <c r="AA334" s="5">
        <v>49310.95</v>
      </c>
      <c r="AB334" s="5">
        <v>48630.5</v>
      </c>
      <c r="AC334" s="5">
        <v>-680.45</v>
      </c>
      <c r="AD334" s="5">
        <v>-1.3798999999999999</v>
      </c>
      <c r="AE334" s="4">
        <v>2</v>
      </c>
      <c r="AF334" s="5">
        <v>-3.3333000000000002E-2</v>
      </c>
      <c r="AG334" s="5">
        <v>-696.88699999999994</v>
      </c>
      <c r="AH334" s="5">
        <v>-1.4132</v>
      </c>
      <c r="AI334" s="8">
        <v>-1.6782999999999999</v>
      </c>
      <c r="AJ334" s="8">
        <v>0.27879999999999999</v>
      </c>
      <c r="AK334" s="9">
        <v>-579.88699999999994</v>
      </c>
      <c r="AL334" s="9">
        <v>-0.88429999999999997</v>
      </c>
      <c r="AM334" s="5">
        <v>130.4863</v>
      </c>
      <c r="AN334" s="5">
        <v>133.048</v>
      </c>
      <c r="AO334" s="5">
        <v>-2.5617000000000001</v>
      </c>
      <c r="AP334" s="5">
        <v>-1.9254</v>
      </c>
      <c r="AQ334" s="8">
        <v>-0.2225</v>
      </c>
      <c r="AR334" s="8">
        <v>-0.95030000000000003</v>
      </c>
      <c r="AS334" s="8">
        <v>-0.95030000000000003</v>
      </c>
      <c r="AT334" s="5">
        <v>130.39940000000001</v>
      </c>
      <c r="AU334" s="5">
        <v>-1.9906999999999999</v>
      </c>
      <c r="AV334" s="7" t="s">
        <v>90</v>
      </c>
    </row>
    <row r="335" spans="1:48" ht="18" customHeight="1" x14ac:dyDescent="0.25">
      <c r="A335" s="10">
        <v>167</v>
      </c>
      <c r="B335" s="10">
        <v>2</v>
      </c>
      <c r="C335" s="10">
        <v>167</v>
      </c>
      <c r="D335" s="88">
        <v>45341</v>
      </c>
      <c r="E335" s="88">
        <v>45343</v>
      </c>
      <c r="F335" s="88">
        <v>45351</v>
      </c>
      <c r="G335" s="11">
        <v>22122.25</v>
      </c>
      <c r="H335" s="11">
        <v>22055.05</v>
      </c>
      <c r="I335" s="12"/>
      <c r="J335" s="12"/>
      <c r="K335" s="92"/>
      <c r="L335" s="92"/>
      <c r="M335" s="12" t="s">
        <v>40</v>
      </c>
      <c r="N335" s="10">
        <v>22100</v>
      </c>
      <c r="O335" s="95">
        <f>IF(F335=F333,O333,MROUND(G335,100))</f>
        <v>21500</v>
      </c>
      <c r="P335" s="95">
        <f>O335-N335</f>
        <v>-600</v>
      </c>
      <c r="Q335" s="12" t="s">
        <v>91</v>
      </c>
      <c r="R335" s="10">
        <v>65</v>
      </c>
      <c r="S335" s="11">
        <v>184.5</v>
      </c>
      <c r="T335" s="11">
        <v>200.25</v>
      </c>
      <c r="U335" s="13">
        <v>-0.3155</v>
      </c>
      <c r="V335" s="13">
        <v>0.2016</v>
      </c>
      <c r="W335" s="10">
        <v>0</v>
      </c>
      <c r="X335" s="14">
        <v>0</v>
      </c>
      <c r="Y335" s="11">
        <v>15.75</v>
      </c>
      <c r="Z335" s="14">
        <v>7.1195289810032888E-4</v>
      </c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 t="s">
        <v>90</v>
      </c>
    </row>
    <row r="336" spans="1:48" ht="18" hidden="1" customHeight="1" x14ac:dyDescent="0.25">
      <c r="A336" s="4">
        <v>168</v>
      </c>
      <c r="B336" s="4">
        <v>1</v>
      </c>
      <c r="C336" s="4">
        <v>168</v>
      </c>
      <c r="D336" s="87">
        <v>45343</v>
      </c>
      <c r="E336" s="87">
        <v>45350</v>
      </c>
      <c r="F336" s="87">
        <v>45351</v>
      </c>
      <c r="G336" s="5">
        <v>22055.05</v>
      </c>
      <c r="H336" s="5">
        <v>21951.15</v>
      </c>
      <c r="I336" s="5">
        <v>-103.9</v>
      </c>
      <c r="J336" s="6">
        <v>-4.7109392180022256E-3</v>
      </c>
      <c r="K336" s="90"/>
      <c r="L336" s="90"/>
      <c r="M336" s="7" t="s">
        <v>28</v>
      </c>
      <c r="N336" s="4">
        <v>22100</v>
      </c>
      <c r="O336" s="94"/>
      <c r="P336" s="94"/>
      <c r="Q336" s="7" t="s">
        <v>89</v>
      </c>
      <c r="R336" s="4">
        <v>65</v>
      </c>
      <c r="S336" s="5">
        <v>173.85</v>
      </c>
      <c r="T336" s="5">
        <v>30.6</v>
      </c>
      <c r="U336" s="8">
        <v>-0.56289999999999996</v>
      </c>
      <c r="V336" s="8">
        <v>0.68169999999999997</v>
      </c>
      <c r="W336" s="5">
        <v>143.25</v>
      </c>
      <c r="X336" s="6">
        <v>6.4951110970049948E-3</v>
      </c>
      <c r="Y336" s="4">
        <v>0</v>
      </c>
      <c r="Z336" s="6">
        <v>0</v>
      </c>
      <c r="AA336" s="5">
        <v>48630.5</v>
      </c>
      <c r="AB336" s="5">
        <v>48089.1</v>
      </c>
      <c r="AC336" s="5">
        <v>-541.4</v>
      </c>
      <c r="AD336" s="5">
        <v>-1.1133</v>
      </c>
      <c r="AE336" s="4">
        <v>7</v>
      </c>
      <c r="AF336" s="5">
        <v>-0.11666700000000001</v>
      </c>
      <c r="AG336" s="5">
        <v>-598.13559999999995</v>
      </c>
      <c r="AH336" s="5">
        <v>-1.23</v>
      </c>
      <c r="AI336" s="8">
        <v>-1.4688000000000001</v>
      </c>
      <c r="AJ336" s="8">
        <v>1.7668999999999999</v>
      </c>
      <c r="AK336" s="9">
        <v>-447.5856</v>
      </c>
      <c r="AL336" s="9">
        <v>-0.5474</v>
      </c>
      <c r="AM336" s="5">
        <v>129.77199999999999</v>
      </c>
      <c r="AN336" s="5">
        <v>133.048</v>
      </c>
      <c r="AO336" s="5">
        <v>-3.2759999999999998</v>
      </c>
      <c r="AP336" s="5">
        <v>-2.4622000000000002</v>
      </c>
      <c r="AQ336" s="8">
        <v>0.49740000000000001</v>
      </c>
      <c r="AR336" s="8">
        <v>-0.47670000000000001</v>
      </c>
      <c r="AS336" s="8">
        <v>-0.5474</v>
      </c>
      <c r="AT336" s="5">
        <v>129.77199999999999</v>
      </c>
      <c r="AU336" s="5">
        <v>-2.4622000000000002</v>
      </c>
      <c r="AV336" s="7" t="s">
        <v>90</v>
      </c>
    </row>
    <row r="337" spans="1:48" ht="18" customHeight="1" x14ac:dyDescent="0.25">
      <c r="A337" s="10">
        <v>168</v>
      </c>
      <c r="B337" s="10">
        <v>2</v>
      </c>
      <c r="C337" s="10">
        <v>168</v>
      </c>
      <c r="D337" s="88">
        <v>45343</v>
      </c>
      <c r="E337" s="88">
        <v>45350</v>
      </c>
      <c r="F337" s="88">
        <v>45351</v>
      </c>
      <c r="G337" s="11">
        <v>22055.05</v>
      </c>
      <c r="H337" s="11">
        <v>21951.15</v>
      </c>
      <c r="I337" s="12"/>
      <c r="J337" s="12"/>
      <c r="K337" s="92"/>
      <c r="L337" s="92"/>
      <c r="M337" s="12" t="s">
        <v>40</v>
      </c>
      <c r="N337" s="10">
        <v>22100</v>
      </c>
      <c r="O337" s="95">
        <f>IF(F337=F335,O335,MROUND(G337,100))</f>
        <v>21500</v>
      </c>
      <c r="P337" s="95">
        <f>O337-N337</f>
        <v>-600</v>
      </c>
      <c r="Q337" s="12" t="s">
        <v>91</v>
      </c>
      <c r="R337" s="10">
        <v>65</v>
      </c>
      <c r="S337" s="11">
        <v>200.25</v>
      </c>
      <c r="T337" s="11">
        <v>207.55</v>
      </c>
      <c r="U337" s="13">
        <v>-0.70660000000000001</v>
      </c>
      <c r="V337" s="13">
        <v>0.31040000000000001</v>
      </c>
      <c r="W337" s="10">
        <v>0</v>
      </c>
      <c r="X337" s="14">
        <v>0</v>
      </c>
      <c r="Y337" s="11">
        <v>7.3</v>
      </c>
      <c r="Z337" s="14">
        <v>3.3098995468158093E-4</v>
      </c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 t="s">
        <v>90</v>
      </c>
    </row>
    <row r="338" spans="1:48" ht="18" hidden="1" customHeight="1" x14ac:dyDescent="0.25">
      <c r="A338" s="4">
        <v>169</v>
      </c>
      <c r="B338" s="4">
        <v>1</v>
      </c>
      <c r="C338" s="4">
        <v>169</v>
      </c>
      <c r="D338" s="87">
        <v>45350</v>
      </c>
      <c r="E338" s="87">
        <v>45352</v>
      </c>
      <c r="F338" s="87">
        <v>45358</v>
      </c>
      <c r="G338" s="5">
        <v>21951.15</v>
      </c>
      <c r="H338" s="5">
        <v>22338.75</v>
      </c>
      <c r="I338" s="5">
        <v>387.6</v>
      </c>
      <c r="J338" s="6">
        <v>1.765738924839929E-2</v>
      </c>
      <c r="K338" s="90"/>
      <c r="L338" s="90"/>
      <c r="M338" s="7" t="s">
        <v>28</v>
      </c>
      <c r="N338" s="4">
        <v>22000</v>
      </c>
      <c r="O338" s="94"/>
      <c r="P338" s="94"/>
      <c r="Q338" s="7" t="s">
        <v>89</v>
      </c>
      <c r="R338" s="4">
        <v>65</v>
      </c>
      <c r="S338" s="5">
        <v>202.2</v>
      </c>
      <c r="T338" s="5">
        <v>409.85</v>
      </c>
      <c r="U338" s="8">
        <v>-1.0188999999999999</v>
      </c>
      <c r="V338" s="8">
        <v>0.161</v>
      </c>
      <c r="W338" s="5">
        <v>-207.65</v>
      </c>
      <c r="X338" s="6">
        <v>-9.4596410666411557E-3</v>
      </c>
      <c r="Y338" s="4">
        <v>0</v>
      </c>
      <c r="Z338" s="6">
        <v>0</v>
      </c>
      <c r="AA338" s="5">
        <v>48089.1</v>
      </c>
      <c r="AB338" s="5">
        <v>48790.6</v>
      </c>
      <c r="AC338" s="5">
        <v>701.5</v>
      </c>
      <c r="AD338" s="5">
        <v>1.4588000000000001</v>
      </c>
      <c r="AE338" s="4">
        <v>2</v>
      </c>
      <c r="AF338" s="5">
        <v>-3.3333000000000002E-2</v>
      </c>
      <c r="AG338" s="5">
        <v>685.47029999999995</v>
      </c>
      <c r="AH338" s="5">
        <v>1.4254</v>
      </c>
      <c r="AI338" s="8">
        <v>-1.1399999999999999</v>
      </c>
      <c r="AJ338" s="8">
        <v>1.5079</v>
      </c>
      <c r="AK338" s="15">
        <v>313.52030000000002</v>
      </c>
      <c r="AL338" s="15">
        <v>-0.26900000000000002</v>
      </c>
      <c r="AM338" s="5">
        <v>129.423</v>
      </c>
      <c r="AN338" s="5">
        <v>133.048</v>
      </c>
      <c r="AO338" s="5">
        <v>-3.6251000000000002</v>
      </c>
      <c r="AP338" s="5">
        <v>-2.7246000000000001</v>
      </c>
      <c r="AQ338" s="8">
        <v>-0.29409999999999997</v>
      </c>
      <c r="AR338" s="8">
        <v>-0.88290000000000002</v>
      </c>
      <c r="AS338" s="8">
        <v>-0.88290000000000002</v>
      </c>
      <c r="AT338" s="5">
        <v>128.62629999999999</v>
      </c>
      <c r="AU338" s="5">
        <v>-3.3233999999999999</v>
      </c>
      <c r="AV338" s="7" t="s">
        <v>96</v>
      </c>
    </row>
    <row r="339" spans="1:48" ht="18" customHeight="1" x14ac:dyDescent="0.25">
      <c r="A339" s="10">
        <v>169</v>
      </c>
      <c r="B339" s="10">
        <v>2</v>
      </c>
      <c r="C339" s="10">
        <v>169</v>
      </c>
      <c r="D339" s="88">
        <v>45350</v>
      </c>
      <c r="E339" s="88">
        <v>45352</v>
      </c>
      <c r="F339" s="88">
        <v>45379</v>
      </c>
      <c r="G339" s="11">
        <v>21951.15</v>
      </c>
      <c r="H339" s="11">
        <v>22338.75</v>
      </c>
      <c r="I339" s="12"/>
      <c r="J339" s="12"/>
      <c r="K339" s="92"/>
      <c r="L339" s="92"/>
      <c r="M339" s="12" t="s">
        <v>40</v>
      </c>
      <c r="N339" s="10">
        <v>22000</v>
      </c>
      <c r="O339" s="95">
        <f>IF(F339=F337,O337,MROUND(G339,100))</f>
        <v>22000</v>
      </c>
      <c r="P339" s="95">
        <f>O339-N339</f>
        <v>0</v>
      </c>
      <c r="Q339" s="12" t="s">
        <v>91</v>
      </c>
      <c r="R339" s="10">
        <v>65</v>
      </c>
      <c r="S339" s="11">
        <v>336.9</v>
      </c>
      <c r="T339" s="11">
        <v>172.6</v>
      </c>
      <c r="U339" s="13">
        <v>-0.78310000000000002</v>
      </c>
      <c r="V339" s="13">
        <v>9.6100000000000005E-2</v>
      </c>
      <c r="W339" s="10">
        <v>0</v>
      </c>
      <c r="X339" s="14">
        <v>0</v>
      </c>
      <c r="Y339" s="11">
        <v>-164.3</v>
      </c>
      <c r="Z339" s="14">
        <v>-7.4848014796491296E-3</v>
      </c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 t="s">
        <v>96</v>
      </c>
    </row>
    <row r="340" spans="1:48" ht="18" hidden="1" customHeight="1" x14ac:dyDescent="0.25">
      <c r="A340" s="4">
        <v>170</v>
      </c>
      <c r="B340" s="4">
        <v>1</v>
      </c>
      <c r="C340" s="4">
        <v>170</v>
      </c>
      <c r="D340" s="87">
        <v>45352</v>
      </c>
      <c r="E340" s="87">
        <v>45357</v>
      </c>
      <c r="F340" s="87">
        <v>45358</v>
      </c>
      <c r="G340" s="5">
        <v>22338.75</v>
      </c>
      <c r="H340" s="5">
        <v>22474.05</v>
      </c>
      <c r="I340" s="5">
        <v>135.30000000000001</v>
      </c>
      <c r="J340" s="6">
        <v>6.0567399697834482E-3</v>
      </c>
      <c r="K340" s="90"/>
      <c r="L340" s="90"/>
      <c r="M340" s="7" t="s">
        <v>28</v>
      </c>
      <c r="N340" s="4">
        <v>22300</v>
      </c>
      <c r="O340" s="94"/>
      <c r="P340" s="94"/>
      <c r="Q340" s="7" t="s">
        <v>89</v>
      </c>
      <c r="R340" s="4">
        <v>65</v>
      </c>
      <c r="S340" s="5">
        <v>191.35</v>
      </c>
      <c r="T340" s="4">
        <v>224</v>
      </c>
      <c r="U340" s="8">
        <v>-0.2581</v>
      </c>
      <c r="V340" s="8">
        <v>0.61599999999999999</v>
      </c>
      <c r="W340" s="5">
        <v>-32.65</v>
      </c>
      <c r="X340" s="6">
        <v>-1.4615858094118961E-3</v>
      </c>
      <c r="Y340" s="4">
        <v>0</v>
      </c>
      <c r="Z340" s="6">
        <v>0</v>
      </c>
      <c r="AA340" s="5">
        <v>48790.6</v>
      </c>
      <c r="AB340" s="5">
        <v>48857.3</v>
      </c>
      <c r="AC340" s="5">
        <v>66.7</v>
      </c>
      <c r="AD340" s="5">
        <v>0.13669999999999999</v>
      </c>
      <c r="AE340" s="4">
        <v>5</v>
      </c>
      <c r="AF340" s="5">
        <v>-8.3333000000000004E-2</v>
      </c>
      <c r="AG340" s="5">
        <v>26.0412</v>
      </c>
      <c r="AH340" s="5">
        <v>5.3400000000000003E-2</v>
      </c>
      <c r="AI340" s="8">
        <v>-1.5125999999999999</v>
      </c>
      <c r="AJ340" s="8">
        <v>1.1439999999999999</v>
      </c>
      <c r="AK340" s="9">
        <v>-80.958799999999997</v>
      </c>
      <c r="AL340" s="9">
        <v>-0.42559999999999998</v>
      </c>
      <c r="AM340" s="5">
        <v>128.87209999999999</v>
      </c>
      <c r="AN340" s="5">
        <v>133.048</v>
      </c>
      <c r="AO340" s="5">
        <v>-4.1759000000000004</v>
      </c>
      <c r="AP340" s="5">
        <v>-3.1385999999999998</v>
      </c>
      <c r="AQ340" s="8">
        <v>0.53520000000000001</v>
      </c>
      <c r="AR340" s="8">
        <v>-0.90820000000000001</v>
      </c>
      <c r="AS340" s="8">
        <v>-0.90820000000000001</v>
      </c>
      <c r="AT340" s="5">
        <v>128.2475</v>
      </c>
      <c r="AU340" s="5">
        <v>-3.6080999999999999</v>
      </c>
      <c r="AV340" s="7" t="s">
        <v>90</v>
      </c>
    </row>
    <row r="341" spans="1:48" ht="18" customHeight="1" x14ac:dyDescent="0.25">
      <c r="A341" s="10">
        <v>170</v>
      </c>
      <c r="B341" s="10">
        <v>2</v>
      </c>
      <c r="C341" s="10">
        <v>170</v>
      </c>
      <c r="D341" s="88">
        <v>45352</v>
      </c>
      <c r="E341" s="88">
        <v>45357</v>
      </c>
      <c r="F341" s="88">
        <v>45379</v>
      </c>
      <c r="G341" s="11">
        <v>22338.75</v>
      </c>
      <c r="H341" s="11">
        <v>22474.05</v>
      </c>
      <c r="I341" s="12"/>
      <c r="J341" s="12"/>
      <c r="K341" s="92"/>
      <c r="L341" s="92"/>
      <c r="M341" s="12" t="s">
        <v>40</v>
      </c>
      <c r="N341" s="10">
        <v>22000</v>
      </c>
      <c r="O341" s="95">
        <f>IF(F341=F339,O339,MROUND(G341,100))</f>
        <v>22000</v>
      </c>
      <c r="P341" s="95">
        <f>O341-N341</f>
        <v>0</v>
      </c>
      <c r="Q341" s="12" t="s">
        <v>91</v>
      </c>
      <c r="R341" s="10">
        <v>65</v>
      </c>
      <c r="S341" s="11">
        <v>172.6</v>
      </c>
      <c r="T341" s="11">
        <v>98.25</v>
      </c>
      <c r="U341" s="13">
        <v>-0.35070000000000001</v>
      </c>
      <c r="V341" s="13">
        <v>-1.1599999999999999E-2</v>
      </c>
      <c r="W341" s="10">
        <v>0</v>
      </c>
      <c r="X341" s="14">
        <v>0</v>
      </c>
      <c r="Y341" s="11">
        <v>-74.349999999999994</v>
      </c>
      <c r="Z341" s="14">
        <v>-3.3282972413407191E-3</v>
      </c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 t="s">
        <v>90</v>
      </c>
    </row>
    <row r="342" spans="1:48" ht="18" hidden="1" customHeight="1" x14ac:dyDescent="0.25">
      <c r="A342" s="4">
        <v>171</v>
      </c>
      <c r="B342" s="4">
        <v>1</v>
      </c>
      <c r="C342" s="4">
        <v>171</v>
      </c>
      <c r="D342" s="87">
        <v>45357</v>
      </c>
      <c r="E342" s="87">
        <v>45364</v>
      </c>
      <c r="F342" s="87">
        <v>45365</v>
      </c>
      <c r="G342" s="5">
        <v>22474.05</v>
      </c>
      <c r="H342" s="5">
        <v>21997.7</v>
      </c>
      <c r="I342" s="5">
        <v>-476.35</v>
      </c>
      <c r="J342" s="6">
        <v>-2.119555665311771E-2</v>
      </c>
      <c r="K342" s="90"/>
      <c r="L342" s="90"/>
      <c r="M342" s="7" t="s">
        <v>28</v>
      </c>
      <c r="N342" s="4">
        <v>22500</v>
      </c>
      <c r="O342" s="94"/>
      <c r="P342" s="94"/>
      <c r="Q342" s="7" t="s">
        <v>89</v>
      </c>
      <c r="R342" s="4">
        <v>65</v>
      </c>
      <c r="S342" s="5">
        <v>179.95</v>
      </c>
      <c r="T342" s="4">
        <v>4</v>
      </c>
      <c r="U342" s="8">
        <v>-8.4500000000000006E-2</v>
      </c>
      <c r="V342" s="8">
        <v>0.78910000000000002</v>
      </c>
      <c r="W342" s="5">
        <v>175.95</v>
      </c>
      <c r="X342" s="6">
        <v>7.8290294806677031E-3</v>
      </c>
      <c r="Y342" s="4">
        <v>0</v>
      </c>
      <c r="Z342" s="6">
        <v>0</v>
      </c>
      <c r="AA342" s="5">
        <v>48857.3</v>
      </c>
      <c r="AB342" s="5">
        <v>45971.4</v>
      </c>
      <c r="AC342" s="5">
        <v>-2885.9</v>
      </c>
      <c r="AD342" s="5">
        <v>-5.9067999999999996</v>
      </c>
      <c r="AE342" s="4">
        <v>7</v>
      </c>
      <c r="AF342" s="5">
        <v>-0.11666700000000001</v>
      </c>
      <c r="AG342" s="5">
        <v>-2942.9002</v>
      </c>
      <c r="AH342" s="5">
        <v>-6.0235000000000003</v>
      </c>
      <c r="AI342" s="8">
        <v>-6.6595000000000004</v>
      </c>
      <c r="AJ342" s="8">
        <v>0.64790000000000003</v>
      </c>
      <c r="AK342" s="9">
        <v>-2663.4002</v>
      </c>
      <c r="AL342" s="9">
        <v>-4.7797999999999998</v>
      </c>
      <c r="AM342" s="5">
        <v>122.7123</v>
      </c>
      <c r="AN342" s="5">
        <v>133.048</v>
      </c>
      <c r="AO342" s="5">
        <v>-10.335699999999999</v>
      </c>
      <c r="AP342" s="5">
        <v>-7.7683999999999997</v>
      </c>
      <c r="AQ342" s="8">
        <v>0.43769999999999998</v>
      </c>
      <c r="AR342" s="8">
        <v>-5.1954000000000002</v>
      </c>
      <c r="AS342" s="8">
        <v>-5.1954000000000002</v>
      </c>
      <c r="AT342" s="5">
        <v>122.1767</v>
      </c>
      <c r="AU342" s="5">
        <v>-8.1709999999999994</v>
      </c>
      <c r="AV342" s="7" t="s">
        <v>97</v>
      </c>
    </row>
    <row r="343" spans="1:48" ht="18" customHeight="1" x14ac:dyDescent="0.25">
      <c r="A343" s="10">
        <v>171</v>
      </c>
      <c r="B343" s="10">
        <v>2</v>
      </c>
      <c r="C343" s="10">
        <v>171</v>
      </c>
      <c r="D343" s="88">
        <v>45357</v>
      </c>
      <c r="E343" s="88">
        <v>45364</v>
      </c>
      <c r="F343" s="88">
        <v>45379</v>
      </c>
      <c r="G343" s="11">
        <v>22474.05</v>
      </c>
      <c r="H343" s="11">
        <v>21997.7</v>
      </c>
      <c r="I343" s="12"/>
      <c r="J343" s="12"/>
      <c r="K343" s="92"/>
      <c r="L343" s="92"/>
      <c r="M343" s="12" t="s">
        <v>40</v>
      </c>
      <c r="N343" s="10">
        <v>22000</v>
      </c>
      <c r="O343" s="95">
        <f>IF(F343=F341,O341,MROUND(G343,100))</f>
        <v>22000</v>
      </c>
      <c r="P343" s="95">
        <f>O343-N343</f>
        <v>0</v>
      </c>
      <c r="Q343" s="12" t="s">
        <v>91</v>
      </c>
      <c r="R343" s="10">
        <v>65</v>
      </c>
      <c r="S343" s="11">
        <v>98.25</v>
      </c>
      <c r="T343" s="11">
        <v>201.8</v>
      </c>
      <c r="U343" s="13">
        <v>-0.12570000000000001</v>
      </c>
      <c r="V343" s="13">
        <v>0.67500000000000004</v>
      </c>
      <c r="W343" s="10">
        <v>0</v>
      </c>
      <c r="X343" s="14">
        <v>0</v>
      </c>
      <c r="Y343" s="11">
        <v>103.55</v>
      </c>
      <c r="Z343" s="14">
        <v>4.6075362473608451E-3</v>
      </c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 t="s">
        <v>97</v>
      </c>
    </row>
    <row r="344" spans="1:48" ht="18" hidden="1" customHeight="1" x14ac:dyDescent="0.25">
      <c r="A344" s="4">
        <v>172</v>
      </c>
      <c r="B344" s="4">
        <v>1</v>
      </c>
      <c r="C344" s="4">
        <v>172</v>
      </c>
      <c r="D344" s="87">
        <v>45364</v>
      </c>
      <c r="E344" s="87">
        <v>45371</v>
      </c>
      <c r="F344" s="87">
        <v>45372</v>
      </c>
      <c r="G344" s="5">
        <v>21997.7</v>
      </c>
      <c r="H344" s="5">
        <v>21839.1</v>
      </c>
      <c r="I344" s="5">
        <v>-158.6</v>
      </c>
      <c r="J344" s="6">
        <v>-7.2098446655786737E-3</v>
      </c>
      <c r="K344" s="90"/>
      <c r="L344" s="90"/>
      <c r="M344" s="7" t="s">
        <v>28</v>
      </c>
      <c r="N344" s="4">
        <v>22000</v>
      </c>
      <c r="O344" s="94"/>
      <c r="P344" s="94"/>
      <c r="Q344" s="7" t="s">
        <v>89</v>
      </c>
      <c r="R344" s="4">
        <v>65</v>
      </c>
      <c r="S344" s="5">
        <v>215.6</v>
      </c>
      <c r="T344" s="5">
        <v>21.7</v>
      </c>
      <c r="U344" s="8">
        <v>-0.60570000000000002</v>
      </c>
      <c r="V344" s="8">
        <v>0.90490000000000004</v>
      </c>
      <c r="W344" s="5">
        <v>193.9</v>
      </c>
      <c r="X344" s="6">
        <v>8.814557885597131E-3</v>
      </c>
      <c r="Y344" s="4">
        <v>0</v>
      </c>
      <c r="Z344" s="6">
        <v>0</v>
      </c>
      <c r="AA344" s="5">
        <v>45971.4</v>
      </c>
      <c r="AB344" s="5">
        <v>45919.9</v>
      </c>
      <c r="AC344" s="5">
        <v>-51.5</v>
      </c>
      <c r="AD344" s="5">
        <v>-0.112</v>
      </c>
      <c r="AE344" s="4">
        <v>7</v>
      </c>
      <c r="AF344" s="5">
        <v>-0.11666700000000001</v>
      </c>
      <c r="AG344" s="5">
        <v>-105.13330000000001</v>
      </c>
      <c r="AH344" s="5">
        <v>-0.22869999999999999</v>
      </c>
      <c r="AI344" s="8">
        <v>-1.4913000000000001</v>
      </c>
      <c r="AJ344" s="8">
        <v>2.5194000000000001</v>
      </c>
      <c r="AK344" s="15">
        <v>94.816699999999997</v>
      </c>
      <c r="AL344" s="15">
        <v>0.68030000000000002</v>
      </c>
      <c r="AM344" s="5">
        <v>123.5471</v>
      </c>
      <c r="AN344" s="5">
        <v>133.048</v>
      </c>
      <c r="AO344" s="5">
        <v>-9.5008999999999997</v>
      </c>
      <c r="AP344" s="5">
        <v>-7.141</v>
      </c>
      <c r="AQ344" s="8">
        <v>1.48</v>
      </c>
      <c r="AR344" s="8">
        <v>-0.1661</v>
      </c>
      <c r="AS344" s="8">
        <v>-0.1661</v>
      </c>
      <c r="AT344" s="5">
        <v>122.5085</v>
      </c>
      <c r="AU344" s="5">
        <v>-7.9215999999999998</v>
      </c>
      <c r="AV344" s="7" t="s">
        <v>90</v>
      </c>
    </row>
    <row r="345" spans="1:48" ht="18" customHeight="1" x14ac:dyDescent="0.25">
      <c r="A345" s="10">
        <v>172</v>
      </c>
      <c r="B345" s="10">
        <v>2</v>
      </c>
      <c r="C345" s="10">
        <v>172</v>
      </c>
      <c r="D345" s="88">
        <v>45364</v>
      </c>
      <c r="E345" s="88">
        <v>45371</v>
      </c>
      <c r="F345" s="88">
        <v>45379</v>
      </c>
      <c r="G345" s="11">
        <v>21997.7</v>
      </c>
      <c r="H345" s="11">
        <v>21839.1</v>
      </c>
      <c r="I345" s="12"/>
      <c r="J345" s="12"/>
      <c r="K345" s="92"/>
      <c r="L345" s="92"/>
      <c r="M345" s="12" t="s">
        <v>40</v>
      </c>
      <c r="N345" s="10">
        <v>22000</v>
      </c>
      <c r="O345" s="95">
        <f>IF(F345=F343,O343,MROUND(G345,100))</f>
        <v>22000</v>
      </c>
      <c r="P345" s="95">
        <f>O345-N345</f>
        <v>0</v>
      </c>
      <c r="Q345" s="12" t="s">
        <v>91</v>
      </c>
      <c r="R345" s="10">
        <v>65</v>
      </c>
      <c r="S345" s="11">
        <v>201.8</v>
      </c>
      <c r="T345" s="11">
        <v>207.85</v>
      </c>
      <c r="U345" s="13">
        <v>-0.43369999999999997</v>
      </c>
      <c r="V345" s="13">
        <v>0.42030000000000001</v>
      </c>
      <c r="W345" s="10">
        <v>0</v>
      </c>
      <c r="X345" s="14">
        <v>0</v>
      </c>
      <c r="Y345" s="11">
        <v>6.05</v>
      </c>
      <c r="Z345" s="14">
        <v>2.7502875300599612E-4</v>
      </c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 t="s">
        <v>90</v>
      </c>
    </row>
    <row r="346" spans="1:48" ht="18" hidden="1" customHeight="1" x14ac:dyDescent="0.25">
      <c r="A346" s="4">
        <v>173</v>
      </c>
      <c r="B346" s="4">
        <v>1</v>
      </c>
      <c r="C346" s="4">
        <v>173</v>
      </c>
      <c r="D346" s="87">
        <v>45371</v>
      </c>
      <c r="E346" s="87">
        <v>45373</v>
      </c>
      <c r="F346" s="87">
        <v>45379</v>
      </c>
      <c r="G346" s="5">
        <v>21839.1</v>
      </c>
      <c r="H346" s="5">
        <v>22096.75</v>
      </c>
      <c r="I346" s="5">
        <v>257.64999999999998</v>
      </c>
      <c r="J346" s="6">
        <v>1.179764733894712E-2</v>
      </c>
      <c r="K346" s="90"/>
      <c r="L346" s="90"/>
      <c r="M346" s="7" t="s">
        <v>28</v>
      </c>
      <c r="N346" s="4">
        <v>21800</v>
      </c>
      <c r="O346" s="94"/>
      <c r="P346" s="94"/>
      <c r="Q346" s="7" t="s">
        <v>89</v>
      </c>
      <c r="R346" s="4">
        <v>65</v>
      </c>
      <c r="S346" s="5">
        <v>230.35</v>
      </c>
      <c r="T346" s="5">
        <v>389.4</v>
      </c>
      <c r="U346" s="8">
        <v>-1.1380999999999999</v>
      </c>
      <c r="V346" s="8">
        <v>-3.7999999999999999E-2</v>
      </c>
      <c r="W346" s="5">
        <v>-159.05000000000001</v>
      </c>
      <c r="X346" s="6">
        <v>-7.2828092732759144E-3</v>
      </c>
      <c r="Y346" s="4">
        <v>0</v>
      </c>
      <c r="Z346" s="6">
        <v>0</v>
      </c>
      <c r="AA346" s="5">
        <v>45919.9</v>
      </c>
      <c r="AB346" s="5">
        <v>47312.85</v>
      </c>
      <c r="AC346" s="5">
        <v>1392.95</v>
      </c>
      <c r="AD346" s="5">
        <v>3.0333999999999999</v>
      </c>
      <c r="AE346" s="4">
        <v>2</v>
      </c>
      <c r="AF346" s="5">
        <v>-3.3333000000000002E-2</v>
      </c>
      <c r="AG346" s="5">
        <v>1377.6433999999999</v>
      </c>
      <c r="AH346" s="5">
        <v>3.0001000000000002</v>
      </c>
      <c r="AI346" s="8">
        <v>1.0828</v>
      </c>
      <c r="AJ346" s="8">
        <v>3.1257000000000001</v>
      </c>
      <c r="AK346" s="15">
        <v>1071.3434</v>
      </c>
      <c r="AL346" s="15">
        <v>1.5975999999999999</v>
      </c>
      <c r="AM346" s="5">
        <v>125.5209</v>
      </c>
      <c r="AN346" s="5">
        <v>133.048</v>
      </c>
      <c r="AO346" s="5">
        <v>-7.5270999999999999</v>
      </c>
      <c r="AP346" s="5">
        <v>-5.6574</v>
      </c>
      <c r="AQ346" s="8">
        <v>1.2304999999999999</v>
      </c>
      <c r="AR346" s="8">
        <v>0.84860000000000002</v>
      </c>
      <c r="AS346" s="8">
        <v>0.84860000000000002</v>
      </c>
      <c r="AT346" s="5">
        <v>124.5955</v>
      </c>
      <c r="AU346" s="5">
        <v>-6.3529999999999998</v>
      </c>
      <c r="AV346" s="7" t="s">
        <v>96</v>
      </c>
    </row>
    <row r="347" spans="1:48" ht="18" customHeight="1" x14ac:dyDescent="0.25">
      <c r="A347" s="10">
        <v>173</v>
      </c>
      <c r="B347" s="10">
        <v>2</v>
      </c>
      <c r="C347" s="10">
        <v>173</v>
      </c>
      <c r="D347" s="88">
        <v>45371</v>
      </c>
      <c r="E347" s="88">
        <v>45373</v>
      </c>
      <c r="F347" s="88">
        <v>45379</v>
      </c>
      <c r="G347" s="11">
        <v>21839.1</v>
      </c>
      <c r="H347" s="11">
        <v>22096.75</v>
      </c>
      <c r="I347" s="12"/>
      <c r="J347" s="12"/>
      <c r="K347" s="92"/>
      <c r="L347" s="92"/>
      <c r="M347" s="12" t="s">
        <v>40</v>
      </c>
      <c r="N347" s="10">
        <v>22000</v>
      </c>
      <c r="O347" s="95">
        <f>IF(F347=F345,O345,MROUND(G347,100))</f>
        <v>22000</v>
      </c>
      <c r="P347" s="95">
        <f>O347-N347</f>
        <v>0</v>
      </c>
      <c r="Q347" s="12" t="s">
        <v>91</v>
      </c>
      <c r="R347" s="10">
        <v>65</v>
      </c>
      <c r="S347" s="11">
        <v>207.85</v>
      </c>
      <c r="T347" s="11">
        <v>60.6</v>
      </c>
      <c r="U347" s="13">
        <v>-0.7571</v>
      </c>
      <c r="V347" s="13">
        <v>-0.19620000000000001</v>
      </c>
      <c r="W347" s="10">
        <v>0</v>
      </c>
      <c r="X347" s="14">
        <v>0</v>
      </c>
      <c r="Y347" s="11">
        <v>-147.25</v>
      </c>
      <c r="Z347" s="14">
        <v>-6.7424939672422399E-3</v>
      </c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 t="s">
        <v>96</v>
      </c>
    </row>
    <row r="348" spans="1:48" ht="18" hidden="1" customHeight="1" x14ac:dyDescent="0.25">
      <c r="A348" s="4">
        <v>174</v>
      </c>
      <c r="B348" s="4">
        <v>1</v>
      </c>
      <c r="C348" s="4">
        <v>174</v>
      </c>
      <c r="D348" s="87">
        <v>45373</v>
      </c>
      <c r="E348" s="87">
        <v>45378</v>
      </c>
      <c r="F348" s="87">
        <v>45379</v>
      </c>
      <c r="G348" s="5">
        <v>22096.75</v>
      </c>
      <c r="H348" s="5">
        <v>22123.65</v>
      </c>
      <c r="I348" s="5">
        <v>26.9</v>
      </c>
      <c r="J348" s="6">
        <v>1.2173735956645211E-3</v>
      </c>
      <c r="K348" s="90"/>
      <c r="L348" s="90"/>
      <c r="M348" s="7" t="s">
        <v>28</v>
      </c>
      <c r="N348" s="4">
        <v>22100</v>
      </c>
      <c r="O348" s="94"/>
      <c r="P348" s="94"/>
      <c r="Q348" s="7" t="s">
        <v>89</v>
      </c>
      <c r="R348" s="4">
        <v>65</v>
      </c>
      <c r="S348" s="4">
        <v>156</v>
      </c>
      <c r="T348" s="5">
        <v>98.4</v>
      </c>
      <c r="U348" s="8">
        <v>9.4999999999999998E-3</v>
      </c>
      <c r="V348" s="8">
        <v>0.38919999999999999</v>
      </c>
      <c r="W348" s="5">
        <v>57.6</v>
      </c>
      <c r="X348" s="6">
        <v>2.6067181825381561E-3</v>
      </c>
      <c r="Y348" s="4">
        <v>0</v>
      </c>
      <c r="Z348" s="6">
        <v>0</v>
      </c>
      <c r="AA348" s="5">
        <v>47312.85</v>
      </c>
      <c r="AB348" s="5">
        <v>47837.35</v>
      </c>
      <c r="AC348" s="5">
        <v>524.5</v>
      </c>
      <c r="AD348" s="5">
        <v>1.1086</v>
      </c>
      <c r="AE348" s="4">
        <v>5</v>
      </c>
      <c r="AF348" s="5">
        <v>-8.3333000000000004E-2</v>
      </c>
      <c r="AG348" s="5">
        <v>485.07260000000002</v>
      </c>
      <c r="AH348" s="5">
        <v>1.0251999999999999</v>
      </c>
      <c r="AI348" s="8">
        <v>-0.31840000000000002</v>
      </c>
      <c r="AJ348" s="8">
        <v>1.6536999999999999</v>
      </c>
      <c r="AK348" s="15">
        <v>497.02260000000001</v>
      </c>
      <c r="AL348" s="15">
        <v>1.0792999999999999</v>
      </c>
      <c r="AM348" s="5">
        <v>126.87560000000001</v>
      </c>
      <c r="AN348" s="5">
        <v>133.048</v>
      </c>
      <c r="AO348" s="5">
        <v>-6.1723999999999997</v>
      </c>
      <c r="AP348" s="5">
        <v>-4.6391999999999998</v>
      </c>
      <c r="AQ348" s="8">
        <v>1.4300999999999999</v>
      </c>
      <c r="AR348" s="8">
        <v>0.2233</v>
      </c>
      <c r="AS348" s="8">
        <v>0.2233</v>
      </c>
      <c r="AT348" s="5">
        <v>125.80119999999999</v>
      </c>
      <c r="AU348" s="5">
        <v>-5.4467999999999996</v>
      </c>
      <c r="AV348" s="7" t="s">
        <v>90</v>
      </c>
    </row>
    <row r="349" spans="1:48" ht="18" customHeight="1" x14ac:dyDescent="0.25">
      <c r="A349" s="10">
        <v>174</v>
      </c>
      <c r="B349" s="10">
        <v>2</v>
      </c>
      <c r="C349" s="10">
        <v>174</v>
      </c>
      <c r="D349" s="88">
        <v>45373</v>
      </c>
      <c r="E349" s="88">
        <v>45378</v>
      </c>
      <c r="F349" s="88">
        <v>45379</v>
      </c>
      <c r="G349" s="11">
        <v>22096.75</v>
      </c>
      <c r="H349" s="11">
        <v>22123.65</v>
      </c>
      <c r="I349" s="12"/>
      <c r="J349" s="12"/>
      <c r="K349" s="92"/>
      <c r="L349" s="92"/>
      <c r="M349" s="12" t="s">
        <v>40</v>
      </c>
      <c r="N349" s="10">
        <v>22000</v>
      </c>
      <c r="O349" s="95">
        <f>IF(F349=F347,O347,MROUND(G349,100))</f>
        <v>22000</v>
      </c>
      <c r="P349" s="95">
        <f>O349-N349</f>
        <v>0</v>
      </c>
      <c r="Q349" s="12" t="s">
        <v>91</v>
      </c>
      <c r="R349" s="10">
        <v>65</v>
      </c>
      <c r="S349" s="11">
        <v>60.6</v>
      </c>
      <c r="T349" s="11">
        <v>14.95</v>
      </c>
      <c r="U349" s="13">
        <v>-0.2331</v>
      </c>
      <c r="V349" s="13">
        <v>0.1525</v>
      </c>
      <c r="W349" s="10">
        <v>0</v>
      </c>
      <c r="X349" s="14">
        <v>0</v>
      </c>
      <c r="Y349" s="11">
        <v>-45.65</v>
      </c>
      <c r="Z349" s="14">
        <v>-2.065914670709493E-3</v>
      </c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 t="s">
        <v>90</v>
      </c>
    </row>
    <row r="350" spans="1:48" ht="18" hidden="1" customHeight="1" x14ac:dyDescent="0.25">
      <c r="A350" s="4">
        <v>175</v>
      </c>
      <c r="B350" s="4">
        <v>1</v>
      </c>
      <c r="C350" s="4">
        <v>175</v>
      </c>
      <c r="D350" s="87">
        <v>45378</v>
      </c>
      <c r="E350" s="87">
        <v>45379</v>
      </c>
      <c r="F350" s="87">
        <v>45386</v>
      </c>
      <c r="G350" s="5">
        <v>22123.65</v>
      </c>
      <c r="H350" s="5">
        <v>22326.9</v>
      </c>
      <c r="I350" s="5">
        <v>203.25</v>
      </c>
      <c r="J350" s="6">
        <v>9.1870012407536724E-3</v>
      </c>
      <c r="K350" s="90"/>
      <c r="L350" s="90"/>
      <c r="M350" s="7" t="s">
        <v>28</v>
      </c>
      <c r="N350" s="4">
        <v>22100</v>
      </c>
      <c r="O350" s="94"/>
      <c r="P350" s="94"/>
      <c r="Q350" s="7" t="s">
        <v>89</v>
      </c>
      <c r="R350" s="4">
        <v>65</v>
      </c>
      <c r="S350" s="5">
        <v>242.55</v>
      </c>
      <c r="T350" s="4">
        <v>337</v>
      </c>
      <c r="U350" s="8">
        <v>-1.0435000000000001</v>
      </c>
      <c r="V350" s="8">
        <v>0.12</v>
      </c>
      <c r="W350" s="5">
        <v>-94.45</v>
      </c>
      <c r="X350" s="6">
        <v>-4.2691870464412517E-3</v>
      </c>
      <c r="Y350" s="4">
        <v>0</v>
      </c>
      <c r="Z350" s="6">
        <v>0</v>
      </c>
      <c r="AA350" s="5">
        <v>47837.35</v>
      </c>
      <c r="AB350" s="5">
        <v>48075.75</v>
      </c>
      <c r="AC350" s="5">
        <v>238.4</v>
      </c>
      <c r="AD350" s="5">
        <v>0.49840000000000001</v>
      </c>
      <c r="AE350" s="4">
        <v>1</v>
      </c>
      <c r="AF350" s="5">
        <v>-1.6667000000000001E-2</v>
      </c>
      <c r="AG350" s="5">
        <v>230.4271</v>
      </c>
      <c r="AH350" s="5">
        <v>0.48170000000000002</v>
      </c>
      <c r="AI350" s="8">
        <v>-0.12570000000000001</v>
      </c>
      <c r="AJ350" s="8">
        <v>0.84630000000000005</v>
      </c>
      <c r="AK350" s="15">
        <v>121.72709999999999</v>
      </c>
      <c r="AL350" s="15">
        <v>-9.5999999999999992E-3</v>
      </c>
      <c r="AM350" s="5">
        <v>126.8635</v>
      </c>
      <c r="AN350" s="5">
        <v>133.048</v>
      </c>
      <c r="AO350" s="5">
        <v>-6.1844999999999999</v>
      </c>
      <c r="AP350" s="5">
        <v>-4.6483999999999996</v>
      </c>
      <c r="AQ350" s="8">
        <v>-0.26450000000000001</v>
      </c>
      <c r="AR350" s="8">
        <v>-0.01</v>
      </c>
      <c r="AS350" s="8">
        <v>-0.26450000000000001</v>
      </c>
      <c r="AT350" s="5">
        <v>126.5401</v>
      </c>
      <c r="AU350" s="5">
        <v>-4.8914</v>
      </c>
      <c r="AV350" s="7" t="s">
        <v>94</v>
      </c>
    </row>
    <row r="351" spans="1:48" ht="18" customHeight="1" x14ac:dyDescent="0.25">
      <c r="A351" s="10">
        <v>175</v>
      </c>
      <c r="B351" s="10">
        <v>2</v>
      </c>
      <c r="C351" s="10">
        <v>175</v>
      </c>
      <c r="D351" s="88">
        <v>45378</v>
      </c>
      <c r="E351" s="88">
        <v>45379</v>
      </c>
      <c r="F351" s="88">
        <v>45379</v>
      </c>
      <c r="G351" s="11">
        <v>22123.65</v>
      </c>
      <c r="H351" s="11">
        <v>22326.9</v>
      </c>
      <c r="I351" s="12"/>
      <c r="J351" s="12"/>
      <c r="K351" s="92"/>
      <c r="L351" s="92"/>
      <c r="M351" s="12" t="s">
        <v>40</v>
      </c>
      <c r="N351" s="10">
        <v>22000</v>
      </c>
      <c r="O351" s="95">
        <f>IF(F351=F349,O349,MROUND(G351,100))</f>
        <v>22000</v>
      </c>
      <c r="P351" s="95">
        <f>O351-N351</f>
        <v>0</v>
      </c>
      <c r="Q351" s="12" t="s">
        <v>91</v>
      </c>
      <c r="R351" s="10">
        <v>65</v>
      </c>
      <c r="S351" s="11">
        <v>14.95</v>
      </c>
      <c r="T351" s="11">
        <v>0.7</v>
      </c>
      <c r="U351" s="13">
        <v>-6.7299999999999999E-2</v>
      </c>
      <c r="V351" s="13">
        <v>-4.3E-3</v>
      </c>
      <c r="W351" s="10">
        <v>0</v>
      </c>
      <c r="X351" s="14">
        <v>0</v>
      </c>
      <c r="Y351" s="11">
        <v>-14.25</v>
      </c>
      <c r="Z351" s="14">
        <v>-6.4410709806022063E-4</v>
      </c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 t="s">
        <v>94</v>
      </c>
    </row>
    <row r="352" spans="1:48" ht="18" hidden="1" customHeight="1" x14ac:dyDescent="0.25">
      <c r="A352" s="4">
        <v>176</v>
      </c>
      <c r="B352" s="4">
        <v>1</v>
      </c>
      <c r="C352" s="4">
        <v>176</v>
      </c>
      <c r="D352" s="87">
        <v>45412</v>
      </c>
      <c r="E352" s="87">
        <v>45419</v>
      </c>
      <c r="F352" s="87">
        <v>45421</v>
      </c>
      <c r="G352" s="5">
        <v>22604.85</v>
      </c>
      <c r="H352" s="5">
        <v>22302.5</v>
      </c>
      <c r="I352" s="5">
        <v>-302.35000000000002</v>
      </c>
      <c r="J352" s="6">
        <v>-1.337544818921603E-2</v>
      </c>
      <c r="K352" s="90"/>
      <c r="L352" s="90"/>
      <c r="M352" s="7" t="s">
        <v>28</v>
      </c>
      <c r="N352" s="4">
        <v>22600</v>
      </c>
      <c r="O352" s="94"/>
      <c r="P352" s="94"/>
      <c r="Q352" s="7" t="s">
        <v>89</v>
      </c>
      <c r="R352" s="4">
        <v>65</v>
      </c>
      <c r="S352" s="4">
        <v>204</v>
      </c>
      <c r="T352" s="5">
        <v>23.5</v>
      </c>
      <c r="U352" s="8">
        <v>-0.33929999999999999</v>
      </c>
      <c r="V352" s="8">
        <v>0.82389999999999997</v>
      </c>
      <c r="W352" s="5">
        <v>180.5</v>
      </c>
      <c r="X352" s="6">
        <v>7.9850120659946868E-3</v>
      </c>
      <c r="Y352" s="4">
        <v>0</v>
      </c>
      <c r="Z352" s="6">
        <v>0</v>
      </c>
      <c r="AA352" s="5">
        <v>50868.2</v>
      </c>
      <c r="AB352" s="5">
        <v>49674.45</v>
      </c>
      <c r="AC352" s="5">
        <v>-1193.75</v>
      </c>
      <c r="AD352" s="5">
        <v>-2.3468</v>
      </c>
      <c r="AE352" s="4">
        <v>7</v>
      </c>
      <c r="AF352" s="5">
        <v>-0.11666700000000001</v>
      </c>
      <c r="AG352" s="5">
        <v>-1253.0962</v>
      </c>
      <c r="AH352" s="5">
        <v>-2.4634</v>
      </c>
      <c r="AI352" s="8">
        <v>-3.0706000000000002</v>
      </c>
      <c r="AJ352" s="8">
        <v>0.88229999999999997</v>
      </c>
      <c r="AK352" s="9">
        <v>-920.34619999999995</v>
      </c>
      <c r="AL352" s="9">
        <v>-0.99139999999999995</v>
      </c>
      <c r="AM352" s="5">
        <v>99.008600000000001</v>
      </c>
      <c r="AN352" s="4">
        <v>100</v>
      </c>
      <c r="AO352" s="5">
        <v>-0.99139999999999995</v>
      </c>
      <c r="AP352" s="5">
        <v>-0.99139999999999995</v>
      </c>
      <c r="AQ352" s="8">
        <v>0.14799999999999999</v>
      </c>
      <c r="AR352" s="8">
        <v>-1.2968999999999999</v>
      </c>
      <c r="AS352" s="8">
        <v>-1.2968999999999999</v>
      </c>
      <c r="AT352" s="5">
        <v>98.703100000000006</v>
      </c>
      <c r="AU352" s="5">
        <v>-1.2968999999999999</v>
      </c>
      <c r="AV352" s="7" t="s">
        <v>93</v>
      </c>
    </row>
    <row r="353" spans="1:48" ht="18" customHeight="1" x14ac:dyDescent="0.25">
      <c r="A353" s="10">
        <v>176</v>
      </c>
      <c r="B353" s="10">
        <v>2</v>
      </c>
      <c r="C353" s="10">
        <v>176</v>
      </c>
      <c r="D353" s="88">
        <v>45412</v>
      </c>
      <c r="E353" s="88">
        <v>45419</v>
      </c>
      <c r="F353" s="88">
        <v>45442</v>
      </c>
      <c r="G353" s="11">
        <v>22604.85</v>
      </c>
      <c r="H353" s="11">
        <v>22302.5</v>
      </c>
      <c r="I353" s="12"/>
      <c r="J353" s="12"/>
      <c r="K353" s="92"/>
      <c r="L353" s="92"/>
      <c r="M353" s="12" t="s">
        <v>40</v>
      </c>
      <c r="N353" s="10">
        <v>22600</v>
      </c>
      <c r="O353" s="95">
        <f>IF(F353=F351,O351,MROUND(G353,100))</f>
        <v>22600</v>
      </c>
      <c r="P353" s="95">
        <f>O353-N353</f>
        <v>0</v>
      </c>
      <c r="Q353" s="12" t="s">
        <v>91</v>
      </c>
      <c r="R353" s="10">
        <v>65</v>
      </c>
      <c r="S353" s="11">
        <v>264.3</v>
      </c>
      <c r="T353" s="11">
        <v>416.55</v>
      </c>
      <c r="U353" s="13">
        <v>-0.39500000000000002</v>
      </c>
      <c r="V353" s="13">
        <v>0.94979999999999998</v>
      </c>
      <c r="W353" s="10">
        <v>0</v>
      </c>
      <c r="X353" s="14">
        <v>0</v>
      </c>
      <c r="Y353" s="11">
        <v>152.25</v>
      </c>
      <c r="Z353" s="14">
        <v>6.7352802606520283E-3</v>
      </c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 t="s">
        <v>93</v>
      </c>
    </row>
    <row r="354" spans="1:48" ht="18" hidden="1" customHeight="1" x14ac:dyDescent="0.25">
      <c r="A354" s="4">
        <v>177</v>
      </c>
      <c r="B354" s="4">
        <v>1</v>
      </c>
      <c r="C354" s="4">
        <v>177</v>
      </c>
      <c r="D354" s="87">
        <v>45419</v>
      </c>
      <c r="E354" s="87">
        <v>45420</v>
      </c>
      <c r="F354" s="87">
        <v>45421</v>
      </c>
      <c r="G354" s="5">
        <v>22302.5</v>
      </c>
      <c r="H354" s="5">
        <v>22302.5</v>
      </c>
      <c r="I354" s="4">
        <v>0</v>
      </c>
      <c r="J354" s="6">
        <v>0</v>
      </c>
      <c r="K354" s="90"/>
      <c r="L354" s="90"/>
      <c r="M354" s="7" t="s">
        <v>28</v>
      </c>
      <c r="N354" s="4">
        <v>22300</v>
      </c>
      <c r="O354" s="94"/>
      <c r="P354" s="94"/>
      <c r="Q354" s="7" t="s">
        <v>89</v>
      </c>
      <c r="R354" s="4">
        <v>65</v>
      </c>
      <c r="S354" s="5">
        <v>111.8</v>
      </c>
      <c r="T354" s="5">
        <v>76.400000000000006</v>
      </c>
      <c r="U354" s="8">
        <v>-0.193</v>
      </c>
      <c r="V354" s="8">
        <v>0.28899999999999998</v>
      </c>
      <c r="W354" s="5">
        <v>35.4</v>
      </c>
      <c r="X354" s="6">
        <v>1.587266001569331E-3</v>
      </c>
      <c r="Y354" s="4">
        <v>0</v>
      </c>
      <c r="Z354" s="6">
        <v>0</v>
      </c>
      <c r="AA354" s="5">
        <v>49674.45</v>
      </c>
      <c r="AB354" s="5">
        <v>50036.3</v>
      </c>
      <c r="AC354" s="5">
        <v>361.85</v>
      </c>
      <c r="AD354" s="5">
        <v>0.72840000000000005</v>
      </c>
      <c r="AE354" s="4">
        <v>1</v>
      </c>
      <c r="AF354" s="5">
        <v>-1.6667000000000001E-2</v>
      </c>
      <c r="AG354" s="5">
        <v>353.57089999999999</v>
      </c>
      <c r="AH354" s="5">
        <v>0.71179999999999999</v>
      </c>
      <c r="AI354" s="8">
        <v>-0.83960000000000001</v>
      </c>
      <c r="AJ354" s="8">
        <v>0.98050000000000004</v>
      </c>
      <c r="AK354" s="15">
        <v>374.27089999999998</v>
      </c>
      <c r="AL354" s="15">
        <v>0.80459999999999998</v>
      </c>
      <c r="AM354" s="5">
        <v>99.805199999999999</v>
      </c>
      <c r="AN354" s="4">
        <v>100</v>
      </c>
      <c r="AO354" s="5">
        <v>-0.1948</v>
      </c>
      <c r="AP354" s="5">
        <v>-0.1948</v>
      </c>
      <c r="AQ354" s="8">
        <v>0.45910000000000001</v>
      </c>
      <c r="AR354" s="8">
        <v>-0.24079999999999999</v>
      </c>
      <c r="AS354" s="8">
        <v>-0.24079999999999999</v>
      </c>
      <c r="AT354" s="5">
        <v>98.770200000000003</v>
      </c>
      <c r="AU354" s="5">
        <v>-1.2298</v>
      </c>
      <c r="AV354" s="7" t="s">
        <v>90</v>
      </c>
    </row>
    <row r="355" spans="1:48" ht="18" customHeight="1" x14ac:dyDescent="0.25">
      <c r="A355" s="10">
        <v>177</v>
      </c>
      <c r="B355" s="10">
        <v>2</v>
      </c>
      <c r="C355" s="10">
        <v>177</v>
      </c>
      <c r="D355" s="88">
        <v>45419</v>
      </c>
      <c r="E355" s="88">
        <v>45420</v>
      </c>
      <c r="F355" s="88">
        <v>45442</v>
      </c>
      <c r="G355" s="11">
        <v>22302.5</v>
      </c>
      <c r="H355" s="11">
        <v>22302.5</v>
      </c>
      <c r="I355" s="12"/>
      <c r="J355" s="12"/>
      <c r="K355" s="92"/>
      <c r="L355" s="92"/>
      <c r="M355" s="12" t="s">
        <v>40</v>
      </c>
      <c r="N355" s="10">
        <v>22600</v>
      </c>
      <c r="O355" s="95">
        <f>IF(F355=F353,O353,MROUND(G355,100))</f>
        <v>22600</v>
      </c>
      <c r="P355" s="95">
        <f>O355-N355</f>
        <v>0</v>
      </c>
      <c r="Q355" s="12" t="s">
        <v>91</v>
      </c>
      <c r="R355" s="10">
        <v>65</v>
      </c>
      <c r="S355" s="11">
        <v>416.55</v>
      </c>
      <c r="T355" s="11">
        <v>401.85</v>
      </c>
      <c r="U355" s="13">
        <v>-0.32840000000000003</v>
      </c>
      <c r="V355" s="13">
        <v>0.30980000000000002</v>
      </c>
      <c r="W355" s="10">
        <v>0</v>
      </c>
      <c r="X355" s="14">
        <v>0</v>
      </c>
      <c r="Y355" s="11">
        <v>-14.7</v>
      </c>
      <c r="Z355" s="14">
        <v>-6.5911893285506109E-4</v>
      </c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 t="s">
        <v>90</v>
      </c>
    </row>
    <row r="356" spans="1:48" ht="18" hidden="1" customHeight="1" x14ac:dyDescent="0.25">
      <c r="A356" s="4">
        <v>178</v>
      </c>
      <c r="B356" s="4">
        <v>1</v>
      </c>
      <c r="C356" s="4">
        <v>178</v>
      </c>
      <c r="D356" s="87">
        <v>45420</v>
      </c>
      <c r="E356" s="87">
        <v>45421</v>
      </c>
      <c r="F356" s="87">
        <v>45428</v>
      </c>
      <c r="G356" s="5">
        <v>22302.5</v>
      </c>
      <c r="H356" s="5">
        <v>21957.5</v>
      </c>
      <c r="I356" s="4">
        <v>-345</v>
      </c>
      <c r="J356" s="6">
        <v>-1.5469117811904491E-2</v>
      </c>
      <c r="K356" s="90"/>
      <c r="L356" s="90"/>
      <c r="M356" s="7" t="s">
        <v>28</v>
      </c>
      <c r="N356" s="4">
        <v>22300</v>
      </c>
      <c r="O356" s="94"/>
      <c r="P356" s="94"/>
      <c r="Q356" s="7" t="s">
        <v>89</v>
      </c>
      <c r="R356" s="4">
        <v>65</v>
      </c>
      <c r="S356" s="5">
        <v>191.8</v>
      </c>
      <c r="T356" s="5">
        <v>59.55</v>
      </c>
      <c r="U356" s="8">
        <v>1.8E-3</v>
      </c>
      <c r="V356" s="8">
        <v>0.61339999999999995</v>
      </c>
      <c r="W356" s="5">
        <v>132.25</v>
      </c>
      <c r="X356" s="6">
        <v>5.9298284945633901E-3</v>
      </c>
      <c r="Y356" s="4">
        <v>0</v>
      </c>
      <c r="Z356" s="6">
        <v>0</v>
      </c>
      <c r="AA356" s="5">
        <v>50036.3</v>
      </c>
      <c r="AB356" s="5">
        <v>49109.15</v>
      </c>
      <c r="AC356" s="5">
        <v>-927.15</v>
      </c>
      <c r="AD356" s="5">
        <v>-1.853</v>
      </c>
      <c r="AE356" s="4">
        <v>1</v>
      </c>
      <c r="AF356" s="5">
        <v>-1.6667000000000001E-2</v>
      </c>
      <c r="AG356" s="5">
        <v>-935.48940000000005</v>
      </c>
      <c r="AH356" s="5">
        <v>-1.8695999999999999</v>
      </c>
      <c r="AI356" s="8">
        <v>-2.0546000000000002</v>
      </c>
      <c r="AJ356" s="8">
        <v>0.2215</v>
      </c>
      <c r="AK356" s="9">
        <v>-587.33939999999996</v>
      </c>
      <c r="AL356" s="9">
        <v>-0.30859999999999999</v>
      </c>
      <c r="AM356" s="5">
        <v>99.497200000000007</v>
      </c>
      <c r="AN356" s="4">
        <v>100</v>
      </c>
      <c r="AO356" s="5">
        <v>-0.50280000000000002</v>
      </c>
      <c r="AP356" s="5">
        <v>-0.50280000000000002</v>
      </c>
      <c r="AQ356" s="8">
        <v>0.20760000000000001</v>
      </c>
      <c r="AR356" s="8">
        <v>-0.3906</v>
      </c>
      <c r="AS356" s="8">
        <v>-0.3906</v>
      </c>
      <c r="AT356" s="5">
        <v>99.415400000000005</v>
      </c>
      <c r="AU356" s="5">
        <v>-0.58460000000000001</v>
      </c>
      <c r="AV356" s="7" t="s">
        <v>93</v>
      </c>
    </row>
    <row r="357" spans="1:48" ht="18" customHeight="1" x14ac:dyDescent="0.25">
      <c r="A357" s="10">
        <v>178</v>
      </c>
      <c r="B357" s="10">
        <v>2</v>
      </c>
      <c r="C357" s="10">
        <v>178</v>
      </c>
      <c r="D357" s="88">
        <v>45420</v>
      </c>
      <c r="E357" s="88">
        <v>45421</v>
      </c>
      <c r="F357" s="88">
        <v>45442</v>
      </c>
      <c r="G357" s="11">
        <v>22302.5</v>
      </c>
      <c r="H357" s="11">
        <v>21957.5</v>
      </c>
      <c r="I357" s="12"/>
      <c r="J357" s="12"/>
      <c r="K357" s="92"/>
      <c r="L357" s="92"/>
      <c r="M357" s="12" t="s">
        <v>40</v>
      </c>
      <c r="N357" s="10">
        <v>22600</v>
      </c>
      <c r="O357" s="95">
        <f>IF(F357=F355,O355,MROUND(G357,100))</f>
        <v>22600</v>
      </c>
      <c r="P357" s="95">
        <f>O357-N357</f>
        <v>0</v>
      </c>
      <c r="Q357" s="12" t="s">
        <v>91</v>
      </c>
      <c r="R357" s="10">
        <v>65</v>
      </c>
      <c r="S357" s="11">
        <v>401.85</v>
      </c>
      <c r="T357" s="11">
        <v>617.75</v>
      </c>
      <c r="U357" s="13">
        <v>-1.5699999999999999E-2</v>
      </c>
      <c r="V357" s="13">
        <v>1.0506</v>
      </c>
      <c r="W357" s="10">
        <v>0</v>
      </c>
      <c r="X357" s="14">
        <v>0</v>
      </c>
      <c r="Y357" s="11">
        <v>215.9</v>
      </c>
      <c r="Z357" s="14">
        <v>9.6805290886671901E-3</v>
      </c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 t="s">
        <v>93</v>
      </c>
    </row>
    <row r="358" spans="1:48" ht="18" hidden="1" customHeight="1" x14ac:dyDescent="0.25">
      <c r="A358" s="4">
        <v>179</v>
      </c>
      <c r="B358" s="4">
        <v>1</v>
      </c>
      <c r="C358" s="4">
        <v>179</v>
      </c>
      <c r="D358" s="87">
        <v>45421</v>
      </c>
      <c r="E358" s="87">
        <v>45426</v>
      </c>
      <c r="F358" s="87">
        <v>45428</v>
      </c>
      <c r="G358" s="5">
        <v>21957.5</v>
      </c>
      <c r="H358" s="5">
        <v>22217.85</v>
      </c>
      <c r="I358" s="5">
        <v>260.35000000000002</v>
      </c>
      <c r="J358" s="6">
        <v>1.185699647045429E-2</v>
      </c>
      <c r="K358" s="90"/>
      <c r="L358" s="90"/>
      <c r="M358" s="7" t="s">
        <v>28</v>
      </c>
      <c r="N358" s="4">
        <v>22000</v>
      </c>
      <c r="O358" s="94"/>
      <c r="P358" s="94"/>
      <c r="Q358" s="7" t="s">
        <v>89</v>
      </c>
      <c r="R358" s="4">
        <v>65</v>
      </c>
      <c r="S358" s="4">
        <v>182</v>
      </c>
      <c r="T358" s="5">
        <v>254.75</v>
      </c>
      <c r="U358" s="8">
        <v>-0.5625</v>
      </c>
      <c r="V358" s="8">
        <v>0.51600000000000001</v>
      </c>
      <c r="W358" s="5">
        <v>-72.75</v>
      </c>
      <c r="X358" s="6">
        <v>-3.3132187179779121E-3</v>
      </c>
      <c r="Y358" s="4">
        <v>0</v>
      </c>
      <c r="Z358" s="6">
        <v>0</v>
      </c>
      <c r="AA358" s="5">
        <v>49109.15</v>
      </c>
      <c r="AB358" s="5">
        <v>50225.2</v>
      </c>
      <c r="AC358" s="5">
        <v>1116.05</v>
      </c>
      <c r="AD358" s="5">
        <v>2.2726000000000002</v>
      </c>
      <c r="AE358" s="4">
        <v>5</v>
      </c>
      <c r="AF358" s="5">
        <v>-8.3333000000000004E-2</v>
      </c>
      <c r="AG358" s="5">
        <v>1075.1257000000001</v>
      </c>
      <c r="AH358" s="5">
        <v>2.1892999999999998</v>
      </c>
      <c r="AI358" s="8">
        <v>-1.1676</v>
      </c>
      <c r="AJ358" s="8">
        <v>2.2763</v>
      </c>
      <c r="AK358" s="15">
        <v>798.12570000000005</v>
      </c>
      <c r="AL358" s="15">
        <v>0.92779999999999996</v>
      </c>
      <c r="AM358" s="5">
        <v>100.4204</v>
      </c>
      <c r="AN358" s="5">
        <v>100.4204</v>
      </c>
      <c r="AO358" s="4">
        <v>0</v>
      </c>
      <c r="AP358" s="4">
        <v>0</v>
      </c>
      <c r="AQ358" s="8">
        <v>0.63580000000000003</v>
      </c>
      <c r="AR358" s="8">
        <v>-1.9900000000000001E-2</v>
      </c>
      <c r="AS358" s="8">
        <v>-1.9900000000000001E-2</v>
      </c>
      <c r="AT358" s="5">
        <v>99.477400000000003</v>
      </c>
      <c r="AU358" s="5">
        <v>-0.52259999999999995</v>
      </c>
      <c r="AV358" s="7" t="s">
        <v>96</v>
      </c>
    </row>
    <row r="359" spans="1:48" ht="18" customHeight="1" x14ac:dyDescent="0.25">
      <c r="A359" s="10">
        <v>179</v>
      </c>
      <c r="B359" s="10">
        <v>2</v>
      </c>
      <c r="C359" s="10">
        <v>179</v>
      </c>
      <c r="D359" s="88">
        <v>45421</v>
      </c>
      <c r="E359" s="88">
        <v>45426</v>
      </c>
      <c r="F359" s="88">
        <v>45442</v>
      </c>
      <c r="G359" s="11">
        <v>21957.5</v>
      </c>
      <c r="H359" s="11">
        <v>22217.85</v>
      </c>
      <c r="I359" s="12"/>
      <c r="J359" s="12"/>
      <c r="K359" s="92"/>
      <c r="L359" s="92"/>
      <c r="M359" s="12" t="s">
        <v>40</v>
      </c>
      <c r="N359" s="10">
        <v>22600</v>
      </c>
      <c r="O359" s="95">
        <f>IF(F359=F357,O357,MROUND(G359,100))</f>
        <v>22600</v>
      </c>
      <c r="P359" s="95">
        <f>O359-N359</f>
        <v>0</v>
      </c>
      <c r="Q359" s="12" t="s">
        <v>91</v>
      </c>
      <c r="R359" s="10">
        <v>65</v>
      </c>
      <c r="S359" s="11">
        <v>617.75</v>
      </c>
      <c r="T359" s="11">
        <v>413.5</v>
      </c>
      <c r="U359" s="13">
        <v>-1.0780000000000001</v>
      </c>
      <c r="V359" s="13">
        <v>0.63170000000000004</v>
      </c>
      <c r="W359" s="10">
        <v>0</v>
      </c>
      <c r="X359" s="14">
        <v>0</v>
      </c>
      <c r="Y359" s="11">
        <v>-204.25</v>
      </c>
      <c r="Z359" s="14">
        <v>-9.3020607992713202E-3</v>
      </c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 t="s">
        <v>96</v>
      </c>
    </row>
    <row r="360" spans="1:48" ht="18" hidden="1" customHeight="1" x14ac:dyDescent="0.25">
      <c r="A360" s="4">
        <v>180</v>
      </c>
      <c r="B360" s="4">
        <v>1</v>
      </c>
      <c r="C360" s="4">
        <v>180</v>
      </c>
      <c r="D360" s="87">
        <v>45426</v>
      </c>
      <c r="E360" s="87">
        <v>45427</v>
      </c>
      <c r="F360" s="87">
        <v>45428</v>
      </c>
      <c r="G360" s="5">
        <v>22217.85</v>
      </c>
      <c r="H360" s="5">
        <v>22200.55</v>
      </c>
      <c r="I360" s="5">
        <v>-17.3</v>
      </c>
      <c r="J360" s="6">
        <v>-7.7865320001710349E-4</v>
      </c>
      <c r="K360" s="90"/>
      <c r="L360" s="90"/>
      <c r="M360" s="7" t="s">
        <v>28</v>
      </c>
      <c r="N360" s="4">
        <v>22200</v>
      </c>
      <c r="O360" s="94"/>
      <c r="P360" s="94"/>
      <c r="Q360" s="7" t="s">
        <v>89</v>
      </c>
      <c r="R360" s="4">
        <v>65</v>
      </c>
      <c r="S360" s="5">
        <v>112.4</v>
      </c>
      <c r="T360" s="5">
        <v>74.55</v>
      </c>
      <c r="U360" s="8">
        <v>-0.16020000000000001</v>
      </c>
      <c r="V360" s="8">
        <v>0.26040000000000002</v>
      </c>
      <c r="W360" s="5">
        <v>37.85</v>
      </c>
      <c r="X360" s="6">
        <v>1.703585180384241E-3</v>
      </c>
      <c r="Y360" s="4">
        <v>0</v>
      </c>
      <c r="Z360" s="6">
        <v>0</v>
      </c>
      <c r="AA360" s="5">
        <v>50225.2</v>
      </c>
      <c r="AB360" s="5">
        <v>50707.75</v>
      </c>
      <c r="AC360" s="5">
        <v>482.55</v>
      </c>
      <c r="AD360" s="5">
        <v>0.96079999999999999</v>
      </c>
      <c r="AE360" s="4">
        <v>1</v>
      </c>
      <c r="AF360" s="5">
        <v>-1.6667000000000001E-2</v>
      </c>
      <c r="AG360" s="5">
        <v>474.17910000000001</v>
      </c>
      <c r="AH360" s="5">
        <v>0.94410000000000005</v>
      </c>
      <c r="AI360" s="8">
        <v>0.29720000000000002</v>
      </c>
      <c r="AJ360" s="8">
        <v>1.0652999999999999</v>
      </c>
      <c r="AK360" s="15">
        <v>520.12909999999999</v>
      </c>
      <c r="AL360" s="15">
        <v>1.1509</v>
      </c>
      <c r="AM360" s="5">
        <v>101.5761</v>
      </c>
      <c r="AN360" s="5">
        <v>101.5761</v>
      </c>
      <c r="AO360" s="4">
        <v>0</v>
      </c>
      <c r="AP360" s="4">
        <v>0</v>
      </c>
      <c r="AQ360" s="8">
        <v>0.68969999999999998</v>
      </c>
      <c r="AR360" s="8">
        <v>0.86339999999999995</v>
      </c>
      <c r="AS360" s="8">
        <v>0.68969999999999998</v>
      </c>
      <c r="AT360" s="5">
        <v>101.113</v>
      </c>
      <c r="AU360" s="5">
        <v>0.68969999999999998</v>
      </c>
      <c r="AV360" s="7" t="s">
        <v>90</v>
      </c>
    </row>
    <row r="361" spans="1:48" ht="18" customHeight="1" x14ac:dyDescent="0.25">
      <c r="A361" s="10">
        <v>180</v>
      </c>
      <c r="B361" s="10">
        <v>2</v>
      </c>
      <c r="C361" s="10">
        <v>180</v>
      </c>
      <c r="D361" s="88">
        <v>45426</v>
      </c>
      <c r="E361" s="88">
        <v>45427</v>
      </c>
      <c r="F361" s="88">
        <v>45442</v>
      </c>
      <c r="G361" s="11">
        <v>22217.85</v>
      </c>
      <c r="H361" s="11">
        <v>22200.55</v>
      </c>
      <c r="I361" s="12"/>
      <c r="J361" s="12"/>
      <c r="K361" s="92"/>
      <c r="L361" s="92"/>
      <c r="M361" s="12" t="s">
        <v>40</v>
      </c>
      <c r="N361" s="10">
        <v>22600</v>
      </c>
      <c r="O361" s="95">
        <f>IF(F361=F359,O359,MROUND(G361,100))</f>
        <v>22600</v>
      </c>
      <c r="P361" s="95">
        <f>O361-N361</f>
        <v>0</v>
      </c>
      <c r="Q361" s="12" t="s">
        <v>91</v>
      </c>
      <c r="R361" s="10">
        <v>65</v>
      </c>
      <c r="S361" s="11">
        <v>413.5</v>
      </c>
      <c r="T361" s="11">
        <v>421.6</v>
      </c>
      <c r="U361" s="13">
        <v>-0.21540000000000001</v>
      </c>
      <c r="V361" s="13">
        <v>0.30580000000000002</v>
      </c>
      <c r="W361" s="10">
        <v>0</v>
      </c>
      <c r="X361" s="14">
        <v>0</v>
      </c>
      <c r="Y361" s="11">
        <v>8.1</v>
      </c>
      <c r="Z361" s="14">
        <v>3.6457172948777672E-4</v>
      </c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 t="s">
        <v>90</v>
      </c>
    </row>
    <row r="362" spans="1:48" ht="18" hidden="1" customHeight="1" x14ac:dyDescent="0.25">
      <c r="A362" s="4">
        <v>181</v>
      </c>
      <c r="B362" s="4">
        <v>1</v>
      </c>
      <c r="C362" s="4">
        <v>181</v>
      </c>
      <c r="D362" s="87">
        <v>45427</v>
      </c>
      <c r="E362" s="87">
        <v>45429</v>
      </c>
      <c r="F362" s="87">
        <v>45435</v>
      </c>
      <c r="G362" s="5">
        <v>22200.55</v>
      </c>
      <c r="H362" s="5">
        <v>22466.1</v>
      </c>
      <c r="I362" s="5">
        <v>265.55</v>
      </c>
      <c r="J362" s="6">
        <v>1.196141537033992E-2</v>
      </c>
      <c r="K362" s="90"/>
      <c r="L362" s="90"/>
      <c r="M362" s="7" t="s">
        <v>28</v>
      </c>
      <c r="N362" s="4">
        <v>22200</v>
      </c>
      <c r="O362" s="94"/>
      <c r="P362" s="94"/>
      <c r="Q362" s="7" t="s">
        <v>89</v>
      </c>
      <c r="R362" s="4">
        <v>65</v>
      </c>
      <c r="S362" s="5">
        <v>196.45</v>
      </c>
      <c r="T362" s="5">
        <v>313.35000000000002</v>
      </c>
      <c r="U362" s="8">
        <v>-0.67589999999999995</v>
      </c>
      <c r="V362" s="8">
        <v>0.26939999999999997</v>
      </c>
      <c r="W362" s="5">
        <v>-116.9</v>
      </c>
      <c r="X362" s="6">
        <v>-5.2656353108368938E-3</v>
      </c>
      <c r="Y362" s="4">
        <v>0</v>
      </c>
      <c r="Z362" s="6">
        <v>0</v>
      </c>
      <c r="AA362" s="5">
        <v>50707.75</v>
      </c>
      <c r="AB362" s="5">
        <v>51604.9</v>
      </c>
      <c r="AC362" s="5">
        <v>897.15</v>
      </c>
      <c r="AD362" s="5">
        <v>1.7693000000000001</v>
      </c>
      <c r="AE362" s="4">
        <v>2</v>
      </c>
      <c r="AF362" s="5">
        <v>-3.3333000000000002E-2</v>
      </c>
      <c r="AG362" s="5">
        <v>880.24739999999997</v>
      </c>
      <c r="AH362" s="5">
        <v>1.7359</v>
      </c>
      <c r="AI362" s="8">
        <v>1.6E-2</v>
      </c>
      <c r="AJ362" s="8">
        <v>1.7837000000000001</v>
      </c>
      <c r="AK362" s="15">
        <v>599.54740000000004</v>
      </c>
      <c r="AL362" s="15">
        <v>0.47149999999999997</v>
      </c>
      <c r="AM362" s="5">
        <v>102.05500000000001</v>
      </c>
      <c r="AN362" s="5">
        <v>102.05500000000001</v>
      </c>
      <c r="AO362" s="4">
        <v>0</v>
      </c>
      <c r="AP362" s="4">
        <v>0</v>
      </c>
      <c r="AQ362" s="8">
        <v>0.25559999999999999</v>
      </c>
      <c r="AR362" s="8">
        <v>0.74639999999999995</v>
      </c>
      <c r="AS362" s="8">
        <v>0.25559999999999999</v>
      </c>
      <c r="AT362" s="5">
        <v>101.8357</v>
      </c>
      <c r="AU362" s="5">
        <v>0.25559999999999999</v>
      </c>
      <c r="AV362" s="7" t="s">
        <v>96</v>
      </c>
    </row>
    <row r="363" spans="1:48" ht="18" customHeight="1" x14ac:dyDescent="0.25">
      <c r="A363" s="10">
        <v>181</v>
      </c>
      <c r="B363" s="10">
        <v>2</v>
      </c>
      <c r="C363" s="10">
        <v>181</v>
      </c>
      <c r="D363" s="88">
        <v>45427</v>
      </c>
      <c r="E363" s="88">
        <v>45429</v>
      </c>
      <c r="F363" s="88">
        <v>45442</v>
      </c>
      <c r="G363" s="11">
        <v>22200.55</v>
      </c>
      <c r="H363" s="11">
        <v>22466.1</v>
      </c>
      <c r="I363" s="12"/>
      <c r="J363" s="12"/>
      <c r="K363" s="92"/>
      <c r="L363" s="92"/>
      <c r="M363" s="12" t="s">
        <v>40</v>
      </c>
      <c r="N363" s="10">
        <v>22600</v>
      </c>
      <c r="O363" s="95">
        <f>IF(F363=F361,O361,MROUND(G363,100))</f>
        <v>22600</v>
      </c>
      <c r="P363" s="95">
        <f>O363-N363</f>
        <v>0</v>
      </c>
      <c r="Q363" s="12" t="s">
        <v>91</v>
      </c>
      <c r="R363" s="10">
        <v>65</v>
      </c>
      <c r="S363" s="11">
        <v>421.6</v>
      </c>
      <c r="T363" s="11">
        <v>257.8</v>
      </c>
      <c r="U363" s="13">
        <v>-0.85219999999999996</v>
      </c>
      <c r="V363" s="13">
        <v>0.46100000000000002</v>
      </c>
      <c r="W363" s="10">
        <v>0</v>
      </c>
      <c r="X363" s="14">
        <v>0</v>
      </c>
      <c r="Y363" s="11">
        <v>-163.80000000000001</v>
      </c>
      <c r="Z363" s="14">
        <v>-7.3781955852445114E-3</v>
      </c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 t="s">
        <v>96</v>
      </c>
    </row>
    <row r="364" spans="1:48" ht="18" hidden="1" customHeight="1" x14ac:dyDescent="0.25">
      <c r="A364" s="4">
        <v>182</v>
      </c>
      <c r="B364" s="4">
        <v>1</v>
      </c>
      <c r="C364" s="4">
        <v>182</v>
      </c>
      <c r="D364" s="87">
        <v>45429</v>
      </c>
      <c r="E364" s="87">
        <v>45434</v>
      </c>
      <c r="F364" s="87">
        <v>45435</v>
      </c>
      <c r="G364" s="5">
        <v>22466.1</v>
      </c>
      <c r="H364" s="5">
        <v>22597.8</v>
      </c>
      <c r="I364" s="5">
        <v>131.69999999999999</v>
      </c>
      <c r="J364" s="6">
        <v>5.8621656629321509E-3</v>
      </c>
      <c r="K364" s="90"/>
      <c r="L364" s="90"/>
      <c r="M364" s="7" t="s">
        <v>28</v>
      </c>
      <c r="N364" s="4">
        <v>22500</v>
      </c>
      <c r="O364" s="94"/>
      <c r="P364" s="94"/>
      <c r="Q364" s="7" t="s">
        <v>89</v>
      </c>
      <c r="R364" s="4">
        <v>65</v>
      </c>
      <c r="S364" s="5">
        <v>113.15</v>
      </c>
      <c r="T364" s="5">
        <v>141.69999999999999</v>
      </c>
      <c r="U364" s="8">
        <v>-0.26619999999999999</v>
      </c>
      <c r="V364" s="8">
        <v>0.1246</v>
      </c>
      <c r="W364" s="5">
        <v>-28.55</v>
      </c>
      <c r="X364" s="6">
        <v>-1.270803566262057E-3</v>
      </c>
      <c r="Y364" s="4">
        <v>0</v>
      </c>
      <c r="Z364" s="6">
        <v>0</v>
      </c>
      <c r="AA364" s="5">
        <v>51604.9</v>
      </c>
      <c r="AB364" s="5">
        <v>52167.5</v>
      </c>
      <c r="AC364" s="5">
        <v>562.6</v>
      </c>
      <c r="AD364" s="5">
        <v>1.0902000000000001</v>
      </c>
      <c r="AE364" s="4">
        <v>5</v>
      </c>
      <c r="AF364" s="5">
        <v>-8.3333000000000004E-2</v>
      </c>
      <c r="AG364" s="5">
        <v>519.59590000000003</v>
      </c>
      <c r="AH364" s="5">
        <v>1.0068999999999999</v>
      </c>
      <c r="AI364" s="8">
        <v>-0.1166</v>
      </c>
      <c r="AJ364" s="8">
        <v>1.4026000000000001</v>
      </c>
      <c r="AK364" s="15">
        <v>371.79590000000002</v>
      </c>
      <c r="AL364" s="15">
        <v>0.34899999999999998</v>
      </c>
      <c r="AM364" s="5">
        <v>102.41119999999999</v>
      </c>
      <c r="AN364" s="5">
        <v>102.41119999999999</v>
      </c>
      <c r="AO364" s="4">
        <v>0</v>
      </c>
      <c r="AP364" s="4">
        <v>0</v>
      </c>
      <c r="AQ364" s="8">
        <v>0.56820000000000004</v>
      </c>
      <c r="AR364" s="8">
        <v>-2.6700000000000002E-2</v>
      </c>
      <c r="AS364" s="8">
        <v>-2.6700000000000002E-2</v>
      </c>
      <c r="AT364" s="5">
        <v>102.0278</v>
      </c>
      <c r="AU364" s="5">
        <v>-2.6700000000000002E-2</v>
      </c>
      <c r="AV364" s="7" t="s">
        <v>90</v>
      </c>
    </row>
    <row r="365" spans="1:48" ht="18" customHeight="1" x14ac:dyDescent="0.25">
      <c r="A365" s="10">
        <v>182</v>
      </c>
      <c r="B365" s="10">
        <v>2</v>
      </c>
      <c r="C365" s="10">
        <v>182</v>
      </c>
      <c r="D365" s="88">
        <v>45429</v>
      </c>
      <c r="E365" s="88">
        <v>45434</v>
      </c>
      <c r="F365" s="88">
        <v>45442</v>
      </c>
      <c r="G365" s="11">
        <v>22466.1</v>
      </c>
      <c r="H365" s="11">
        <v>22597.8</v>
      </c>
      <c r="I365" s="12"/>
      <c r="J365" s="12"/>
      <c r="K365" s="92"/>
      <c r="L365" s="92"/>
      <c r="M365" s="12" t="s">
        <v>40</v>
      </c>
      <c r="N365" s="10">
        <v>22600</v>
      </c>
      <c r="O365" s="95">
        <f>IF(F365=F363,O363,MROUND(G365,100))</f>
        <v>22600</v>
      </c>
      <c r="P365" s="95">
        <f>O365-N365</f>
        <v>0</v>
      </c>
      <c r="Q365" s="12" t="s">
        <v>91</v>
      </c>
      <c r="R365" s="10">
        <v>65</v>
      </c>
      <c r="S365" s="11">
        <v>257.8</v>
      </c>
      <c r="T365" s="11">
        <v>138.55000000000001</v>
      </c>
      <c r="U365" s="13">
        <v>-0.56820000000000004</v>
      </c>
      <c r="V365" s="13">
        <v>-3.4700000000000002E-2</v>
      </c>
      <c r="W365" s="10">
        <v>0</v>
      </c>
      <c r="X365" s="14">
        <v>0</v>
      </c>
      <c r="Y365" s="11">
        <v>-119.25</v>
      </c>
      <c r="Z365" s="14">
        <v>-5.3079973827233036E-3</v>
      </c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 t="s">
        <v>90</v>
      </c>
    </row>
    <row r="366" spans="1:48" ht="18" hidden="1" customHeight="1" x14ac:dyDescent="0.25">
      <c r="A366" s="4">
        <v>183</v>
      </c>
      <c r="B366" s="4">
        <v>1</v>
      </c>
      <c r="C366" s="4">
        <v>183</v>
      </c>
      <c r="D366" s="87">
        <v>45434</v>
      </c>
      <c r="E366" s="87">
        <v>45435</v>
      </c>
      <c r="F366" s="87">
        <v>45442</v>
      </c>
      <c r="G366" s="5">
        <v>22597.8</v>
      </c>
      <c r="H366" s="5">
        <v>22967.65</v>
      </c>
      <c r="I366" s="5">
        <v>369.85</v>
      </c>
      <c r="J366" s="6">
        <v>1.6366637460283742E-2</v>
      </c>
      <c r="K366" s="90"/>
      <c r="L366" s="90"/>
      <c r="M366" s="7" t="s">
        <v>28</v>
      </c>
      <c r="N366" s="4">
        <v>22600</v>
      </c>
      <c r="O366" s="94"/>
      <c r="P366" s="94"/>
      <c r="Q366" s="7" t="s">
        <v>89</v>
      </c>
      <c r="R366" s="4">
        <v>65</v>
      </c>
      <c r="S366" s="5">
        <v>196.2</v>
      </c>
      <c r="T366" s="5">
        <v>450.45</v>
      </c>
      <c r="U366" s="8">
        <v>-1.2102999999999999</v>
      </c>
      <c r="V366" s="8">
        <v>4.2500000000000003E-2</v>
      </c>
      <c r="W366" s="5">
        <v>-254.25</v>
      </c>
      <c r="X366" s="6">
        <v>-1.125109523935958E-2</v>
      </c>
      <c r="Y366" s="4">
        <v>0</v>
      </c>
      <c r="Z366" s="6">
        <v>0</v>
      </c>
      <c r="AA366" s="5">
        <v>52167.5</v>
      </c>
      <c r="AB366" s="5">
        <v>52418.55</v>
      </c>
      <c r="AC366" s="5">
        <v>251.05</v>
      </c>
      <c r="AD366" s="5">
        <v>0.48120000000000002</v>
      </c>
      <c r="AE366" s="4">
        <v>1</v>
      </c>
      <c r="AF366" s="5">
        <v>-1.6667000000000001E-2</v>
      </c>
      <c r="AG366" s="5">
        <v>242.3554</v>
      </c>
      <c r="AH366" s="5">
        <v>0.46460000000000001</v>
      </c>
      <c r="AI366" s="8">
        <v>-0.23710000000000001</v>
      </c>
      <c r="AJ366" s="8">
        <v>0.52980000000000005</v>
      </c>
      <c r="AK366" s="9">
        <v>-99.244600000000005</v>
      </c>
      <c r="AL366" s="9">
        <v>-1.0470999999999999</v>
      </c>
      <c r="AM366" s="5">
        <v>101.3389</v>
      </c>
      <c r="AN366" s="5">
        <v>102.41119999999999</v>
      </c>
      <c r="AO366" s="5">
        <v>-1.0723</v>
      </c>
      <c r="AP366" s="5">
        <v>-1.0470999999999999</v>
      </c>
      <c r="AQ366" s="8">
        <v>-1.0845</v>
      </c>
      <c r="AR366" s="8">
        <v>-0.19350000000000001</v>
      </c>
      <c r="AS366" s="8">
        <v>-1.0845</v>
      </c>
      <c r="AT366" s="5">
        <v>101.3006</v>
      </c>
      <c r="AU366" s="5">
        <v>-1.0845</v>
      </c>
      <c r="AV366" s="7" t="s">
        <v>96</v>
      </c>
    </row>
    <row r="367" spans="1:48" ht="18" customHeight="1" x14ac:dyDescent="0.25">
      <c r="A367" s="10">
        <v>183</v>
      </c>
      <c r="B367" s="10">
        <v>2</v>
      </c>
      <c r="C367" s="10">
        <v>183</v>
      </c>
      <c r="D367" s="88">
        <v>45434</v>
      </c>
      <c r="E367" s="88">
        <v>45435</v>
      </c>
      <c r="F367" s="88">
        <v>45442</v>
      </c>
      <c r="G367" s="11">
        <v>22597.8</v>
      </c>
      <c r="H367" s="11">
        <v>22967.65</v>
      </c>
      <c r="I367" s="12"/>
      <c r="J367" s="12"/>
      <c r="K367" s="92"/>
      <c r="L367" s="92"/>
      <c r="M367" s="12" t="s">
        <v>40</v>
      </c>
      <c r="N367" s="10">
        <v>22600</v>
      </c>
      <c r="O367" s="95">
        <f>IF(F367=F365,O365,MROUND(G367,100))</f>
        <v>22600</v>
      </c>
      <c r="P367" s="95">
        <f>O367-N367</f>
        <v>0</v>
      </c>
      <c r="Q367" s="12" t="s">
        <v>91</v>
      </c>
      <c r="R367" s="10">
        <v>65</v>
      </c>
      <c r="S367" s="11">
        <v>138.55000000000001</v>
      </c>
      <c r="T367" s="11">
        <v>51.2</v>
      </c>
      <c r="U367" s="13">
        <v>-0.40400000000000003</v>
      </c>
      <c r="V367" s="13">
        <v>1.1000000000000001E-3</v>
      </c>
      <c r="W367" s="10">
        <v>0</v>
      </c>
      <c r="X367" s="14">
        <v>0</v>
      </c>
      <c r="Y367" s="11">
        <v>-87.35</v>
      </c>
      <c r="Z367" s="14">
        <v>-3.865420527661984E-3</v>
      </c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 t="s">
        <v>96</v>
      </c>
    </row>
    <row r="368" spans="1:48" ht="18" hidden="1" customHeight="1" x14ac:dyDescent="0.25">
      <c r="A368" s="4">
        <v>184</v>
      </c>
      <c r="B368" s="4">
        <v>1</v>
      </c>
      <c r="C368" s="4">
        <v>184</v>
      </c>
      <c r="D368" s="87">
        <v>45435</v>
      </c>
      <c r="E368" s="87">
        <v>45441</v>
      </c>
      <c r="F368" s="87">
        <v>45442</v>
      </c>
      <c r="G368" s="5">
        <v>22967.65</v>
      </c>
      <c r="H368" s="5">
        <v>22704.7</v>
      </c>
      <c r="I368" s="5">
        <v>-262.95</v>
      </c>
      <c r="J368" s="6">
        <v>-1.144871155734261E-2</v>
      </c>
      <c r="K368" s="90"/>
      <c r="L368" s="90"/>
      <c r="M368" s="7" t="s">
        <v>28</v>
      </c>
      <c r="N368" s="4">
        <v>23000</v>
      </c>
      <c r="O368" s="94"/>
      <c r="P368" s="94"/>
      <c r="Q368" s="7" t="s">
        <v>89</v>
      </c>
      <c r="R368" s="4">
        <v>65</v>
      </c>
      <c r="S368" s="5">
        <v>164.9</v>
      </c>
      <c r="T368" s="5">
        <v>12.15</v>
      </c>
      <c r="U368" s="8">
        <v>-0.37009999999999998</v>
      </c>
      <c r="V368" s="8">
        <v>0.67700000000000005</v>
      </c>
      <c r="W368" s="5">
        <v>152.75</v>
      </c>
      <c r="X368" s="6">
        <v>6.6506586437881099E-3</v>
      </c>
      <c r="Y368" s="4">
        <v>0</v>
      </c>
      <c r="Z368" s="6">
        <v>0</v>
      </c>
      <c r="AA368" s="5">
        <v>52418.55</v>
      </c>
      <c r="AB368" s="5">
        <v>52125.75</v>
      </c>
      <c r="AC368" s="5">
        <v>-292.8</v>
      </c>
      <c r="AD368" s="5">
        <v>-0.55859999999999999</v>
      </c>
      <c r="AE368" s="4">
        <v>6</v>
      </c>
      <c r="AF368" s="5">
        <v>-0.1</v>
      </c>
      <c r="AG368" s="5">
        <v>-345.21859999999998</v>
      </c>
      <c r="AH368" s="5">
        <v>-0.65859999999999996</v>
      </c>
      <c r="AI368" s="8">
        <v>-1.1716</v>
      </c>
      <c r="AJ368" s="8">
        <v>1.125</v>
      </c>
      <c r="AK368" s="9">
        <v>-207.71860000000001</v>
      </c>
      <c r="AL368" s="9">
        <v>-5.9900000000000002E-2</v>
      </c>
      <c r="AM368" s="5">
        <v>101.2782</v>
      </c>
      <c r="AN368" s="5">
        <v>102.41119999999999</v>
      </c>
      <c r="AO368" s="5">
        <v>-1.133</v>
      </c>
      <c r="AP368" s="5">
        <v>-1.1064000000000001</v>
      </c>
      <c r="AQ368" s="8">
        <v>0.59789999999999999</v>
      </c>
      <c r="AR368" s="8">
        <v>-0.45689999999999997</v>
      </c>
      <c r="AS368" s="8">
        <v>-0.45689999999999997</v>
      </c>
      <c r="AT368" s="5">
        <v>100.8758</v>
      </c>
      <c r="AU368" s="5">
        <v>-1.4992000000000001</v>
      </c>
      <c r="AV368" s="7" t="s">
        <v>90</v>
      </c>
    </row>
    <row r="369" spans="1:48" ht="18" customHeight="1" x14ac:dyDescent="0.25">
      <c r="A369" s="10">
        <v>184</v>
      </c>
      <c r="B369" s="10">
        <v>2</v>
      </c>
      <c r="C369" s="10">
        <v>184</v>
      </c>
      <c r="D369" s="88">
        <v>45435</v>
      </c>
      <c r="E369" s="88">
        <v>45441</v>
      </c>
      <c r="F369" s="88">
        <v>45442</v>
      </c>
      <c r="G369" s="11">
        <v>22967.65</v>
      </c>
      <c r="H369" s="11">
        <v>22704.7</v>
      </c>
      <c r="I369" s="12"/>
      <c r="J369" s="12"/>
      <c r="K369" s="92"/>
      <c r="L369" s="92"/>
      <c r="M369" s="12" t="s">
        <v>40</v>
      </c>
      <c r="N369" s="10">
        <v>22600</v>
      </c>
      <c r="O369" s="95">
        <f>IF(F369=F367,O367,MROUND(G369,100))</f>
        <v>22600</v>
      </c>
      <c r="P369" s="95">
        <f>O369-N369</f>
        <v>0</v>
      </c>
      <c r="Q369" s="12" t="s">
        <v>91</v>
      </c>
      <c r="R369" s="10">
        <v>65</v>
      </c>
      <c r="S369" s="11">
        <v>51.2</v>
      </c>
      <c r="T369" s="11">
        <v>35.950000000000003</v>
      </c>
      <c r="U369" s="13">
        <v>-0.157</v>
      </c>
      <c r="V369" s="13">
        <v>3.7699999999999997E-2</v>
      </c>
      <c r="W369" s="10">
        <v>0</v>
      </c>
      <c r="X369" s="14">
        <v>0</v>
      </c>
      <c r="Y369" s="11">
        <v>-15.25</v>
      </c>
      <c r="Z369" s="14">
        <v>-6.6397737687573608E-4</v>
      </c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 t="s">
        <v>90</v>
      </c>
    </row>
    <row r="370" spans="1:48" ht="18" hidden="1" customHeight="1" x14ac:dyDescent="0.25">
      <c r="A370" s="4">
        <v>185</v>
      </c>
      <c r="B370" s="4">
        <v>1</v>
      </c>
      <c r="C370" s="4">
        <v>185</v>
      </c>
      <c r="D370" s="87">
        <v>45441</v>
      </c>
      <c r="E370" s="87">
        <v>45446</v>
      </c>
      <c r="F370" s="87">
        <v>45449</v>
      </c>
      <c r="G370" s="5">
        <v>22704.7</v>
      </c>
      <c r="H370" s="5">
        <v>23263.9</v>
      </c>
      <c r="I370" s="5">
        <v>559.20000000000005</v>
      </c>
      <c r="J370" s="6">
        <v>2.462926178280268E-2</v>
      </c>
      <c r="K370" s="90"/>
      <c r="L370" s="90"/>
      <c r="M370" s="7" t="s">
        <v>28</v>
      </c>
      <c r="N370" s="4">
        <v>22700</v>
      </c>
      <c r="O370" s="94"/>
      <c r="P370" s="94"/>
      <c r="Q370" s="7" t="s">
        <v>89</v>
      </c>
      <c r="R370" s="4">
        <v>65</v>
      </c>
      <c r="S370" s="5">
        <v>492.7</v>
      </c>
      <c r="T370" s="5">
        <v>699.55</v>
      </c>
      <c r="U370" s="8">
        <v>-1.3532</v>
      </c>
      <c r="V370" s="8">
        <v>0.86260000000000003</v>
      </c>
      <c r="W370" s="5">
        <v>-206.85</v>
      </c>
      <c r="X370" s="6">
        <v>-9.1104484974476648E-3</v>
      </c>
      <c r="Y370" s="4">
        <v>0</v>
      </c>
      <c r="Z370" s="6">
        <v>0</v>
      </c>
      <c r="AA370" s="5">
        <v>52125.75</v>
      </c>
      <c r="AB370" s="5">
        <v>53353.35</v>
      </c>
      <c r="AC370" s="5">
        <v>1227.5999999999999</v>
      </c>
      <c r="AD370" s="5">
        <v>2.3551000000000002</v>
      </c>
      <c r="AE370" s="4">
        <v>5</v>
      </c>
      <c r="AF370" s="5">
        <v>-8.3333000000000004E-2</v>
      </c>
      <c r="AG370" s="5">
        <v>1184.1619000000001</v>
      </c>
      <c r="AH370" s="5">
        <v>2.2717000000000001</v>
      </c>
      <c r="AI370" s="8">
        <v>-1.8349</v>
      </c>
      <c r="AJ370" s="8">
        <v>2.9445000000000001</v>
      </c>
      <c r="AK370" s="15">
        <v>710.96190000000001</v>
      </c>
      <c r="AL370" s="15">
        <v>0.18759999999999999</v>
      </c>
      <c r="AM370" s="5">
        <v>101.46810000000001</v>
      </c>
      <c r="AN370" s="5">
        <v>102.41119999999999</v>
      </c>
      <c r="AO370" s="5">
        <v>-0.94310000000000005</v>
      </c>
      <c r="AP370" s="5">
        <v>-0.92079999999999995</v>
      </c>
      <c r="AQ370" s="8">
        <v>0.29020000000000001</v>
      </c>
      <c r="AR370" s="8">
        <v>-0.41360000000000002</v>
      </c>
      <c r="AS370" s="8">
        <v>-0.41360000000000002</v>
      </c>
      <c r="AT370" s="5">
        <v>100.8593</v>
      </c>
      <c r="AU370" s="5">
        <v>-1.5154000000000001</v>
      </c>
      <c r="AV370" s="7" t="s">
        <v>96</v>
      </c>
    </row>
    <row r="371" spans="1:48" ht="18" customHeight="1" x14ac:dyDescent="0.25">
      <c r="A371" s="10">
        <v>185</v>
      </c>
      <c r="B371" s="10">
        <v>2</v>
      </c>
      <c r="C371" s="10">
        <v>185</v>
      </c>
      <c r="D371" s="88">
        <v>45441</v>
      </c>
      <c r="E371" s="88">
        <v>45446</v>
      </c>
      <c r="F371" s="88">
        <v>45470</v>
      </c>
      <c r="G371" s="11">
        <v>22704.7</v>
      </c>
      <c r="H371" s="11">
        <v>23263.9</v>
      </c>
      <c r="I371" s="12"/>
      <c r="J371" s="12"/>
      <c r="K371" s="92"/>
      <c r="L371" s="92"/>
      <c r="M371" s="12" t="s">
        <v>40</v>
      </c>
      <c r="N371" s="10">
        <v>22700</v>
      </c>
      <c r="O371" s="95">
        <f>IF(F371=F369,O369,MROUND(G371,100))</f>
        <v>22700</v>
      </c>
      <c r="P371" s="95">
        <f>O371-N371</f>
        <v>0</v>
      </c>
      <c r="Q371" s="12" t="s">
        <v>91</v>
      </c>
      <c r="R371" s="10">
        <v>65</v>
      </c>
      <c r="S371" s="11">
        <v>495.7</v>
      </c>
      <c r="T371" s="11">
        <v>229.35</v>
      </c>
      <c r="U371" s="13">
        <v>-1.3010999999999999</v>
      </c>
      <c r="V371" s="13">
        <v>0.55869999999999997</v>
      </c>
      <c r="W371" s="10">
        <v>0</v>
      </c>
      <c r="X371" s="14">
        <v>0</v>
      </c>
      <c r="Y371" s="11">
        <v>-266.35000000000002</v>
      </c>
      <c r="Z371" s="14">
        <v>-1.1731051280131429E-2</v>
      </c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 t="s">
        <v>96</v>
      </c>
    </row>
    <row r="372" spans="1:48" ht="18" hidden="1" customHeight="1" x14ac:dyDescent="0.25">
      <c r="A372" s="4">
        <v>186</v>
      </c>
      <c r="B372" s="4">
        <v>1</v>
      </c>
      <c r="C372" s="4">
        <v>186</v>
      </c>
      <c r="D372" s="87">
        <v>45446</v>
      </c>
      <c r="E372" s="87">
        <v>45447</v>
      </c>
      <c r="F372" s="87">
        <v>45449</v>
      </c>
      <c r="G372" s="5">
        <v>23263.9</v>
      </c>
      <c r="H372" s="5">
        <v>21884.5</v>
      </c>
      <c r="I372" s="5">
        <v>-1379.4</v>
      </c>
      <c r="J372" s="6">
        <v>-5.9293583620974991E-2</v>
      </c>
      <c r="K372" s="90"/>
      <c r="L372" s="90"/>
      <c r="M372" s="7" t="s">
        <v>28</v>
      </c>
      <c r="N372" s="4">
        <v>23300</v>
      </c>
      <c r="O372" s="94"/>
      <c r="P372" s="94"/>
      <c r="Q372" s="7" t="s">
        <v>89</v>
      </c>
      <c r="R372" s="4">
        <v>65</v>
      </c>
      <c r="S372" s="5">
        <v>332.8</v>
      </c>
      <c r="T372" s="5">
        <v>55.2</v>
      </c>
      <c r="U372" s="8">
        <v>2.06E-2</v>
      </c>
      <c r="V372" s="8">
        <v>1.2721</v>
      </c>
      <c r="W372" s="5">
        <v>277.60000000000002</v>
      </c>
      <c r="X372" s="6">
        <v>1.1932651017241299E-2</v>
      </c>
      <c r="Y372" s="4">
        <v>0</v>
      </c>
      <c r="Z372" s="6">
        <v>0</v>
      </c>
      <c r="AA372" s="5">
        <v>53353.35</v>
      </c>
      <c r="AB372" s="5">
        <v>49150.8</v>
      </c>
      <c r="AC372" s="5">
        <v>-4202.55</v>
      </c>
      <c r="AD372" s="5">
        <v>-7.8768000000000002</v>
      </c>
      <c r="AE372" s="4">
        <v>1</v>
      </c>
      <c r="AF372" s="5">
        <v>-1.6667000000000001E-2</v>
      </c>
      <c r="AG372" s="5">
        <v>-4211.4422000000004</v>
      </c>
      <c r="AH372" s="5">
        <v>-7.8935000000000004</v>
      </c>
      <c r="AI372" s="8">
        <v>-11.460599999999999</v>
      </c>
      <c r="AJ372" s="8">
        <v>8.9800000000000005E-2</v>
      </c>
      <c r="AK372" s="9">
        <v>-3152.2921999999999</v>
      </c>
      <c r="AL372" s="9">
        <v>-3.3407</v>
      </c>
      <c r="AM372" s="5">
        <v>98.078400000000002</v>
      </c>
      <c r="AN372" s="5">
        <v>102.41119999999999</v>
      </c>
      <c r="AO372" s="5">
        <v>-4.3327999999999998</v>
      </c>
      <c r="AP372" s="5">
        <v>-4.2308000000000003</v>
      </c>
      <c r="AQ372" s="8">
        <v>0.1089</v>
      </c>
      <c r="AR372" s="8">
        <v>-4.2022000000000004</v>
      </c>
      <c r="AS372" s="8">
        <v>-4.2022000000000004</v>
      </c>
      <c r="AT372" s="5">
        <v>97.204300000000003</v>
      </c>
      <c r="AU372" s="5">
        <v>-5.0843999999999996</v>
      </c>
      <c r="AV372" s="7" t="s">
        <v>98</v>
      </c>
    </row>
    <row r="373" spans="1:48" ht="18" customHeight="1" x14ac:dyDescent="0.25">
      <c r="A373" s="10">
        <v>186</v>
      </c>
      <c r="B373" s="10">
        <v>2</v>
      </c>
      <c r="C373" s="10">
        <v>186</v>
      </c>
      <c r="D373" s="88">
        <v>45446</v>
      </c>
      <c r="E373" s="88">
        <v>45447</v>
      </c>
      <c r="F373" s="88">
        <v>45470</v>
      </c>
      <c r="G373" s="11">
        <v>23263.9</v>
      </c>
      <c r="H373" s="11">
        <v>21884.5</v>
      </c>
      <c r="I373" s="12"/>
      <c r="J373" s="12"/>
      <c r="K373" s="92"/>
      <c r="L373" s="92"/>
      <c r="M373" s="12" t="s">
        <v>40</v>
      </c>
      <c r="N373" s="10">
        <v>22700</v>
      </c>
      <c r="O373" s="95">
        <f>IF(F373=F371,O371,MROUND(G373,100))</f>
        <v>22700</v>
      </c>
      <c r="P373" s="95">
        <f>O373-N373</f>
        <v>0</v>
      </c>
      <c r="Q373" s="12" t="s">
        <v>91</v>
      </c>
      <c r="R373" s="10">
        <v>65</v>
      </c>
      <c r="S373" s="11">
        <v>229.35</v>
      </c>
      <c r="T373" s="11">
        <v>1010.9</v>
      </c>
      <c r="U373" s="13">
        <v>-1.5E-3</v>
      </c>
      <c r="V373" s="13">
        <v>5.9863</v>
      </c>
      <c r="W373" s="10">
        <v>0</v>
      </c>
      <c r="X373" s="14">
        <v>0</v>
      </c>
      <c r="Y373" s="11">
        <v>781.55</v>
      </c>
      <c r="Z373" s="14">
        <v>3.359496902926852E-2</v>
      </c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 t="s">
        <v>98</v>
      </c>
    </row>
    <row r="374" spans="1:48" ht="18" hidden="1" customHeight="1" x14ac:dyDescent="0.25">
      <c r="A374" s="4">
        <v>187</v>
      </c>
      <c r="B374" s="4">
        <v>1</v>
      </c>
      <c r="C374" s="4">
        <v>187</v>
      </c>
      <c r="D374" s="87">
        <v>45447</v>
      </c>
      <c r="E374" s="87">
        <v>45448</v>
      </c>
      <c r="F374" s="87">
        <v>45449</v>
      </c>
      <c r="G374" s="5">
        <v>21884.5</v>
      </c>
      <c r="H374" s="5">
        <v>22620.35</v>
      </c>
      <c r="I374" s="5">
        <v>735.85</v>
      </c>
      <c r="J374" s="6">
        <v>3.3624254609426772E-2</v>
      </c>
      <c r="K374" s="90"/>
      <c r="L374" s="90"/>
      <c r="M374" s="7" t="s">
        <v>28</v>
      </c>
      <c r="N374" s="4">
        <v>21900</v>
      </c>
      <c r="O374" s="94"/>
      <c r="P374" s="94"/>
      <c r="Q374" s="7" t="s">
        <v>89</v>
      </c>
      <c r="R374" s="4">
        <v>65</v>
      </c>
      <c r="S374" s="5">
        <v>249.7</v>
      </c>
      <c r="T374" s="5">
        <v>672.9</v>
      </c>
      <c r="U374" s="8">
        <v>-2.2404000000000002</v>
      </c>
      <c r="V374" s="8">
        <v>0.54330000000000001</v>
      </c>
      <c r="W374" s="5">
        <v>-423.2</v>
      </c>
      <c r="X374" s="6">
        <v>-1.933788754598003E-2</v>
      </c>
      <c r="Y374" s="4">
        <v>0</v>
      </c>
      <c r="Z374" s="6">
        <v>0</v>
      </c>
      <c r="AA374" s="5">
        <v>49150.8</v>
      </c>
      <c r="AB374" s="5">
        <v>51266.7</v>
      </c>
      <c r="AC374" s="5">
        <v>2115.9</v>
      </c>
      <c r="AD374" s="5">
        <v>4.3048999999999999</v>
      </c>
      <c r="AE374" s="4">
        <v>1</v>
      </c>
      <c r="AF374" s="5">
        <v>-1.6667000000000001E-2</v>
      </c>
      <c r="AG374" s="5">
        <v>2107.7082</v>
      </c>
      <c r="AH374" s="5">
        <v>4.2881999999999998</v>
      </c>
      <c r="AI374" s="8">
        <v>-1.5851</v>
      </c>
      <c r="AJ374" s="8">
        <v>4.5876999999999999</v>
      </c>
      <c r="AK374" s="15">
        <v>1254.2582</v>
      </c>
      <c r="AL374" s="15">
        <v>0.38840000000000002</v>
      </c>
      <c r="AM374" s="5">
        <v>98.459299999999999</v>
      </c>
      <c r="AN374" s="5">
        <v>102.41119999999999</v>
      </c>
      <c r="AO374" s="5">
        <v>-3.9519000000000002</v>
      </c>
      <c r="AP374" s="5">
        <v>-3.8588</v>
      </c>
      <c r="AQ374" s="8">
        <v>0.30680000000000002</v>
      </c>
      <c r="AR374" s="8">
        <v>-1.0418000000000001</v>
      </c>
      <c r="AS374" s="8">
        <v>-1.0418000000000001</v>
      </c>
      <c r="AT374" s="5">
        <v>97.056600000000003</v>
      </c>
      <c r="AU374" s="5">
        <v>-5.2285000000000004</v>
      </c>
      <c r="AV374" s="7" t="s">
        <v>90</v>
      </c>
    </row>
    <row r="375" spans="1:48" ht="18" customHeight="1" x14ac:dyDescent="0.25">
      <c r="A375" s="10">
        <v>187</v>
      </c>
      <c r="B375" s="10">
        <v>2</v>
      </c>
      <c r="C375" s="10">
        <v>187</v>
      </c>
      <c r="D375" s="88">
        <v>45447</v>
      </c>
      <c r="E375" s="88">
        <v>45448</v>
      </c>
      <c r="F375" s="88">
        <v>45470</v>
      </c>
      <c r="G375" s="11">
        <v>21884.5</v>
      </c>
      <c r="H375" s="11">
        <v>22620.35</v>
      </c>
      <c r="I375" s="12"/>
      <c r="J375" s="12"/>
      <c r="K375" s="92"/>
      <c r="L375" s="92"/>
      <c r="M375" s="12" t="s">
        <v>40</v>
      </c>
      <c r="N375" s="10">
        <v>21900</v>
      </c>
      <c r="O375" s="95">
        <f>IF(F375=F373,O373,MROUND(G375,100))</f>
        <v>22700</v>
      </c>
      <c r="P375" s="95">
        <f>O375-N375</f>
        <v>800</v>
      </c>
      <c r="Q375" s="12" t="s">
        <v>91</v>
      </c>
      <c r="R375" s="10">
        <v>65</v>
      </c>
      <c r="S375" s="11">
        <v>589.9</v>
      </c>
      <c r="T375" s="11">
        <v>159.65</v>
      </c>
      <c r="U375" s="13">
        <v>-2.0405000000000002</v>
      </c>
      <c r="V375" s="13">
        <v>0</v>
      </c>
      <c r="W375" s="10">
        <v>0</v>
      </c>
      <c r="X375" s="14">
        <v>0</v>
      </c>
      <c r="Y375" s="11">
        <v>-430.25</v>
      </c>
      <c r="Z375" s="14">
        <v>-1.9660033356942129E-2</v>
      </c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 t="s">
        <v>90</v>
      </c>
    </row>
    <row r="376" spans="1:48" ht="18" hidden="1" customHeight="1" x14ac:dyDescent="0.25">
      <c r="A376" s="4">
        <v>188</v>
      </c>
      <c r="B376" s="4">
        <v>1</v>
      </c>
      <c r="C376" s="4">
        <v>188</v>
      </c>
      <c r="D376" s="87">
        <v>45448</v>
      </c>
      <c r="E376" s="87">
        <v>45450</v>
      </c>
      <c r="F376" s="87">
        <v>45456</v>
      </c>
      <c r="G376" s="5">
        <v>22620.35</v>
      </c>
      <c r="H376" s="5">
        <v>23290.15</v>
      </c>
      <c r="I376" s="5">
        <v>669.8</v>
      </c>
      <c r="J376" s="6">
        <v>2.961050558457318E-2</v>
      </c>
      <c r="K376" s="90"/>
      <c r="L376" s="90"/>
      <c r="M376" s="7" t="s">
        <v>28</v>
      </c>
      <c r="N376" s="4">
        <v>22600</v>
      </c>
      <c r="O376" s="94"/>
      <c r="P376" s="94"/>
      <c r="Q376" s="7" t="s">
        <v>89</v>
      </c>
      <c r="R376" s="4">
        <v>65</v>
      </c>
      <c r="S376" s="5">
        <v>296.39999999999998</v>
      </c>
      <c r="T376" s="5">
        <v>739.1</v>
      </c>
      <c r="U376" s="8">
        <v>-2.0541</v>
      </c>
      <c r="V376" s="8">
        <v>1.2999999999999999E-3</v>
      </c>
      <c r="W376" s="5">
        <v>-442.7</v>
      </c>
      <c r="X376" s="6">
        <v>-1.9570873129726111E-2</v>
      </c>
      <c r="Y376" s="4">
        <v>0</v>
      </c>
      <c r="Z376" s="6">
        <v>0</v>
      </c>
      <c r="AA376" s="5">
        <v>51266.7</v>
      </c>
      <c r="AB376" s="5">
        <v>53194.7</v>
      </c>
      <c r="AC376" s="4">
        <v>1928</v>
      </c>
      <c r="AD376" s="5">
        <v>3.7606999999999999</v>
      </c>
      <c r="AE376" s="4">
        <v>2</v>
      </c>
      <c r="AF376" s="5">
        <v>-3.3333000000000002E-2</v>
      </c>
      <c r="AG376" s="5">
        <v>1910.9111</v>
      </c>
      <c r="AH376" s="5">
        <v>3.7273999999999998</v>
      </c>
      <c r="AI376" s="8">
        <v>1.0598000000000001</v>
      </c>
      <c r="AJ376" s="8">
        <v>3.8041</v>
      </c>
      <c r="AK376" s="15">
        <v>1358.7111</v>
      </c>
      <c r="AL376" s="15">
        <v>1.2862</v>
      </c>
      <c r="AM376" s="5">
        <v>99.725700000000003</v>
      </c>
      <c r="AN376" s="5">
        <v>102.41119999999999</v>
      </c>
      <c r="AO376" s="5">
        <v>-2.6855000000000002</v>
      </c>
      <c r="AP376" s="5">
        <v>-2.6223000000000001</v>
      </c>
      <c r="AQ376" s="8">
        <v>1.2551000000000001</v>
      </c>
      <c r="AR376" s="8">
        <v>0.96299999999999997</v>
      </c>
      <c r="AS376" s="8">
        <v>0.96299999999999997</v>
      </c>
      <c r="AT376" s="5">
        <v>99.407499999999999</v>
      </c>
      <c r="AU376" s="5">
        <v>-2.9329999999999998</v>
      </c>
      <c r="AV376" s="7" t="s">
        <v>96</v>
      </c>
    </row>
    <row r="377" spans="1:48" ht="18" customHeight="1" x14ac:dyDescent="0.25">
      <c r="A377" s="10">
        <v>188</v>
      </c>
      <c r="B377" s="10">
        <v>2</v>
      </c>
      <c r="C377" s="10">
        <v>188</v>
      </c>
      <c r="D377" s="88">
        <v>45448</v>
      </c>
      <c r="E377" s="88">
        <v>45450</v>
      </c>
      <c r="F377" s="88">
        <v>45470</v>
      </c>
      <c r="G377" s="11">
        <v>22620.35</v>
      </c>
      <c r="H377" s="11">
        <v>23290.15</v>
      </c>
      <c r="I377" s="12"/>
      <c r="J377" s="12"/>
      <c r="K377" s="92"/>
      <c r="L377" s="92"/>
      <c r="M377" s="12" t="s">
        <v>40</v>
      </c>
      <c r="N377" s="10">
        <v>21900</v>
      </c>
      <c r="O377" s="95">
        <f>IF(F377=F375,O375,MROUND(G377,100))</f>
        <v>22700</v>
      </c>
      <c r="P377" s="95">
        <f>O377-N377</f>
        <v>800</v>
      </c>
      <c r="Q377" s="12" t="s">
        <v>91</v>
      </c>
      <c r="R377" s="10">
        <v>65</v>
      </c>
      <c r="S377" s="11">
        <v>159.65</v>
      </c>
      <c r="T377" s="11">
        <v>50.15</v>
      </c>
      <c r="U377" s="13">
        <v>-0.49490000000000001</v>
      </c>
      <c r="V377" s="13">
        <v>-9.8100000000000007E-2</v>
      </c>
      <c r="W377" s="10">
        <v>0</v>
      </c>
      <c r="X377" s="14">
        <v>0</v>
      </c>
      <c r="Y377" s="11">
        <v>-109.5</v>
      </c>
      <c r="Z377" s="14">
        <v>-4.8407739049130547E-3</v>
      </c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 t="s">
        <v>96</v>
      </c>
    </row>
    <row r="378" spans="1:48" ht="18" hidden="1" customHeight="1" x14ac:dyDescent="0.25">
      <c r="A378" s="4">
        <v>189</v>
      </c>
      <c r="B378" s="4">
        <v>1</v>
      </c>
      <c r="C378" s="4">
        <v>189</v>
      </c>
      <c r="D378" s="87">
        <v>45450</v>
      </c>
      <c r="E378" s="87">
        <v>45455</v>
      </c>
      <c r="F378" s="87">
        <v>45456</v>
      </c>
      <c r="G378" s="5">
        <v>23290.15</v>
      </c>
      <c r="H378" s="5">
        <v>23322.95</v>
      </c>
      <c r="I378" s="5">
        <v>32.799999999999997</v>
      </c>
      <c r="J378" s="6">
        <v>1.408320684924743E-3</v>
      </c>
      <c r="K378" s="90"/>
      <c r="L378" s="90"/>
      <c r="M378" s="7" t="s">
        <v>28</v>
      </c>
      <c r="N378" s="4">
        <v>23300</v>
      </c>
      <c r="O378" s="94"/>
      <c r="P378" s="94"/>
      <c r="Q378" s="7" t="s">
        <v>89</v>
      </c>
      <c r="R378" s="4">
        <v>65</v>
      </c>
      <c r="S378" s="5">
        <v>209.6</v>
      </c>
      <c r="T378" s="5">
        <v>97.35</v>
      </c>
      <c r="U378" s="8">
        <v>-0.2145</v>
      </c>
      <c r="V378" s="8">
        <v>0.52080000000000004</v>
      </c>
      <c r="W378" s="5">
        <v>112.25</v>
      </c>
      <c r="X378" s="6">
        <v>4.8196340513049496E-3</v>
      </c>
      <c r="Y378" s="4">
        <v>0</v>
      </c>
      <c r="Z378" s="6">
        <v>0</v>
      </c>
      <c r="AA378" s="5">
        <v>53194.7</v>
      </c>
      <c r="AB378" s="5">
        <v>54226.1</v>
      </c>
      <c r="AC378" s="5">
        <v>1031.4000000000001</v>
      </c>
      <c r="AD378" s="5">
        <v>1.9389000000000001</v>
      </c>
      <c r="AE378" s="4">
        <v>5</v>
      </c>
      <c r="AF378" s="5">
        <v>-8.3333000000000004E-2</v>
      </c>
      <c r="AG378" s="5">
        <v>987.0711</v>
      </c>
      <c r="AH378" s="5">
        <v>1.8555999999999999</v>
      </c>
      <c r="AI378" s="8">
        <v>-0.433</v>
      </c>
      <c r="AJ378" s="8">
        <v>2.0093999999999999</v>
      </c>
      <c r="AK378" s="15">
        <v>1064.5210999999999</v>
      </c>
      <c r="AL378" s="15">
        <v>2.1880999999999999</v>
      </c>
      <c r="AM378" s="5">
        <v>101.90779999999999</v>
      </c>
      <c r="AN378" s="5">
        <v>102.41119999999999</v>
      </c>
      <c r="AO378" s="5">
        <v>-0.50339999999999996</v>
      </c>
      <c r="AP378" s="5">
        <v>-0.49149999999999999</v>
      </c>
      <c r="AQ378" s="8">
        <v>1.6427</v>
      </c>
      <c r="AR378" s="8">
        <v>8.72E-2</v>
      </c>
      <c r="AS378" s="8">
        <v>8.72E-2</v>
      </c>
      <c r="AT378" s="5">
        <v>99.812700000000007</v>
      </c>
      <c r="AU378" s="5">
        <v>-2.5373000000000001</v>
      </c>
      <c r="AV378" s="7" t="s">
        <v>90</v>
      </c>
    </row>
    <row r="379" spans="1:48" ht="18" customHeight="1" x14ac:dyDescent="0.25">
      <c r="A379" s="10">
        <v>189</v>
      </c>
      <c r="B379" s="10">
        <v>2</v>
      </c>
      <c r="C379" s="10">
        <v>189</v>
      </c>
      <c r="D379" s="88">
        <v>45450</v>
      </c>
      <c r="E379" s="88">
        <v>45455</v>
      </c>
      <c r="F379" s="88">
        <v>45470</v>
      </c>
      <c r="G379" s="11">
        <v>23290.15</v>
      </c>
      <c r="H379" s="11">
        <v>23322.95</v>
      </c>
      <c r="I379" s="12"/>
      <c r="J379" s="12"/>
      <c r="K379" s="92"/>
      <c r="L379" s="92"/>
      <c r="M379" s="12" t="s">
        <v>40</v>
      </c>
      <c r="N379" s="10">
        <v>21900</v>
      </c>
      <c r="O379" s="95">
        <f>IF(F379=F377,O377,MROUND(G379,100))</f>
        <v>22700</v>
      </c>
      <c r="P379" s="95">
        <f>O379-N379</f>
        <v>800</v>
      </c>
      <c r="Q379" s="12" t="s">
        <v>91</v>
      </c>
      <c r="R379" s="10">
        <v>65</v>
      </c>
      <c r="S379" s="11">
        <v>50.15</v>
      </c>
      <c r="T379" s="11">
        <v>15.35</v>
      </c>
      <c r="U379" s="13">
        <v>-0.1522</v>
      </c>
      <c r="V379" s="13">
        <v>-5.9999999999999995E-4</v>
      </c>
      <c r="W379" s="10">
        <v>0</v>
      </c>
      <c r="X379" s="14">
        <v>0</v>
      </c>
      <c r="Y379" s="11">
        <v>-34.799999999999997</v>
      </c>
      <c r="Z379" s="14">
        <v>-1.494193897420154E-3</v>
      </c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 t="s">
        <v>90</v>
      </c>
    </row>
    <row r="380" spans="1:48" ht="18" hidden="1" customHeight="1" x14ac:dyDescent="0.25">
      <c r="A380" s="4">
        <v>190</v>
      </c>
      <c r="B380" s="4">
        <v>1</v>
      </c>
      <c r="C380" s="4">
        <v>190</v>
      </c>
      <c r="D380" s="87">
        <v>45455</v>
      </c>
      <c r="E380" s="87">
        <v>45461</v>
      </c>
      <c r="F380" s="87">
        <v>45463</v>
      </c>
      <c r="G380" s="5">
        <v>23322.95</v>
      </c>
      <c r="H380" s="5">
        <v>23557.9</v>
      </c>
      <c r="I380" s="5">
        <v>234.95</v>
      </c>
      <c r="J380" s="6">
        <v>1.0073768541286591E-2</v>
      </c>
      <c r="K380" s="90"/>
      <c r="L380" s="90"/>
      <c r="M380" s="7" t="s">
        <v>28</v>
      </c>
      <c r="N380" s="4">
        <v>23300</v>
      </c>
      <c r="O380" s="94"/>
      <c r="P380" s="94"/>
      <c r="Q380" s="7" t="s">
        <v>89</v>
      </c>
      <c r="R380" s="4">
        <v>65</v>
      </c>
      <c r="S380" s="5">
        <v>202.55</v>
      </c>
      <c r="T380" s="5">
        <v>276.75</v>
      </c>
      <c r="U380" s="8">
        <v>-0.52869999999999995</v>
      </c>
      <c r="V380" s="8">
        <v>0.2039</v>
      </c>
      <c r="W380" s="5">
        <v>-74.2</v>
      </c>
      <c r="X380" s="6">
        <v>-3.18141572999985E-3</v>
      </c>
      <c r="Y380" s="4">
        <v>0</v>
      </c>
      <c r="Z380" s="6">
        <v>0</v>
      </c>
      <c r="AA380" s="5">
        <v>54226.1</v>
      </c>
      <c r="AB380" s="5">
        <v>55490.05</v>
      </c>
      <c r="AC380" s="5">
        <v>1263.95</v>
      </c>
      <c r="AD380" s="5">
        <v>2.3309000000000002</v>
      </c>
      <c r="AE380" s="4">
        <v>6</v>
      </c>
      <c r="AF380" s="5">
        <v>-0.1</v>
      </c>
      <c r="AG380" s="5">
        <v>1209.7239</v>
      </c>
      <c r="AH380" s="5">
        <v>2.2309000000000001</v>
      </c>
      <c r="AI380" s="8">
        <v>0.22550000000000001</v>
      </c>
      <c r="AJ380" s="8">
        <v>2.2896999999999998</v>
      </c>
      <c r="AK380" s="15">
        <v>1124.6239</v>
      </c>
      <c r="AL380" s="15">
        <v>1.8660000000000001</v>
      </c>
      <c r="AM380" s="5">
        <v>103.8094</v>
      </c>
      <c r="AN380" s="5">
        <v>103.8094</v>
      </c>
      <c r="AO380" s="4">
        <v>0</v>
      </c>
      <c r="AP380" s="4">
        <v>0</v>
      </c>
      <c r="AQ380" s="8">
        <v>1.7124999999999999</v>
      </c>
      <c r="AR380" s="8">
        <v>0.42620000000000002</v>
      </c>
      <c r="AS380" s="8">
        <v>0.42620000000000002</v>
      </c>
      <c r="AT380" s="5">
        <v>102.34220000000001</v>
      </c>
      <c r="AU380" s="5">
        <v>-6.7400000000000002E-2</v>
      </c>
      <c r="AV380" s="7" t="s">
        <v>96</v>
      </c>
    </row>
    <row r="381" spans="1:48" ht="18" customHeight="1" x14ac:dyDescent="0.25">
      <c r="A381" s="10">
        <v>190</v>
      </c>
      <c r="B381" s="10">
        <v>2</v>
      </c>
      <c r="C381" s="10">
        <v>190</v>
      </c>
      <c r="D381" s="88">
        <v>45455</v>
      </c>
      <c r="E381" s="88">
        <v>45461</v>
      </c>
      <c r="F381" s="88">
        <v>45470</v>
      </c>
      <c r="G381" s="11">
        <v>23322.95</v>
      </c>
      <c r="H381" s="11">
        <v>23557.9</v>
      </c>
      <c r="I381" s="12"/>
      <c r="J381" s="12"/>
      <c r="K381" s="92"/>
      <c r="L381" s="92"/>
      <c r="M381" s="12" t="s">
        <v>40</v>
      </c>
      <c r="N381" s="10">
        <v>21900</v>
      </c>
      <c r="O381" s="95">
        <f>IF(F381=F379,O379,MROUND(G381,100))</f>
        <v>22700</v>
      </c>
      <c r="P381" s="95">
        <f>O381-N381</f>
        <v>800</v>
      </c>
      <c r="Q381" s="12" t="s">
        <v>91</v>
      </c>
      <c r="R381" s="10">
        <v>65</v>
      </c>
      <c r="S381" s="11">
        <v>15.35</v>
      </c>
      <c r="T381" s="11">
        <v>4.45</v>
      </c>
      <c r="U381" s="13">
        <v>-4.8500000000000001E-2</v>
      </c>
      <c r="V381" s="13">
        <v>-3.2000000000000002E-3</v>
      </c>
      <c r="W381" s="10">
        <v>0</v>
      </c>
      <c r="X381" s="14">
        <v>0</v>
      </c>
      <c r="Y381" s="11">
        <v>-10.9</v>
      </c>
      <c r="Z381" s="14">
        <v>-4.6735082826143351E-4</v>
      </c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 t="s">
        <v>96</v>
      </c>
    </row>
    <row r="382" spans="1:48" ht="18" hidden="1" customHeight="1" x14ac:dyDescent="0.25">
      <c r="A382" s="4">
        <v>191</v>
      </c>
      <c r="B382" s="4">
        <v>1</v>
      </c>
      <c r="C382" s="4">
        <v>191</v>
      </c>
      <c r="D382" s="87">
        <v>45461</v>
      </c>
      <c r="E382" s="87">
        <v>45462</v>
      </c>
      <c r="F382" s="87">
        <v>45463</v>
      </c>
      <c r="G382" s="5">
        <v>23557.9</v>
      </c>
      <c r="H382" s="4">
        <v>23516</v>
      </c>
      <c r="I382" s="5">
        <v>-41.9</v>
      </c>
      <c r="J382" s="6">
        <v>-1.7785965642098829E-3</v>
      </c>
      <c r="K382" s="90"/>
      <c r="L382" s="90"/>
      <c r="M382" s="7" t="s">
        <v>28</v>
      </c>
      <c r="N382" s="4">
        <v>23600</v>
      </c>
      <c r="O382" s="94"/>
      <c r="P382" s="94"/>
      <c r="Q382" s="7" t="s">
        <v>89</v>
      </c>
      <c r="R382" s="4">
        <v>65</v>
      </c>
      <c r="S382" s="5">
        <v>63.85</v>
      </c>
      <c r="T382" s="4">
        <v>39</v>
      </c>
      <c r="U382" s="8">
        <v>-0.3296</v>
      </c>
      <c r="V382" s="8">
        <v>0.1547</v>
      </c>
      <c r="W382" s="5">
        <v>24.85</v>
      </c>
      <c r="X382" s="6">
        <v>1.0548478429741189E-3</v>
      </c>
      <c r="Y382" s="4">
        <v>0</v>
      </c>
      <c r="Z382" s="6">
        <v>0</v>
      </c>
      <c r="AA382" s="5">
        <v>55490.05</v>
      </c>
      <c r="AB382" s="5">
        <v>54951.7</v>
      </c>
      <c r="AC382" s="5">
        <v>-538.35</v>
      </c>
      <c r="AD382" s="5">
        <v>-0.97019999999999995</v>
      </c>
      <c r="AE382" s="4">
        <v>1</v>
      </c>
      <c r="AF382" s="5">
        <v>-1.6667000000000001E-2</v>
      </c>
      <c r="AG382" s="5">
        <v>-547.59829999999999</v>
      </c>
      <c r="AH382" s="5">
        <v>-0.98680000000000001</v>
      </c>
      <c r="AI382" s="8">
        <v>-1.4907999999999999</v>
      </c>
      <c r="AJ382" s="8">
        <v>0.32490000000000002</v>
      </c>
      <c r="AK382" s="9">
        <v>-523.34829999999999</v>
      </c>
      <c r="AL382" s="9">
        <v>-0.88390000000000002</v>
      </c>
      <c r="AM382" s="5">
        <v>102.89190000000001</v>
      </c>
      <c r="AN382" s="5">
        <v>103.8094</v>
      </c>
      <c r="AO382" s="5">
        <v>-0.91759999999999997</v>
      </c>
      <c r="AP382" s="5">
        <v>-0.88390000000000002</v>
      </c>
      <c r="AQ382" s="8">
        <v>-0.01</v>
      </c>
      <c r="AR382" s="8">
        <v>-1.3338000000000001</v>
      </c>
      <c r="AS382" s="8">
        <v>-1.3338000000000001</v>
      </c>
      <c r="AT382" s="5">
        <v>102.4248</v>
      </c>
      <c r="AU382" s="5">
        <v>-1.3338000000000001</v>
      </c>
      <c r="AV382" s="7" t="s">
        <v>90</v>
      </c>
    </row>
    <row r="383" spans="1:48" ht="18" customHeight="1" x14ac:dyDescent="0.25">
      <c r="A383" s="10">
        <v>191</v>
      </c>
      <c r="B383" s="10">
        <v>2</v>
      </c>
      <c r="C383" s="10">
        <v>191</v>
      </c>
      <c r="D383" s="88">
        <v>45461</v>
      </c>
      <c r="E383" s="88">
        <v>45462</v>
      </c>
      <c r="F383" s="88">
        <v>45470</v>
      </c>
      <c r="G383" s="11">
        <v>23557.9</v>
      </c>
      <c r="H383" s="10">
        <v>23516</v>
      </c>
      <c r="I383" s="12"/>
      <c r="J383" s="12"/>
      <c r="K383" s="92"/>
      <c r="L383" s="92"/>
      <c r="M383" s="12" t="s">
        <v>40</v>
      </c>
      <c r="N383" s="10">
        <v>21900</v>
      </c>
      <c r="O383" s="95">
        <f>IF(F383=F381,O381,MROUND(G383,100))</f>
        <v>22700</v>
      </c>
      <c r="P383" s="95">
        <f>O383-N383</f>
        <v>800</v>
      </c>
      <c r="Q383" s="12" t="s">
        <v>91</v>
      </c>
      <c r="R383" s="10">
        <v>65</v>
      </c>
      <c r="S383" s="11">
        <v>4.45</v>
      </c>
      <c r="T383" s="11">
        <v>3.85</v>
      </c>
      <c r="U383" s="13">
        <v>-5.3E-3</v>
      </c>
      <c r="V383" s="13">
        <v>2.3E-3</v>
      </c>
      <c r="W383" s="10">
        <v>0</v>
      </c>
      <c r="X383" s="14">
        <v>0</v>
      </c>
      <c r="Y383" s="11">
        <v>-0.6</v>
      </c>
      <c r="Z383" s="14">
        <v>-2.546916321064271E-5</v>
      </c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 t="s">
        <v>90</v>
      </c>
    </row>
    <row r="384" spans="1:48" ht="18" hidden="1" customHeight="1" x14ac:dyDescent="0.25">
      <c r="A384" s="4">
        <v>192</v>
      </c>
      <c r="B384" s="4">
        <v>1</v>
      </c>
      <c r="C384" s="4">
        <v>192</v>
      </c>
      <c r="D384" s="87">
        <v>45462</v>
      </c>
      <c r="E384" s="87">
        <v>45469</v>
      </c>
      <c r="F384" s="87">
        <v>45470</v>
      </c>
      <c r="G384" s="4">
        <v>23516</v>
      </c>
      <c r="H384" s="5">
        <v>23868.799999999999</v>
      </c>
      <c r="I384" s="5">
        <v>352.8</v>
      </c>
      <c r="J384" s="6">
        <v>1.500255145432897E-2</v>
      </c>
      <c r="K384" s="90"/>
      <c r="L384" s="90"/>
      <c r="M384" s="7" t="s">
        <v>28</v>
      </c>
      <c r="N384" s="4">
        <v>23500</v>
      </c>
      <c r="O384" s="94"/>
      <c r="P384" s="94"/>
      <c r="Q384" s="7" t="s">
        <v>89</v>
      </c>
      <c r="R384" s="4">
        <v>65</v>
      </c>
      <c r="S384" s="5">
        <v>166.25</v>
      </c>
      <c r="T384" s="5">
        <v>375.05</v>
      </c>
      <c r="U384" s="8">
        <v>-1.0551999999999999</v>
      </c>
      <c r="V384" s="8">
        <v>0.45029999999999998</v>
      </c>
      <c r="W384" s="5">
        <v>-208.8</v>
      </c>
      <c r="X384" s="6">
        <v>-8.8790610648069399E-3</v>
      </c>
      <c r="Y384" s="4">
        <v>0</v>
      </c>
      <c r="Z384" s="6">
        <v>0</v>
      </c>
      <c r="AA384" s="5">
        <v>54951.7</v>
      </c>
      <c r="AB384" s="5">
        <v>55245.8</v>
      </c>
      <c r="AC384" s="5">
        <v>294.10000000000002</v>
      </c>
      <c r="AD384" s="5">
        <v>0.53520000000000001</v>
      </c>
      <c r="AE384" s="4">
        <v>7</v>
      </c>
      <c r="AF384" s="5">
        <v>-0.11666700000000001</v>
      </c>
      <c r="AG384" s="5">
        <v>229.9897</v>
      </c>
      <c r="AH384" s="5">
        <v>0.41849999999999998</v>
      </c>
      <c r="AI384" s="8">
        <v>-0.25409999999999999</v>
      </c>
      <c r="AJ384" s="8">
        <v>1.6657999999999999</v>
      </c>
      <c r="AK384" s="15">
        <v>17.739699999999999</v>
      </c>
      <c r="AL384" s="15">
        <v>-0.48409999999999997</v>
      </c>
      <c r="AM384" s="5">
        <v>102.3938</v>
      </c>
      <c r="AN384" s="5">
        <v>103.8094</v>
      </c>
      <c r="AO384" s="5">
        <v>-1.4157</v>
      </c>
      <c r="AP384" s="5">
        <v>-1.3636999999999999</v>
      </c>
      <c r="AQ384" s="8">
        <v>0.59530000000000005</v>
      </c>
      <c r="AR384" s="8">
        <v>0.1958</v>
      </c>
      <c r="AS384" s="8">
        <v>-0.48409999999999997</v>
      </c>
      <c r="AT384" s="5">
        <v>102.3938</v>
      </c>
      <c r="AU384" s="5">
        <v>-1.3636999999999999</v>
      </c>
      <c r="AV384" s="7" t="s">
        <v>92</v>
      </c>
    </row>
    <row r="385" spans="1:48" ht="18" customHeight="1" x14ac:dyDescent="0.25">
      <c r="A385" s="10">
        <v>192</v>
      </c>
      <c r="B385" s="10">
        <v>2</v>
      </c>
      <c r="C385" s="10">
        <v>192</v>
      </c>
      <c r="D385" s="88">
        <v>45462</v>
      </c>
      <c r="E385" s="88">
        <v>45469</v>
      </c>
      <c r="F385" s="88">
        <v>45470</v>
      </c>
      <c r="G385" s="10">
        <v>23516</v>
      </c>
      <c r="H385" s="11">
        <v>23868.799999999999</v>
      </c>
      <c r="I385" s="12"/>
      <c r="J385" s="12"/>
      <c r="K385" s="92"/>
      <c r="L385" s="92"/>
      <c r="M385" s="12" t="s">
        <v>40</v>
      </c>
      <c r="N385" s="10">
        <v>21900</v>
      </c>
      <c r="O385" s="95">
        <f>IF(F385=F383,O383,MROUND(G385,100))</f>
        <v>22700</v>
      </c>
      <c r="P385" s="95">
        <f>O385-N385</f>
        <v>800</v>
      </c>
      <c r="Q385" s="12" t="s">
        <v>91</v>
      </c>
      <c r="R385" s="10">
        <v>65</v>
      </c>
      <c r="S385" s="11">
        <v>3.85</v>
      </c>
      <c r="T385" s="11">
        <v>0.4</v>
      </c>
      <c r="U385" s="13">
        <v>-1.5299999999999999E-2</v>
      </c>
      <c r="V385" s="13">
        <v>-4.0000000000000002E-4</v>
      </c>
      <c r="W385" s="10">
        <v>0</v>
      </c>
      <c r="X385" s="14">
        <v>0</v>
      </c>
      <c r="Y385" s="11">
        <v>-3.45</v>
      </c>
      <c r="Z385" s="14">
        <v>-1.4670862391563189E-4</v>
      </c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 t="s">
        <v>92</v>
      </c>
    </row>
    <row r="386" spans="1:48" ht="18" hidden="1" customHeight="1" x14ac:dyDescent="0.25">
      <c r="A386" s="4">
        <v>193</v>
      </c>
      <c r="B386" s="4">
        <v>1</v>
      </c>
      <c r="C386" s="4">
        <v>193</v>
      </c>
      <c r="D386" s="87">
        <v>45469</v>
      </c>
      <c r="E386" s="87">
        <v>45474</v>
      </c>
      <c r="F386" s="87">
        <v>45477</v>
      </c>
      <c r="G386" s="5">
        <v>23868.799999999999</v>
      </c>
      <c r="H386" s="5">
        <v>24141.95</v>
      </c>
      <c r="I386" s="5">
        <v>273.14999999999998</v>
      </c>
      <c r="J386" s="6">
        <v>1.1443809491888991E-2</v>
      </c>
      <c r="K386" s="90"/>
      <c r="L386" s="90"/>
      <c r="M386" s="7" t="s">
        <v>28</v>
      </c>
      <c r="N386" s="4">
        <v>23900</v>
      </c>
      <c r="O386" s="94"/>
      <c r="P386" s="94"/>
      <c r="Q386" s="7" t="s">
        <v>89</v>
      </c>
      <c r="R386" s="4">
        <v>65</v>
      </c>
      <c r="S386" s="5">
        <v>180.5</v>
      </c>
      <c r="T386" s="5">
        <v>294.35000000000002</v>
      </c>
      <c r="U386" s="8">
        <v>-0.73529999999999995</v>
      </c>
      <c r="V386" s="8">
        <v>0.15790000000000001</v>
      </c>
      <c r="W386" s="5">
        <v>-113.85</v>
      </c>
      <c r="X386" s="6">
        <v>-4.7698250435715241E-3</v>
      </c>
      <c r="Y386" s="4">
        <v>0</v>
      </c>
      <c r="Z386" s="6">
        <v>0</v>
      </c>
      <c r="AA386" s="5">
        <v>55245.8</v>
      </c>
      <c r="AB386" s="5">
        <v>56292.5</v>
      </c>
      <c r="AC386" s="5">
        <v>1046.7</v>
      </c>
      <c r="AD386" s="5">
        <v>1.8946000000000001</v>
      </c>
      <c r="AE386" s="4">
        <v>5</v>
      </c>
      <c r="AF386" s="5">
        <v>-8.3333000000000004E-2</v>
      </c>
      <c r="AG386" s="5">
        <v>1000.6618</v>
      </c>
      <c r="AH386" s="5">
        <v>1.8112999999999999</v>
      </c>
      <c r="AI386" s="8">
        <v>-0.50529999999999997</v>
      </c>
      <c r="AJ386" s="8">
        <v>1.8878999999999999</v>
      </c>
      <c r="AK386" s="15">
        <v>773.81179999999995</v>
      </c>
      <c r="AL386" s="15">
        <v>0.8609</v>
      </c>
      <c r="AM386" s="5">
        <v>103.2753</v>
      </c>
      <c r="AN386" s="5">
        <v>103.8094</v>
      </c>
      <c r="AO386" s="5">
        <v>-0.53420000000000001</v>
      </c>
      <c r="AP386" s="5">
        <v>-0.51459999999999995</v>
      </c>
      <c r="AQ386" s="8">
        <v>0.65949999999999998</v>
      </c>
      <c r="AR386" s="8">
        <v>-0.2142</v>
      </c>
      <c r="AS386" s="8">
        <v>-0.2142</v>
      </c>
      <c r="AT386" s="5">
        <v>102.17440000000001</v>
      </c>
      <c r="AU386" s="5">
        <v>-1.575</v>
      </c>
      <c r="AV386" s="7" t="s">
        <v>96</v>
      </c>
    </row>
    <row r="387" spans="1:48" ht="18" customHeight="1" x14ac:dyDescent="0.25">
      <c r="A387" s="10">
        <v>193</v>
      </c>
      <c r="B387" s="10">
        <v>2</v>
      </c>
      <c r="C387" s="10">
        <v>193</v>
      </c>
      <c r="D387" s="88">
        <v>45469</v>
      </c>
      <c r="E387" s="88">
        <v>45474</v>
      </c>
      <c r="F387" s="88">
        <v>45498</v>
      </c>
      <c r="G387" s="11">
        <v>23868.799999999999</v>
      </c>
      <c r="H387" s="11">
        <v>24141.95</v>
      </c>
      <c r="I387" s="12"/>
      <c r="J387" s="12"/>
      <c r="K387" s="92"/>
      <c r="L387" s="92"/>
      <c r="M387" s="12" t="s">
        <v>40</v>
      </c>
      <c r="N387" s="10">
        <v>23900</v>
      </c>
      <c r="O387" s="95">
        <f>IF(F387=F385,O385,MROUND(G387,100))</f>
        <v>23900</v>
      </c>
      <c r="P387" s="95">
        <f>O387-N387</f>
        <v>0</v>
      </c>
      <c r="Q387" s="12" t="s">
        <v>91</v>
      </c>
      <c r="R387" s="10">
        <v>65</v>
      </c>
      <c r="S387" s="11">
        <v>318.2</v>
      </c>
      <c r="T387" s="11">
        <v>205.2</v>
      </c>
      <c r="U387" s="13">
        <v>-0.49309999999999998</v>
      </c>
      <c r="V387" s="13">
        <v>0.13320000000000001</v>
      </c>
      <c r="W387" s="10">
        <v>0</v>
      </c>
      <c r="X387" s="14">
        <v>0</v>
      </c>
      <c r="Y387" s="10">
        <v>-113</v>
      </c>
      <c r="Z387" s="14">
        <v>-4.7342137015685751E-3</v>
      </c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 t="s">
        <v>96</v>
      </c>
    </row>
    <row r="388" spans="1:48" ht="18" hidden="1" customHeight="1" x14ac:dyDescent="0.25">
      <c r="A388" s="4">
        <v>194</v>
      </c>
      <c r="B388" s="4">
        <v>1</v>
      </c>
      <c r="C388" s="4">
        <v>194</v>
      </c>
      <c r="D388" s="87">
        <v>45474</v>
      </c>
      <c r="E388" s="87">
        <v>45476</v>
      </c>
      <c r="F388" s="87">
        <v>45477</v>
      </c>
      <c r="G388" s="5">
        <v>24141.95</v>
      </c>
      <c r="H388" s="5">
        <v>24286.5</v>
      </c>
      <c r="I388" s="5">
        <v>144.55000000000001</v>
      </c>
      <c r="J388" s="6">
        <v>5.9875030807370576E-3</v>
      </c>
      <c r="K388" s="90"/>
      <c r="L388" s="90"/>
      <c r="M388" s="7" t="s">
        <v>28</v>
      </c>
      <c r="N388" s="4">
        <v>24100</v>
      </c>
      <c r="O388" s="94"/>
      <c r="P388" s="94"/>
      <c r="Q388" s="7" t="s">
        <v>89</v>
      </c>
      <c r="R388" s="4">
        <v>65</v>
      </c>
      <c r="S388" s="5">
        <v>151.85</v>
      </c>
      <c r="T388" s="5">
        <v>202.1</v>
      </c>
      <c r="U388" s="8">
        <v>-0.4128</v>
      </c>
      <c r="V388" s="8">
        <v>0.23630000000000001</v>
      </c>
      <c r="W388" s="5">
        <v>-50.25</v>
      </c>
      <c r="X388" s="6">
        <v>-2.081439154666462E-3</v>
      </c>
      <c r="Y388" s="4">
        <v>0</v>
      </c>
      <c r="Z388" s="6">
        <v>0</v>
      </c>
      <c r="AA388" s="5">
        <v>56292.5</v>
      </c>
      <c r="AB388" s="5">
        <v>56293.3</v>
      </c>
      <c r="AC388" s="5">
        <v>0.8</v>
      </c>
      <c r="AD388" s="5">
        <v>1.4E-3</v>
      </c>
      <c r="AE388" s="4">
        <v>2</v>
      </c>
      <c r="AF388" s="5">
        <v>-3.3333000000000002E-2</v>
      </c>
      <c r="AG388" s="5">
        <v>-17.964200000000002</v>
      </c>
      <c r="AH388" s="5">
        <v>-3.1899999999999998E-2</v>
      </c>
      <c r="AI388" s="8">
        <v>-1.3912</v>
      </c>
      <c r="AJ388" s="8">
        <v>0.3599</v>
      </c>
      <c r="AK388" s="9">
        <v>-136.41419999999999</v>
      </c>
      <c r="AL388" s="9">
        <v>-0.52249999999999996</v>
      </c>
      <c r="AM388" s="5">
        <v>102.73560000000001</v>
      </c>
      <c r="AN388" s="5">
        <v>103.8094</v>
      </c>
      <c r="AO388" s="5">
        <v>-1.0738000000000001</v>
      </c>
      <c r="AP388" s="5">
        <v>-1.0344</v>
      </c>
      <c r="AQ388" s="8">
        <v>-0.35610000000000003</v>
      </c>
      <c r="AR388" s="8">
        <v>-1.0648</v>
      </c>
      <c r="AS388" s="8">
        <v>-1.0648</v>
      </c>
      <c r="AT388" s="5">
        <v>102.1756</v>
      </c>
      <c r="AU388" s="5">
        <v>-1.5739000000000001</v>
      </c>
      <c r="AV388" s="7" t="s">
        <v>90</v>
      </c>
    </row>
    <row r="389" spans="1:48" ht="18" customHeight="1" x14ac:dyDescent="0.25">
      <c r="A389" s="10">
        <v>194</v>
      </c>
      <c r="B389" s="10">
        <v>2</v>
      </c>
      <c r="C389" s="10">
        <v>194</v>
      </c>
      <c r="D389" s="88">
        <v>45474</v>
      </c>
      <c r="E389" s="88">
        <v>45476</v>
      </c>
      <c r="F389" s="88">
        <v>45498</v>
      </c>
      <c r="G389" s="11">
        <v>24141.95</v>
      </c>
      <c r="H389" s="11">
        <v>24286.5</v>
      </c>
      <c r="I389" s="12"/>
      <c r="J389" s="12"/>
      <c r="K389" s="92"/>
      <c r="L389" s="92"/>
      <c r="M389" s="12" t="s">
        <v>40</v>
      </c>
      <c r="N389" s="10">
        <v>23900</v>
      </c>
      <c r="O389" s="95">
        <f>IF(F389=F387,O387,MROUND(G389,100))</f>
        <v>23900</v>
      </c>
      <c r="P389" s="95">
        <f>O389-N389</f>
        <v>0</v>
      </c>
      <c r="Q389" s="12" t="s">
        <v>91</v>
      </c>
      <c r="R389" s="10">
        <v>65</v>
      </c>
      <c r="S389" s="11">
        <v>205.2</v>
      </c>
      <c r="T389" s="10">
        <v>137</v>
      </c>
      <c r="U389" s="13">
        <v>-0.30320000000000003</v>
      </c>
      <c r="V389" s="13">
        <v>9.01E-2</v>
      </c>
      <c r="W389" s="10">
        <v>0</v>
      </c>
      <c r="X389" s="14">
        <v>0</v>
      </c>
      <c r="Y389" s="11">
        <v>-68.2</v>
      </c>
      <c r="Z389" s="14">
        <v>-2.824958215885626E-3</v>
      </c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 t="s">
        <v>90</v>
      </c>
    </row>
    <row r="390" spans="1:48" ht="18" hidden="1" customHeight="1" x14ac:dyDescent="0.25">
      <c r="A390" s="4">
        <v>195</v>
      </c>
      <c r="B390" s="4">
        <v>1</v>
      </c>
      <c r="C390" s="4">
        <v>195</v>
      </c>
      <c r="D390" s="87">
        <v>45476</v>
      </c>
      <c r="E390" s="87">
        <v>45483</v>
      </c>
      <c r="F390" s="87">
        <v>45484</v>
      </c>
      <c r="G390" s="5">
        <v>24286.5</v>
      </c>
      <c r="H390" s="5">
        <v>24324.45</v>
      </c>
      <c r="I390" s="5">
        <v>37.950000000000003</v>
      </c>
      <c r="J390" s="6">
        <v>1.562596504230746E-3</v>
      </c>
      <c r="K390" s="90"/>
      <c r="L390" s="90"/>
      <c r="M390" s="7" t="s">
        <v>28</v>
      </c>
      <c r="N390" s="4">
        <v>24300</v>
      </c>
      <c r="O390" s="94"/>
      <c r="P390" s="94"/>
      <c r="Q390" s="7" t="s">
        <v>89</v>
      </c>
      <c r="R390" s="4">
        <v>65</v>
      </c>
      <c r="S390" s="5">
        <v>174.9</v>
      </c>
      <c r="T390" s="5">
        <v>77.2</v>
      </c>
      <c r="U390" s="8">
        <v>-0.21179999999999999</v>
      </c>
      <c r="V390" s="8">
        <v>0.56740000000000002</v>
      </c>
      <c r="W390" s="5">
        <v>97.7</v>
      </c>
      <c r="X390" s="6">
        <v>4.0228110267020766E-3</v>
      </c>
      <c r="Y390" s="4">
        <v>0</v>
      </c>
      <c r="Z390" s="6">
        <v>0</v>
      </c>
      <c r="AA390" s="5">
        <v>56293.3</v>
      </c>
      <c r="AB390" s="5">
        <v>56921.15</v>
      </c>
      <c r="AC390" s="5">
        <v>627.85</v>
      </c>
      <c r="AD390" s="5">
        <v>1.1153</v>
      </c>
      <c r="AE390" s="4">
        <v>7</v>
      </c>
      <c r="AF390" s="5">
        <v>-0.11666700000000001</v>
      </c>
      <c r="AG390" s="5">
        <v>562.17449999999997</v>
      </c>
      <c r="AH390" s="5">
        <v>0.99870000000000003</v>
      </c>
      <c r="AI390" s="8">
        <v>-1.1198999999999999</v>
      </c>
      <c r="AJ390" s="8">
        <v>1.7998000000000001</v>
      </c>
      <c r="AK390" s="15">
        <v>636.37450000000001</v>
      </c>
      <c r="AL390" s="15">
        <v>1.3042</v>
      </c>
      <c r="AM390" s="5">
        <v>104.07550000000001</v>
      </c>
      <c r="AN390" s="5">
        <v>104.07550000000001</v>
      </c>
      <c r="AO390" s="4">
        <v>0</v>
      </c>
      <c r="AP390" s="4">
        <v>0</v>
      </c>
      <c r="AQ390" s="8">
        <v>1.413</v>
      </c>
      <c r="AR390" s="8">
        <v>-0.42070000000000002</v>
      </c>
      <c r="AS390" s="8">
        <v>-0.42070000000000002</v>
      </c>
      <c r="AT390" s="5">
        <v>102.3034</v>
      </c>
      <c r="AU390" s="5">
        <v>-1.4507000000000001</v>
      </c>
      <c r="AV390" s="7" t="s">
        <v>90</v>
      </c>
    </row>
    <row r="391" spans="1:48" ht="18" customHeight="1" x14ac:dyDescent="0.25">
      <c r="A391" s="10">
        <v>195</v>
      </c>
      <c r="B391" s="10">
        <v>2</v>
      </c>
      <c r="C391" s="10">
        <v>195</v>
      </c>
      <c r="D391" s="88">
        <v>45476</v>
      </c>
      <c r="E391" s="88">
        <v>45483</v>
      </c>
      <c r="F391" s="88">
        <v>45498</v>
      </c>
      <c r="G391" s="11">
        <v>24286.5</v>
      </c>
      <c r="H391" s="11">
        <v>24324.45</v>
      </c>
      <c r="I391" s="12"/>
      <c r="J391" s="12"/>
      <c r="K391" s="92"/>
      <c r="L391" s="92"/>
      <c r="M391" s="12" t="s">
        <v>40</v>
      </c>
      <c r="N391" s="10">
        <v>23900</v>
      </c>
      <c r="O391" s="95">
        <f>IF(F391=F389,O389,MROUND(G391,100))</f>
        <v>23900</v>
      </c>
      <c r="P391" s="95">
        <f>O391-N391</f>
        <v>0</v>
      </c>
      <c r="Q391" s="12" t="s">
        <v>91</v>
      </c>
      <c r="R391" s="10">
        <v>65</v>
      </c>
      <c r="S391" s="10">
        <v>137</v>
      </c>
      <c r="T391" s="11">
        <v>113.5</v>
      </c>
      <c r="U391" s="13">
        <v>-0.17499999999999999</v>
      </c>
      <c r="V391" s="13">
        <v>0.1318</v>
      </c>
      <c r="W391" s="10">
        <v>0</v>
      </c>
      <c r="X391" s="14">
        <v>0</v>
      </c>
      <c r="Y391" s="11">
        <v>-23.5</v>
      </c>
      <c r="Z391" s="14">
        <v>-9.676157536079715E-4</v>
      </c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 t="s">
        <v>90</v>
      </c>
    </row>
    <row r="392" spans="1:48" ht="18" hidden="1" customHeight="1" x14ac:dyDescent="0.25">
      <c r="A392" s="4">
        <v>196</v>
      </c>
      <c r="B392" s="4">
        <v>1</v>
      </c>
      <c r="C392" s="4">
        <v>196</v>
      </c>
      <c r="D392" s="87">
        <v>45483</v>
      </c>
      <c r="E392" s="87">
        <v>45488</v>
      </c>
      <c r="F392" s="87">
        <v>45491</v>
      </c>
      <c r="G392" s="5">
        <v>24324.45</v>
      </c>
      <c r="H392" s="5">
        <v>24586.7</v>
      </c>
      <c r="I392" s="5">
        <v>262.25</v>
      </c>
      <c r="J392" s="6">
        <v>1.0781333185334099E-2</v>
      </c>
      <c r="K392" s="90"/>
      <c r="L392" s="90"/>
      <c r="M392" s="7" t="s">
        <v>28</v>
      </c>
      <c r="N392" s="4">
        <v>24300</v>
      </c>
      <c r="O392" s="94"/>
      <c r="P392" s="94"/>
      <c r="Q392" s="7" t="s">
        <v>89</v>
      </c>
      <c r="R392" s="4">
        <v>65</v>
      </c>
      <c r="S392" s="5">
        <v>175.5</v>
      </c>
      <c r="T392" s="5">
        <v>328.35</v>
      </c>
      <c r="U392" s="8">
        <v>-0.7379</v>
      </c>
      <c r="V392" s="8">
        <v>0.29389999999999999</v>
      </c>
      <c r="W392" s="5">
        <v>-152.85</v>
      </c>
      <c r="X392" s="6">
        <v>-6.2838008670288532E-3</v>
      </c>
      <c r="Y392" s="4">
        <v>0</v>
      </c>
      <c r="Z392" s="6">
        <v>0</v>
      </c>
      <c r="AA392" s="5">
        <v>56921.15</v>
      </c>
      <c r="AB392" s="5">
        <v>57664.45</v>
      </c>
      <c r="AC392" s="5">
        <v>743.3</v>
      </c>
      <c r="AD392" s="5">
        <v>1.3058000000000001</v>
      </c>
      <c r="AE392" s="4">
        <v>5</v>
      </c>
      <c r="AF392" s="5">
        <v>-8.3333000000000004E-2</v>
      </c>
      <c r="AG392" s="5">
        <v>695.86569999999995</v>
      </c>
      <c r="AH392" s="5">
        <v>1.2224999999999999</v>
      </c>
      <c r="AI392" s="8">
        <v>-4.6100000000000002E-2</v>
      </c>
      <c r="AJ392" s="8">
        <v>1.2622</v>
      </c>
      <c r="AK392" s="15">
        <v>477.31569999999999</v>
      </c>
      <c r="AL392" s="15">
        <v>0.32400000000000001</v>
      </c>
      <c r="AM392" s="5">
        <v>104.4127</v>
      </c>
      <c r="AN392" s="5">
        <v>104.4127</v>
      </c>
      <c r="AO392" s="4">
        <v>0</v>
      </c>
      <c r="AP392" s="4">
        <v>0</v>
      </c>
      <c r="AQ392" s="8">
        <v>0.24390000000000001</v>
      </c>
      <c r="AR392" s="8">
        <v>0.35389999999999999</v>
      </c>
      <c r="AS392" s="8">
        <v>0.24390000000000001</v>
      </c>
      <c r="AT392" s="5">
        <v>104.32940000000001</v>
      </c>
      <c r="AU392" s="5">
        <v>0.24390000000000001</v>
      </c>
      <c r="AV392" s="7" t="s">
        <v>101</v>
      </c>
    </row>
    <row r="393" spans="1:48" ht="18" customHeight="1" x14ac:dyDescent="0.25">
      <c r="A393" s="10">
        <v>196</v>
      </c>
      <c r="B393" s="10">
        <v>2</v>
      </c>
      <c r="C393" s="10">
        <v>196</v>
      </c>
      <c r="D393" s="88">
        <v>45483</v>
      </c>
      <c r="E393" s="88">
        <v>45488</v>
      </c>
      <c r="F393" s="88">
        <v>45498</v>
      </c>
      <c r="G393" s="11">
        <v>24324.45</v>
      </c>
      <c r="H393" s="11">
        <v>24586.7</v>
      </c>
      <c r="I393" s="12"/>
      <c r="J393" s="12"/>
      <c r="K393" s="92"/>
      <c r="L393" s="92"/>
      <c r="M393" s="12" t="s">
        <v>40</v>
      </c>
      <c r="N393" s="10">
        <v>23900</v>
      </c>
      <c r="O393" s="95">
        <f>IF(F393=F391,O391,MROUND(G393,100))</f>
        <v>23900</v>
      </c>
      <c r="P393" s="95">
        <f>O393-N393</f>
        <v>0</v>
      </c>
      <c r="Q393" s="12" t="s">
        <v>91</v>
      </c>
      <c r="R393" s="10">
        <v>65</v>
      </c>
      <c r="S393" s="11">
        <v>113.5</v>
      </c>
      <c r="T393" s="11">
        <v>47.8</v>
      </c>
      <c r="U393" s="13">
        <v>-0.28039999999999998</v>
      </c>
      <c r="V393" s="13">
        <v>0.1061</v>
      </c>
      <c r="W393" s="10">
        <v>0</v>
      </c>
      <c r="X393" s="14">
        <v>0</v>
      </c>
      <c r="Y393" s="11">
        <v>-65.7</v>
      </c>
      <c r="Z393" s="14">
        <v>-2.7009860449054351E-3</v>
      </c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 t="s">
        <v>101</v>
      </c>
    </row>
    <row r="394" spans="1:48" ht="18" hidden="1" customHeight="1" x14ac:dyDescent="0.25">
      <c r="A394" s="4">
        <v>197</v>
      </c>
      <c r="B394" s="4">
        <v>1</v>
      </c>
      <c r="C394" s="4">
        <v>197</v>
      </c>
      <c r="D394" s="87">
        <v>45488</v>
      </c>
      <c r="E394" s="87">
        <v>45489</v>
      </c>
      <c r="F394" s="87">
        <v>45491</v>
      </c>
      <c r="G394" s="5">
        <v>24586.7</v>
      </c>
      <c r="H394" s="4">
        <v>24613</v>
      </c>
      <c r="I394" s="5">
        <v>26.3</v>
      </c>
      <c r="J394" s="6">
        <v>1.069684016155076E-3</v>
      </c>
      <c r="K394" s="90"/>
      <c r="L394" s="90"/>
      <c r="M394" s="7" t="s">
        <v>28</v>
      </c>
      <c r="N394" s="4">
        <v>24600</v>
      </c>
      <c r="O394" s="94"/>
      <c r="P394" s="94"/>
      <c r="Q394" s="7" t="s">
        <v>89</v>
      </c>
      <c r="R394" s="4">
        <v>65</v>
      </c>
      <c r="S394" s="5">
        <v>102.1</v>
      </c>
      <c r="T394" s="5">
        <v>88.4</v>
      </c>
      <c r="U394" s="8">
        <v>-0.14480000000000001</v>
      </c>
      <c r="V394" s="8">
        <v>9.8599999999999993E-2</v>
      </c>
      <c r="W394" s="5">
        <v>13.7</v>
      </c>
      <c r="X394" s="6">
        <v>5.5721182590587586E-4</v>
      </c>
      <c r="Y394" s="4">
        <v>0</v>
      </c>
      <c r="Z394" s="6">
        <v>0</v>
      </c>
      <c r="AA394" s="5">
        <v>57664.45</v>
      </c>
      <c r="AB394" s="4">
        <v>57664</v>
      </c>
      <c r="AC394" s="5">
        <v>-0.45</v>
      </c>
      <c r="AD394" s="5">
        <v>-8.0000000000000004E-4</v>
      </c>
      <c r="AE394" s="4">
        <v>1</v>
      </c>
      <c r="AF394" s="5">
        <v>-1.6667000000000001E-2</v>
      </c>
      <c r="AG394" s="5">
        <v>-10.060700000000001</v>
      </c>
      <c r="AH394" s="5">
        <v>-1.7399999999999999E-2</v>
      </c>
      <c r="AI394" s="8">
        <v>-0.19689999999999999</v>
      </c>
      <c r="AJ394" s="8">
        <v>0.4088</v>
      </c>
      <c r="AK394" s="9">
        <v>-11.6607</v>
      </c>
      <c r="AL394" s="9">
        <v>-2.3900000000000001E-2</v>
      </c>
      <c r="AM394" s="5">
        <v>104.3878</v>
      </c>
      <c r="AN394" s="5">
        <v>104.4127</v>
      </c>
      <c r="AO394" s="5">
        <v>-2.5000000000000001E-2</v>
      </c>
      <c r="AP394" s="5">
        <v>-2.3900000000000001E-2</v>
      </c>
      <c r="AQ394" s="8">
        <v>0.15909999999999999</v>
      </c>
      <c r="AR394" s="8">
        <v>-7.1300000000000002E-2</v>
      </c>
      <c r="AS394" s="8">
        <v>-7.1300000000000002E-2</v>
      </c>
      <c r="AT394" s="5">
        <v>104.3383</v>
      </c>
      <c r="AU394" s="5">
        <v>-7.1300000000000002E-2</v>
      </c>
      <c r="AV394" s="7" t="s">
        <v>90</v>
      </c>
    </row>
    <row r="395" spans="1:48" ht="18" customHeight="1" x14ac:dyDescent="0.25">
      <c r="A395" s="10">
        <v>197</v>
      </c>
      <c r="B395" s="10">
        <v>2</v>
      </c>
      <c r="C395" s="10">
        <v>197</v>
      </c>
      <c r="D395" s="88">
        <v>45488</v>
      </c>
      <c r="E395" s="88">
        <v>45489</v>
      </c>
      <c r="F395" s="88">
        <v>45498</v>
      </c>
      <c r="G395" s="11">
        <v>24586.7</v>
      </c>
      <c r="H395" s="10">
        <v>24613</v>
      </c>
      <c r="I395" s="12"/>
      <c r="J395" s="12"/>
      <c r="K395" s="92"/>
      <c r="L395" s="92"/>
      <c r="M395" s="12" t="s">
        <v>40</v>
      </c>
      <c r="N395" s="10">
        <v>24600</v>
      </c>
      <c r="O395" s="95">
        <f>IF(F395=F393,O393,MROUND(G395,100))</f>
        <v>23900</v>
      </c>
      <c r="P395" s="95">
        <f>O395-N395</f>
        <v>-700</v>
      </c>
      <c r="Q395" s="12" t="s">
        <v>91</v>
      </c>
      <c r="R395" s="10">
        <v>65</v>
      </c>
      <c r="S395" s="11">
        <v>229.8</v>
      </c>
      <c r="T395" s="11">
        <v>214.5</v>
      </c>
      <c r="U395" s="13">
        <v>-0.10489999999999999</v>
      </c>
      <c r="V395" s="13">
        <v>2.7E-2</v>
      </c>
      <c r="W395" s="10">
        <v>0</v>
      </c>
      <c r="X395" s="14">
        <v>0</v>
      </c>
      <c r="Y395" s="11">
        <v>-15.3</v>
      </c>
      <c r="Z395" s="14">
        <v>-6.2228765958831399E-4</v>
      </c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 t="s">
        <v>90</v>
      </c>
    </row>
    <row r="396" spans="1:48" ht="18" hidden="1" customHeight="1" x14ac:dyDescent="0.25">
      <c r="A396" s="4">
        <v>198</v>
      </c>
      <c r="B396" s="4">
        <v>1</v>
      </c>
      <c r="C396" s="4">
        <v>198</v>
      </c>
      <c r="D396" s="87">
        <v>45489</v>
      </c>
      <c r="E396" s="87">
        <v>45497</v>
      </c>
      <c r="F396" s="87">
        <v>45498</v>
      </c>
      <c r="G396" s="4">
        <v>24613</v>
      </c>
      <c r="H396" s="5">
        <v>24413.5</v>
      </c>
      <c r="I396" s="5">
        <v>-199.5</v>
      </c>
      <c r="J396" s="6">
        <v>-8.1054727176695235E-3</v>
      </c>
      <c r="K396" s="90"/>
      <c r="L396" s="90"/>
      <c r="M396" s="7" t="s">
        <v>28</v>
      </c>
      <c r="N396" s="4">
        <v>24600</v>
      </c>
      <c r="O396" s="94"/>
      <c r="P396" s="94"/>
      <c r="Q396" s="7" t="s">
        <v>89</v>
      </c>
      <c r="R396" s="4">
        <v>65</v>
      </c>
      <c r="S396" s="5">
        <v>255.05</v>
      </c>
      <c r="T396" s="5">
        <v>14.85</v>
      </c>
      <c r="U396" s="8">
        <v>-0.48899999999999999</v>
      </c>
      <c r="V396" s="8">
        <v>0.99109999999999998</v>
      </c>
      <c r="W396" s="5">
        <v>240.2</v>
      </c>
      <c r="X396" s="6">
        <v>9.7590704099459625E-3</v>
      </c>
      <c r="Y396" s="4">
        <v>0</v>
      </c>
      <c r="Z396" s="6">
        <v>0</v>
      </c>
      <c r="AA396" s="4">
        <v>57664</v>
      </c>
      <c r="AB396" s="5">
        <v>56872.75</v>
      </c>
      <c r="AC396" s="5">
        <v>-791.25</v>
      </c>
      <c r="AD396" s="5">
        <v>-1.3722000000000001</v>
      </c>
      <c r="AE396" s="4">
        <v>8</v>
      </c>
      <c r="AF396" s="5">
        <v>-0.13333300000000001</v>
      </c>
      <c r="AG396" s="5">
        <v>-868.13530000000003</v>
      </c>
      <c r="AH396" s="5">
        <v>-1.5055000000000001</v>
      </c>
      <c r="AI396" s="8">
        <v>-5.7304000000000004</v>
      </c>
      <c r="AJ396" s="8">
        <v>-9.2700000000000005E-2</v>
      </c>
      <c r="AK396" s="9">
        <v>-620.58529999999996</v>
      </c>
      <c r="AL396" s="9">
        <v>-0.49969999999999998</v>
      </c>
      <c r="AM396" s="5">
        <v>103.8661</v>
      </c>
      <c r="AN396" s="5">
        <v>104.4127</v>
      </c>
      <c r="AO396" s="5">
        <v>-0.54659999999999997</v>
      </c>
      <c r="AP396" s="5">
        <v>-0.52349999999999997</v>
      </c>
      <c r="AQ396" s="8">
        <v>-0.92259999999999998</v>
      </c>
      <c r="AR396" s="8">
        <v>-3.3144</v>
      </c>
      <c r="AS396" s="8">
        <v>-3.3144</v>
      </c>
      <c r="AT396" s="5">
        <v>100.92789999999999</v>
      </c>
      <c r="AU396" s="5">
        <v>-3.3374999999999999</v>
      </c>
      <c r="AV396" s="7" t="s">
        <v>90</v>
      </c>
    </row>
    <row r="397" spans="1:48" ht="18" customHeight="1" x14ac:dyDescent="0.25">
      <c r="A397" s="10">
        <v>198</v>
      </c>
      <c r="B397" s="10">
        <v>2</v>
      </c>
      <c r="C397" s="10">
        <v>198</v>
      </c>
      <c r="D397" s="88">
        <v>45489</v>
      </c>
      <c r="E397" s="88">
        <v>45497</v>
      </c>
      <c r="F397" s="88">
        <v>45498</v>
      </c>
      <c r="G397" s="10">
        <v>24613</v>
      </c>
      <c r="H397" s="11">
        <v>24413.5</v>
      </c>
      <c r="I397" s="12"/>
      <c r="J397" s="12"/>
      <c r="K397" s="92"/>
      <c r="L397" s="92"/>
      <c r="M397" s="12" t="s">
        <v>40</v>
      </c>
      <c r="N397" s="10">
        <v>24600</v>
      </c>
      <c r="O397" s="95">
        <f>IF(F397=F395,O395,MROUND(G397,100))</f>
        <v>23900</v>
      </c>
      <c r="P397" s="95">
        <f>O397-N397</f>
        <v>-700</v>
      </c>
      <c r="Q397" s="12" t="s">
        <v>91</v>
      </c>
      <c r="R397" s="10">
        <v>65</v>
      </c>
      <c r="S397" s="11">
        <v>214.5</v>
      </c>
      <c r="T397" s="11">
        <v>221.85</v>
      </c>
      <c r="U397" s="13">
        <v>-0.34089999999999998</v>
      </c>
      <c r="V397" s="13">
        <v>1.4249000000000001</v>
      </c>
      <c r="W397" s="10">
        <v>0</v>
      </c>
      <c r="X397" s="14">
        <v>0</v>
      </c>
      <c r="Y397" s="11">
        <v>7.35</v>
      </c>
      <c r="Z397" s="14">
        <v>2.9862267907203511E-4</v>
      </c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 t="s">
        <v>90</v>
      </c>
    </row>
    <row r="398" spans="1:48" ht="18" hidden="1" customHeight="1" x14ac:dyDescent="0.25">
      <c r="A398" s="4">
        <v>199</v>
      </c>
      <c r="B398" s="4">
        <v>1</v>
      </c>
      <c r="C398" s="4">
        <v>199</v>
      </c>
      <c r="D398" s="87">
        <v>45497</v>
      </c>
      <c r="E398" s="87">
        <v>45499</v>
      </c>
      <c r="F398" s="87">
        <v>45505</v>
      </c>
      <c r="G398" s="5">
        <v>24413.5</v>
      </c>
      <c r="H398" s="5">
        <v>24834.85</v>
      </c>
      <c r="I398" s="5">
        <v>421.35</v>
      </c>
      <c r="J398" s="6">
        <v>1.7258893644909581E-2</v>
      </c>
      <c r="K398" s="90"/>
      <c r="L398" s="90"/>
      <c r="M398" s="7" t="s">
        <v>28</v>
      </c>
      <c r="N398" s="4">
        <v>24400</v>
      </c>
      <c r="O398" s="94"/>
      <c r="P398" s="94"/>
      <c r="Q398" s="7" t="s">
        <v>89</v>
      </c>
      <c r="R398" s="4">
        <v>65</v>
      </c>
      <c r="S398" s="5">
        <v>188.85</v>
      </c>
      <c r="T398" s="5">
        <v>490.95</v>
      </c>
      <c r="U398" s="8">
        <v>-1.3439000000000001</v>
      </c>
      <c r="V398" s="8">
        <v>0.40100000000000002</v>
      </c>
      <c r="W398" s="5">
        <v>-302.10000000000002</v>
      </c>
      <c r="X398" s="6">
        <v>-1.237430110389743E-2</v>
      </c>
      <c r="Y398" s="4">
        <v>0</v>
      </c>
      <c r="Z398" s="6">
        <v>0</v>
      </c>
      <c r="AA398" s="5">
        <v>56872.75</v>
      </c>
      <c r="AB398" s="5">
        <v>57768.1</v>
      </c>
      <c r="AC398" s="5">
        <v>895.35</v>
      </c>
      <c r="AD398" s="5">
        <v>1.5743</v>
      </c>
      <c r="AE398" s="4">
        <v>2</v>
      </c>
      <c r="AF398" s="5">
        <v>-3.3333000000000002E-2</v>
      </c>
      <c r="AG398" s="5">
        <v>876.39239999999995</v>
      </c>
      <c r="AH398" s="5">
        <v>1.5409999999999999</v>
      </c>
      <c r="AI398" s="8">
        <v>-0.98719999999999997</v>
      </c>
      <c r="AJ398" s="8">
        <v>1.6203000000000001</v>
      </c>
      <c r="AK398" s="15">
        <v>438.0924</v>
      </c>
      <c r="AL398" s="15">
        <v>-0.25430000000000003</v>
      </c>
      <c r="AM398" s="5">
        <v>103.602</v>
      </c>
      <c r="AN398" s="5">
        <v>104.4127</v>
      </c>
      <c r="AO398" s="5">
        <v>-0.81069999999999998</v>
      </c>
      <c r="AP398" s="5">
        <v>-0.77639999999999998</v>
      </c>
      <c r="AQ398" s="8">
        <v>-0.3579</v>
      </c>
      <c r="AR398" s="8">
        <v>-0.2278</v>
      </c>
      <c r="AS398" s="8">
        <v>-0.3579</v>
      </c>
      <c r="AT398" s="5">
        <v>103.4944</v>
      </c>
      <c r="AU398" s="5">
        <v>-0.87949999999999995</v>
      </c>
      <c r="AV398" s="7" t="s">
        <v>96</v>
      </c>
    </row>
    <row r="399" spans="1:48" ht="18" customHeight="1" x14ac:dyDescent="0.25">
      <c r="A399" s="10">
        <v>199</v>
      </c>
      <c r="B399" s="10">
        <v>2</v>
      </c>
      <c r="C399" s="10">
        <v>199</v>
      </c>
      <c r="D399" s="88">
        <v>45497</v>
      </c>
      <c r="E399" s="88">
        <v>45499</v>
      </c>
      <c r="F399" s="88">
        <v>45533</v>
      </c>
      <c r="G399" s="11">
        <v>24413.5</v>
      </c>
      <c r="H399" s="11">
        <v>24834.85</v>
      </c>
      <c r="I399" s="12"/>
      <c r="J399" s="12"/>
      <c r="K399" s="92"/>
      <c r="L399" s="92"/>
      <c r="M399" s="12" t="s">
        <v>40</v>
      </c>
      <c r="N399" s="10">
        <v>24400</v>
      </c>
      <c r="O399" s="95">
        <f>IF(F399=F397,O397,MROUND(G399,100))</f>
        <v>24400</v>
      </c>
      <c r="P399" s="95">
        <f>O399-N399</f>
        <v>0</v>
      </c>
      <c r="Q399" s="12" t="s">
        <v>91</v>
      </c>
      <c r="R399" s="10">
        <v>65</v>
      </c>
      <c r="S399" s="11">
        <v>314.85000000000002</v>
      </c>
      <c r="T399" s="11">
        <v>178.65</v>
      </c>
      <c r="U399" s="13">
        <v>-0.63429999999999997</v>
      </c>
      <c r="V399" s="13">
        <v>0.3584</v>
      </c>
      <c r="W399" s="10">
        <v>0</v>
      </c>
      <c r="X399" s="14">
        <v>0</v>
      </c>
      <c r="Y399" s="11">
        <v>-136.19999999999999</v>
      </c>
      <c r="Z399" s="14">
        <v>-5.5788805374075816E-3</v>
      </c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 t="s">
        <v>96</v>
      </c>
    </row>
    <row r="400" spans="1:48" ht="18" hidden="1" customHeight="1" x14ac:dyDescent="0.25">
      <c r="A400" s="4">
        <v>200</v>
      </c>
      <c r="B400" s="4">
        <v>1</v>
      </c>
      <c r="C400" s="4">
        <v>200</v>
      </c>
      <c r="D400" s="87">
        <v>45499</v>
      </c>
      <c r="E400" s="87">
        <v>45504</v>
      </c>
      <c r="F400" s="87">
        <v>45505</v>
      </c>
      <c r="G400" s="5">
        <v>24834.85</v>
      </c>
      <c r="H400" s="5">
        <v>24951.15</v>
      </c>
      <c r="I400" s="5">
        <v>116.3</v>
      </c>
      <c r="J400" s="6">
        <v>4.6829354717262232E-3</v>
      </c>
      <c r="K400" s="90"/>
      <c r="L400" s="90"/>
      <c r="M400" s="7" t="s">
        <v>28</v>
      </c>
      <c r="N400" s="4">
        <v>24800</v>
      </c>
      <c r="O400" s="94"/>
      <c r="P400" s="94"/>
      <c r="Q400" s="7" t="s">
        <v>89</v>
      </c>
      <c r="R400" s="4">
        <v>65</v>
      </c>
      <c r="S400" s="5">
        <v>175.6</v>
      </c>
      <c r="T400" s="5">
        <v>189.5</v>
      </c>
      <c r="U400" s="8">
        <v>-0.40589999999999998</v>
      </c>
      <c r="V400" s="8">
        <v>0.29620000000000002</v>
      </c>
      <c r="W400" s="5">
        <v>-13.9</v>
      </c>
      <c r="X400" s="6">
        <v>-5.5969736076521507E-4</v>
      </c>
      <c r="Y400" s="4">
        <v>0</v>
      </c>
      <c r="Z400" s="6">
        <v>0</v>
      </c>
      <c r="AA400" s="5">
        <v>57768.1</v>
      </c>
      <c r="AB400" s="5">
        <v>58990.9</v>
      </c>
      <c r="AC400" s="5">
        <v>1222.8</v>
      </c>
      <c r="AD400" s="5">
        <v>2.1166999999999998</v>
      </c>
      <c r="AE400" s="4">
        <v>5</v>
      </c>
      <c r="AF400" s="5">
        <v>-8.3333000000000004E-2</v>
      </c>
      <c r="AG400" s="5">
        <v>1174.6599000000001</v>
      </c>
      <c r="AH400" s="5">
        <v>2.0333999999999999</v>
      </c>
      <c r="AI400" s="8">
        <v>0.4461</v>
      </c>
      <c r="AJ400" s="8">
        <v>2.2481</v>
      </c>
      <c r="AK400" s="15">
        <v>1125.2599</v>
      </c>
      <c r="AL400" s="15">
        <v>1.8345</v>
      </c>
      <c r="AM400" s="5">
        <v>105.5026</v>
      </c>
      <c r="AN400" s="5">
        <v>105.5026</v>
      </c>
      <c r="AO400" s="4">
        <v>0</v>
      </c>
      <c r="AP400" s="4">
        <v>0</v>
      </c>
      <c r="AQ400" s="8">
        <v>1.6624000000000001</v>
      </c>
      <c r="AR400" s="8">
        <v>0.81100000000000005</v>
      </c>
      <c r="AS400" s="8">
        <v>0.81100000000000005</v>
      </c>
      <c r="AT400" s="5">
        <v>104.4422</v>
      </c>
      <c r="AU400" s="5">
        <v>2.8299999999999999E-2</v>
      </c>
      <c r="AV400" s="7" t="s">
        <v>90</v>
      </c>
    </row>
    <row r="401" spans="1:48" ht="18" customHeight="1" x14ac:dyDescent="0.25">
      <c r="A401" s="10">
        <v>200</v>
      </c>
      <c r="B401" s="10">
        <v>2</v>
      </c>
      <c r="C401" s="10">
        <v>200</v>
      </c>
      <c r="D401" s="88">
        <v>45499</v>
      </c>
      <c r="E401" s="88">
        <v>45504</v>
      </c>
      <c r="F401" s="88">
        <v>45533</v>
      </c>
      <c r="G401" s="11">
        <v>24834.85</v>
      </c>
      <c r="H401" s="11">
        <v>24951.15</v>
      </c>
      <c r="I401" s="12"/>
      <c r="J401" s="12"/>
      <c r="K401" s="92"/>
      <c r="L401" s="92"/>
      <c r="M401" s="12" t="s">
        <v>40</v>
      </c>
      <c r="N401" s="10">
        <v>24400</v>
      </c>
      <c r="O401" s="95">
        <f>IF(F401=F399,O399,MROUND(G401,100))</f>
        <v>24400</v>
      </c>
      <c r="P401" s="95">
        <f>O401-N401</f>
        <v>0</v>
      </c>
      <c r="Q401" s="12" t="s">
        <v>91</v>
      </c>
      <c r="R401" s="10">
        <v>65</v>
      </c>
      <c r="S401" s="11">
        <v>178.65</v>
      </c>
      <c r="T401" s="11">
        <v>143.15</v>
      </c>
      <c r="U401" s="13">
        <v>-0.17979999999999999</v>
      </c>
      <c r="V401" s="13">
        <v>6.8699999999999997E-2</v>
      </c>
      <c r="W401" s="10">
        <v>0</v>
      </c>
      <c r="X401" s="14">
        <v>0</v>
      </c>
      <c r="Y401" s="11">
        <v>-35.5</v>
      </c>
      <c r="Z401" s="14">
        <v>-1.4294428997960529E-3</v>
      </c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 t="s">
        <v>90</v>
      </c>
    </row>
    <row r="402" spans="1:48" ht="18" hidden="1" customHeight="1" x14ac:dyDescent="0.25">
      <c r="A402" s="4">
        <v>201</v>
      </c>
      <c r="B402" s="4">
        <v>1</v>
      </c>
      <c r="C402" s="4">
        <v>201</v>
      </c>
      <c r="D402" s="87">
        <v>45504</v>
      </c>
      <c r="E402" s="87">
        <v>45509</v>
      </c>
      <c r="F402" s="87">
        <v>45512</v>
      </c>
      <c r="G402" s="5">
        <v>24951.15</v>
      </c>
      <c r="H402" s="5">
        <v>24055.599999999999</v>
      </c>
      <c r="I402" s="5">
        <v>-895.55</v>
      </c>
      <c r="J402" s="6">
        <v>-3.5892133228328148E-2</v>
      </c>
      <c r="K402" s="90"/>
      <c r="L402" s="90"/>
      <c r="M402" s="7" t="s">
        <v>28</v>
      </c>
      <c r="N402" s="4">
        <v>25000</v>
      </c>
      <c r="O402" s="94"/>
      <c r="P402" s="94"/>
      <c r="Q402" s="7" t="s">
        <v>89</v>
      </c>
      <c r="R402" s="4">
        <v>65</v>
      </c>
      <c r="S402" s="5">
        <v>161.6</v>
      </c>
      <c r="T402" s="5">
        <v>7.7</v>
      </c>
      <c r="U402" s="8">
        <v>-0.23730000000000001</v>
      </c>
      <c r="V402" s="8">
        <v>0.625</v>
      </c>
      <c r="W402" s="5">
        <v>153.9</v>
      </c>
      <c r="X402" s="6">
        <v>6.168052374339459E-3</v>
      </c>
      <c r="Y402" s="4">
        <v>0</v>
      </c>
      <c r="Z402" s="6">
        <v>0</v>
      </c>
      <c r="AA402" s="5">
        <v>58990.9</v>
      </c>
      <c r="AB402" s="5">
        <v>55857.25</v>
      </c>
      <c r="AC402" s="5">
        <v>-3133.65</v>
      </c>
      <c r="AD402" s="5">
        <v>-5.3121</v>
      </c>
      <c r="AE402" s="4">
        <v>5</v>
      </c>
      <c r="AF402" s="5">
        <v>-8.3333000000000004E-2</v>
      </c>
      <c r="AG402" s="5">
        <v>-3182.8090999999999</v>
      </c>
      <c r="AH402" s="5">
        <v>-5.3954000000000004</v>
      </c>
      <c r="AI402" s="8">
        <v>-6.0571000000000002</v>
      </c>
      <c r="AJ402" s="8">
        <v>0.4904</v>
      </c>
      <c r="AK402" s="9">
        <v>-2572.8090999999999</v>
      </c>
      <c r="AL402" s="9">
        <v>-2.9506000000000001</v>
      </c>
      <c r="AM402" s="5">
        <v>102.3896</v>
      </c>
      <c r="AN402" s="5">
        <v>105.5026</v>
      </c>
      <c r="AO402" s="5">
        <v>-3.113</v>
      </c>
      <c r="AP402" s="5">
        <v>-2.9506000000000001</v>
      </c>
      <c r="AQ402" s="8">
        <v>0.1333</v>
      </c>
      <c r="AR402" s="8">
        <v>-2.9036</v>
      </c>
      <c r="AS402" s="8">
        <v>-2.9506000000000001</v>
      </c>
      <c r="AT402" s="5">
        <v>102.3896</v>
      </c>
      <c r="AU402" s="5">
        <v>-2.9506000000000001</v>
      </c>
      <c r="AV402" s="7" t="s">
        <v>93</v>
      </c>
    </row>
    <row r="403" spans="1:48" ht="18" customHeight="1" x14ac:dyDescent="0.25">
      <c r="A403" s="10">
        <v>201</v>
      </c>
      <c r="B403" s="10">
        <v>2</v>
      </c>
      <c r="C403" s="10">
        <v>201</v>
      </c>
      <c r="D403" s="88">
        <v>45504</v>
      </c>
      <c r="E403" s="88">
        <v>45509</v>
      </c>
      <c r="F403" s="88">
        <v>45533</v>
      </c>
      <c r="G403" s="11">
        <v>24951.15</v>
      </c>
      <c r="H403" s="11">
        <v>24055.599999999999</v>
      </c>
      <c r="I403" s="12"/>
      <c r="J403" s="12"/>
      <c r="K403" s="92"/>
      <c r="L403" s="92"/>
      <c r="M403" s="12" t="s">
        <v>40</v>
      </c>
      <c r="N403" s="10">
        <v>24400</v>
      </c>
      <c r="O403" s="95">
        <f>IF(F403=F401,O401,MROUND(G403,100))</f>
        <v>24400</v>
      </c>
      <c r="P403" s="95">
        <f>O403-N403</f>
        <v>0</v>
      </c>
      <c r="Q403" s="12" t="s">
        <v>91</v>
      </c>
      <c r="R403" s="10">
        <v>65</v>
      </c>
      <c r="S403" s="11">
        <v>143.15</v>
      </c>
      <c r="T403" s="11">
        <v>599.25</v>
      </c>
      <c r="U403" s="13">
        <v>-0.1198</v>
      </c>
      <c r="V403" s="13">
        <v>2.5285000000000002</v>
      </c>
      <c r="W403" s="10">
        <v>0</v>
      </c>
      <c r="X403" s="14">
        <v>0</v>
      </c>
      <c r="Y403" s="11">
        <v>456.1</v>
      </c>
      <c r="Z403" s="14">
        <v>1.8279718570085951E-2</v>
      </c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 t="s">
        <v>93</v>
      </c>
    </row>
    <row r="404" spans="1:48" ht="18" hidden="1" customHeight="1" x14ac:dyDescent="0.25">
      <c r="A404" s="4">
        <v>202</v>
      </c>
      <c r="B404" s="4">
        <v>1</v>
      </c>
      <c r="C404" s="4">
        <v>202</v>
      </c>
      <c r="D404" s="87">
        <v>45509</v>
      </c>
      <c r="E404" s="87">
        <v>45511</v>
      </c>
      <c r="F404" s="87">
        <v>45512</v>
      </c>
      <c r="G404" s="5">
        <v>24055.599999999999</v>
      </c>
      <c r="H404" s="5">
        <v>24297.5</v>
      </c>
      <c r="I404" s="5">
        <v>241.9</v>
      </c>
      <c r="J404" s="6">
        <v>1.0055870566520891E-2</v>
      </c>
      <c r="K404" s="90"/>
      <c r="L404" s="90"/>
      <c r="M404" s="7" t="s">
        <v>28</v>
      </c>
      <c r="N404" s="4">
        <v>24100</v>
      </c>
      <c r="O404" s="94"/>
      <c r="P404" s="94"/>
      <c r="Q404" s="7" t="s">
        <v>89</v>
      </c>
      <c r="R404" s="4">
        <v>65</v>
      </c>
      <c r="S404" s="5">
        <v>192.85</v>
      </c>
      <c r="T404" s="5">
        <v>253.95</v>
      </c>
      <c r="U404" s="8">
        <v>-0.62270000000000003</v>
      </c>
      <c r="V404" s="8">
        <v>0.45579999999999998</v>
      </c>
      <c r="W404" s="5">
        <v>-61.1</v>
      </c>
      <c r="X404" s="6">
        <v>-2.5399491178769188E-3</v>
      </c>
      <c r="Y404" s="4">
        <v>0</v>
      </c>
      <c r="Z404" s="6">
        <v>0</v>
      </c>
      <c r="AA404" s="5">
        <v>55857.25</v>
      </c>
      <c r="AB404" s="5">
        <v>56873.8</v>
      </c>
      <c r="AC404" s="5">
        <v>1016.55</v>
      </c>
      <c r="AD404" s="5">
        <v>1.8199000000000001</v>
      </c>
      <c r="AE404" s="4">
        <v>2</v>
      </c>
      <c r="AF404" s="5">
        <v>-3.3333000000000002E-2</v>
      </c>
      <c r="AG404" s="5">
        <v>997.93089999999995</v>
      </c>
      <c r="AH404" s="5">
        <v>1.7866</v>
      </c>
      <c r="AI404" s="8">
        <v>-0.90280000000000005</v>
      </c>
      <c r="AJ404" s="8">
        <v>2.0325000000000002</v>
      </c>
      <c r="AK404" s="15">
        <v>694.18089999999995</v>
      </c>
      <c r="AL404" s="15">
        <v>0.52390000000000003</v>
      </c>
      <c r="AM404" s="5">
        <v>102.92610000000001</v>
      </c>
      <c r="AN404" s="5">
        <v>105.5026</v>
      </c>
      <c r="AO404" s="5">
        <v>-2.5764999999999998</v>
      </c>
      <c r="AP404" s="5">
        <v>-2.4422000000000001</v>
      </c>
      <c r="AQ404" s="8">
        <v>0.35680000000000001</v>
      </c>
      <c r="AR404" s="8">
        <v>-0.31630000000000003</v>
      </c>
      <c r="AS404" s="8">
        <v>-0.31630000000000003</v>
      </c>
      <c r="AT404" s="5">
        <v>102.0658</v>
      </c>
      <c r="AU404" s="5">
        <v>-3.2576000000000001</v>
      </c>
      <c r="AV404" s="7" t="s">
        <v>90</v>
      </c>
    </row>
    <row r="405" spans="1:48" ht="18" customHeight="1" x14ac:dyDescent="0.25">
      <c r="A405" s="10">
        <v>202</v>
      </c>
      <c r="B405" s="10">
        <v>2</v>
      </c>
      <c r="C405" s="10">
        <v>202</v>
      </c>
      <c r="D405" s="88">
        <v>45509</v>
      </c>
      <c r="E405" s="88">
        <v>45511</v>
      </c>
      <c r="F405" s="88">
        <v>45533</v>
      </c>
      <c r="G405" s="11">
        <v>24055.599999999999</v>
      </c>
      <c r="H405" s="11">
        <v>24297.5</v>
      </c>
      <c r="I405" s="12"/>
      <c r="J405" s="12"/>
      <c r="K405" s="92"/>
      <c r="L405" s="92"/>
      <c r="M405" s="12" t="s">
        <v>40</v>
      </c>
      <c r="N405" s="10">
        <v>24400</v>
      </c>
      <c r="O405" s="95">
        <f>IF(F405=F403,O403,MROUND(G405,100))</f>
        <v>24400</v>
      </c>
      <c r="P405" s="95">
        <f>O405-N405</f>
        <v>0</v>
      </c>
      <c r="Q405" s="12" t="s">
        <v>91</v>
      </c>
      <c r="R405" s="10">
        <v>65</v>
      </c>
      <c r="S405" s="11">
        <v>599.25</v>
      </c>
      <c r="T405" s="11">
        <v>356.6</v>
      </c>
      <c r="U405" s="13">
        <v>-1.0529999999999999</v>
      </c>
      <c r="V405" s="13">
        <v>0.13070000000000001</v>
      </c>
      <c r="W405" s="10">
        <v>0</v>
      </c>
      <c r="X405" s="14">
        <v>0</v>
      </c>
      <c r="Y405" s="11">
        <v>-242.65</v>
      </c>
      <c r="Z405" s="14">
        <v>-1.008704833801693E-2</v>
      </c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 t="s">
        <v>90</v>
      </c>
    </row>
    <row r="406" spans="1:48" ht="18" hidden="1" customHeight="1" x14ac:dyDescent="0.25">
      <c r="A406" s="4">
        <v>203</v>
      </c>
      <c r="B406" s="4">
        <v>1</v>
      </c>
      <c r="C406" s="4">
        <v>203</v>
      </c>
      <c r="D406" s="87">
        <v>45511</v>
      </c>
      <c r="E406" s="87">
        <v>45517</v>
      </c>
      <c r="F406" s="87">
        <v>45518</v>
      </c>
      <c r="G406" s="5">
        <v>24297.5</v>
      </c>
      <c r="H406" s="4">
        <v>24139</v>
      </c>
      <c r="I406" s="5">
        <v>-158.5</v>
      </c>
      <c r="J406" s="6">
        <v>-6.5233048667558387E-3</v>
      </c>
      <c r="K406" s="90"/>
      <c r="L406" s="90"/>
      <c r="M406" s="7" t="s">
        <v>28</v>
      </c>
      <c r="N406" s="4">
        <v>24300</v>
      </c>
      <c r="O406" s="94"/>
      <c r="P406" s="94"/>
      <c r="Q406" s="7" t="s">
        <v>89</v>
      </c>
      <c r="R406" s="4">
        <v>65</v>
      </c>
      <c r="S406" s="5">
        <v>218.35</v>
      </c>
      <c r="T406" s="5">
        <v>33.9</v>
      </c>
      <c r="U406" s="8">
        <v>-0.18729999999999999</v>
      </c>
      <c r="V406" s="8">
        <v>0.77700000000000002</v>
      </c>
      <c r="W406" s="5">
        <v>184.45</v>
      </c>
      <c r="X406" s="6">
        <v>7.5913159790101858E-3</v>
      </c>
      <c r="Y406" s="4">
        <v>0</v>
      </c>
      <c r="Z406" s="6">
        <v>0</v>
      </c>
      <c r="AA406" s="5">
        <v>56873.8</v>
      </c>
      <c r="AB406" s="5">
        <v>56881.5</v>
      </c>
      <c r="AC406" s="5">
        <v>7.7</v>
      </c>
      <c r="AD406" s="5">
        <v>1.35E-2</v>
      </c>
      <c r="AE406" s="4">
        <v>6</v>
      </c>
      <c r="AF406" s="5">
        <v>-0.1</v>
      </c>
      <c r="AG406" s="5">
        <v>-49.1738</v>
      </c>
      <c r="AH406" s="5">
        <v>-8.6499999999999994E-2</v>
      </c>
      <c r="AI406" s="8">
        <v>-0.49099999999999999</v>
      </c>
      <c r="AJ406" s="8">
        <v>1.2782</v>
      </c>
      <c r="AK406" s="15">
        <v>189.3262</v>
      </c>
      <c r="AL406" s="15">
        <v>0.89510000000000001</v>
      </c>
      <c r="AM406" s="5">
        <v>103.8473</v>
      </c>
      <c r="AN406" s="5">
        <v>105.5026</v>
      </c>
      <c r="AO406" s="5">
        <v>-1.6552</v>
      </c>
      <c r="AP406" s="5">
        <v>-1.5689</v>
      </c>
      <c r="AQ406" s="8">
        <v>0.57969999999999999</v>
      </c>
      <c r="AR406" s="8">
        <v>0.92149999999999999</v>
      </c>
      <c r="AS406" s="8">
        <v>0.57969999999999999</v>
      </c>
      <c r="AT406" s="5">
        <v>103.5227</v>
      </c>
      <c r="AU406" s="5">
        <v>-1.8766</v>
      </c>
      <c r="AV406" s="7" t="s">
        <v>90</v>
      </c>
    </row>
    <row r="407" spans="1:48" ht="18" customHeight="1" x14ac:dyDescent="0.25">
      <c r="A407" s="10">
        <v>203</v>
      </c>
      <c r="B407" s="10">
        <v>2</v>
      </c>
      <c r="C407" s="10">
        <v>203</v>
      </c>
      <c r="D407" s="88">
        <v>45511</v>
      </c>
      <c r="E407" s="88">
        <v>45517</v>
      </c>
      <c r="F407" s="88">
        <v>45533</v>
      </c>
      <c r="G407" s="11">
        <v>24297.5</v>
      </c>
      <c r="H407" s="10">
        <v>24139</v>
      </c>
      <c r="I407" s="12"/>
      <c r="J407" s="12"/>
      <c r="K407" s="92"/>
      <c r="L407" s="92"/>
      <c r="M407" s="12" t="s">
        <v>40</v>
      </c>
      <c r="N407" s="10">
        <v>24400</v>
      </c>
      <c r="O407" s="95">
        <f>IF(F407=F405,O405,MROUND(G407,100))</f>
        <v>24400</v>
      </c>
      <c r="P407" s="95">
        <f>O407-N407</f>
        <v>0</v>
      </c>
      <c r="Q407" s="12" t="s">
        <v>91</v>
      </c>
      <c r="R407" s="10">
        <v>65</v>
      </c>
      <c r="S407" s="11">
        <v>356.6</v>
      </c>
      <c r="T407" s="11">
        <v>410.65</v>
      </c>
      <c r="U407" s="13">
        <v>-0.51119999999999999</v>
      </c>
      <c r="V407" s="13">
        <v>0.63549999999999995</v>
      </c>
      <c r="W407" s="10">
        <v>0</v>
      </c>
      <c r="X407" s="14">
        <v>0</v>
      </c>
      <c r="Y407" s="11">
        <v>54.05</v>
      </c>
      <c r="Z407" s="14">
        <v>2.2245086943101138E-3</v>
      </c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 t="s">
        <v>90</v>
      </c>
    </row>
    <row r="408" spans="1:48" ht="18" hidden="1" customHeight="1" x14ac:dyDescent="0.25">
      <c r="A408" s="4">
        <v>204</v>
      </c>
      <c r="B408" s="4">
        <v>1</v>
      </c>
      <c r="C408" s="4">
        <v>204</v>
      </c>
      <c r="D408" s="87">
        <v>45517</v>
      </c>
      <c r="E408" s="87">
        <v>45520</v>
      </c>
      <c r="F408" s="87">
        <v>45526</v>
      </c>
      <c r="G408" s="4">
        <v>24139</v>
      </c>
      <c r="H408" s="5">
        <v>24541.15</v>
      </c>
      <c r="I408" s="5">
        <v>402.15</v>
      </c>
      <c r="J408" s="6">
        <v>1.6659762210530671E-2</v>
      </c>
      <c r="K408" s="90"/>
      <c r="L408" s="90"/>
      <c r="M408" s="7" t="s">
        <v>28</v>
      </c>
      <c r="N408" s="4">
        <v>24100</v>
      </c>
      <c r="O408" s="94"/>
      <c r="P408" s="94"/>
      <c r="Q408" s="7" t="s">
        <v>89</v>
      </c>
      <c r="R408" s="4">
        <v>65</v>
      </c>
      <c r="S408" s="5">
        <v>246.9</v>
      </c>
      <c r="T408" s="5">
        <v>490.85</v>
      </c>
      <c r="U408" s="8">
        <v>-1.0996999999999999</v>
      </c>
      <c r="V408" s="8">
        <v>0.18140000000000001</v>
      </c>
      <c r="W408" s="5">
        <v>-243.95</v>
      </c>
      <c r="X408" s="6">
        <v>-1.010605244624881E-2</v>
      </c>
      <c r="Y408" s="4">
        <v>0</v>
      </c>
      <c r="Z408" s="6">
        <v>0</v>
      </c>
      <c r="AA408" s="5">
        <v>56881.5</v>
      </c>
      <c r="AB408" s="4">
        <v>57656</v>
      </c>
      <c r="AC408" s="5">
        <v>774.5</v>
      </c>
      <c r="AD408" s="5">
        <v>1.3615999999999999</v>
      </c>
      <c r="AE408" s="4">
        <v>3</v>
      </c>
      <c r="AF408" s="5">
        <v>-0.05</v>
      </c>
      <c r="AG408" s="5">
        <v>746.05930000000001</v>
      </c>
      <c r="AH408" s="5">
        <v>1.3116000000000001</v>
      </c>
      <c r="AI408" s="8">
        <v>-0.95599999999999996</v>
      </c>
      <c r="AJ408" s="8">
        <v>1.3877999999999999</v>
      </c>
      <c r="AK408" s="15">
        <v>230.6593</v>
      </c>
      <c r="AL408" s="15">
        <v>-0.82350000000000001</v>
      </c>
      <c r="AM408" s="5">
        <v>102.9922</v>
      </c>
      <c r="AN408" s="5">
        <v>105.5026</v>
      </c>
      <c r="AO408" s="5">
        <v>-2.5104000000000002</v>
      </c>
      <c r="AP408" s="5">
        <v>-2.3795000000000002</v>
      </c>
      <c r="AQ408" s="8">
        <v>-0.86890000000000001</v>
      </c>
      <c r="AR408" s="8">
        <v>-0.6089</v>
      </c>
      <c r="AS408" s="8">
        <v>-0.86890000000000001</v>
      </c>
      <c r="AT408" s="5">
        <v>102.94499999999999</v>
      </c>
      <c r="AU408" s="5">
        <v>-2.4241999999999999</v>
      </c>
      <c r="AV408" s="7" t="s">
        <v>96</v>
      </c>
    </row>
    <row r="409" spans="1:48" ht="18" customHeight="1" x14ac:dyDescent="0.25">
      <c r="A409" s="10">
        <v>204</v>
      </c>
      <c r="B409" s="10">
        <v>2</v>
      </c>
      <c r="C409" s="10">
        <v>204</v>
      </c>
      <c r="D409" s="88">
        <v>45517</v>
      </c>
      <c r="E409" s="88">
        <v>45520</v>
      </c>
      <c r="F409" s="88">
        <v>45533</v>
      </c>
      <c r="G409" s="10">
        <v>24139</v>
      </c>
      <c r="H409" s="11">
        <v>24541.15</v>
      </c>
      <c r="I409" s="12"/>
      <c r="J409" s="12"/>
      <c r="K409" s="92"/>
      <c r="L409" s="92"/>
      <c r="M409" s="12" t="s">
        <v>40</v>
      </c>
      <c r="N409" s="10">
        <v>24400</v>
      </c>
      <c r="O409" s="95">
        <f>IF(F409=F407,O407,MROUND(G409,100))</f>
        <v>24400</v>
      </c>
      <c r="P409" s="95">
        <f>O409-N409</f>
        <v>0</v>
      </c>
      <c r="Q409" s="12" t="s">
        <v>91</v>
      </c>
      <c r="R409" s="10">
        <v>65</v>
      </c>
      <c r="S409" s="11">
        <v>410.65</v>
      </c>
      <c r="T409" s="11">
        <v>139.19999999999999</v>
      </c>
      <c r="U409" s="13">
        <v>-1.157</v>
      </c>
      <c r="V409" s="13">
        <v>0.16569999999999999</v>
      </c>
      <c r="W409" s="10">
        <v>0</v>
      </c>
      <c r="X409" s="14">
        <v>0</v>
      </c>
      <c r="Y409" s="11">
        <v>-271.45</v>
      </c>
      <c r="Z409" s="14">
        <v>-1.124528770868719E-2</v>
      </c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 t="s">
        <v>96</v>
      </c>
    </row>
    <row r="410" spans="1:48" ht="18" hidden="1" customHeight="1" x14ac:dyDescent="0.25">
      <c r="A410" s="4">
        <v>205</v>
      </c>
      <c r="B410" s="4">
        <v>1</v>
      </c>
      <c r="C410" s="4">
        <v>205</v>
      </c>
      <c r="D410" s="87">
        <v>45520</v>
      </c>
      <c r="E410" s="87">
        <v>45525</v>
      </c>
      <c r="F410" s="87">
        <v>45526</v>
      </c>
      <c r="G410" s="5">
        <v>24541.15</v>
      </c>
      <c r="H410" s="5">
        <v>24770.2</v>
      </c>
      <c r="I410" s="5">
        <v>229.05</v>
      </c>
      <c r="J410" s="6">
        <v>9.3333034515497432E-3</v>
      </c>
      <c r="K410" s="90"/>
      <c r="L410" s="90"/>
      <c r="M410" s="7" t="s">
        <v>28</v>
      </c>
      <c r="N410" s="4">
        <v>24500</v>
      </c>
      <c r="O410" s="94"/>
      <c r="P410" s="94"/>
      <c r="Q410" s="7" t="s">
        <v>89</v>
      </c>
      <c r="R410" s="4">
        <v>65</v>
      </c>
      <c r="S410" s="4">
        <v>170</v>
      </c>
      <c r="T410" s="5">
        <v>273.14999999999998</v>
      </c>
      <c r="U410" s="8">
        <v>-0.48080000000000001</v>
      </c>
      <c r="V410" s="8">
        <v>0.19359999999999999</v>
      </c>
      <c r="W410" s="5">
        <v>-103.15</v>
      </c>
      <c r="X410" s="6">
        <v>-4.2031445144176212E-3</v>
      </c>
      <c r="Y410" s="4">
        <v>0</v>
      </c>
      <c r="Z410" s="6">
        <v>0</v>
      </c>
      <c r="AA410" s="4">
        <v>57656</v>
      </c>
      <c r="AB410" s="5">
        <v>58444.05</v>
      </c>
      <c r="AC410" s="5">
        <v>788.05</v>
      </c>
      <c r="AD410" s="5">
        <v>1.3668</v>
      </c>
      <c r="AE410" s="4">
        <v>5</v>
      </c>
      <c r="AF410" s="5">
        <v>-8.3333000000000004E-2</v>
      </c>
      <c r="AG410" s="5">
        <v>740.00329999999997</v>
      </c>
      <c r="AH410" s="5">
        <v>1.2835000000000001</v>
      </c>
      <c r="AI410" s="8">
        <v>-0.10680000000000001</v>
      </c>
      <c r="AJ410" s="8">
        <v>1.3939999999999999</v>
      </c>
      <c r="AK410" s="15">
        <v>539.00329999999997</v>
      </c>
      <c r="AL410" s="15">
        <v>0.46450000000000002</v>
      </c>
      <c r="AM410" s="5">
        <v>103.4706</v>
      </c>
      <c r="AN410" s="5">
        <v>105.5026</v>
      </c>
      <c r="AO410" s="5">
        <v>-2.032</v>
      </c>
      <c r="AP410" s="5">
        <v>-1.9260999999999999</v>
      </c>
      <c r="AQ410" s="8">
        <v>0.50349999999999995</v>
      </c>
      <c r="AR410" s="8">
        <v>0.12859999999999999</v>
      </c>
      <c r="AS410" s="8">
        <v>0.12859999999999999</v>
      </c>
      <c r="AT410" s="5">
        <v>103.1246</v>
      </c>
      <c r="AU410" s="5">
        <v>-2.254</v>
      </c>
      <c r="AV410" s="7" t="s">
        <v>90</v>
      </c>
    </row>
    <row r="411" spans="1:48" ht="18" customHeight="1" x14ac:dyDescent="0.25">
      <c r="A411" s="10">
        <v>205</v>
      </c>
      <c r="B411" s="10">
        <v>2</v>
      </c>
      <c r="C411" s="10">
        <v>205</v>
      </c>
      <c r="D411" s="88">
        <v>45520</v>
      </c>
      <c r="E411" s="88">
        <v>45525</v>
      </c>
      <c r="F411" s="88">
        <v>45533</v>
      </c>
      <c r="G411" s="11">
        <v>24541.15</v>
      </c>
      <c r="H411" s="11">
        <v>24770.2</v>
      </c>
      <c r="I411" s="12"/>
      <c r="J411" s="12"/>
      <c r="K411" s="92"/>
      <c r="L411" s="92"/>
      <c r="M411" s="12" t="s">
        <v>40</v>
      </c>
      <c r="N411" s="10">
        <v>24400</v>
      </c>
      <c r="O411" s="95">
        <f>IF(F411=F409,O409,MROUND(G411,100))</f>
        <v>24400</v>
      </c>
      <c r="P411" s="95">
        <f>O411-N411</f>
        <v>0</v>
      </c>
      <c r="Q411" s="12" t="s">
        <v>91</v>
      </c>
      <c r="R411" s="10">
        <v>65</v>
      </c>
      <c r="S411" s="11">
        <v>139.19999999999999</v>
      </c>
      <c r="T411" s="11">
        <v>41.35</v>
      </c>
      <c r="U411" s="13">
        <v>-0.40970000000000001</v>
      </c>
      <c r="V411" s="13">
        <v>4.1799999999999997E-2</v>
      </c>
      <c r="W411" s="10">
        <v>0</v>
      </c>
      <c r="X411" s="14">
        <v>0</v>
      </c>
      <c r="Y411" s="11">
        <v>-97.85</v>
      </c>
      <c r="Z411" s="14">
        <v>-3.9871807148401774E-3</v>
      </c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 t="s">
        <v>90</v>
      </c>
    </row>
    <row r="412" spans="1:48" ht="18" hidden="1" customHeight="1" x14ac:dyDescent="0.25">
      <c r="A412" s="4">
        <v>206</v>
      </c>
      <c r="B412" s="4">
        <v>1</v>
      </c>
      <c r="C412" s="4">
        <v>206</v>
      </c>
      <c r="D412" s="87">
        <v>45525</v>
      </c>
      <c r="E412" s="87">
        <v>45532</v>
      </c>
      <c r="F412" s="87">
        <v>45533</v>
      </c>
      <c r="G412" s="5">
        <v>24770.2</v>
      </c>
      <c r="H412" s="5">
        <v>25052.35</v>
      </c>
      <c r="I412" s="5">
        <v>282.14999999999998</v>
      </c>
      <c r="J412" s="6">
        <v>1.1390703345148599E-2</v>
      </c>
      <c r="K412" s="90"/>
      <c r="L412" s="90"/>
      <c r="M412" s="7" t="s">
        <v>28</v>
      </c>
      <c r="N412" s="4">
        <v>24800</v>
      </c>
      <c r="O412" s="94"/>
      <c r="P412" s="94"/>
      <c r="Q412" s="7" t="s">
        <v>89</v>
      </c>
      <c r="R412" s="4">
        <v>65</v>
      </c>
      <c r="S412" s="5">
        <v>152.80000000000001</v>
      </c>
      <c r="T412" s="5">
        <v>251.6</v>
      </c>
      <c r="U412" s="8">
        <v>-0.81630000000000003</v>
      </c>
      <c r="V412" s="8">
        <v>8.4000000000000005E-2</v>
      </c>
      <c r="W412" s="5">
        <v>-98.8</v>
      </c>
      <c r="X412" s="6">
        <v>-3.9886637976277936E-3</v>
      </c>
      <c r="Y412" s="4">
        <v>0</v>
      </c>
      <c r="Z412" s="6">
        <v>0</v>
      </c>
      <c r="AA412" s="5">
        <v>58444.05</v>
      </c>
      <c r="AB412" s="5">
        <v>59146.400000000001</v>
      </c>
      <c r="AC412" s="5">
        <v>702.35</v>
      </c>
      <c r="AD412" s="5">
        <v>1.2017</v>
      </c>
      <c r="AE412" s="4">
        <v>7</v>
      </c>
      <c r="AF412" s="5">
        <v>-0.11666700000000001</v>
      </c>
      <c r="AG412" s="5">
        <v>634.1653</v>
      </c>
      <c r="AH412" s="5">
        <v>1.0851</v>
      </c>
      <c r="AI412" s="8">
        <v>9.35E-2</v>
      </c>
      <c r="AJ412" s="8">
        <v>1.5388999999999999</v>
      </c>
      <c r="AK412" s="15">
        <v>494.9153</v>
      </c>
      <c r="AL412" s="15">
        <v>0.52290000000000003</v>
      </c>
      <c r="AM412" s="5">
        <v>104.0116</v>
      </c>
      <c r="AN412" s="5">
        <v>105.5026</v>
      </c>
      <c r="AO412" s="5">
        <v>-1.4910000000000001</v>
      </c>
      <c r="AP412" s="5">
        <v>-1.4132</v>
      </c>
      <c r="AQ412" s="8">
        <v>0.55869999999999997</v>
      </c>
      <c r="AR412" s="8">
        <v>0.15329999999999999</v>
      </c>
      <c r="AS412" s="8">
        <v>0.15329999999999999</v>
      </c>
      <c r="AT412" s="5">
        <v>103.6292</v>
      </c>
      <c r="AU412" s="5">
        <v>-1.7757000000000001</v>
      </c>
      <c r="AV412" s="7" t="s">
        <v>92</v>
      </c>
    </row>
    <row r="413" spans="1:48" ht="18" customHeight="1" x14ac:dyDescent="0.25">
      <c r="A413" s="10">
        <v>206</v>
      </c>
      <c r="B413" s="10">
        <v>2</v>
      </c>
      <c r="C413" s="10">
        <v>206</v>
      </c>
      <c r="D413" s="88">
        <v>45525</v>
      </c>
      <c r="E413" s="88">
        <v>45532</v>
      </c>
      <c r="F413" s="88">
        <v>45533</v>
      </c>
      <c r="G413" s="11">
        <v>24770.2</v>
      </c>
      <c r="H413" s="11">
        <v>25052.35</v>
      </c>
      <c r="I413" s="12"/>
      <c r="J413" s="12"/>
      <c r="K413" s="92"/>
      <c r="L413" s="92"/>
      <c r="M413" s="12" t="s">
        <v>40</v>
      </c>
      <c r="N413" s="10">
        <v>24400</v>
      </c>
      <c r="O413" s="95">
        <f>IF(F413=F411,O411,MROUND(G413,100))</f>
        <v>24400</v>
      </c>
      <c r="P413" s="95">
        <f>O413-N413</f>
        <v>0</v>
      </c>
      <c r="Q413" s="12" t="s">
        <v>91</v>
      </c>
      <c r="R413" s="10">
        <v>65</v>
      </c>
      <c r="S413" s="11">
        <v>41.35</v>
      </c>
      <c r="T413" s="11">
        <v>0.9</v>
      </c>
      <c r="U413" s="13">
        <v>-0.16389999999999999</v>
      </c>
      <c r="V413" s="13">
        <v>-2.4199999999999999E-2</v>
      </c>
      <c r="W413" s="10">
        <v>0</v>
      </c>
      <c r="X413" s="14">
        <v>0</v>
      </c>
      <c r="Y413" s="11">
        <v>-40.450000000000003</v>
      </c>
      <c r="Z413" s="14">
        <v>-1.633010633745388E-3</v>
      </c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 t="s">
        <v>92</v>
      </c>
    </row>
    <row r="414" spans="1:48" ht="18" hidden="1" customHeight="1" x14ac:dyDescent="0.25">
      <c r="A414" s="4">
        <v>207</v>
      </c>
      <c r="B414" s="4">
        <v>1</v>
      </c>
      <c r="C414" s="4">
        <v>207</v>
      </c>
      <c r="D414" s="87">
        <v>45532</v>
      </c>
      <c r="E414" s="87">
        <v>45539</v>
      </c>
      <c r="F414" s="87">
        <v>45540</v>
      </c>
      <c r="G414" s="5">
        <v>25052.35</v>
      </c>
      <c r="H414" s="5">
        <v>25198.7</v>
      </c>
      <c r="I414" s="5">
        <v>146.35</v>
      </c>
      <c r="J414" s="6">
        <v>5.8417673391917323E-3</v>
      </c>
      <c r="K414" s="90"/>
      <c r="L414" s="90"/>
      <c r="M414" s="7" t="s">
        <v>28</v>
      </c>
      <c r="N414" s="4">
        <v>25100</v>
      </c>
      <c r="O414" s="94"/>
      <c r="P414" s="94"/>
      <c r="Q414" s="7" t="s">
        <v>89</v>
      </c>
      <c r="R414" s="4">
        <v>65</v>
      </c>
      <c r="S414" s="5">
        <v>147.4</v>
      </c>
      <c r="T414" s="5">
        <v>109.9</v>
      </c>
      <c r="U414" s="8">
        <v>-0.80469999999999997</v>
      </c>
      <c r="V414" s="8">
        <v>0.30320000000000003</v>
      </c>
      <c r="W414" s="5">
        <v>37.5</v>
      </c>
      <c r="X414" s="6">
        <v>1.4968655635100099E-3</v>
      </c>
      <c r="Y414" s="4">
        <v>0</v>
      </c>
      <c r="Z414" s="6">
        <v>0</v>
      </c>
      <c r="AA414" s="5">
        <v>59146.400000000001</v>
      </c>
      <c r="AB414" s="5">
        <v>59223.7</v>
      </c>
      <c r="AC414" s="5">
        <v>77.3</v>
      </c>
      <c r="AD414" s="5">
        <v>0.13070000000000001</v>
      </c>
      <c r="AE414" s="4">
        <v>7</v>
      </c>
      <c r="AF414" s="5">
        <v>-0.11666700000000001</v>
      </c>
      <c r="AG414" s="5">
        <v>8.2958999999999996</v>
      </c>
      <c r="AH414" s="5">
        <v>1.4E-2</v>
      </c>
      <c r="AI414" s="8">
        <v>-1.0706</v>
      </c>
      <c r="AJ414" s="8">
        <v>0.56459999999999999</v>
      </c>
      <c r="AK414" s="9">
        <v>-4.5541</v>
      </c>
      <c r="AL414" s="9">
        <v>-3.73E-2</v>
      </c>
      <c r="AM414" s="5">
        <v>103.97280000000001</v>
      </c>
      <c r="AN414" s="5">
        <v>105.5026</v>
      </c>
      <c r="AO414" s="5">
        <v>-1.5298</v>
      </c>
      <c r="AP414" s="5">
        <v>-1.45</v>
      </c>
      <c r="AQ414" s="8">
        <v>-0.68300000000000005</v>
      </c>
      <c r="AR414" s="8">
        <v>-0.59399999999999997</v>
      </c>
      <c r="AS414" s="8">
        <v>-0.68300000000000005</v>
      </c>
      <c r="AT414" s="5">
        <v>103.30119999999999</v>
      </c>
      <c r="AU414" s="5">
        <v>-2.0865999999999998</v>
      </c>
      <c r="AV414" s="7" t="s">
        <v>90</v>
      </c>
    </row>
    <row r="415" spans="1:48" ht="18" customHeight="1" x14ac:dyDescent="0.25">
      <c r="A415" s="10">
        <v>207</v>
      </c>
      <c r="B415" s="10">
        <v>2</v>
      </c>
      <c r="C415" s="10">
        <v>207</v>
      </c>
      <c r="D415" s="88">
        <v>45532</v>
      </c>
      <c r="E415" s="88">
        <v>45539</v>
      </c>
      <c r="F415" s="88">
        <v>45561</v>
      </c>
      <c r="G415" s="11">
        <v>25052.35</v>
      </c>
      <c r="H415" s="11">
        <v>25198.7</v>
      </c>
      <c r="I415" s="12"/>
      <c r="J415" s="12"/>
      <c r="K415" s="92"/>
      <c r="L415" s="92"/>
      <c r="M415" s="12" t="s">
        <v>40</v>
      </c>
      <c r="N415" s="10">
        <v>25100</v>
      </c>
      <c r="O415" s="95">
        <f>IF(F415=F413,O413,MROUND(G415,100))</f>
        <v>25100</v>
      </c>
      <c r="P415" s="95">
        <f>O415-N415</f>
        <v>0</v>
      </c>
      <c r="Q415" s="12" t="s">
        <v>91</v>
      </c>
      <c r="R415" s="10">
        <v>65</v>
      </c>
      <c r="S415" s="11">
        <v>306.55</v>
      </c>
      <c r="T415" s="11">
        <v>256.2</v>
      </c>
      <c r="U415" s="13">
        <v>-0.44290000000000002</v>
      </c>
      <c r="V415" s="13">
        <v>0.1734</v>
      </c>
      <c r="W415" s="10">
        <v>0</v>
      </c>
      <c r="X415" s="14">
        <v>0</v>
      </c>
      <c r="Y415" s="11">
        <v>-50.35</v>
      </c>
      <c r="Z415" s="14">
        <v>-2.0097914966061069E-3</v>
      </c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 t="s">
        <v>90</v>
      </c>
    </row>
    <row r="416" spans="1:48" ht="18" hidden="1" customHeight="1" x14ac:dyDescent="0.25">
      <c r="A416" s="4">
        <v>208</v>
      </c>
      <c r="B416" s="4">
        <v>1</v>
      </c>
      <c r="C416" s="4">
        <v>208</v>
      </c>
      <c r="D416" s="87">
        <v>45539</v>
      </c>
      <c r="E416" s="87">
        <v>45541</v>
      </c>
      <c r="F416" s="87">
        <v>45547</v>
      </c>
      <c r="G416" s="5">
        <v>25198.7</v>
      </c>
      <c r="H416" s="5">
        <v>24852.15</v>
      </c>
      <c r="I416" s="5">
        <v>-346.55</v>
      </c>
      <c r="J416" s="6">
        <v>-1.375269359133606E-2</v>
      </c>
      <c r="K416" s="90"/>
      <c r="L416" s="90"/>
      <c r="M416" s="7" t="s">
        <v>28</v>
      </c>
      <c r="N416" s="4">
        <v>25200</v>
      </c>
      <c r="O416" s="94"/>
      <c r="P416" s="94"/>
      <c r="Q416" s="7" t="s">
        <v>89</v>
      </c>
      <c r="R416" s="4">
        <v>65</v>
      </c>
      <c r="S416" s="4">
        <v>159</v>
      </c>
      <c r="T416" s="5">
        <v>40.15</v>
      </c>
      <c r="U416" s="8">
        <v>-0.127</v>
      </c>
      <c r="V416" s="8">
        <v>0.48809999999999998</v>
      </c>
      <c r="W416" s="5">
        <v>118.85</v>
      </c>
      <c r="X416" s="6">
        <v>4.7165131534563287E-3</v>
      </c>
      <c r="Y416" s="4">
        <v>0</v>
      </c>
      <c r="Z416" s="6">
        <v>0</v>
      </c>
      <c r="AA416" s="5">
        <v>59223.7</v>
      </c>
      <c r="AB416" s="5">
        <v>58501.95</v>
      </c>
      <c r="AC416" s="5">
        <v>-721.75</v>
      </c>
      <c r="AD416" s="5">
        <v>-1.2186999999999999</v>
      </c>
      <c r="AE416" s="4">
        <v>2</v>
      </c>
      <c r="AF416" s="5">
        <v>-3.3333000000000002E-2</v>
      </c>
      <c r="AG416" s="5">
        <v>-741.49120000000005</v>
      </c>
      <c r="AH416" s="5">
        <v>-1.252</v>
      </c>
      <c r="AI416" s="8">
        <v>-1.4291</v>
      </c>
      <c r="AJ416" s="8">
        <v>0.61409999999999998</v>
      </c>
      <c r="AK416" s="9">
        <v>-457.74119999999999</v>
      </c>
      <c r="AL416" s="9">
        <v>-0.12590000000000001</v>
      </c>
      <c r="AM416" s="5">
        <v>103.8419</v>
      </c>
      <c r="AN416" s="5">
        <v>105.5026</v>
      </c>
      <c r="AO416" s="5">
        <v>-1.6607000000000001</v>
      </c>
      <c r="AP416" s="5">
        <v>-1.5741000000000001</v>
      </c>
      <c r="AQ416" s="8">
        <v>0.33750000000000002</v>
      </c>
      <c r="AR416" s="8">
        <v>-0.115</v>
      </c>
      <c r="AS416" s="8">
        <v>-0.12590000000000001</v>
      </c>
      <c r="AT416" s="5">
        <v>103.8419</v>
      </c>
      <c r="AU416" s="5">
        <v>-1.5741000000000001</v>
      </c>
      <c r="AV416" s="7" t="s">
        <v>93</v>
      </c>
    </row>
    <row r="417" spans="1:48" ht="18" customHeight="1" x14ac:dyDescent="0.25">
      <c r="A417" s="10">
        <v>208</v>
      </c>
      <c r="B417" s="10">
        <v>2</v>
      </c>
      <c r="C417" s="10">
        <v>208</v>
      </c>
      <c r="D417" s="88">
        <v>45539</v>
      </c>
      <c r="E417" s="88">
        <v>45541</v>
      </c>
      <c r="F417" s="88">
        <v>45561</v>
      </c>
      <c r="G417" s="11">
        <v>25198.7</v>
      </c>
      <c r="H417" s="11">
        <v>24852.15</v>
      </c>
      <c r="I417" s="12"/>
      <c r="J417" s="12"/>
      <c r="K417" s="92"/>
      <c r="L417" s="92"/>
      <c r="M417" s="12" t="s">
        <v>40</v>
      </c>
      <c r="N417" s="10">
        <v>25100</v>
      </c>
      <c r="O417" s="95">
        <f>IF(F417=F415,O415,MROUND(G417,100))</f>
        <v>25100</v>
      </c>
      <c r="P417" s="95">
        <f>O417-N417</f>
        <v>0</v>
      </c>
      <c r="Q417" s="12" t="s">
        <v>91</v>
      </c>
      <c r="R417" s="10">
        <v>65</v>
      </c>
      <c r="S417" s="11">
        <v>256.2</v>
      </c>
      <c r="T417" s="11">
        <v>421.1</v>
      </c>
      <c r="U417" s="13">
        <v>-0.14960000000000001</v>
      </c>
      <c r="V417" s="13">
        <v>0.82599999999999996</v>
      </c>
      <c r="W417" s="10">
        <v>0</v>
      </c>
      <c r="X417" s="14">
        <v>0</v>
      </c>
      <c r="Y417" s="11">
        <v>164.9</v>
      </c>
      <c r="Z417" s="14">
        <v>6.5439883803529546E-3</v>
      </c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 t="s">
        <v>93</v>
      </c>
    </row>
    <row r="418" spans="1:48" ht="18" hidden="1" customHeight="1" x14ac:dyDescent="0.25">
      <c r="A418" s="4">
        <v>209</v>
      </c>
      <c r="B418" s="4">
        <v>1</v>
      </c>
      <c r="C418" s="4">
        <v>209</v>
      </c>
      <c r="D418" s="87">
        <v>45541</v>
      </c>
      <c r="E418" s="87">
        <v>45546</v>
      </c>
      <c r="F418" s="87">
        <v>45547</v>
      </c>
      <c r="G418" s="5">
        <v>24852.15</v>
      </c>
      <c r="H418" s="5">
        <v>24918.45</v>
      </c>
      <c r="I418" s="5">
        <v>66.3</v>
      </c>
      <c r="J418" s="6">
        <v>2.667777234565218E-3</v>
      </c>
      <c r="K418" s="90"/>
      <c r="L418" s="90"/>
      <c r="M418" s="7" t="s">
        <v>28</v>
      </c>
      <c r="N418" s="4">
        <v>24900</v>
      </c>
      <c r="O418" s="94"/>
      <c r="P418" s="94"/>
      <c r="Q418" s="7" t="s">
        <v>89</v>
      </c>
      <c r="R418" s="4">
        <v>65</v>
      </c>
      <c r="S418" s="5">
        <v>140.85</v>
      </c>
      <c r="T418" s="5">
        <v>63.75</v>
      </c>
      <c r="U418" s="8">
        <v>-0.432</v>
      </c>
      <c r="V418" s="8">
        <v>0.35389999999999999</v>
      </c>
      <c r="W418" s="5">
        <v>77.099999999999994</v>
      </c>
      <c r="X418" s="6">
        <v>3.1023472818247108E-3</v>
      </c>
      <c r="Y418" s="4">
        <v>0</v>
      </c>
      <c r="Z418" s="6">
        <v>0</v>
      </c>
      <c r="AA418" s="5">
        <v>58501.95</v>
      </c>
      <c r="AB418" s="5">
        <v>58938.05</v>
      </c>
      <c r="AC418" s="5">
        <v>436.1</v>
      </c>
      <c r="AD418" s="5">
        <v>0.74539999999999995</v>
      </c>
      <c r="AE418" s="4">
        <v>5</v>
      </c>
      <c r="AF418" s="5">
        <v>-8.3333000000000004E-2</v>
      </c>
      <c r="AG418" s="5">
        <v>387.34840000000003</v>
      </c>
      <c r="AH418" s="5">
        <v>0.66210000000000002</v>
      </c>
      <c r="AI418" s="8">
        <v>-1.2643</v>
      </c>
      <c r="AJ418" s="8">
        <v>1.5863</v>
      </c>
      <c r="AK418" s="15">
        <v>382.79840000000002</v>
      </c>
      <c r="AL418" s="15">
        <v>0.64380000000000004</v>
      </c>
      <c r="AM418" s="5">
        <v>104.5104</v>
      </c>
      <c r="AN418" s="5">
        <v>105.5026</v>
      </c>
      <c r="AO418" s="5">
        <v>-0.99209999999999998</v>
      </c>
      <c r="AP418" s="5">
        <v>-0.94040000000000001</v>
      </c>
      <c r="AQ418" s="8">
        <v>0.37790000000000001</v>
      </c>
      <c r="AR418" s="8">
        <v>-0.72889999999999999</v>
      </c>
      <c r="AS418" s="8">
        <v>-0.72889999999999999</v>
      </c>
      <c r="AT418" s="5">
        <v>103.08499999999999</v>
      </c>
      <c r="AU418" s="5">
        <v>-2.2915000000000001</v>
      </c>
      <c r="AV418" s="7" t="s">
        <v>90</v>
      </c>
    </row>
    <row r="419" spans="1:48" ht="18" customHeight="1" x14ac:dyDescent="0.25">
      <c r="A419" s="10">
        <v>209</v>
      </c>
      <c r="B419" s="10">
        <v>2</v>
      </c>
      <c r="C419" s="10">
        <v>209</v>
      </c>
      <c r="D419" s="88">
        <v>45541</v>
      </c>
      <c r="E419" s="88">
        <v>45546</v>
      </c>
      <c r="F419" s="88">
        <v>45561</v>
      </c>
      <c r="G419" s="11">
        <v>24852.15</v>
      </c>
      <c r="H419" s="11">
        <v>24918.45</v>
      </c>
      <c r="I419" s="12"/>
      <c r="J419" s="12"/>
      <c r="K419" s="92"/>
      <c r="L419" s="92"/>
      <c r="M419" s="12" t="s">
        <v>40</v>
      </c>
      <c r="N419" s="10">
        <v>25100</v>
      </c>
      <c r="O419" s="95">
        <f>IF(F419=F417,O417,MROUND(G419,100))</f>
        <v>25100</v>
      </c>
      <c r="P419" s="95">
        <f>O419-N419</f>
        <v>0</v>
      </c>
      <c r="Q419" s="12" t="s">
        <v>91</v>
      </c>
      <c r="R419" s="10">
        <v>65</v>
      </c>
      <c r="S419" s="11">
        <v>421.1</v>
      </c>
      <c r="T419" s="11">
        <v>339.45</v>
      </c>
      <c r="U419" s="13">
        <v>-0.77639999999999998</v>
      </c>
      <c r="V419" s="13">
        <v>0.18149999999999999</v>
      </c>
      <c r="W419" s="10">
        <v>0</v>
      </c>
      <c r="X419" s="14">
        <v>0</v>
      </c>
      <c r="Y419" s="11">
        <v>-81.650000000000006</v>
      </c>
      <c r="Z419" s="14">
        <v>-3.285430033216442E-3</v>
      </c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 t="s">
        <v>90</v>
      </c>
    </row>
    <row r="420" spans="1:48" ht="18" hidden="1" customHeight="1" x14ac:dyDescent="0.25">
      <c r="A420" s="4">
        <v>210</v>
      </c>
      <c r="B420" s="4">
        <v>1</v>
      </c>
      <c r="C420" s="4">
        <v>210</v>
      </c>
      <c r="D420" s="87">
        <v>45546</v>
      </c>
      <c r="E420" s="87">
        <v>45547</v>
      </c>
      <c r="F420" s="87">
        <v>45554</v>
      </c>
      <c r="G420" s="5">
        <v>24918.45</v>
      </c>
      <c r="H420" s="5">
        <v>25388.9</v>
      </c>
      <c r="I420" s="5">
        <v>470.45</v>
      </c>
      <c r="J420" s="6">
        <v>1.8879585206945049E-2</v>
      </c>
      <c r="K420" s="90"/>
      <c r="L420" s="90"/>
      <c r="M420" s="7" t="s">
        <v>28</v>
      </c>
      <c r="N420" s="4">
        <v>24900</v>
      </c>
      <c r="O420" s="94"/>
      <c r="P420" s="94"/>
      <c r="Q420" s="7" t="s">
        <v>89</v>
      </c>
      <c r="R420" s="4">
        <v>65</v>
      </c>
      <c r="S420" s="5">
        <v>173.8</v>
      </c>
      <c r="T420" s="5">
        <v>473.5</v>
      </c>
      <c r="U420" s="8">
        <v>-1.4442999999999999</v>
      </c>
      <c r="V420" s="8">
        <v>-4.4900000000000002E-2</v>
      </c>
      <c r="W420" s="5">
        <v>-299.7</v>
      </c>
      <c r="X420" s="6">
        <v>-1.2027232833502891E-2</v>
      </c>
      <c r="Y420" s="4">
        <v>0</v>
      </c>
      <c r="Z420" s="6">
        <v>0</v>
      </c>
      <c r="AA420" s="5">
        <v>58938.05</v>
      </c>
      <c r="AB420" s="5">
        <v>59640.3</v>
      </c>
      <c r="AC420" s="5">
        <v>702.25</v>
      </c>
      <c r="AD420" s="5">
        <v>1.1915</v>
      </c>
      <c r="AE420" s="4">
        <v>1</v>
      </c>
      <c r="AF420" s="5">
        <v>-1.6667000000000001E-2</v>
      </c>
      <c r="AG420" s="5">
        <v>692.42700000000002</v>
      </c>
      <c r="AH420" s="5">
        <v>1.1748000000000001</v>
      </c>
      <c r="AI420" s="8">
        <v>0.4229</v>
      </c>
      <c r="AJ420" s="8">
        <v>1.2721</v>
      </c>
      <c r="AK420" s="15">
        <v>198.12700000000001</v>
      </c>
      <c r="AL420" s="15">
        <v>-0.80889999999999995</v>
      </c>
      <c r="AM420" s="5">
        <v>103.6651</v>
      </c>
      <c r="AN420" s="5">
        <v>105.5026</v>
      </c>
      <c r="AO420" s="5">
        <v>-1.8374999999999999</v>
      </c>
      <c r="AP420" s="5">
        <v>-1.7417</v>
      </c>
      <c r="AQ420" s="8">
        <v>-0.99270000000000003</v>
      </c>
      <c r="AR420" s="8">
        <v>0.23949999999999999</v>
      </c>
      <c r="AS420" s="8">
        <v>-0.99270000000000003</v>
      </c>
      <c r="AT420" s="5">
        <v>103.473</v>
      </c>
      <c r="AU420" s="5">
        <v>-1.9238</v>
      </c>
      <c r="AV420" s="7" t="s">
        <v>96</v>
      </c>
    </row>
    <row r="421" spans="1:48" ht="18" customHeight="1" x14ac:dyDescent="0.25">
      <c r="A421" s="10">
        <v>210</v>
      </c>
      <c r="B421" s="10">
        <v>2</v>
      </c>
      <c r="C421" s="10">
        <v>210</v>
      </c>
      <c r="D421" s="88">
        <v>45546</v>
      </c>
      <c r="E421" s="88">
        <v>45547</v>
      </c>
      <c r="F421" s="88">
        <v>45561</v>
      </c>
      <c r="G421" s="11">
        <v>24918.45</v>
      </c>
      <c r="H421" s="11">
        <v>25388.9</v>
      </c>
      <c r="I421" s="12"/>
      <c r="J421" s="12"/>
      <c r="K421" s="92"/>
      <c r="L421" s="92"/>
      <c r="M421" s="12" t="s">
        <v>40</v>
      </c>
      <c r="N421" s="10">
        <v>25100</v>
      </c>
      <c r="O421" s="95">
        <f>IF(F421=F419,O419,MROUND(G421,100))</f>
        <v>25100</v>
      </c>
      <c r="P421" s="95">
        <f>O421-N421</f>
        <v>0</v>
      </c>
      <c r="Q421" s="12" t="s">
        <v>91</v>
      </c>
      <c r="R421" s="10">
        <v>65</v>
      </c>
      <c r="S421" s="11">
        <v>339.45</v>
      </c>
      <c r="T421" s="11">
        <v>144.85</v>
      </c>
      <c r="U421" s="13">
        <v>-0.82050000000000001</v>
      </c>
      <c r="V421" s="13">
        <v>-0.13850000000000001</v>
      </c>
      <c r="W421" s="10">
        <v>0</v>
      </c>
      <c r="X421" s="14">
        <v>0</v>
      </c>
      <c r="Y421" s="11">
        <v>-194.6</v>
      </c>
      <c r="Z421" s="14">
        <v>-7.8094745058380436E-3</v>
      </c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 t="s">
        <v>96</v>
      </c>
    </row>
    <row r="422" spans="1:48" ht="18" hidden="1" customHeight="1" x14ac:dyDescent="0.25">
      <c r="A422" s="4">
        <v>211</v>
      </c>
      <c r="B422" s="4">
        <v>1</v>
      </c>
      <c r="C422" s="4">
        <v>211</v>
      </c>
      <c r="D422" s="87">
        <v>45547</v>
      </c>
      <c r="E422" s="87">
        <v>45553</v>
      </c>
      <c r="F422" s="87">
        <v>45554</v>
      </c>
      <c r="G422" s="5">
        <v>25388.9</v>
      </c>
      <c r="H422" s="5">
        <v>25377.55</v>
      </c>
      <c r="I422" s="5">
        <v>-11.35</v>
      </c>
      <c r="J422" s="6">
        <v>-4.4704575621629919E-4</v>
      </c>
      <c r="K422" s="90"/>
      <c r="L422" s="90"/>
      <c r="M422" s="7" t="s">
        <v>28</v>
      </c>
      <c r="N422" s="4">
        <v>25400</v>
      </c>
      <c r="O422" s="94"/>
      <c r="P422" s="94"/>
      <c r="Q422" s="7" t="s">
        <v>89</v>
      </c>
      <c r="R422" s="4">
        <v>65</v>
      </c>
      <c r="S422" s="5">
        <v>118.9</v>
      </c>
      <c r="T422" s="5">
        <v>97.5</v>
      </c>
      <c r="U422" s="8">
        <v>-0.1351</v>
      </c>
      <c r="V422" s="8">
        <v>0.20910000000000001</v>
      </c>
      <c r="W422" s="5">
        <v>21.4</v>
      </c>
      <c r="X422" s="6">
        <v>8.4288803374703107E-4</v>
      </c>
      <c r="Y422" s="4">
        <v>0</v>
      </c>
      <c r="Z422" s="6">
        <v>0</v>
      </c>
      <c r="AA422" s="5">
        <v>59640.3</v>
      </c>
      <c r="AB422" s="5">
        <v>59752.85</v>
      </c>
      <c r="AC422" s="5">
        <v>112.55</v>
      </c>
      <c r="AD422" s="5">
        <v>0.18870000000000001</v>
      </c>
      <c r="AE422" s="4">
        <v>6</v>
      </c>
      <c r="AF422" s="5">
        <v>-0.1</v>
      </c>
      <c r="AG422" s="5">
        <v>52.909700000000001</v>
      </c>
      <c r="AH422" s="5">
        <v>8.8700000000000001E-2</v>
      </c>
      <c r="AI422" s="8">
        <v>-0.42980000000000002</v>
      </c>
      <c r="AJ422" s="8">
        <v>1.2202</v>
      </c>
      <c r="AK422" s="15">
        <v>41.509700000000002</v>
      </c>
      <c r="AL422" s="15">
        <v>4.3799999999999999E-2</v>
      </c>
      <c r="AM422" s="5">
        <v>103.7105</v>
      </c>
      <c r="AN422" s="5">
        <v>105.5026</v>
      </c>
      <c r="AO422" s="5">
        <v>-1.7921</v>
      </c>
      <c r="AP422" s="5">
        <v>-1.6987000000000001</v>
      </c>
      <c r="AQ422" s="8">
        <v>0.81120000000000003</v>
      </c>
      <c r="AR422" s="8">
        <v>-0.1638</v>
      </c>
      <c r="AS422" s="8">
        <v>-0.1638</v>
      </c>
      <c r="AT422" s="5">
        <v>103.4953</v>
      </c>
      <c r="AU422" s="5">
        <v>-1.9026000000000001</v>
      </c>
      <c r="AV422" s="7" t="s">
        <v>90</v>
      </c>
    </row>
    <row r="423" spans="1:48" ht="18" customHeight="1" x14ac:dyDescent="0.25">
      <c r="A423" s="10">
        <v>211</v>
      </c>
      <c r="B423" s="10">
        <v>2</v>
      </c>
      <c r="C423" s="10">
        <v>211</v>
      </c>
      <c r="D423" s="88">
        <v>45547</v>
      </c>
      <c r="E423" s="88">
        <v>45553</v>
      </c>
      <c r="F423" s="88">
        <v>45561</v>
      </c>
      <c r="G423" s="11">
        <v>25388.9</v>
      </c>
      <c r="H423" s="11">
        <v>25377.55</v>
      </c>
      <c r="I423" s="12"/>
      <c r="J423" s="12"/>
      <c r="K423" s="92"/>
      <c r="L423" s="92"/>
      <c r="M423" s="12" t="s">
        <v>40</v>
      </c>
      <c r="N423" s="10">
        <v>25100</v>
      </c>
      <c r="O423" s="95">
        <f>IF(F423=F421,O421,MROUND(G423,100))</f>
        <v>25100</v>
      </c>
      <c r="P423" s="95">
        <f>O423-N423</f>
        <v>0</v>
      </c>
      <c r="Q423" s="12" t="s">
        <v>91</v>
      </c>
      <c r="R423" s="10">
        <v>65</v>
      </c>
      <c r="S423" s="11">
        <v>144.85</v>
      </c>
      <c r="T423" s="11">
        <v>112.05</v>
      </c>
      <c r="U423" s="13">
        <v>-0.27389999999999998</v>
      </c>
      <c r="V423" s="13">
        <v>5.6899999999999999E-2</v>
      </c>
      <c r="W423" s="10">
        <v>0</v>
      </c>
      <c r="X423" s="14">
        <v>0</v>
      </c>
      <c r="Y423" s="11">
        <v>-32.799999999999997</v>
      </c>
      <c r="Z423" s="14">
        <v>-1.2919031545281601E-3</v>
      </c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 t="s">
        <v>90</v>
      </c>
    </row>
    <row r="424" spans="1:48" ht="18" hidden="1" customHeight="1" x14ac:dyDescent="0.25">
      <c r="A424" s="4">
        <v>212</v>
      </c>
      <c r="B424" s="4">
        <v>1</v>
      </c>
      <c r="C424" s="4">
        <v>212</v>
      </c>
      <c r="D424" s="87">
        <v>45553</v>
      </c>
      <c r="E424" s="87">
        <v>45555</v>
      </c>
      <c r="F424" s="87">
        <v>45561</v>
      </c>
      <c r="G424" s="5">
        <v>25377.55</v>
      </c>
      <c r="H424" s="5">
        <v>25790.95</v>
      </c>
      <c r="I424" s="5">
        <v>413.4</v>
      </c>
      <c r="J424" s="6">
        <v>1.6289988592279401E-2</v>
      </c>
      <c r="K424" s="90"/>
      <c r="L424" s="90"/>
      <c r="M424" s="7" t="s">
        <v>28</v>
      </c>
      <c r="N424" s="4">
        <v>25400</v>
      </c>
      <c r="O424" s="94"/>
      <c r="P424" s="94"/>
      <c r="Q424" s="7" t="s">
        <v>89</v>
      </c>
      <c r="R424" s="4">
        <v>65</v>
      </c>
      <c r="S424" s="5">
        <v>203.15</v>
      </c>
      <c r="T424" s="5">
        <v>408.65</v>
      </c>
      <c r="U424" s="8">
        <v>-0.99</v>
      </c>
      <c r="V424" s="8">
        <v>8.3500000000000005E-2</v>
      </c>
      <c r="W424" s="5">
        <v>-205.5</v>
      </c>
      <c r="X424" s="6">
        <v>-8.0977084076280029E-3</v>
      </c>
      <c r="Y424" s="4">
        <v>0</v>
      </c>
      <c r="Z424" s="6">
        <v>0</v>
      </c>
      <c r="AA424" s="5">
        <v>59752.85</v>
      </c>
      <c r="AB424" s="5">
        <v>60208.800000000003</v>
      </c>
      <c r="AC424" s="5">
        <v>455.95</v>
      </c>
      <c r="AD424" s="5">
        <v>0.7631</v>
      </c>
      <c r="AE424" s="4">
        <v>2</v>
      </c>
      <c r="AF424" s="5">
        <v>-3.3333000000000002E-2</v>
      </c>
      <c r="AG424" s="5">
        <v>436.0324</v>
      </c>
      <c r="AH424" s="5">
        <v>0.72970000000000002</v>
      </c>
      <c r="AI424" s="8">
        <v>-2.3605</v>
      </c>
      <c r="AJ424" s="8">
        <v>1.0067999999999999</v>
      </c>
      <c r="AK424" s="15">
        <v>145.98240000000001</v>
      </c>
      <c r="AL424" s="15">
        <v>-0.41320000000000001</v>
      </c>
      <c r="AM424" s="5">
        <v>103.28189999999999</v>
      </c>
      <c r="AN424" s="5">
        <v>105.5026</v>
      </c>
      <c r="AO424" s="5">
        <v>-2.2206999999999999</v>
      </c>
      <c r="AP424" s="5">
        <v>-2.1048</v>
      </c>
      <c r="AQ424" s="8">
        <v>-0.32579999999999998</v>
      </c>
      <c r="AR424" s="8">
        <v>-2.4135</v>
      </c>
      <c r="AS424" s="8">
        <v>-2.4135</v>
      </c>
      <c r="AT424" s="5">
        <v>101.20740000000001</v>
      </c>
      <c r="AU424" s="5">
        <v>-4.0712000000000002</v>
      </c>
      <c r="AV424" s="7" t="s">
        <v>96</v>
      </c>
    </row>
    <row r="425" spans="1:48" ht="18" customHeight="1" x14ac:dyDescent="0.25">
      <c r="A425" s="10">
        <v>212</v>
      </c>
      <c r="B425" s="10">
        <v>2</v>
      </c>
      <c r="C425" s="10">
        <v>212</v>
      </c>
      <c r="D425" s="88">
        <v>45553</v>
      </c>
      <c r="E425" s="88">
        <v>45555</v>
      </c>
      <c r="F425" s="88">
        <v>45561</v>
      </c>
      <c r="G425" s="11">
        <v>25377.55</v>
      </c>
      <c r="H425" s="11">
        <v>25790.95</v>
      </c>
      <c r="I425" s="12"/>
      <c r="J425" s="12"/>
      <c r="K425" s="92"/>
      <c r="L425" s="92"/>
      <c r="M425" s="12" t="s">
        <v>40</v>
      </c>
      <c r="N425" s="10">
        <v>25100</v>
      </c>
      <c r="O425" s="95">
        <f>IF(F425=F423,O423,MROUND(G425,100))</f>
        <v>25100</v>
      </c>
      <c r="P425" s="95">
        <f>O425-N425</f>
        <v>0</v>
      </c>
      <c r="Q425" s="12" t="s">
        <v>91</v>
      </c>
      <c r="R425" s="10">
        <v>65</v>
      </c>
      <c r="S425" s="11">
        <v>112.05</v>
      </c>
      <c r="T425" s="11">
        <v>27.5</v>
      </c>
      <c r="U425" s="13">
        <v>-0.34260000000000002</v>
      </c>
      <c r="V425" s="13">
        <v>-0.13650000000000001</v>
      </c>
      <c r="W425" s="10">
        <v>0</v>
      </c>
      <c r="X425" s="14">
        <v>0</v>
      </c>
      <c r="Y425" s="11">
        <v>-84.55</v>
      </c>
      <c r="Z425" s="14">
        <v>-3.3316848947199389E-3</v>
      </c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 t="s">
        <v>96</v>
      </c>
    </row>
    <row r="426" spans="1:48" ht="18" hidden="1" customHeight="1" x14ac:dyDescent="0.25">
      <c r="A426" s="4">
        <v>213</v>
      </c>
      <c r="B426" s="4">
        <v>1</v>
      </c>
      <c r="C426" s="4">
        <v>213</v>
      </c>
      <c r="D426" s="87">
        <v>45555</v>
      </c>
      <c r="E426" s="87">
        <v>45558</v>
      </c>
      <c r="F426" s="87">
        <v>45561</v>
      </c>
      <c r="G426" s="5">
        <v>25790.95</v>
      </c>
      <c r="H426" s="5">
        <v>25939.05</v>
      </c>
      <c r="I426" s="5">
        <v>148.1</v>
      </c>
      <c r="J426" s="6">
        <v>5.7423243424534571E-3</v>
      </c>
      <c r="K426" s="90"/>
      <c r="L426" s="90"/>
      <c r="M426" s="7" t="s">
        <v>28</v>
      </c>
      <c r="N426" s="4">
        <v>25800</v>
      </c>
      <c r="O426" s="94"/>
      <c r="P426" s="94"/>
      <c r="Q426" s="7" t="s">
        <v>89</v>
      </c>
      <c r="R426" s="4">
        <v>65</v>
      </c>
      <c r="S426" s="5">
        <v>115.6</v>
      </c>
      <c r="T426" s="5">
        <v>191.5</v>
      </c>
      <c r="U426" s="8">
        <v>-0.45269999999999999</v>
      </c>
      <c r="V426" s="8">
        <v>-0.12</v>
      </c>
      <c r="W426" s="5">
        <v>-75.900000000000006</v>
      </c>
      <c r="X426" s="6">
        <v>-2.942892758894108E-3</v>
      </c>
      <c r="Y426" s="4">
        <v>0</v>
      </c>
      <c r="Z426" s="6">
        <v>0</v>
      </c>
      <c r="AA426" s="5">
        <v>60208.800000000003</v>
      </c>
      <c r="AB426" s="5">
        <v>60712.4</v>
      </c>
      <c r="AC426" s="5">
        <v>503.6</v>
      </c>
      <c r="AD426" s="5">
        <v>0.83640000000000003</v>
      </c>
      <c r="AE426" s="4">
        <v>3</v>
      </c>
      <c r="AF426" s="5">
        <v>-0.05</v>
      </c>
      <c r="AG426" s="5">
        <v>473.49560000000002</v>
      </c>
      <c r="AH426" s="5">
        <v>0.78639999999999999</v>
      </c>
      <c r="AI426" s="8">
        <v>1.9599999999999999E-2</v>
      </c>
      <c r="AJ426" s="8">
        <v>0.86409999999999998</v>
      </c>
      <c r="AK426" s="15">
        <v>382.44560000000001</v>
      </c>
      <c r="AL426" s="15">
        <v>0.43340000000000001</v>
      </c>
      <c r="AM426" s="5">
        <v>103.7296</v>
      </c>
      <c r="AN426" s="5">
        <v>105.5026</v>
      </c>
      <c r="AO426" s="5">
        <v>-1.7729999999999999</v>
      </c>
      <c r="AP426" s="5">
        <v>-1.6806000000000001</v>
      </c>
      <c r="AQ426" s="8">
        <v>0.34699999999999998</v>
      </c>
      <c r="AR426" s="8">
        <v>-0.11899999999999999</v>
      </c>
      <c r="AS426" s="8">
        <v>-0.11899999999999999</v>
      </c>
      <c r="AT426" s="5">
        <v>103.15900000000001</v>
      </c>
      <c r="AU426" s="5">
        <v>-2.2212999999999998</v>
      </c>
      <c r="AV426" s="7" t="s">
        <v>95</v>
      </c>
    </row>
    <row r="427" spans="1:48" ht="18" customHeight="1" x14ac:dyDescent="0.25">
      <c r="A427" s="10">
        <v>213</v>
      </c>
      <c r="B427" s="10">
        <v>2</v>
      </c>
      <c r="C427" s="10">
        <v>213</v>
      </c>
      <c r="D427" s="88">
        <v>45555</v>
      </c>
      <c r="E427" s="88">
        <v>45558</v>
      </c>
      <c r="F427" s="88">
        <v>45561</v>
      </c>
      <c r="G427" s="11">
        <v>25790.95</v>
      </c>
      <c r="H427" s="11">
        <v>25939.05</v>
      </c>
      <c r="I427" s="12"/>
      <c r="J427" s="12"/>
      <c r="K427" s="92"/>
      <c r="L427" s="92"/>
      <c r="M427" s="12" t="s">
        <v>40</v>
      </c>
      <c r="N427" s="10">
        <v>25100</v>
      </c>
      <c r="O427" s="95">
        <f>IF(F427=F425,O425,MROUND(G427,100))</f>
        <v>25100</v>
      </c>
      <c r="P427" s="95">
        <f>O427-N427</f>
        <v>0</v>
      </c>
      <c r="Q427" s="12" t="s">
        <v>91</v>
      </c>
      <c r="R427" s="10">
        <v>65</v>
      </c>
      <c r="S427" s="11">
        <v>27.5</v>
      </c>
      <c r="T427" s="11">
        <v>12.35</v>
      </c>
      <c r="U427" s="13">
        <v>-6.4399999999999999E-2</v>
      </c>
      <c r="V427" s="13">
        <v>-1.8599999999999998E-2</v>
      </c>
      <c r="W427" s="10">
        <v>0</v>
      </c>
      <c r="X427" s="14">
        <v>0</v>
      </c>
      <c r="Y427" s="11">
        <v>-15.15</v>
      </c>
      <c r="Z427" s="14">
        <v>-5.874153530598912E-4</v>
      </c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 t="s">
        <v>95</v>
      </c>
    </row>
    <row r="428" spans="1:48" ht="18" hidden="1" customHeight="1" x14ac:dyDescent="0.25">
      <c r="A428" s="4">
        <v>214</v>
      </c>
      <c r="B428" s="4">
        <v>1</v>
      </c>
      <c r="C428" s="4">
        <v>214</v>
      </c>
      <c r="D428" s="87">
        <v>45558</v>
      </c>
      <c r="E428" s="87">
        <v>45560</v>
      </c>
      <c r="F428" s="87">
        <v>45561</v>
      </c>
      <c r="G428" s="5">
        <v>25939.05</v>
      </c>
      <c r="H428" s="5">
        <v>26004.15</v>
      </c>
      <c r="I428" s="5">
        <v>65.099999999999994</v>
      </c>
      <c r="J428" s="6">
        <v>2.509729539054051E-3</v>
      </c>
      <c r="K428" s="90"/>
      <c r="L428" s="90"/>
      <c r="M428" s="7" t="s">
        <v>28</v>
      </c>
      <c r="N428" s="4">
        <v>25900</v>
      </c>
      <c r="O428" s="94"/>
      <c r="P428" s="94"/>
      <c r="Q428" s="7" t="s">
        <v>89</v>
      </c>
      <c r="R428" s="4">
        <v>65</v>
      </c>
      <c r="S428" s="5">
        <v>130.35</v>
      </c>
      <c r="T428" s="5">
        <v>124.5</v>
      </c>
      <c r="U428" s="8">
        <v>-0.16250000000000001</v>
      </c>
      <c r="V428" s="8">
        <v>0.22359999999999999</v>
      </c>
      <c r="W428" s="5">
        <v>5.85</v>
      </c>
      <c r="X428" s="6">
        <v>2.255286912974839E-4</v>
      </c>
      <c r="Y428" s="4">
        <v>0</v>
      </c>
      <c r="Z428" s="6">
        <v>0</v>
      </c>
      <c r="AA428" s="5">
        <v>60712.4</v>
      </c>
      <c r="AB428" s="5">
        <v>60465.15</v>
      </c>
      <c r="AC428" s="5">
        <v>-247.25</v>
      </c>
      <c r="AD428" s="5">
        <v>-0.40720000000000001</v>
      </c>
      <c r="AE428" s="4">
        <v>2</v>
      </c>
      <c r="AF428" s="5">
        <v>-3.3333000000000002E-2</v>
      </c>
      <c r="AG428" s="5">
        <v>-267.48750000000001</v>
      </c>
      <c r="AH428" s="5">
        <v>-0.44059999999999999</v>
      </c>
      <c r="AI428" s="8">
        <v>-0.73809999999999998</v>
      </c>
      <c r="AJ428" s="8">
        <v>0.33500000000000002</v>
      </c>
      <c r="AK428" s="9">
        <v>-344.4375</v>
      </c>
      <c r="AL428" s="9">
        <v>-0.73729999999999996</v>
      </c>
      <c r="AM428" s="5">
        <v>102.9648</v>
      </c>
      <c r="AN428" s="5">
        <v>105.5026</v>
      </c>
      <c r="AO428" s="5">
        <v>-2.5377999999999998</v>
      </c>
      <c r="AP428" s="5">
        <v>-2.4055</v>
      </c>
      <c r="AQ428" s="8">
        <v>-0.18279999999999999</v>
      </c>
      <c r="AR428" s="8">
        <v>-0.4748</v>
      </c>
      <c r="AS428" s="8">
        <v>-0.73729999999999996</v>
      </c>
      <c r="AT428" s="5">
        <v>102.9648</v>
      </c>
      <c r="AU428" s="5">
        <v>-2.4055</v>
      </c>
      <c r="AV428" s="7" t="s">
        <v>90</v>
      </c>
    </row>
    <row r="429" spans="1:48" ht="18" customHeight="1" x14ac:dyDescent="0.25">
      <c r="A429" s="10">
        <v>214</v>
      </c>
      <c r="B429" s="10">
        <v>2</v>
      </c>
      <c r="C429" s="10">
        <v>214</v>
      </c>
      <c r="D429" s="88">
        <v>45558</v>
      </c>
      <c r="E429" s="88">
        <v>45560</v>
      </c>
      <c r="F429" s="88">
        <v>45561</v>
      </c>
      <c r="G429" s="11">
        <v>25939.05</v>
      </c>
      <c r="H429" s="11">
        <v>26004.15</v>
      </c>
      <c r="I429" s="12"/>
      <c r="J429" s="12"/>
      <c r="K429" s="92"/>
      <c r="L429" s="92"/>
      <c r="M429" s="12" t="s">
        <v>40</v>
      </c>
      <c r="N429" s="10">
        <v>25900</v>
      </c>
      <c r="O429" s="95">
        <f>IF(F429=F427,O427,MROUND(G429,100))</f>
        <v>25100</v>
      </c>
      <c r="P429" s="95">
        <f>O429-N429</f>
        <v>-800</v>
      </c>
      <c r="Q429" s="12" t="s">
        <v>91</v>
      </c>
      <c r="R429" s="10">
        <v>65</v>
      </c>
      <c r="S429" s="11">
        <v>114.7</v>
      </c>
      <c r="T429" s="11">
        <v>31.9</v>
      </c>
      <c r="U429" s="13">
        <v>-0.3553</v>
      </c>
      <c r="V429" s="13">
        <v>3.9699999999999999E-2</v>
      </c>
      <c r="W429" s="10">
        <v>0</v>
      </c>
      <c r="X429" s="14">
        <v>0</v>
      </c>
      <c r="Y429" s="11">
        <v>-82.8</v>
      </c>
      <c r="Z429" s="14">
        <v>-3.1920983999028491E-3</v>
      </c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 t="s">
        <v>90</v>
      </c>
    </row>
    <row r="430" spans="1:48" ht="18" hidden="1" customHeight="1" x14ac:dyDescent="0.25">
      <c r="A430" s="4">
        <v>215</v>
      </c>
      <c r="B430" s="4">
        <v>1</v>
      </c>
      <c r="C430" s="4">
        <v>215</v>
      </c>
      <c r="D430" s="87">
        <v>45560</v>
      </c>
      <c r="E430" s="87">
        <v>45566</v>
      </c>
      <c r="F430" s="87">
        <v>45568</v>
      </c>
      <c r="G430" s="5">
        <v>26004.15</v>
      </c>
      <c r="H430" s="5">
        <v>25796.9</v>
      </c>
      <c r="I430" s="5">
        <v>-207.25</v>
      </c>
      <c r="J430" s="6">
        <v>-7.9698817304161059E-3</v>
      </c>
      <c r="K430" s="90"/>
      <c r="L430" s="90"/>
      <c r="M430" s="7" t="s">
        <v>28</v>
      </c>
      <c r="N430" s="4">
        <v>26000</v>
      </c>
      <c r="O430" s="94"/>
      <c r="P430" s="94"/>
      <c r="Q430" s="7" t="s">
        <v>89</v>
      </c>
      <c r="R430" s="4">
        <v>65</v>
      </c>
      <c r="S430" s="5">
        <v>175.8</v>
      </c>
      <c r="T430" s="5">
        <v>17.7</v>
      </c>
      <c r="U430" s="8">
        <v>-0.66220000000000001</v>
      </c>
      <c r="V430" s="8">
        <v>0.62509999999999999</v>
      </c>
      <c r="W430" s="5">
        <v>158.1</v>
      </c>
      <c r="X430" s="6">
        <v>6.079798801345169E-3</v>
      </c>
      <c r="Y430" s="4">
        <v>0</v>
      </c>
      <c r="Z430" s="6">
        <v>0</v>
      </c>
      <c r="AA430" s="5">
        <v>60465.15</v>
      </c>
      <c r="AB430" s="5">
        <v>60358.3</v>
      </c>
      <c r="AC430" s="5">
        <v>-106.85</v>
      </c>
      <c r="AD430" s="5">
        <v>-0.1767</v>
      </c>
      <c r="AE430" s="4">
        <v>6</v>
      </c>
      <c r="AF430" s="5">
        <v>-0.1</v>
      </c>
      <c r="AG430" s="5">
        <v>-167.3151</v>
      </c>
      <c r="AH430" s="5">
        <v>-0.2767</v>
      </c>
      <c r="AI430" s="8">
        <v>-1.1335</v>
      </c>
      <c r="AJ430" s="8">
        <v>0.34889999999999999</v>
      </c>
      <c r="AK430" s="9">
        <v>-1.1651</v>
      </c>
      <c r="AL430" s="9">
        <v>0.36220000000000002</v>
      </c>
      <c r="AM430" s="5">
        <v>103.3377</v>
      </c>
      <c r="AN430" s="5">
        <v>105.5026</v>
      </c>
      <c r="AO430" s="5">
        <v>-2.1648999999999998</v>
      </c>
      <c r="AP430" s="5">
        <v>-2.052</v>
      </c>
      <c r="AQ430" s="8">
        <v>-0.79690000000000005</v>
      </c>
      <c r="AR430" s="8">
        <v>-0.26500000000000001</v>
      </c>
      <c r="AS430" s="8">
        <v>-0.79690000000000005</v>
      </c>
      <c r="AT430" s="5">
        <v>102.1442</v>
      </c>
      <c r="AU430" s="5">
        <v>-3.1831999999999998</v>
      </c>
      <c r="AV430" s="7" t="s">
        <v>90</v>
      </c>
    </row>
    <row r="431" spans="1:48" ht="18" customHeight="1" x14ac:dyDescent="0.25">
      <c r="A431" s="10">
        <v>215</v>
      </c>
      <c r="B431" s="10">
        <v>2</v>
      </c>
      <c r="C431" s="10">
        <v>215</v>
      </c>
      <c r="D431" s="88">
        <v>45560</v>
      </c>
      <c r="E431" s="88">
        <v>45566</v>
      </c>
      <c r="F431" s="88">
        <v>45596</v>
      </c>
      <c r="G431" s="11">
        <v>26004.15</v>
      </c>
      <c r="H431" s="11">
        <v>25796.9</v>
      </c>
      <c r="I431" s="12"/>
      <c r="J431" s="12"/>
      <c r="K431" s="92"/>
      <c r="L431" s="92"/>
      <c r="M431" s="12" t="s">
        <v>40</v>
      </c>
      <c r="N431" s="10">
        <v>26000</v>
      </c>
      <c r="O431" s="95">
        <f>IF(F431=F429,O429,MROUND(G431,100))</f>
        <v>26000</v>
      </c>
      <c r="P431" s="95">
        <f>O431-N431</f>
        <v>0</v>
      </c>
      <c r="Q431" s="12" t="s">
        <v>91</v>
      </c>
      <c r="R431" s="10">
        <v>65</v>
      </c>
      <c r="S431" s="11">
        <v>330.75</v>
      </c>
      <c r="T431" s="11">
        <v>338.8</v>
      </c>
      <c r="U431" s="13">
        <v>-0.48359999999999997</v>
      </c>
      <c r="V431" s="13">
        <v>0.24340000000000001</v>
      </c>
      <c r="W431" s="10">
        <v>0</v>
      </c>
      <c r="X431" s="14">
        <v>0</v>
      </c>
      <c r="Y431" s="11">
        <v>8.0500000000000007</v>
      </c>
      <c r="Z431" s="14">
        <v>3.0956597312352071E-4</v>
      </c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 t="s">
        <v>90</v>
      </c>
    </row>
    <row r="432" spans="1:48" ht="18" hidden="1" customHeight="1" x14ac:dyDescent="0.25">
      <c r="A432" s="4">
        <v>216</v>
      </c>
      <c r="B432" s="4">
        <v>1</v>
      </c>
      <c r="C432" s="4">
        <v>216</v>
      </c>
      <c r="D432" s="87">
        <v>45566</v>
      </c>
      <c r="E432" s="87">
        <v>45568</v>
      </c>
      <c r="F432" s="87">
        <v>45575</v>
      </c>
      <c r="G432" s="5">
        <v>25796.9</v>
      </c>
      <c r="H432" s="5">
        <v>25250.1</v>
      </c>
      <c r="I432" s="5">
        <v>-546.79999999999995</v>
      </c>
      <c r="J432" s="6">
        <v>-2.119634529730316E-2</v>
      </c>
      <c r="K432" s="90"/>
      <c r="L432" s="90"/>
      <c r="M432" s="7" t="s">
        <v>28</v>
      </c>
      <c r="N432" s="4">
        <v>25800</v>
      </c>
      <c r="O432" s="94"/>
      <c r="P432" s="94"/>
      <c r="Q432" s="7" t="s">
        <v>89</v>
      </c>
      <c r="R432" s="4">
        <v>65</v>
      </c>
      <c r="S432" s="5">
        <v>205.55</v>
      </c>
      <c r="T432" s="5">
        <v>34.450000000000003</v>
      </c>
      <c r="U432" s="8">
        <v>0.2969</v>
      </c>
      <c r="V432" s="8">
        <v>0.67330000000000001</v>
      </c>
      <c r="W432" s="5">
        <v>171.1</v>
      </c>
      <c r="X432" s="6">
        <v>6.6325798836294279E-3</v>
      </c>
      <c r="Y432" s="4">
        <v>0</v>
      </c>
      <c r="Z432" s="6">
        <v>0</v>
      </c>
      <c r="AA432" s="5">
        <v>60358.3</v>
      </c>
      <c r="AB432" s="5">
        <v>59024.7</v>
      </c>
      <c r="AC432" s="5">
        <v>-1333.6</v>
      </c>
      <c r="AD432" s="5">
        <v>-2.2094999999999998</v>
      </c>
      <c r="AE432" s="4">
        <v>2</v>
      </c>
      <c r="AF432" s="5">
        <v>-3.3333000000000002E-2</v>
      </c>
      <c r="AG432" s="5">
        <v>-1353.7194</v>
      </c>
      <c r="AH432" s="5">
        <v>-2.2427999999999999</v>
      </c>
      <c r="AI432" s="8">
        <v>-2.4630000000000001</v>
      </c>
      <c r="AJ432" s="8">
        <v>-0.46179999999999999</v>
      </c>
      <c r="AK432" s="9">
        <v>-880.46939999999995</v>
      </c>
      <c r="AL432" s="9">
        <v>-0.4083</v>
      </c>
      <c r="AM432" s="5">
        <v>102.9158</v>
      </c>
      <c r="AN432" s="5">
        <v>105.5026</v>
      </c>
      <c r="AO432" s="5">
        <v>-2.5868000000000002</v>
      </c>
      <c r="AP432" s="5">
        <v>-2.4519000000000002</v>
      </c>
      <c r="AQ432" s="8">
        <v>7.6200000000000004E-2</v>
      </c>
      <c r="AR432" s="8">
        <v>-0.42830000000000001</v>
      </c>
      <c r="AS432" s="8">
        <v>-0.42830000000000001</v>
      </c>
      <c r="AT432" s="5">
        <v>102.8951</v>
      </c>
      <c r="AU432" s="5">
        <v>-2.4714999999999998</v>
      </c>
      <c r="AV432" s="7" t="s">
        <v>93</v>
      </c>
    </row>
    <row r="433" spans="1:48" ht="18" customHeight="1" x14ac:dyDescent="0.25">
      <c r="A433" s="10">
        <v>216</v>
      </c>
      <c r="B433" s="10">
        <v>2</v>
      </c>
      <c r="C433" s="10">
        <v>216</v>
      </c>
      <c r="D433" s="88">
        <v>45566</v>
      </c>
      <c r="E433" s="88">
        <v>45568</v>
      </c>
      <c r="F433" s="88">
        <v>45596</v>
      </c>
      <c r="G433" s="11">
        <v>25796.9</v>
      </c>
      <c r="H433" s="11">
        <v>25250.1</v>
      </c>
      <c r="I433" s="12"/>
      <c r="J433" s="12"/>
      <c r="K433" s="92"/>
      <c r="L433" s="92"/>
      <c r="M433" s="12" t="s">
        <v>40</v>
      </c>
      <c r="N433" s="10">
        <v>26000</v>
      </c>
      <c r="O433" s="95">
        <f>IF(F433=F431,O431,MROUND(G433,100))</f>
        <v>26000</v>
      </c>
      <c r="P433" s="95">
        <f>O433-N433</f>
        <v>0</v>
      </c>
      <c r="Q433" s="12" t="s">
        <v>91</v>
      </c>
      <c r="R433" s="10">
        <v>65</v>
      </c>
      <c r="S433" s="11">
        <v>338.8</v>
      </c>
      <c r="T433" s="11">
        <v>640.95000000000005</v>
      </c>
      <c r="U433" s="13">
        <v>0.24110000000000001</v>
      </c>
      <c r="V433" s="13">
        <v>1.3613999999999999</v>
      </c>
      <c r="W433" s="10">
        <v>0</v>
      </c>
      <c r="X433" s="14">
        <v>0</v>
      </c>
      <c r="Y433" s="11">
        <v>302.14999999999998</v>
      </c>
      <c r="Z433" s="14">
        <v>1.1712647643709131E-2</v>
      </c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 t="s">
        <v>93</v>
      </c>
    </row>
    <row r="434" spans="1:48" ht="18" hidden="1" customHeight="1" x14ac:dyDescent="0.25">
      <c r="A434" s="4">
        <v>217</v>
      </c>
      <c r="B434" s="4">
        <v>1</v>
      </c>
      <c r="C434" s="4">
        <v>217</v>
      </c>
      <c r="D434" s="87">
        <v>45568</v>
      </c>
      <c r="E434" s="87">
        <v>45569</v>
      </c>
      <c r="F434" s="87">
        <v>45575</v>
      </c>
      <c r="G434" s="5">
        <v>25250.1</v>
      </c>
      <c r="H434" s="5">
        <v>25014.6</v>
      </c>
      <c r="I434" s="5">
        <v>-235.5</v>
      </c>
      <c r="J434" s="6">
        <v>-9.3266957358584725E-3</v>
      </c>
      <c r="K434" s="90"/>
      <c r="L434" s="90"/>
      <c r="M434" s="7" t="s">
        <v>28</v>
      </c>
      <c r="N434" s="4">
        <v>25300</v>
      </c>
      <c r="O434" s="94"/>
      <c r="P434" s="94"/>
      <c r="Q434" s="7" t="s">
        <v>89</v>
      </c>
      <c r="R434" s="4">
        <v>65</v>
      </c>
      <c r="S434" s="5">
        <v>204.5</v>
      </c>
      <c r="T434" s="4">
        <v>75</v>
      </c>
      <c r="U434" s="8">
        <v>-0.48509999999999998</v>
      </c>
      <c r="V434" s="8">
        <v>0.54990000000000006</v>
      </c>
      <c r="W434" s="5">
        <v>129.5</v>
      </c>
      <c r="X434" s="6">
        <v>5.1286925596334271E-3</v>
      </c>
      <c r="Y434" s="4">
        <v>0</v>
      </c>
      <c r="Z434" s="6">
        <v>0</v>
      </c>
      <c r="AA434" s="5">
        <v>59024.7</v>
      </c>
      <c r="AB434" s="5">
        <v>58474.45</v>
      </c>
      <c r="AC434" s="5">
        <v>-550.25</v>
      </c>
      <c r="AD434" s="5">
        <v>-0.93220000000000003</v>
      </c>
      <c r="AE434" s="4">
        <v>1</v>
      </c>
      <c r="AF434" s="5">
        <v>-1.6667000000000001E-2</v>
      </c>
      <c r="AG434" s="5">
        <v>-560.08749999999998</v>
      </c>
      <c r="AH434" s="5">
        <v>-0.94889999999999997</v>
      </c>
      <c r="AI434" s="8">
        <v>-1.8934</v>
      </c>
      <c r="AJ434" s="8">
        <v>0.40679999999999999</v>
      </c>
      <c r="AK434" s="9">
        <v>-179.23740000000001</v>
      </c>
      <c r="AL434" s="9">
        <v>0.55940000000000001</v>
      </c>
      <c r="AM434" s="5">
        <v>103.4915</v>
      </c>
      <c r="AN434" s="5">
        <v>105.5026</v>
      </c>
      <c r="AO434" s="5">
        <v>-2.0110999999999999</v>
      </c>
      <c r="AP434" s="5">
        <v>-1.9061999999999999</v>
      </c>
      <c r="AQ434" s="8">
        <v>-0.49690000000000001</v>
      </c>
      <c r="AR434" s="8">
        <v>-0.21460000000000001</v>
      </c>
      <c r="AS434" s="8">
        <v>-0.49690000000000001</v>
      </c>
      <c r="AT434" s="5">
        <v>102.4044</v>
      </c>
      <c r="AU434" s="5">
        <v>-2.9365999999999999</v>
      </c>
      <c r="AV434" s="7" t="s">
        <v>95</v>
      </c>
    </row>
    <row r="435" spans="1:48" ht="18" customHeight="1" x14ac:dyDescent="0.25">
      <c r="A435" s="10">
        <v>217</v>
      </c>
      <c r="B435" s="10">
        <v>2</v>
      </c>
      <c r="C435" s="10">
        <v>217</v>
      </c>
      <c r="D435" s="88">
        <v>45568</v>
      </c>
      <c r="E435" s="88">
        <v>45569</v>
      </c>
      <c r="F435" s="88">
        <v>45596</v>
      </c>
      <c r="G435" s="11">
        <v>25250.1</v>
      </c>
      <c r="H435" s="11">
        <v>25014.6</v>
      </c>
      <c r="I435" s="12"/>
      <c r="J435" s="12"/>
      <c r="K435" s="92"/>
      <c r="L435" s="92"/>
      <c r="M435" s="12" t="s">
        <v>40</v>
      </c>
      <c r="N435" s="10">
        <v>26000</v>
      </c>
      <c r="O435" s="95">
        <f>IF(F435=F433,O433,MROUND(G435,100))</f>
        <v>26000</v>
      </c>
      <c r="P435" s="95">
        <f>O435-N435</f>
        <v>0</v>
      </c>
      <c r="Q435" s="12" t="s">
        <v>91</v>
      </c>
      <c r="R435" s="10">
        <v>65</v>
      </c>
      <c r="S435" s="11">
        <v>640.95000000000005</v>
      </c>
      <c r="T435" s="11">
        <v>892.3</v>
      </c>
      <c r="U435" s="13">
        <v>-0.41860000000000003</v>
      </c>
      <c r="V435" s="13">
        <v>1.1289</v>
      </c>
      <c r="W435" s="10">
        <v>0</v>
      </c>
      <c r="X435" s="14">
        <v>0</v>
      </c>
      <c r="Y435" s="11">
        <v>251.35</v>
      </c>
      <c r="Z435" s="14">
        <v>9.9544160221147638E-3</v>
      </c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 t="s">
        <v>95</v>
      </c>
    </row>
    <row r="436" spans="1:48" ht="18" hidden="1" customHeight="1" x14ac:dyDescent="0.25">
      <c r="A436" s="4">
        <v>218</v>
      </c>
      <c r="B436" s="4">
        <v>1</v>
      </c>
      <c r="C436" s="4">
        <v>218</v>
      </c>
      <c r="D436" s="87">
        <v>45569</v>
      </c>
      <c r="E436" s="87">
        <v>45574</v>
      </c>
      <c r="F436" s="87">
        <v>45575</v>
      </c>
      <c r="G436" s="5">
        <v>25014.6</v>
      </c>
      <c r="H436" s="5">
        <v>24981.95</v>
      </c>
      <c r="I436" s="5">
        <v>-32.65</v>
      </c>
      <c r="J436" s="6">
        <v>-1.305237741159163E-3</v>
      </c>
      <c r="K436" s="90"/>
      <c r="L436" s="90"/>
      <c r="M436" s="7" t="s">
        <v>28</v>
      </c>
      <c r="N436" s="4">
        <v>25000</v>
      </c>
      <c r="O436" s="94"/>
      <c r="P436" s="94"/>
      <c r="Q436" s="7" t="s">
        <v>89</v>
      </c>
      <c r="R436" s="4">
        <v>65</v>
      </c>
      <c r="S436" s="5">
        <v>206.05</v>
      </c>
      <c r="T436" s="5">
        <v>69.099999999999994</v>
      </c>
      <c r="U436" s="8">
        <v>-0.2515</v>
      </c>
      <c r="V436" s="8">
        <v>0.59909999999999997</v>
      </c>
      <c r="W436" s="5">
        <v>136.94999999999999</v>
      </c>
      <c r="X436" s="6">
        <v>5.4748027152143148E-3</v>
      </c>
      <c r="Y436" s="4">
        <v>0</v>
      </c>
      <c r="Z436" s="6">
        <v>0</v>
      </c>
      <c r="AA436" s="5">
        <v>58474.45</v>
      </c>
      <c r="AB436" s="5">
        <v>59102.65</v>
      </c>
      <c r="AC436" s="5">
        <v>628.20000000000005</v>
      </c>
      <c r="AD436" s="5">
        <v>1.0743</v>
      </c>
      <c r="AE436" s="4">
        <v>5</v>
      </c>
      <c r="AF436" s="5">
        <v>-8.3333000000000004E-2</v>
      </c>
      <c r="AG436" s="5">
        <v>579.47130000000004</v>
      </c>
      <c r="AH436" s="5">
        <v>0.99099999999999999</v>
      </c>
      <c r="AI436" s="8">
        <v>-2.8723999999999998</v>
      </c>
      <c r="AJ436" s="8">
        <v>1.629</v>
      </c>
      <c r="AK436" s="15">
        <v>712.32129999999995</v>
      </c>
      <c r="AL436" s="15">
        <v>1.5221</v>
      </c>
      <c r="AM436" s="5">
        <v>105.0667</v>
      </c>
      <c r="AN436" s="5">
        <v>105.5026</v>
      </c>
      <c r="AO436" s="5">
        <v>-0.43590000000000001</v>
      </c>
      <c r="AP436" s="5">
        <v>-0.41310000000000002</v>
      </c>
      <c r="AQ436" s="8">
        <v>0.94040000000000001</v>
      </c>
      <c r="AR436" s="8">
        <v>-1.7232000000000001</v>
      </c>
      <c r="AS436" s="8">
        <v>-1.7232000000000001</v>
      </c>
      <c r="AT436" s="5">
        <v>101.7081</v>
      </c>
      <c r="AU436" s="5">
        <v>-3.5966</v>
      </c>
      <c r="AV436" s="7" t="s">
        <v>90</v>
      </c>
    </row>
    <row r="437" spans="1:48" ht="18" customHeight="1" x14ac:dyDescent="0.25">
      <c r="A437" s="10">
        <v>218</v>
      </c>
      <c r="B437" s="10">
        <v>2</v>
      </c>
      <c r="C437" s="10">
        <v>218</v>
      </c>
      <c r="D437" s="88">
        <v>45569</v>
      </c>
      <c r="E437" s="88">
        <v>45574</v>
      </c>
      <c r="F437" s="88">
        <v>45596</v>
      </c>
      <c r="G437" s="11">
        <v>25014.6</v>
      </c>
      <c r="H437" s="11">
        <v>24981.95</v>
      </c>
      <c r="I437" s="12"/>
      <c r="J437" s="12"/>
      <c r="K437" s="92"/>
      <c r="L437" s="92"/>
      <c r="M437" s="12" t="s">
        <v>40</v>
      </c>
      <c r="N437" s="10">
        <v>25000</v>
      </c>
      <c r="O437" s="95">
        <f>IF(F437=F435,O435,MROUND(G437,100))</f>
        <v>26000</v>
      </c>
      <c r="P437" s="95">
        <f>O437-N437</f>
        <v>1000</v>
      </c>
      <c r="Q437" s="12" t="s">
        <v>91</v>
      </c>
      <c r="R437" s="10">
        <v>65</v>
      </c>
      <c r="S437" s="11">
        <v>280.39999999999998</v>
      </c>
      <c r="T437" s="11">
        <v>276.3</v>
      </c>
      <c r="U437" s="13">
        <v>-0.43709999999999999</v>
      </c>
      <c r="V437" s="13">
        <v>0.55010000000000003</v>
      </c>
      <c r="W437" s="10">
        <v>0</v>
      </c>
      <c r="X437" s="14">
        <v>0</v>
      </c>
      <c r="Y437" s="11">
        <v>-4.0999999999999996</v>
      </c>
      <c r="Z437" s="14">
        <v>-1.6390427990053811E-4</v>
      </c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 t="s">
        <v>90</v>
      </c>
    </row>
    <row r="438" spans="1:48" ht="18" hidden="1" customHeight="1" x14ac:dyDescent="0.25">
      <c r="A438" s="4">
        <v>219</v>
      </c>
      <c r="B438" s="4">
        <v>1</v>
      </c>
      <c r="C438" s="4">
        <v>219</v>
      </c>
      <c r="D438" s="87">
        <v>45574</v>
      </c>
      <c r="E438" s="87">
        <v>45581</v>
      </c>
      <c r="F438" s="87">
        <v>45582</v>
      </c>
      <c r="G438" s="5">
        <v>24981.95</v>
      </c>
      <c r="H438" s="5">
        <v>24971.3</v>
      </c>
      <c r="I438" s="5">
        <v>-10.65</v>
      </c>
      <c r="J438" s="6">
        <v>-4.263077942274322E-4</v>
      </c>
      <c r="K438" s="90"/>
      <c r="L438" s="90"/>
      <c r="M438" s="7" t="s">
        <v>28</v>
      </c>
      <c r="N438" s="4">
        <v>25000</v>
      </c>
      <c r="O438" s="94"/>
      <c r="P438" s="94"/>
      <c r="Q438" s="7" t="s">
        <v>89</v>
      </c>
      <c r="R438" s="4">
        <v>65</v>
      </c>
      <c r="S438" s="5">
        <v>201.45</v>
      </c>
      <c r="T438" s="5">
        <v>60.6</v>
      </c>
      <c r="U438" s="8">
        <v>-0.34420000000000001</v>
      </c>
      <c r="V438" s="8">
        <v>0.61580000000000001</v>
      </c>
      <c r="W438" s="5">
        <v>140.85</v>
      </c>
      <c r="X438" s="6">
        <v>5.6380706870360394E-3</v>
      </c>
      <c r="Y438" s="4">
        <v>0</v>
      </c>
      <c r="Z438" s="6">
        <v>0</v>
      </c>
      <c r="AA438" s="5">
        <v>59102.65</v>
      </c>
      <c r="AB438" s="5">
        <v>59451.85</v>
      </c>
      <c r="AC438" s="5">
        <v>349.2</v>
      </c>
      <c r="AD438" s="5">
        <v>0.59079999999999999</v>
      </c>
      <c r="AE438" s="4">
        <v>7</v>
      </c>
      <c r="AF438" s="5">
        <v>-0.11666700000000001</v>
      </c>
      <c r="AG438" s="5">
        <v>280.24689999999998</v>
      </c>
      <c r="AH438" s="5">
        <v>0.47420000000000001</v>
      </c>
      <c r="AI438" s="8">
        <v>-0.50090000000000001</v>
      </c>
      <c r="AJ438" s="8">
        <v>0.89349999999999996</v>
      </c>
      <c r="AK438" s="15">
        <v>348.64690000000002</v>
      </c>
      <c r="AL438" s="15">
        <v>0.748</v>
      </c>
      <c r="AM438" s="5">
        <v>105.8526</v>
      </c>
      <c r="AN438" s="5">
        <v>105.8526</v>
      </c>
      <c r="AO438" s="4">
        <v>0</v>
      </c>
      <c r="AP438" s="4">
        <v>0</v>
      </c>
      <c r="AQ438" s="8">
        <v>-5.4699999999999999E-2</v>
      </c>
      <c r="AR438" s="8">
        <v>0.12889999999999999</v>
      </c>
      <c r="AS438" s="8">
        <v>-5.4699999999999999E-2</v>
      </c>
      <c r="AT438" s="5">
        <v>105.0093</v>
      </c>
      <c r="AU438" s="5">
        <v>-0.46760000000000002</v>
      </c>
      <c r="AV438" s="7" t="s">
        <v>90</v>
      </c>
    </row>
    <row r="439" spans="1:48" ht="18" customHeight="1" x14ac:dyDescent="0.25">
      <c r="A439" s="10">
        <v>219</v>
      </c>
      <c r="B439" s="10">
        <v>2</v>
      </c>
      <c r="C439" s="10">
        <v>219</v>
      </c>
      <c r="D439" s="88">
        <v>45574</v>
      </c>
      <c r="E439" s="88">
        <v>45581</v>
      </c>
      <c r="F439" s="88">
        <v>45596</v>
      </c>
      <c r="G439" s="11">
        <v>24981.95</v>
      </c>
      <c r="H439" s="11">
        <v>24971.3</v>
      </c>
      <c r="I439" s="12"/>
      <c r="J439" s="12"/>
      <c r="K439" s="92"/>
      <c r="L439" s="92"/>
      <c r="M439" s="12" t="s">
        <v>40</v>
      </c>
      <c r="N439" s="10">
        <v>25000</v>
      </c>
      <c r="O439" s="95">
        <f>IF(F439=F437,O437,MROUND(G439,100))</f>
        <v>26000</v>
      </c>
      <c r="P439" s="95">
        <f>O439-N439</f>
        <v>1000</v>
      </c>
      <c r="Q439" s="12" t="s">
        <v>91</v>
      </c>
      <c r="R439" s="10">
        <v>65</v>
      </c>
      <c r="S439" s="11">
        <v>276.3</v>
      </c>
      <c r="T439" s="11">
        <v>203.85</v>
      </c>
      <c r="U439" s="13">
        <v>-0.60399999999999998</v>
      </c>
      <c r="V439" s="13">
        <v>1.4E-2</v>
      </c>
      <c r="W439" s="10">
        <v>0</v>
      </c>
      <c r="X439" s="14">
        <v>0</v>
      </c>
      <c r="Y439" s="11">
        <v>-72.45</v>
      </c>
      <c r="Z439" s="14">
        <v>-2.9000938677725321E-3</v>
      </c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 t="s">
        <v>90</v>
      </c>
    </row>
    <row r="440" spans="1:48" ht="18" hidden="1" customHeight="1" x14ac:dyDescent="0.25">
      <c r="A440" s="4">
        <v>220</v>
      </c>
      <c r="B440" s="4">
        <v>1</v>
      </c>
      <c r="C440" s="4">
        <v>220</v>
      </c>
      <c r="D440" s="87">
        <v>45581</v>
      </c>
      <c r="E440" s="87">
        <v>45587</v>
      </c>
      <c r="F440" s="87">
        <v>45589</v>
      </c>
      <c r="G440" s="5">
        <v>24971.3</v>
      </c>
      <c r="H440" s="5">
        <v>24472.1</v>
      </c>
      <c r="I440" s="5">
        <v>-499.2</v>
      </c>
      <c r="J440" s="6">
        <v>-1.999094961015245E-2</v>
      </c>
      <c r="K440" s="90"/>
      <c r="L440" s="90"/>
      <c r="M440" s="7" t="s">
        <v>28</v>
      </c>
      <c r="N440" s="4">
        <v>25000</v>
      </c>
      <c r="O440" s="94"/>
      <c r="P440" s="94"/>
      <c r="Q440" s="7" t="s">
        <v>89</v>
      </c>
      <c r="R440" s="4">
        <v>65</v>
      </c>
      <c r="S440" s="5">
        <v>172.8</v>
      </c>
      <c r="T440" s="5">
        <v>8.65</v>
      </c>
      <c r="U440" s="8">
        <v>-4.5499999999999999E-2</v>
      </c>
      <c r="V440" s="8">
        <v>0.66159999999999997</v>
      </c>
      <c r="W440" s="5">
        <v>164.15</v>
      </c>
      <c r="X440" s="6">
        <v>6.573546431303136E-3</v>
      </c>
      <c r="Y440" s="4">
        <v>0</v>
      </c>
      <c r="Z440" s="6">
        <v>0</v>
      </c>
      <c r="AA440" s="5">
        <v>59451.85</v>
      </c>
      <c r="AB440" s="5">
        <v>56174.05</v>
      </c>
      <c r="AC440" s="5">
        <v>-3277.8</v>
      </c>
      <c r="AD440" s="5">
        <v>-5.5133999999999999</v>
      </c>
      <c r="AE440" s="4">
        <v>6</v>
      </c>
      <c r="AF440" s="5">
        <v>-0.1</v>
      </c>
      <c r="AG440" s="5">
        <v>-3337.2518</v>
      </c>
      <c r="AH440" s="5">
        <v>-5.6134000000000004</v>
      </c>
      <c r="AI440" s="8">
        <v>-5.7545000000000002</v>
      </c>
      <c r="AJ440" s="8">
        <v>0.14979999999999999</v>
      </c>
      <c r="AK440" s="9">
        <v>-2872.0518000000002</v>
      </c>
      <c r="AL440" s="9">
        <v>-3.7505000000000002</v>
      </c>
      <c r="AM440" s="5">
        <v>101.8826</v>
      </c>
      <c r="AN440" s="5">
        <v>105.8526</v>
      </c>
      <c r="AO440" s="5">
        <v>-3.97</v>
      </c>
      <c r="AP440" s="5">
        <v>-3.7505000000000002</v>
      </c>
      <c r="AQ440" s="8">
        <v>4.7999999999999996E-3</v>
      </c>
      <c r="AR440" s="8">
        <v>-3.7888000000000002</v>
      </c>
      <c r="AS440" s="8">
        <v>-3.7888000000000002</v>
      </c>
      <c r="AT440" s="5">
        <v>101.8421</v>
      </c>
      <c r="AU440" s="5">
        <v>-3.7888000000000002</v>
      </c>
      <c r="AV440" s="7" t="s">
        <v>93</v>
      </c>
    </row>
    <row r="441" spans="1:48" ht="18" customHeight="1" x14ac:dyDescent="0.25">
      <c r="A441" s="10">
        <v>220</v>
      </c>
      <c r="B441" s="10">
        <v>2</v>
      </c>
      <c r="C441" s="10">
        <v>220</v>
      </c>
      <c r="D441" s="88">
        <v>45581</v>
      </c>
      <c r="E441" s="88">
        <v>45587</v>
      </c>
      <c r="F441" s="88">
        <v>45596</v>
      </c>
      <c r="G441" s="11">
        <v>24971.3</v>
      </c>
      <c r="H441" s="11">
        <v>24472.1</v>
      </c>
      <c r="I441" s="12"/>
      <c r="J441" s="12"/>
      <c r="K441" s="92"/>
      <c r="L441" s="92"/>
      <c r="M441" s="12" t="s">
        <v>40</v>
      </c>
      <c r="N441" s="10">
        <v>25000</v>
      </c>
      <c r="O441" s="95">
        <f>IF(F441=F439,O439,MROUND(G441,100))</f>
        <v>26000</v>
      </c>
      <c r="P441" s="95">
        <f>O441-N441</f>
        <v>1000</v>
      </c>
      <c r="Q441" s="12" t="s">
        <v>91</v>
      </c>
      <c r="R441" s="10">
        <v>65</v>
      </c>
      <c r="S441" s="11">
        <v>203.85</v>
      </c>
      <c r="T441" s="11">
        <v>504.9</v>
      </c>
      <c r="U441" s="13">
        <v>-9.9500000000000005E-2</v>
      </c>
      <c r="V441" s="13">
        <v>1.3041</v>
      </c>
      <c r="W441" s="10">
        <v>0</v>
      </c>
      <c r="X441" s="14">
        <v>0</v>
      </c>
      <c r="Y441" s="11">
        <v>301.05</v>
      </c>
      <c r="Z441" s="14">
        <v>1.2055840104439899E-2</v>
      </c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 t="s">
        <v>93</v>
      </c>
    </row>
    <row r="442" spans="1:48" ht="18" hidden="1" customHeight="1" x14ac:dyDescent="0.25">
      <c r="A442" s="4">
        <v>221</v>
      </c>
      <c r="B442" s="4">
        <v>1</v>
      </c>
      <c r="C442" s="4">
        <v>221</v>
      </c>
      <c r="D442" s="87">
        <v>45587</v>
      </c>
      <c r="E442" s="87">
        <v>45588</v>
      </c>
      <c r="F442" s="87">
        <v>45589</v>
      </c>
      <c r="G442" s="5">
        <v>24472.1</v>
      </c>
      <c r="H442" s="5">
        <v>24435.5</v>
      </c>
      <c r="I442" s="5">
        <v>-36.6</v>
      </c>
      <c r="J442" s="6">
        <v>-1.4955806816742329E-3</v>
      </c>
      <c r="K442" s="90"/>
      <c r="L442" s="90"/>
      <c r="M442" s="7" t="s">
        <v>28</v>
      </c>
      <c r="N442" s="4">
        <v>24500</v>
      </c>
      <c r="O442" s="94"/>
      <c r="P442" s="94"/>
      <c r="Q442" s="7" t="s">
        <v>89</v>
      </c>
      <c r="R442" s="4">
        <v>65</v>
      </c>
      <c r="S442" s="4">
        <v>112</v>
      </c>
      <c r="T442" s="5">
        <v>48.75</v>
      </c>
      <c r="U442" s="8">
        <v>-0.31380000000000002</v>
      </c>
      <c r="V442" s="8">
        <v>0.27829999999999999</v>
      </c>
      <c r="W442" s="5">
        <v>63.25</v>
      </c>
      <c r="X442" s="6">
        <v>2.5845759048058808E-3</v>
      </c>
      <c r="Y442" s="4">
        <v>0</v>
      </c>
      <c r="Z442" s="6">
        <v>0</v>
      </c>
      <c r="AA442" s="5">
        <v>56174.05</v>
      </c>
      <c r="AB442" s="5">
        <v>56533.55</v>
      </c>
      <c r="AC442" s="5">
        <v>359.5</v>
      </c>
      <c r="AD442" s="5">
        <v>0.64</v>
      </c>
      <c r="AE442" s="4">
        <v>1</v>
      </c>
      <c r="AF442" s="5">
        <v>-1.6667000000000001E-2</v>
      </c>
      <c r="AG442" s="5">
        <v>350.1377</v>
      </c>
      <c r="AH442" s="5">
        <v>0.62329999999999997</v>
      </c>
      <c r="AI442" s="8">
        <v>-0.95960000000000001</v>
      </c>
      <c r="AJ442" s="8">
        <v>1.5138</v>
      </c>
      <c r="AK442" s="15">
        <v>448.03769999999997</v>
      </c>
      <c r="AL442" s="15">
        <v>1.0233000000000001</v>
      </c>
      <c r="AM442" s="5">
        <v>102.9252</v>
      </c>
      <c r="AN442" s="5">
        <v>105.8526</v>
      </c>
      <c r="AO442" s="5">
        <v>-2.9274</v>
      </c>
      <c r="AP442" s="5">
        <v>-2.7656000000000001</v>
      </c>
      <c r="AQ442" s="8">
        <v>0.71009999999999995</v>
      </c>
      <c r="AR442" s="8">
        <v>-0.39200000000000002</v>
      </c>
      <c r="AS442" s="8">
        <v>-0.39200000000000002</v>
      </c>
      <c r="AT442" s="5">
        <v>101.4832</v>
      </c>
      <c r="AU442" s="5">
        <v>-4.1277999999999997</v>
      </c>
      <c r="AV442" s="7" t="s">
        <v>90</v>
      </c>
    </row>
    <row r="443" spans="1:48" ht="18" customHeight="1" x14ac:dyDescent="0.25">
      <c r="A443" s="10">
        <v>221</v>
      </c>
      <c r="B443" s="10">
        <v>2</v>
      </c>
      <c r="C443" s="10">
        <v>221</v>
      </c>
      <c r="D443" s="88">
        <v>45587</v>
      </c>
      <c r="E443" s="88">
        <v>45588</v>
      </c>
      <c r="F443" s="88">
        <v>45596</v>
      </c>
      <c r="G443" s="11">
        <v>24472.1</v>
      </c>
      <c r="H443" s="11">
        <v>24435.5</v>
      </c>
      <c r="I443" s="12"/>
      <c r="J443" s="12"/>
      <c r="K443" s="92"/>
      <c r="L443" s="92"/>
      <c r="M443" s="12" t="s">
        <v>40</v>
      </c>
      <c r="N443" s="10">
        <v>25000</v>
      </c>
      <c r="O443" s="95">
        <f>IF(F443=F441,O441,MROUND(G443,100))</f>
        <v>26000</v>
      </c>
      <c r="P443" s="95">
        <f>O443-N443</f>
        <v>1000</v>
      </c>
      <c r="Q443" s="12" t="s">
        <v>91</v>
      </c>
      <c r="R443" s="10">
        <v>65</v>
      </c>
      <c r="S443" s="11">
        <v>504.9</v>
      </c>
      <c r="T443" s="11">
        <v>539.54999999999995</v>
      </c>
      <c r="U443" s="13">
        <v>-0.4899</v>
      </c>
      <c r="V443" s="13">
        <v>0.2893</v>
      </c>
      <c r="W443" s="10">
        <v>0</v>
      </c>
      <c r="X443" s="14">
        <v>0</v>
      </c>
      <c r="Y443" s="11">
        <v>34.65</v>
      </c>
      <c r="Z443" s="14">
        <v>1.415898104371917E-3</v>
      </c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 t="s">
        <v>90</v>
      </c>
    </row>
    <row r="444" spans="1:48" ht="18" hidden="1" customHeight="1" x14ac:dyDescent="0.25">
      <c r="A444" s="4">
        <v>222</v>
      </c>
      <c r="B444" s="4">
        <v>1</v>
      </c>
      <c r="C444" s="4">
        <v>222</v>
      </c>
      <c r="D444" s="87">
        <v>45588</v>
      </c>
      <c r="E444" s="87">
        <v>45590</v>
      </c>
      <c r="F444" s="87">
        <v>45596</v>
      </c>
      <c r="G444" s="5">
        <v>24435.5</v>
      </c>
      <c r="H444" s="5">
        <v>24180.799999999999</v>
      </c>
      <c r="I444" s="5">
        <v>-254.7</v>
      </c>
      <c r="J444" s="6">
        <v>-1.0423359456528411E-2</v>
      </c>
      <c r="K444" s="90"/>
      <c r="L444" s="90"/>
      <c r="M444" s="7" t="s">
        <v>28</v>
      </c>
      <c r="N444" s="4">
        <v>24400</v>
      </c>
      <c r="O444" s="94"/>
      <c r="P444" s="94"/>
      <c r="Q444" s="7" t="s">
        <v>89</v>
      </c>
      <c r="R444" s="4">
        <v>65</v>
      </c>
      <c r="S444" s="5">
        <v>231.05</v>
      </c>
      <c r="T444" s="5">
        <v>65.349999999999994</v>
      </c>
      <c r="U444" s="8">
        <v>-0.13730000000000001</v>
      </c>
      <c r="V444" s="8">
        <v>0.77759999999999996</v>
      </c>
      <c r="W444" s="5">
        <v>165.7</v>
      </c>
      <c r="X444" s="6">
        <v>6.7811176362259822E-3</v>
      </c>
      <c r="Y444" s="4">
        <v>0</v>
      </c>
      <c r="Z444" s="6">
        <v>0</v>
      </c>
      <c r="AA444" s="5">
        <v>56533.55</v>
      </c>
      <c r="AB444" s="5">
        <v>55277.95</v>
      </c>
      <c r="AC444" s="5">
        <v>-1255.5999999999999</v>
      </c>
      <c r="AD444" s="5">
        <v>-2.2210000000000001</v>
      </c>
      <c r="AE444" s="4">
        <v>2</v>
      </c>
      <c r="AF444" s="5">
        <v>-3.3333000000000002E-2</v>
      </c>
      <c r="AG444" s="5">
        <v>-1274.4445000000001</v>
      </c>
      <c r="AH444" s="5">
        <v>-2.2543000000000002</v>
      </c>
      <c r="AI444" s="8">
        <v>-3.2031000000000001</v>
      </c>
      <c r="AJ444" s="8">
        <v>0.44779999999999998</v>
      </c>
      <c r="AK444" s="9">
        <v>-838.74450000000002</v>
      </c>
      <c r="AL444" s="9">
        <v>-0.47120000000000001</v>
      </c>
      <c r="AM444" s="5">
        <v>102.4402</v>
      </c>
      <c r="AN444" s="5">
        <v>105.8526</v>
      </c>
      <c r="AO444" s="5">
        <v>-3.4123999999999999</v>
      </c>
      <c r="AP444" s="5">
        <v>-3.2237</v>
      </c>
      <c r="AQ444" s="8">
        <v>9.4799999999999995E-2</v>
      </c>
      <c r="AR444" s="8">
        <v>-0.81230000000000002</v>
      </c>
      <c r="AS444" s="8">
        <v>-0.81230000000000002</v>
      </c>
      <c r="AT444" s="5">
        <v>102.0891</v>
      </c>
      <c r="AU444" s="5">
        <v>-3.5554000000000001</v>
      </c>
      <c r="AV444" s="7" t="s">
        <v>99</v>
      </c>
    </row>
    <row r="445" spans="1:48" ht="18" customHeight="1" x14ac:dyDescent="0.25">
      <c r="A445" s="10">
        <v>222</v>
      </c>
      <c r="B445" s="10">
        <v>2</v>
      </c>
      <c r="C445" s="10">
        <v>222</v>
      </c>
      <c r="D445" s="88">
        <v>45588</v>
      </c>
      <c r="E445" s="88">
        <v>45590</v>
      </c>
      <c r="F445" s="88">
        <v>45596</v>
      </c>
      <c r="G445" s="11">
        <v>24435.5</v>
      </c>
      <c r="H445" s="11">
        <v>24180.799999999999</v>
      </c>
      <c r="I445" s="12"/>
      <c r="J445" s="12"/>
      <c r="K445" s="92"/>
      <c r="L445" s="92"/>
      <c r="M445" s="12" t="s">
        <v>40</v>
      </c>
      <c r="N445" s="10">
        <v>25000</v>
      </c>
      <c r="O445" s="95">
        <f>IF(F445=F443,O443,MROUND(G445,100))</f>
        <v>26000</v>
      </c>
      <c r="P445" s="95">
        <f>O445-N445</f>
        <v>1000</v>
      </c>
      <c r="Q445" s="12" t="s">
        <v>91</v>
      </c>
      <c r="R445" s="10">
        <v>65</v>
      </c>
      <c r="S445" s="11">
        <v>539.54999999999995</v>
      </c>
      <c r="T445" s="11">
        <v>809.55</v>
      </c>
      <c r="U445" s="13">
        <v>-0.2157</v>
      </c>
      <c r="V445" s="13">
        <v>1.6132</v>
      </c>
      <c r="W445" s="10">
        <v>0</v>
      </c>
      <c r="X445" s="14">
        <v>0</v>
      </c>
      <c r="Y445" s="10">
        <v>270</v>
      </c>
      <c r="Z445" s="14">
        <v>1.104949765709726E-2</v>
      </c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 t="s">
        <v>99</v>
      </c>
    </row>
    <row r="446" spans="1:48" ht="18" hidden="1" customHeight="1" x14ac:dyDescent="0.25">
      <c r="A446" s="4">
        <v>223</v>
      </c>
      <c r="B446" s="4">
        <v>1</v>
      </c>
      <c r="C446" s="4">
        <v>223</v>
      </c>
      <c r="D446" s="87">
        <v>45744</v>
      </c>
      <c r="E446" s="87">
        <v>45748</v>
      </c>
      <c r="F446" s="87">
        <v>45750</v>
      </c>
      <c r="G446" s="5">
        <v>23519.35</v>
      </c>
      <c r="H446" s="5">
        <v>23165.7</v>
      </c>
      <c r="I446" s="5">
        <v>-353.65</v>
      </c>
      <c r="J446" s="6">
        <v>-1.50365550068348E-2</v>
      </c>
      <c r="K446" s="90"/>
      <c r="L446" s="90"/>
      <c r="M446" s="7" t="s">
        <v>28</v>
      </c>
      <c r="N446" s="4">
        <v>23500</v>
      </c>
      <c r="O446" s="94"/>
      <c r="P446" s="94"/>
      <c r="Q446" s="7" t="s">
        <v>89</v>
      </c>
      <c r="R446" s="4">
        <v>65</v>
      </c>
      <c r="S446" s="5">
        <v>140.80000000000001</v>
      </c>
      <c r="T446" s="5">
        <v>16.850000000000001</v>
      </c>
      <c r="U446" s="8">
        <v>-4.6800000000000001E-2</v>
      </c>
      <c r="V446" s="8">
        <v>0.53590000000000004</v>
      </c>
      <c r="W446" s="5">
        <v>123.95</v>
      </c>
      <c r="X446" s="6">
        <v>5.2701286387591504E-3</v>
      </c>
      <c r="Y446" s="4">
        <v>0</v>
      </c>
      <c r="Z446" s="6">
        <v>0</v>
      </c>
      <c r="AA446" s="5">
        <v>51672.25</v>
      </c>
      <c r="AB446" s="5">
        <v>51229.599999999999</v>
      </c>
      <c r="AC446" s="5">
        <v>-442.65</v>
      </c>
      <c r="AD446" s="5">
        <v>-0.85660000000000003</v>
      </c>
      <c r="AE446" s="4">
        <v>4</v>
      </c>
      <c r="AF446" s="5">
        <v>-6.6667000000000004E-2</v>
      </c>
      <c r="AG446" s="5">
        <v>-477.09820000000002</v>
      </c>
      <c r="AH446" s="5">
        <v>-0.92330000000000001</v>
      </c>
      <c r="AI446" s="8">
        <v>-1.1791</v>
      </c>
      <c r="AJ446" s="8">
        <v>0.64290000000000003</v>
      </c>
      <c r="AK446" s="9">
        <v>-205.19820000000001</v>
      </c>
      <c r="AL446" s="9">
        <v>0.23280000000000001</v>
      </c>
      <c r="AM446" s="5">
        <v>100.2328</v>
      </c>
      <c r="AN446" s="5">
        <v>100.2328</v>
      </c>
      <c r="AO446" s="4">
        <v>0</v>
      </c>
      <c r="AP446" s="4">
        <v>0</v>
      </c>
      <c r="AQ446" s="8">
        <v>0.54569999999999996</v>
      </c>
      <c r="AR446" s="8">
        <v>0.1038</v>
      </c>
      <c r="AS446" s="8">
        <v>0.1038</v>
      </c>
      <c r="AT446" s="5">
        <v>100.10380000000001</v>
      </c>
      <c r="AU446" s="5">
        <v>0.1038</v>
      </c>
      <c r="AV446" s="7" t="s">
        <v>93</v>
      </c>
    </row>
    <row r="447" spans="1:48" ht="18" customHeight="1" x14ac:dyDescent="0.25">
      <c r="A447" s="10">
        <v>223</v>
      </c>
      <c r="B447" s="10">
        <v>2</v>
      </c>
      <c r="C447" s="10">
        <v>223</v>
      </c>
      <c r="D447" s="88">
        <v>45744</v>
      </c>
      <c r="E447" s="88">
        <v>45748</v>
      </c>
      <c r="F447" s="88">
        <v>45771</v>
      </c>
      <c r="G447" s="11">
        <v>23519.35</v>
      </c>
      <c r="H447" s="11">
        <v>23165.7</v>
      </c>
      <c r="I447" s="12"/>
      <c r="J447" s="12"/>
      <c r="K447" s="92"/>
      <c r="L447" s="92"/>
      <c r="M447" s="12" t="s">
        <v>40</v>
      </c>
      <c r="N447" s="10">
        <v>23500</v>
      </c>
      <c r="O447" s="95">
        <f>IF(F447=F445,O445,MROUND(G447,100))</f>
        <v>23500</v>
      </c>
      <c r="P447" s="95">
        <f>O447-N447</f>
        <v>0</v>
      </c>
      <c r="Q447" s="12" t="s">
        <v>91</v>
      </c>
      <c r="R447" s="10">
        <v>65</v>
      </c>
      <c r="S447" s="11">
        <v>231.85</v>
      </c>
      <c r="T447" s="11">
        <v>379.8</v>
      </c>
      <c r="U447" s="13">
        <v>-5.04E-2</v>
      </c>
      <c r="V447" s="13">
        <v>0.747</v>
      </c>
      <c r="W447" s="10">
        <v>0</v>
      </c>
      <c r="X447" s="14">
        <v>0</v>
      </c>
      <c r="Y447" s="11">
        <v>147.94999999999999</v>
      </c>
      <c r="Z447" s="14">
        <v>6.2905650028593479E-3</v>
      </c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 t="s">
        <v>93</v>
      </c>
    </row>
    <row r="448" spans="1:48" ht="18" hidden="1" customHeight="1" x14ac:dyDescent="0.25">
      <c r="A448" s="4">
        <v>224</v>
      </c>
      <c r="B448" s="4">
        <v>1</v>
      </c>
      <c r="C448" s="4">
        <v>224</v>
      </c>
      <c r="D448" s="87">
        <v>45748</v>
      </c>
      <c r="E448" s="87">
        <v>45749</v>
      </c>
      <c r="F448" s="87">
        <v>45750</v>
      </c>
      <c r="G448" s="5">
        <v>23165.7</v>
      </c>
      <c r="H448" s="5">
        <v>23332.35</v>
      </c>
      <c r="I448" s="5">
        <v>166.65</v>
      </c>
      <c r="J448" s="6">
        <v>7.1938253538636867E-3</v>
      </c>
      <c r="K448" s="90"/>
      <c r="L448" s="90"/>
      <c r="M448" s="7" t="s">
        <v>28</v>
      </c>
      <c r="N448" s="4">
        <v>23200</v>
      </c>
      <c r="O448" s="94"/>
      <c r="P448" s="94"/>
      <c r="Q448" s="7" t="s">
        <v>89</v>
      </c>
      <c r="R448" s="4">
        <v>65</v>
      </c>
      <c r="S448" s="5">
        <v>105.45</v>
      </c>
      <c r="T448" s="5">
        <v>148.15</v>
      </c>
      <c r="U448" s="8">
        <v>-0.27629999999999999</v>
      </c>
      <c r="V448" s="8">
        <v>5.5899999999999998E-2</v>
      </c>
      <c r="W448" s="5">
        <v>-42.7</v>
      </c>
      <c r="X448" s="6">
        <v>-1.8432423798978659E-3</v>
      </c>
      <c r="Y448" s="4">
        <v>0</v>
      </c>
      <c r="Z448" s="6">
        <v>0</v>
      </c>
      <c r="AA448" s="5">
        <v>51229.599999999999</v>
      </c>
      <c r="AB448" s="5">
        <v>52053.2</v>
      </c>
      <c r="AC448" s="5">
        <v>823.6</v>
      </c>
      <c r="AD448" s="5">
        <v>1.6076999999999999</v>
      </c>
      <c r="AE448" s="4">
        <v>1</v>
      </c>
      <c r="AF448" s="5">
        <v>-1.6667000000000001E-2</v>
      </c>
      <c r="AG448" s="5">
        <v>815.06169999999997</v>
      </c>
      <c r="AH448" s="5">
        <v>1.591</v>
      </c>
      <c r="AI448" s="8">
        <v>-0.67269999999999996</v>
      </c>
      <c r="AJ448" s="8">
        <v>1.6471</v>
      </c>
      <c r="AK448" s="15">
        <v>706.6617</v>
      </c>
      <c r="AL448" s="15">
        <v>1.1231</v>
      </c>
      <c r="AM448" s="5">
        <v>101.35850000000001</v>
      </c>
      <c r="AN448" s="5">
        <v>101.35850000000001</v>
      </c>
      <c r="AO448" s="4">
        <v>0</v>
      </c>
      <c r="AP448" s="4">
        <v>0</v>
      </c>
      <c r="AQ448" s="8">
        <v>1.0436000000000001</v>
      </c>
      <c r="AR448" s="8">
        <v>-0.53090000000000004</v>
      </c>
      <c r="AS448" s="8">
        <v>-0.53090000000000004</v>
      </c>
      <c r="AT448" s="5">
        <v>99.700699999999998</v>
      </c>
      <c r="AU448" s="5">
        <v>-0.53090000000000004</v>
      </c>
      <c r="AV448" s="7" t="s">
        <v>90</v>
      </c>
    </row>
    <row r="449" spans="1:48" ht="18" customHeight="1" x14ac:dyDescent="0.25">
      <c r="A449" s="10">
        <v>224</v>
      </c>
      <c r="B449" s="10">
        <v>2</v>
      </c>
      <c r="C449" s="10">
        <v>224</v>
      </c>
      <c r="D449" s="88">
        <v>45748</v>
      </c>
      <c r="E449" s="88">
        <v>45749</v>
      </c>
      <c r="F449" s="88">
        <v>45771</v>
      </c>
      <c r="G449" s="11">
        <v>23165.7</v>
      </c>
      <c r="H449" s="11">
        <v>23332.35</v>
      </c>
      <c r="I449" s="12"/>
      <c r="J449" s="12"/>
      <c r="K449" s="92"/>
      <c r="L449" s="92"/>
      <c r="M449" s="12" t="s">
        <v>40</v>
      </c>
      <c r="N449" s="10">
        <v>23500</v>
      </c>
      <c r="O449" s="95">
        <f>IF(F449=F447,O447,MROUND(G449,100))</f>
        <v>23500</v>
      </c>
      <c r="P449" s="95">
        <f>O449-N449</f>
        <v>0</v>
      </c>
      <c r="Q449" s="12" t="s">
        <v>91</v>
      </c>
      <c r="R449" s="10">
        <v>65</v>
      </c>
      <c r="S449" s="11">
        <v>379.8</v>
      </c>
      <c r="T449" s="11">
        <v>314.10000000000002</v>
      </c>
      <c r="U449" s="13">
        <v>-0.32719999999999999</v>
      </c>
      <c r="V449" s="13">
        <v>8.5900000000000004E-2</v>
      </c>
      <c r="W449" s="10">
        <v>0</v>
      </c>
      <c r="X449" s="14">
        <v>0</v>
      </c>
      <c r="Y449" s="11">
        <v>-65.7</v>
      </c>
      <c r="Z449" s="14">
        <v>-2.8360895634494099E-3</v>
      </c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 t="s">
        <v>90</v>
      </c>
    </row>
    <row r="450" spans="1:48" ht="18" hidden="1" customHeight="1" x14ac:dyDescent="0.25">
      <c r="A450" s="4">
        <v>225</v>
      </c>
      <c r="B450" s="4">
        <v>1</v>
      </c>
      <c r="C450" s="4">
        <v>225</v>
      </c>
      <c r="D450" s="87">
        <v>45749</v>
      </c>
      <c r="E450" s="87">
        <v>45751</v>
      </c>
      <c r="F450" s="87">
        <v>45756</v>
      </c>
      <c r="G450" s="5">
        <v>23332.35</v>
      </c>
      <c r="H450" s="5">
        <v>22904.45</v>
      </c>
      <c r="I450" s="5">
        <v>-427.9</v>
      </c>
      <c r="J450" s="6">
        <v>-1.83393443009384E-2</v>
      </c>
      <c r="K450" s="90"/>
      <c r="L450" s="90"/>
      <c r="M450" s="7" t="s">
        <v>28</v>
      </c>
      <c r="N450" s="4">
        <v>23300</v>
      </c>
      <c r="O450" s="94"/>
      <c r="P450" s="94"/>
      <c r="Q450" s="7" t="s">
        <v>89</v>
      </c>
      <c r="R450" s="4">
        <v>65</v>
      </c>
      <c r="S450" s="5">
        <v>202.55</v>
      </c>
      <c r="T450" s="5">
        <v>14.75</v>
      </c>
      <c r="U450" s="8">
        <v>0.12130000000000001</v>
      </c>
      <c r="V450" s="8">
        <v>0.81279999999999997</v>
      </c>
      <c r="W450" s="5">
        <v>187.8</v>
      </c>
      <c r="X450" s="6">
        <v>8.0489106326623767E-3</v>
      </c>
      <c r="Y450" s="4">
        <v>0</v>
      </c>
      <c r="Z450" s="6">
        <v>0</v>
      </c>
      <c r="AA450" s="5">
        <v>52053.2</v>
      </c>
      <c r="AB450" s="5">
        <v>50645.95</v>
      </c>
      <c r="AC450" s="5">
        <v>-1407.25</v>
      </c>
      <c r="AD450" s="5">
        <v>-2.7035</v>
      </c>
      <c r="AE450" s="4">
        <v>2</v>
      </c>
      <c r="AF450" s="5">
        <v>-3.3333000000000002E-2</v>
      </c>
      <c r="AG450" s="5">
        <v>-1424.6011000000001</v>
      </c>
      <c r="AH450" s="5">
        <v>-2.7368000000000001</v>
      </c>
      <c r="AI450" s="8">
        <v>-3.3047</v>
      </c>
      <c r="AJ450" s="8">
        <v>0.28599999999999998</v>
      </c>
      <c r="AK450" s="9">
        <v>-936.4511</v>
      </c>
      <c r="AL450" s="9">
        <v>-0.64459999999999995</v>
      </c>
      <c r="AM450" s="5">
        <v>100.7052</v>
      </c>
      <c r="AN450" s="5">
        <v>101.35850000000001</v>
      </c>
      <c r="AO450" s="5">
        <v>-0.65339999999999998</v>
      </c>
      <c r="AP450" s="5">
        <v>-0.64459999999999995</v>
      </c>
      <c r="AQ450" s="8">
        <v>0.43280000000000002</v>
      </c>
      <c r="AR450" s="8">
        <v>-1.0823</v>
      </c>
      <c r="AS450" s="8">
        <v>-1.0823</v>
      </c>
      <c r="AT450" s="5">
        <v>100.2615</v>
      </c>
      <c r="AU450" s="5">
        <v>-1.0823</v>
      </c>
      <c r="AV450" s="7" t="s">
        <v>93</v>
      </c>
    </row>
    <row r="451" spans="1:48" ht="18" customHeight="1" x14ac:dyDescent="0.25">
      <c r="A451" s="10">
        <v>225</v>
      </c>
      <c r="B451" s="10">
        <v>2</v>
      </c>
      <c r="C451" s="10">
        <v>225</v>
      </c>
      <c r="D451" s="88">
        <v>45749</v>
      </c>
      <c r="E451" s="88">
        <v>45751</v>
      </c>
      <c r="F451" s="88">
        <v>45771</v>
      </c>
      <c r="G451" s="11">
        <v>23332.35</v>
      </c>
      <c r="H451" s="11">
        <v>22904.45</v>
      </c>
      <c r="I451" s="12"/>
      <c r="J451" s="12"/>
      <c r="K451" s="92"/>
      <c r="L451" s="92"/>
      <c r="M451" s="12" t="s">
        <v>40</v>
      </c>
      <c r="N451" s="10">
        <v>23500</v>
      </c>
      <c r="O451" s="95">
        <f>IF(F451=F449,O449,MROUND(G451,100))</f>
        <v>23500</v>
      </c>
      <c r="P451" s="95">
        <f>O451-N451</f>
        <v>0</v>
      </c>
      <c r="Q451" s="12" t="s">
        <v>91</v>
      </c>
      <c r="R451" s="10">
        <v>65</v>
      </c>
      <c r="S451" s="11">
        <v>314.10000000000002</v>
      </c>
      <c r="T451" s="11">
        <v>614.45000000000005</v>
      </c>
      <c r="U451" s="13">
        <v>2.5499999999999998E-2</v>
      </c>
      <c r="V451" s="13">
        <v>1.4096</v>
      </c>
      <c r="W451" s="10">
        <v>0</v>
      </c>
      <c r="X451" s="14">
        <v>0</v>
      </c>
      <c r="Y451" s="11">
        <v>300.35000000000002</v>
      </c>
      <c r="Z451" s="14">
        <v>1.287268534888256E-2</v>
      </c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 t="s">
        <v>93</v>
      </c>
    </row>
    <row r="452" spans="1:48" ht="18" hidden="1" customHeight="1" x14ac:dyDescent="0.25">
      <c r="A452" s="4">
        <v>226</v>
      </c>
      <c r="B452" s="4">
        <v>1</v>
      </c>
      <c r="C452" s="4">
        <v>226</v>
      </c>
      <c r="D452" s="87">
        <v>45751</v>
      </c>
      <c r="E452" s="87">
        <v>45754</v>
      </c>
      <c r="F452" s="87">
        <v>45756</v>
      </c>
      <c r="G452" s="5">
        <v>22904.45</v>
      </c>
      <c r="H452" s="5">
        <v>22161.599999999999</v>
      </c>
      <c r="I452" s="5">
        <v>-742.85</v>
      </c>
      <c r="J452" s="6">
        <v>-3.2432562231356793E-2</v>
      </c>
      <c r="K452" s="90"/>
      <c r="L452" s="90"/>
      <c r="M452" s="7" t="s">
        <v>28</v>
      </c>
      <c r="N452" s="4">
        <v>22900</v>
      </c>
      <c r="O452" s="94"/>
      <c r="P452" s="94"/>
      <c r="Q452" s="7" t="s">
        <v>89</v>
      </c>
      <c r="R452" s="4">
        <v>65</v>
      </c>
      <c r="S452" s="5">
        <v>110.55</v>
      </c>
      <c r="T452" s="5">
        <v>32.799999999999997</v>
      </c>
      <c r="U452" s="8">
        <v>0.29320000000000002</v>
      </c>
      <c r="V452" s="8">
        <v>0.46079999999999999</v>
      </c>
      <c r="W452" s="5">
        <v>77.75</v>
      </c>
      <c r="X452" s="6">
        <v>3.394536869472962E-3</v>
      </c>
      <c r="Y452" s="4">
        <v>0</v>
      </c>
      <c r="Z452" s="6">
        <v>0</v>
      </c>
      <c r="AA452" s="5">
        <v>50645.95</v>
      </c>
      <c r="AB452" s="5">
        <v>48809.45</v>
      </c>
      <c r="AC452" s="5">
        <v>-1836.5</v>
      </c>
      <c r="AD452" s="5">
        <v>-3.6261999999999999</v>
      </c>
      <c r="AE452" s="4">
        <v>3</v>
      </c>
      <c r="AF452" s="5">
        <v>-0.05</v>
      </c>
      <c r="AG452" s="5">
        <v>-1861.8230000000001</v>
      </c>
      <c r="AH452" s="5">
        <v>-3.6762000000000001</v>
      </c>
      <c r="AI452" s="8">
        <v>-7.3112000000000004</v>
      </c>
      <c r="AJ452" s="8">
        <v>-3.1533000000000002</v>
      </c>
      <c r="AK452" s="9">
        <v>-1092.8230000000001</v>
      </c>
      <c r="AL452" s="9">
        <v>-0.31879999999999997</v>
      </c>
      <c r="AM452" s="5">
        <v>100.3841</v>
      </c>
      <c r="AN452" s="5">
        <v>101.35850000000001</v>
      </c>
      <c r="AO452" s="5">
        <v>-0.97440000000000004</v>
      </c>
      <c r="AP452" s="5">
        <v>-0.96130000000000004</v>
      </c>
      <c r="AQ452" s="8">
        <v>-0.25969999999999999</v>
      </c>
      <c r="AR452" s="8">
        <v>-2.1665999999999999</v>
      </c>
      <c r="AS452" s="8">
        <v>-2.1665999999999999</v>
      </c>
      <c r="AT452" s="5">
        <v>98.523300000000006</v>
      </c>
      <c r="AU452" s="5">
        <v>-2.7972000000000001</v>
      </c>
      <c r="AV452" s="7" t="s">
        <v>98</v>
      </c>
    </row>
    <row r="453" spans="1:48" ht="18" customHeight="1" x14ac:dyDescent="0.25">
      <c r="A453" s="10">
        <v>226</v>
      </c>
      <c r="B453" s="10">
        <v>2</v>
      </c>
      <c r="C453" s="10">
        <v>226</v>
      </c>
      <c r="D453" s="88">
        <v>45751</v>
      </c>
      <c r="E453" s="88">
        <v>45754</v>
      </c>
      <c r="F453" s="88">
        <v>45771</v>
      </c>
      <c r="G453" s="11">
        <v>22904.45</v>
      </c>
      <c r="H453" s="11">
        <v>22161.599999999999</v>
      </c>
      <c r="I453" s="12"/>
      <c r="J453" s="12"/>
      <c r="K453" s="92"/>
      <c r="L453" s="92"/>
      <c r="M453" s="12" t="s">
        <v>40</v>
      </c>
      <c r="N453" s="10">
        <v>23500</v>
      </c>
      <c r="O453" s="95">
        <f>IF(F453=F451,O451,MROUND(G453,100))</f>
        <v>23500</v>
      </c>
      <c r="P453" s="95">
        <f>O453-N453</f>
        <v>0</v>
      </c>
      <c r="Q453" s="12" t="s">
        <v>91</v>
      </c>
      <c r="R453" s="10">
        <v>65</v>
      </c>
      <c r="S453" s="11">
        <v>614.45000000000005</v>
      </c>
      <c r="T453" s="11">
        <v>1305.7</v>
      </c>
      <c r="U453" s="13">
        <v>2.6004</v>
      </c>
      <c r="V453" s="13">
        <v>4.6837999999999997</v>
      </c>
      <c r="W453" s="10">
        <v>0</v>
      </c>
      <c r="X453" s="14">
        <v>0</v>
      </c>
      <c r="Y453" s="11">
        <v>691.25</v>
      </c>
      <c r="Z453" s="14">
        <v>3.017972490061975E-2</v>
      </c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 t="s">
        <v>98</v>
      </c>
    </row>
    <row r="454" spans="1:48" ht="18" hidden="1" customHeight="1" x14ac:dyDescent="0.25">
      <c r="A454" s="4">
        <v>227</v>
      </c>
      <c r="B454" s="4">
        <v>1</v>
      </c>
      <c r="C454" s="4">
        <v>227</v>
      </c>
      <c r="D454" s="87">
        <v>45754</v>
      </c>
      <c r="E454" s="87">
        <v>45755</v>
      </c>
      <c r="F454" s="87">
        <v>45756</v>
      </c>
      <c r="G454" s="5">
        <v>22161.599999999999</v>
      </c>
      <c r="H454" s="5">
        <v>22535.85</v>
      </c>
      <c r="I454" s="5">
        <v>374.25</v>
      </c>
      <c r="J454" s="6">
        <v>1.6887318605154859E-2</v>
      </c>
      <c r="K454" s="90"/>
      <c r="L454" s="90"/>
      <c r="M454" s="7" t="s">
        <v>28</v>
      </c>
      <c r="N454" s="4">
        <v>22200</v>
      </c>
      <c r="O454" s="94"/>
      <c r="P454" s="94"/>
      <c r="Q454" s="7" t="s">
        <v>89</v>
      </c>
      <c r="R454" s="4">
        <v>65</v>
      </c>
      <c r="S454" s="5">
        <v>297.10000000000002</v>
      </c>
      <c r="T454" s="5">
        <v>432.7</v>
      </c>
      <c r="U454" s="8">
        <v>-1.2195</v>
      </c>
      <c r="V454" s="8">
        <v>0.27210000000000001</v>
      </c>
      <c r="W454" s="5">
        <v>-135.6</v>
      </c>
      <c r="X454" s="6">
        <v>-6.118691791206411E-3</v>
      </c>
      <c r="Y454" s="4">
        <v>0</v>
      </c>
      <c r="Z454" s="6">
        <v>0</v>
      </c>
      <c r="AA454" s="5">
        <v>48809.45</v>
      </c>
      <c r="AB454" s="4">
        <v>49838</v>
      </c>
      <c r="AC454" s="5">
        <v>1028.55</v>
      </c>
      <c r="AD454" s="5">
        <v>2.1073</v>
      </c>
      <c r="AE454" s="4">
        <v>1</v>
      </c>
      <c r="AF454" s="5">
        <v>-1.6667000000000001E-2</v>
      </c>
      <c r="AG454" s="5">
        <v>1020.4151000000001</v>
      </c>
      <c r="AH454" s="5">
        <v>2.0905999999999998</v>
      </c>
      <c r="AI454" s="8">
        <v>0.77110000000000001</v>
      </c>
      <c r="AJ454" s="8">
        <v>2.9085999999999999</v>
      </c>
      <c r="AK454" s="15">
        <v>674.91510000000005</v>
      </c>
      <c r="AL454" s="15">
        <v>0.53159999999999996</v>
      </c>
      <c r="AM454" s="5">
        <v>100.9178</v>
      </c>
      <c r="AN454" s="5">
        <v>101.35850000000001</v>
      </c>
      <c r="AO454" s="5">
        <v>-0.44080000000000003</v>
      </c>
      <c r="AP454" s="5">
        <v>-0.43490000000000001</v>
      </c>
      <c r="AQ454" s="8">
        <v>0.62890000000000001</v>
      </c>
      <c r="AR454" s="8">
        <v>0.68469999999999998</v>
      </c>
      <c r="AS454" s="8">
        <v>0.53159999999999996</v>
      </c>
      <c r="AT454" s="5">
        <v>100.9178</v>
      </c>
      <c r="AU454" s="5">
        <v>-0.43490000000000001</v>
      </c>
      <c r="AV454" s="7" t="s">
        <v>90</v>
      </c>
    </row>
    <row r="455" spans="1:48" ht="18" customHeight="1" x14ac:dyDescent="0.25">
      <c r="A455" s="10">
        <v>227</v>
      </c>
      <c r="B455" s="10">
        <v>2</v>
      </c>
      <c r="C455" s="10">
        <v>227</v>
      </c>
      <c r="D455" s="88">
        <v>45754</v>
      </c>
      <c r="E455" s="88">
        <v>45755</v>
      </c>
      <c r="F455" s="88">
        <v>45771</v>
      </c>
      <c r="G455" s="11">
        <v>22161.599999999999</v>
      </c>
      <c r="H455" s="11">
        <v>22535.85</v>
      </c>
      <c r="I455" s="12"/>
      <c r="J455" s="12"/>
      <c r="K455" s="92"/>
      <c r="L455" s="92"/>
      <c r="M455" s="12" t="s">
        <v>40</v>
      </c>
      <c r="N455" s="10">
        <v>22200</v>
      </c>
      <c r="O455" s="95">
        <f>IF(F455=F453,O453,MROUND(G455,100))</f>
        <v>23500</v>
      </c>
      <c r="P455" s="95">
        <f>O455-N455</f>
        <v>1300</v>
      </c>
      <c r="Q455" s="12" t="s">
        <v>91</v>
      </c>
      <c r="R455" s="10">
        <v>65</v>
      </c>
      <c r="S455" s="11">
        <v>453.95</v>
      </c>
      <c r="T455" s="11">
        <v>244.05</v>
      </c>
      <c r="U455" s="13">
        <v>-1.0602</v>
      </c>
      <c r="V455" s="13">
        <v>-0.35849999999999999</v>
      </c>
      <c r="W455" s="10">
        <v>0</v>
      </c>
      <c r="X455" s="14">
        <v>0</v>
      </c>
      <c r="Y455" s="11">
        <v>-209.9</v>
      </c>
      <c r="Z455" s="14">
        <v>-9.4713378095444382E-3</v>
      </c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 t="s">
        <v>90</v>
      </c>
    </row>
    <row r="456" spans="1:48" ht="18" hidden="1" customHeight="1" x14ac:dyDescent="0.25">
      <c r="A456" s="4">
        <v>228</v>
      </c>
      <c r="B456" s="4">
        <v>1</v>
      </c>
      <c r="C456" s="4">
        <v>228</v>
      </c>
      <c r="D456" s="87">
        <v>45755</v>
      </c>
      <c r="E456" s="87">
        <v>45758</v>
      </c>
      <c r="F456" s="87">
        <v>45764</v>
      </c>
      <c r="G456" s="5">
        <v>22535.85</v>
      </c>
      <c r="H456" s="5">
        <v>22828.55</v>
      </c>
      <c r="I456" s="5">
        <v>292.7</v>
      </c>
      <c r="J456" s="6">
        <v>1.298819436586594E-2</v>
      </c>
      <c r="K456" s="90"/>
      <c r="L456" s="90"/>
      <c r="M456" s="7" t="s">
        <v>28</v>
      </c>
      <c r="N456" s="4">
        <v>22500</v>
      </c>
      <c r="O456" s="94"/>
      <c r="P456" s="94"/>
      <c r="Q456" s="7" t="s">
        <v>89</v>
      </c>
      <c r="R456" s="4">
        <v>65</v>
      </c>
      <c r="S456" s="5">
        <v>376.65</v>
      </c>
      <c r="T456" s="5">
        <v>485.9</v>
      </c>
      <c r="U456" s="8">
        <v>-0.72370000000000001</v>
      </c>
      <c r="V456" s="8">
        <v>0.70350000000000001</v>
      </c>
      <c r="W456" s="5">
        <v>-109.25</v>
      </c>
      <c r="X456" s="6">
        <v>-4.8478313442803364E-3</v>
      </c>
      <c r="Y456" s="4">
        <v>0</v>
      </c>
      <c r="Z456" s="6">
        <v>0</v>
      </c>
      <c r="AA456" s="4">
        <v>49838</v>
      </c>
      <c r="AB456" s="5">
        <v>50501.5</v>
      </c>
      <c r="AC456" s="5">
        <v>663.5</v>
      </c>
      <c r="AD456" s="5">
        <v>1.3312999999999999</v>
      </c>
      <c r="AE456" s="4">
        <v>3</v>
      </c>
      <c r="AF456" s="5">
        <v>-0.05</v>
      </c>
      <c r="AG456" s="5">
        <v>638.58100000000002</v>
      </c>
      <c r="AH456" s="5">
        <v>1.2813000000000001</v>
      </c>
      <c r="AI456" s="8">
        <v>-1.8869</v>
      </c>
      <c r="AJ456" s="8">
        <v>1.5622</v>
      </c>
      <c r="AK456" s="15">
        <v>423.43099999999998</v>
      </c>
      <c r="AL456" s="15">
        <v>0.3266</v>
      </c>
      <c r="AM456" s="5">
        <v>101.2473</v>
      </c>
      <c r="AN456" s="5">
        <v>101.35850000000001</v>
      </c>
      <c r="AO456" s="5">
        <v>-0.11119999999999999</v>
      </c>
      <c r="AP456" s="5">
        <v>-0.10970000000000001</v>
      </c>
      <c r="AQ456" s="8">
        <v>0.1913</v>
      </c>
      <c r="AR456" s="8">
        <v>-0.83930000000000005</v>
      </c>
      <c r="AS456" s="8">
        <v>-0.83930000000000005</v>
      </c>
      <c r="AT456" s="5">
        <v>100.0707</v>
      </c>
      <c r="AU456" s="5">
        <v>-1.2705</v>
      </c>
      <c r="AV456" s="7" t="s">
        <v>101</v>
      </c>
    </row>
    <row r="457" spans="1:48" ht="18" customHeight="1" x14ac:dyDescent="0.25">
      <c r="A457" s="10">
        <v>228</v>
      </c>
      <c r="B457" s="10">
        <v>2</v>
      </c>
      <c r="C457" s="10">
        <v>228</v>
      </c>
      <c r="D457" s="88">
        <v>45755</v>
      </c>
      <c r="E457" s="88">
        <v>45758</v>
      </c>
      <c r="F457" s="88">
        <v>45771</v>
      </c>
      <c r="G457" s="11">
        <v>22535.85</v>
      </c>
      <c r="H457" s="11">
        <v>22828.55</v>
      </c>
      <c r="I457" s="12"/>
      <c r="J457" s="12"/>
      <c r="K457" s="92"/>
      <c r="L457" s="92"/>
      <c r="M457" s="12" t="s">
        <v>40</v>
      </c>
      <c r="N457" s="10">
        <v>22200</v>
      </c>
      <c r="O457" s="95">
        <f>IF(F457=F455,O455,MROUND(G457,100))</f>
        <v>23500</v>
      </c>
      <c r="P457" s="95">
        <f>O457-N457</f>
        <v>1300</v>
      </c>
      <c r="Q457" s="12" t="s">
        <v>91</v>
      </c>
      <c r="R457" s="10">
        <v>65</v>
      </c>
      <c r="S457" s="11">
        <v>244.05</v>
      </c>
      <c r="T457" s="11">
        <v>138.15</v>
      </c>
      <c r="U457" s="13">
        <v>-0.6472</v>
      </c>
      <c r="V457" s="13">
        <v>0.34410000000000002</v>
      </c>
      <c r="W457" s="10">
        <v>0</v>
      </c>
      <c r="X457" s="14">
        <v>0</v>
      </c>
      <c r="Y457" s="11">
        <v>-105.9</v>
      </c>
      <c r="Z457" s="14">
        <v>-4.6991793076365E-3</v>
      </c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 t="s">
        <v>101</v>
      </c>
    </row>
    <row r="458" spans="1:48" ht="18" hidden="1" customHeight="1" x14ac:dyDescent="0.25">
      <c r="A458" s="4">
        <v>229</v>
      </c>
      <c r="B458" s="4">
        <v>1</v>
      </c>
      <c r="C458" s="4">
        <v>229</v>
      </c>
      <c r="D458" s="87">
        <v>45758</v>
      </c>
      <c r="E458" s="87">
        <v>45762</v>
      </c>
      <c r="F458" s="87">
        <v>45764</v>
      </c>
      <c r="G458" s="5">
        <v>22828.55</v>
      </c>
      <c r="H458" s="5">
        <v>23328.55</v>
      </c>
      <c r="I458" s="4">
        <v>500</v>
      </c>
      <c r="J458" s="6">
        <v>2.19023985316632E-2</v>
      </c>
      <c r="K458" s="90"/>
      <c r="L458" s="90"/>
      <c r="M458" s="7" t="s">
        <v>28</v>
      </c>
      <c r="N458" s="4">
        <v>22800</v>
      </c>
      <c r="O458" s="94"/>
      <c r="P458" s="94"/>
      <c r="Q458" s="7" t="s">
        <v>89</v>
      </c>
      <c r="R458" s="4">
        <v>65</v>
      </c>
      <c r="S458" s="5">
        <v>282.39999999999998</v>
      </c>
      <c r="T458" s="5">
        <v>513.54999999999995</v>
      </c>
      <c r="U458" s="8">
        <v>-1.4456</v>
      </c>
      <c r="V458" s="8">
        <v>-0.73899999999999999</v>
      </c>
      <c r="W458" s="5">
        <v>-231.15</v>
      </c>
      <c r="X458" s="6">
        <v>-1.0125478841187901E-2</v>
      </c>
      <c r="Y458" s="4">
        <v>0</v>
      </c>
      <c r="Z458" s="6">
        <v>0</v>
      </c>
      <c r="AA458" s="5">
        <v>50501.5</v>
      </c>
      <c r="AB458" s="5">
        <v>51974.45</v>
      </c>
      <c r="AC458" s="5">
        <v>1472.95</v>
      </c>
      <c r="AD458" s="5">
        <v>2.9165999999999999</v>
      </c>
      <c r="AE458" s="4">
        <v>4</v>
      </c>
      <c r="AF458" s="5">
        <v>-6.6667000000000004E-2</v>
      </c>
      <c r="AG458" s="5">
        <v>1439.2823000000001</v>
      </c>
      <c r="AH458" s="5">
        <v>2.85</v>
      </c>
      <c r="AI458" s="8">
        <v>1.1193</v>
      </c>
      <c r="AJ458" s="8">
        <v>3.0070999999999999</v>
      </c>
      <c r="AK458" s="15">
        <v>984.43230000000005</v>
      </c>
      <c r="AL458" s="15">
        <v>0.85750000000000004</v>
      </c>
      <c r="AM458" s="5">
        <v>102.1155</v>
      </c>
      <c r="AN458" s="5">
        <v>102.1155</v>
      </c>
      <c r="AO458" s="4">
        <v>0</v>
      </c>
      <c r="AP458" s="4">
        <v>0</v>
      </c>
      <c r="AQ458" s="8">
        <v>0.55530000000000002</v>
      </c>
      <c r="AR458" s="8">
        <v>-0.27979999999999999</v>
      </c>
      <c r="AS458" s="8">
        <v>-0.27979999999999999</v>
      </c>
      <c r="AT458" s="5">
        <v>100.9641</v>
      </c>
      <c r="AU458" s="5">
        <v>-0.38919999999999999</v>
      </c>
      <c r="AV458" s="7" t="s">
        <v>96</v>
      </c>
    </row>
    <row r="459" spans="1:48" ht="18" customHeight="1" x14ac:dyDescent="0.25">
      <c r="A459" s="10">
        <v>229</v>
      </c>
      <c r="B459" s="10">
        <v>2</v>
      </c>
      <c r="C459" s="10">
        <v>229</v>
      </c>
      <c r="D459" s="88">
        <v>45758</v>
      </c>
      <c r="E459" s="88">
        <v>45762</v>
      </c>
      <c r="F459" s="88">
        <v>45771</v>
      </c>
      <c r="G459" s="11">
        <v>22828.55</v>
      </c>
      <c r="H459" s="11">
        <v>23328.55</v>
      </c>
      <c r="I459" s="12"/>
      <c r="J459" s="12"/>
      <c r="K459" s="92"/>
      <c r="L459" s="92"/>
      <c r="M459" s="12" t="s">
        <v>40</v>
      </c>
      <c r="N459" s="10">
        <v>22800</v>
      </c>
      <c r="O459" s="95">
        <f>IF(F459=F457,O457,MROUND(G459,100))</f>
        <v>23500</v>
      </c>
      <c r="P459" s="95">
        <f>O459-N459</f>
        <v>700</v>
      </c>
      <c r="Q459" s="12" t="s">
        <v>91</v>
      </c>
      <c r="R459" s="10">
        <v>65</v>
      </c>
      <c r="S459" s="11">
        <v>291.75</v>
      </c>
      <c r="T459" s="11">
        <v>68.05</v>
      </c>
      <c r="U459" s="13">
        <v>-1.0062</v>
      </c>
      <c r="V459" s="13">
        <v>-0.66010000000000002</v>
      </c>
      <c r="W459" s="10">
        <v>0</v>
      </c>
      <c r="X459" s="14">
        <v>0</v>
      </c>
      <c r="Y459" s="11">
        <v>-223.7</v>
      </c>
      <c r="Z459" s="14">
        <v>-9.7991331030661162E-3</v>
      </c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 t="s">
        <v>96</v>
      </c>
    </row>
    <row r="460" spans="1:48" ht="18" hidden="1" customHeight="1" x14ac:dyDescent="0.25">
      <c r="A460" s="4">
        <v>230</v>
      </c>
      <c r="B460" s="4">
        <v>1</v>
      </c>
      <c r="C460" s="4">
        <v>230</v>
      </c>
      <c r="D460" s="87">
        <v>45762</v>
      </c>
      <c r="E460" s="87">
        <v>45763</v>
      </c>
      <c r="F460" s="87">
        <v>45764</v>
      </c>
      <c r="G460" s="5">
        <v>23328.55</v>
      </c>
      <c r="H460" s="5">
        <v>23437.200000000001</v>
      </c>
      <c r="I460" s="5">
        <v>108.65</v>
      </c>
      <c r="J460" s="6">
        <v>4.657383335012249E-3</v>
      </c>
      <c r="K460" s="90"/>
      <c r="L460" s="90"/>
      <c r="M460" s="7" t="s">
        <v>28</v>
      </c>
      <c r="N460" s="4">
        <v>23300</v>
      </c>
      <c r="O460" s="94"/>
      <c r="P460" s="94"/>
      <c r="Q460" s="7" t="s">
        <v>89</v>
      </c>
      <c r="R460" s="4">
        <v>65</v>
      </c>
      <c r="S460" s="5">
        <v>95.7</v>
      </c>
      <c r="T460" s="5">
        <v>130.19999999999999</v>
      </c>
      <c r="U460" s="8">
        <v>-0.26129999999999998</v>
      </c>
      <c r="V460" s="8">
        <v>0.21279999999999999</v>
      </c>
      <c r="W460" s="5">
        <v>-34.5</v>
      </c>
      <c r="X460" s="6">
        <v>-1.478874597863991E-3</v>
      </c>
      <c r="Y460" s="4">
        <v>0</v>
      </c>
      <c r="Z460" s="6">
        <v>0</v>
      </c>
      <c r="AA460" s="5">
        <v>51974.45</v>
      </c>
      <c r="AB460" s="5">
        <v>52345.55</v>
      </c>
      <c r="AC460" s="5">
        <v>371.1</v>
      </c>
      <c r="AD460" s="5">
        <v>0.71399999999999997</v>
      </c>
      <c r="AE460" s="4">
        <v>1</v>
      </c>
      <c r="AF460" s="5">
        <v>-1.6667000000000001E-2</v>
      </c>
      <c r="AG460" s="5">
        <v>362.43759999999997</v>
      </c>
      <c r="AH460" s="5">
        <v>0.69730000000000003</v>
      </c>
      <c r="AI460" s="8">
        <v>-7.0099999999999996E-2</v>
      </c>
      <c r="AJ460" s="8">
        <v>0.74760000000000004</v>
      </c>
      <c r="AK460" s="15">
        <v>305.08760000000001</v>
      </c>
      <c r="AL460" s="15">
        <v>0.45150000000000001</v>
      </c>
      <c r="AM460" s="5">
        <v>102.5766</v>
      </c>
      <c r="AN460" s="5">
        <v>102.5766</v>
      </c>
      <c r="AO460" s="4">
        <v>0</v>
      </c>
      <c r="AP460" s="4">
        <v>0</v>
      </c>
      <c r="AQ460" s="8">
        <v>0.35920000000000002</v>
      </c>
      <c r="AR460" s="8">
        <v>0.21540000000000001</v>
      </c>
      <c r="AS460" s="8">
        <v>0.21540000000000001</v>
      </c>
      <c r="AT460" s="5">
        <v>102.3355</v>
      </c>
      <c r="AU460" s="5">
        <v>0.21540000000000001</v>
      </c>
      <c r="AV460" s="7" t="s">
        <v>90</v>
      </c>
    </row>
    <row r="461" spans="1:48" ht="18" customHeight="1" x14ac:dyDescent="0.25">
      <c r="A461" s="10">
        <v>230</v>
      </c>
      <c r="B461" s="10">
        <v>2</v>
      </c>
      <c r="C461" s="10">
        <v>230</v>
      </c>
      <c r="D461" s="88">
        <v>45762</v>
      </c>
      <c r="E461" s="88">
        <v>45763</v>
      </c>
      <c r="F461" s="88">
        <v>45771</v>
      </c>
      <c r="G461" s="11">
        <v>23328.55</v>
      </c>
      <c r="H461" s="11">
        <v>23437.200000000001</v>
      </c>
      <c r="I461" s="12"/>
      <c r="J461" s="12"/>
      <c r="K461" s="92"/>
      <c r="L461" s="92"/>
      <c r="M461" s="12" t="s">
        <v>40</v>
      </c>
      <c r="N461" s="10">
        <v>22800</v>
      </c>
      <c r="O461" s="95">
        <f>IF(F461=F459,O459,MROUND(G461,100))</f>
        <v>23500</v>
      </c>
      <c r="P461" s="95">
        <f>O461-N461</f>
        <v>700</v>
      </c>
      <c r="Q461" s="12" t="s">
        <v>91</v>
      </c>
      <c r="R461" s="10">
        <v>65</v>
      </c>
      <c r="S461" s="11">
        <v>68.05</v>
      </c>
      <c r="T461" s="11">
        <v>45.2</v>
      </c>
      <c r="U461" s="13">
        <v>-0.12709999999999999</v>
      </c>
      <c r="V461" s="13">
        <v>7.2700000000000001E-2</v>
      </c>
      <c r="W461" s="10">
        <v>0</v>
      </c>
      <c r="X461" s="14">
        <v>0</v>
      </c>
      <c r="Y461" s="11">
        <v>-22.85</v>
      </c>
      <c r="Z461" s="14">
        <v>-9.7948650902006341E-4</v>
      </c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 t="s">
        <v>90</v>
      </c>
    </row>
    <row r="462" spans="1:48" ht="18" hidden="1" customHeight="1" x14ac:dyDescent="0.25">
      <c r="A462" s="4">
        <v>231</v>
      </c>
      <c r="B462" s="4">
        <v>1</v>
      </c>
      <c r="C462" s="4">
        <v>231</v>
      </c>
      <c r="D462" s="87">
        <v>45763</v>
      </c>
      <c r="E462" s="87">
        <v>45764</v>
      </c>
      <c r="F462" s="87">
        <v>45771</v>
      </c>
      <c r="G462" s="5">
        <v>23437.200000000001</v>
      </c>
      <c r="H462" s="5">
        <v>23851.65</v>
      </c>
      <c r="I462" s="5">
        <v>414.45</v>
      </c>
      <c r="J462" s="6">
        <v>1.7683426347857249E-2</v>
      </c>
      <c r="K462" s="90"/>
      <c r="L462" s="90"/>
      <c r="M462" s="7" t="s">
        <v>28</v>
      </c>
      <c r="N462" s="4">
        <v>23400</v>
      </c>
      <c r="O462" s="94"/>
      <c r="P462" s="94"/>
      <c r="Q462" s="7" t="s">
        <v>89</v>
      </c>
      <c r="R462" s="4">
        <v>65</v>
      </c>
      <c r="S462" s="5">
        <v>219.1</v>
      </c>
      <c r="T462" s="5">
        <v>518.65</v>
      </c>
      <c r="U462" s="8">
        <v>-1.3508</v>
      </c>
      <c r="V462" s="8">
        <v>0.25919999999999999</v>
      </c>
      <c r="W462" s="5">
        <v>-299.55</v>
      </c>
      <c r="X462" s="6">
        <v>-1.278096359633403E-2</v>
      </c>
      <c r="Y462" s="4">
        <v>0</v>
      </c>
      <c r="Z462" s="6">
        <v>0</v>
      </c>
      <c r="AA462" s="5">
        <v>52345.55</v>
      </c>
      <c r="AB462" s="5">
        <v>52657.8</v>
      </c>
      <c r="AC462" s="5">
        <v>312.25</v>
      </c>
      <c r="AD462" s="5">
        <v>0.59650000000000003</v>
      </c>
      <c r="AE462" s="4">
        <v>1</v>
      </c>
      <c r="AF462" s="5">
        <v>-1.6667000000000001E-2</v>
      </c>
      <c r="AG462" s="5">
        <v>303.52569999999997</v>
      </c>
      <c r="AH462" s="5">
        <v>0.57989999999999997</v>
      </c>
      <c r="AI462" s="8">
        <v>-0.55859999999999999</v>
      </c>
      <c r="AJ462" s="8">
        <v>0.7298</v>
      </c>
      <c r="AK462" s="9">
        <v>-17.7743</v>
      </c>
      <c r="AL462" s="9">
        <v>-0.79100000000000004</v>
      </c>
      <c r="AM462" s="5">
        <v>101.76519999999999</v>
      </c>
      <c r="AN462" s="5">
        <v>102.5766</v>
      </c>
      <c r="AO462" s="5">
        <v>-0.81140000000000001</v>
      </c>
      <c r="AP462" s="5">
        <v>-0.79100000000000004</v>
      </c>
      <c r="AQ462" s="8">
        <v>-0.73019999999999996</v>
      </c>
      <c r="AR462" s="8">
        <v>-0.28449999999999998</v>
      </c>
      <c r="AS462" s="8">
        <v>-0.79100000000000004</v>
      </c>
      <c r="AT462" s="5">
        <v>101.76519999999999</v>
      </c>
      <c r="AU462" s="5">
        <v>-0.79100000000000004</v>
      </c>
      <c r="AV462" s="7" t="s">
        <v>101</v>
      </c>
    </row>
    <row r="463" spans="1:48" ht="18" customHeight="1" x14ac:dyDescent="0.25">
      <c r="A463" s="10">
        <v>231</v>
      </c>
      <c r="B463" s="10">
        <v>2</v>
      </c>
      <c r="C463" s="10">
        <v>231</v>
      </c>
      <c r="D463" s="88">
        <v>45763</v>
      </c>
      <c r="E463" s="88">
        <v>45764</v>
      </c>
      <c r="F463" s="88">
        <v>45771</v>
      </c>
      <c r="G463" s="11">
        <v>23437.200000000001</v>
      </c>
      <c r="H463" s="11">
        <v>23851.65</v>
      </c>
      <c r="I463" s="12"/>
      <c r="J463" s="12"/>
      <c r="K463" s="92"/>
      <c r="L463" s="92"/>
      <c r="M463" s="12" t="s">
        <v>40</v>
      </c>
      <c r="N463" s="10">
        <v>22800</v>
      </c>
      <c r="O463" s="95">
        <f>IF(F463=F461,O461,MROUND(G463,100))</f>
        <v>23500</v>
      </c>
      <c r="P463" s="95">
        <f>O463-N463</f>
        <v>700</v>
      </c>
      <c r="Q463" s="12" t="s">
        <v>91</v>
      </c>
      <c r="R463" s="10">
        <v>65</v>
      </c>
      <c r="S463" s="11">
        <v>45.2</v>
      </c>
      <c r="T463" s="11">
        <v>23.45</v>
      </c>
      <c r="U463" s="13">
        <v>-0.10920000000000001</v>
      </c>
      <c r="V463" s="13">
        <v>1.49E-2</v>
      </c>
      <c r="W463" s="10">
        <v>0</v>
      </c>
      <c r="X463" s="14">
        <v>0</v>
      </c>
      <c r="Y463" s="11">
        <v>-21.75</v>
      </c>
      <c r="Z463" s="14">
        <v>-9.2801187855204542E-4</v>
      </c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 t="s">
        <v>101</v>
      </c>
    </row>
    <row r="464" spans="1:48" ht="18" hidden="1" customHeight="1" x14ac:dyDescent="0.25">
      <c r="A464" s="4">
        <v>232</v>
      </c>
      <c r="B464" s="4">
        <v>1</v>
      </c>
      <c r="C464" s="4">
        <v>232</v>
      </c>
      <c r="D464" s="87">
        <v>45764</v>
      </c>
      <c r="E464" s="87">
        <v>45768</v>
      </c>
      <c r="F464" s="87">
        <v>45771</v>
      </c>
      <c r="G464" s="5">
        <v>23851.65</v>
      </c>
      <c r="H464" s="5">
        <v>24125.55</v>
      </c>
      <c r="I464" s="5">
        <v>273.89999999999998</v>
      </c>
      <c r="J464" s="6">
        <v>1.148348227481118E-2</v>
      </c>
      <c r="K464" s="90"/>
      <c r="L464" s="90"/>
      <c r="M464" s="7" t="s">
        <v>28</v>
      </c>
      <c r="N464" s="4">
        <v>23900</v>
      </c>
      <c r="O464" s="94"/>
      <c r="P464" s="94"/>
      <c r="Q464" s="7" t="s">
        <v>89</v>
      </c>
      <c r="R464" s="4">
        <v>65</v>
      </c>
      <c r="S464" s="5">
        <v>164.5</v>
      </c>
      <c r="T464" s="5">
        <v>284.89999999999998</v>
      </c>
      <c r="U464" s="8">
        <v>-0.73119999999999996</v>
      </c>
      <c r="V464" s="8">
        <v>-3.5999999999999999E-3</v>
      </c>
      <c r="W464" s="5">
        <v>-120.4</v>
      </c>
      <c r="X464" s="6">
        <v>-5.0478688057220356E-3</v>
      </c>
      <c r="Y464" s="4">
        <v>0</v>
      </c>
      <c r="Z464" s="6">
        <v>0</v>
      </c>
      <c r="AA464" s="5">
        <v>52657.8</v>
      </c>
      <c r="AB464" s="5">
        <v>53974.45</v>
      </c>
      <c r="AC464" s="5">
        <v>1316.65</v>
      </c>
      <c r="AD464" s="5">
        <v>2.5004</v>
      </c>
      <c r="AE464" s="4">
        <v>4</v>
      </c>
      <c r="AF464" s="5">
        <v>-6.6667000000000004E-2</v>
      </c>
      <c r="AG464" s="5">
        <v>1281.5447999999999</v>
      </c>
      <c r="AH464" s="5">
        <v>2.4337</v>
      </c>
      <c r="AI464" s="8">
        <v>0.2792</v>
      </c>
      <c r="AJ464" s="8">
        <v>2.528</v>
      </c>
      <c r="AK464" s="15">
        <v>994.24480000000005</v>
      </c>
      <c r="AL464" s="15">
        <v>1.2292000000000001</v>
      </c>
      <c r="AM464" s="5">
        <v>103.01609999999999</v>
      </c>
      <c r="AN464" s="5">
        <v>103.01609999999999</v>
      </c>
      <c r="AO464" s="4">
        <v>0</v>
      </c>
      <c r="AP464" s="4">
        <v>0</v>
      </c>
      <c r="AQ464" s="8">
        <v>1.0604</v>
      </c>
      <c r="AR464" s="8">
        <v>0.26240000000000002</v>
      </c>
      <c r="AS464" s="8">
        <v>0.26240000000000002</v>
      </c>
      <c r="AT464" s="5">
        <v>102.0322</v>
      </c>
      <c r="AU464" s="5">
        <v>-0.53069999999999995</v>
      </c>
      <c r="AV464" s="7" t="s">
        <v>96</v>
      </c>
    </row>
    <row r="465" spans="1:48" ht="18" customHeight="1" x14ac:dyDescent="0.25">
      <c r="A465" s="10">
        <v>232</v>
      </c>
      <c r="B465" s="10">
        <v>2</v>
      </c>
      <c r="C465" s="10">
        <v>232</v>
      </c>
      <c r="D465" s="88">
        <v>45764</v>
      </c>
      <c r="E465" s="88">
        <v>45768</v>
      </c>
      <c r="F465" s="88">
        <v>45771</v>
      </c>
      <c r="G465" s="11">
        <v>23851.65</v>
      </c>
      <c r="H465" s="11">
        <v>24125.55</v>
      </c>
      <c r="I465" s="12"/>
      <c r="J465" s="12"/>
      <c r="K465" s="92"/>
      <c r="L465" s="92"/>
      <c r="M465" s="12" t="s">
        <v>40</v>
      </c>
      <c r="N465" s="10">
        <v>23900</v>
      </c>
      <c r="O465" s="95">
        <f>IF(F465=F463,O463,MROUND(G465,100))</f>
        <v>23500</v>
      </c>
      <c r="P465" s="95">
        <f>O465-N465</f>
        <v>-400</v>
      </c>
      <c r="Q465" s="12" t="s">
        <v>91</v>
      </c>
      <c r="R465" s="10">
        <v>65</v>
      </c>
      <c r="S465" s="11">
        <v>216.5</v>
      </c>
      <c r="T465" s="11">
        <v>49.6</v>
      </c>
      <c r="U465" s="13">
        <v>-0.73640000000000005</v>
      </c>
      <c r="V465" s="13">
        <v>-1.32E-2</v>
      </c>
      <c r="W465" s="10">
        <v>0</v>
      </c>
      <c r="X465" s="14">
        <v>0</v>
      </c>
      <c r="Y465" s="11">
        <v>-166.9</v>
      </c>
      <c r="Z465" s="14">
        <v>-6.997419465739267E-3</v>
      </c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 t="s">
        <v>96</v>
      </c>
    </row>
    <row r="466" spans="1:48" ht="18" hidden="1" customHeight="1" x14ac:dyDescent="0.25">
      <c r="A466" s="4">
        <v>233</v>
      </c>
      <c r="B466" s="4">
        <v>1</v>
      </c>
      <c r="C466" s="4">
        <v>233</v>
      </c>
      <c r="D466" s="87">
        <v>45768</v>
      </c>
      <c r="E466" s="87">
        <v>45770</v>
      </c>
      <c r="F466" s="87">
        <v>45771</v>
      </c>
      <c r="G466" s="5">
        <v>24125.55</v>
      </c>
      <c r="H466" s="5">
        <v>24328.95</v>
      </c>
      <c r="I466" s="5">
        <v>203.4</v>
      </c>
      <c r="J466" s="6">
        <v>8.4308958759489426E-3</v>
      </c>
      <c r="K466" s="90"/>
      <c r="L466" s="90"/>
      <c r="M466" s="7" t="s">
        <v>28</v>
      </c>
      <c r="N466" s="4">
        <v>24100</v>
      </c>
      <c r="O466" s="94"/>
      <c r="P466" s="94"/>
      <c r="Q466" s="7" t="s">
        <v>89</v>
      </c>
      <c r="R466" s="4">
        <v>65</v>
      </c>
      <c r="S466" s="5">
        <v>143.65</v>
      </c>
      <c r="T466" s="5">
        <v>223.8</v>
      </c>
      <c r="U466" s="8">
        <v>-0.51380000000000003</v>
      </c>
      <c r="V466" s="8">
        <v>0.20169999999999999</v>
      </c>
      <c r="W466" s="5">
        <v>-80.150000000000006</v>
      </c>
      <c r="X466" s="6">
        <v>-3.3222040533790942E-3</v>
      </c>
      <c r="Y466" s="4">
        <v>0</v>
      </c>
      <c r="Z466" s="6">
        <v>0</v>
      </c>
      <c r="AA466" s="5">
        <v>53974.45</v>
      </c>
      <c r="AB466" s="5">
        <v>55041.1</v>
      </c>
      <c r="AC466" s="5">
        <v>1066.6500000000001</v>
      </c>
      <c r="AD466" s="5">
        <v>1.9762</v>
      </c>
      <c r="AE466" s="4">
        <v>2</v>
      </c>
      <c r="AF466" s="5">
        <v>-3.3333000000000002E-2</v>
      </c>
      <c r="AG466" s="5">
        <v>1048.6585</v>
      </c>
      <c r="AH466" s="5">
        <v>1.9429000000000001</v>
      </c>
      <c r="AI466" s="8">
        <v>-0.2586</v>
      </c>
      <c r="AJ466" s="8">
        <v>2.0072999999999999</v>
      </c>
      <c r="AK466" s="15">
        <v>929.00850000000003</v>
      </c>
      <c r="AL466" s="15">
        <v>1.4470000000000001</v>
      </c>
      <c r="AM466" s="5">
        <v>104.5068</v>
      </c>
      <c r="AN466" s="5">
        <v>104.5068</v>
      </c>
      <c r="AO466" s="4">
        <v>0</v>
      </c>
      <c r="AP466" s="4">
        <v>0</v>
      </c>
      <c r="AQ466" s="8">
        <v>1.3149</v>
      </c>
      <c r="AR466" s="8">
        <v>-5.8999999999999999E-3</v>
      </c>
      <c r="AS466" s="8">
        <v>-5.8999999999999999E-3</v>
      </c>
      <c r="AT466" s="5">
        <v>103.01</v>
      </c>
      <c r="AU466" s="5">
        <v>-5.8999999999999999E-3</v>
      </c>
      <c r="AV466" s="7" t="s">
        <v>90</v>
      </c>
    </row>
    <row r="467" spans="1:48" ht="18" customHeight="1" x14ac:dyDescent="0.25">
      <c r="A467" s="10">
        <v>233</v>
      </c>
      <c r="B467" s="10">
        <v>2</v>
      </c>
      <c r="C467" s="10">
        <v>233</v>
      </c>
      <c r="D467" s="88">
        <v>45768</v>
      </c>
      <c r="E467" s="88">
        <v>45770</v>
      </c>
      <c r="F467" s="88">
        <v>45771</v>
      </c>
      <c r="G467" s="11">
        <v>24125.55</v>
      </c>
      <c r="H467" s="11">
        <v>24328.95</v>
      </c>
      <c r="I467" s="12"/>
      <c r="J467" s="12"/>
      <c r="K467" s="92"/>
      <c r="L467" s="92"/>
      <c r="M467" s="12" t="s">
        <v>40</v>
      </c>
      <c r="N467" s="10">
        <v>23900</v>
      </c>
      <c r="O467" s="95">
        <f>IF(F467=F465,O465,MROUND(G467,100))</f>
        <v>23500</v>
      </c>
      <c r="P467" s="95">
        <f>O467-N467</f>
        <v>-400</v>
      </c>
      <c r="Q467" s="12" t="s">
        <v>91</v>
      </c>
      <c r="R467" s="10">
        <v>65</v>
      </c>
      <c r="S467" s="11">
        <v>49.6</v>
      </c>
      <c r="T467" s="11">
        <v>10.1</v>
      </c>
      <c r="U467" s="13">
        <v>-0.17860000000000001</v>
      </c>
      <c r="V467" s="13">
        <v>5.0999999999999997E-2</v>
      </c>
      <c r="W467" s="10">
        <v>0</v>
      </c>
      <c r="X467" s="14">
        <v>0</v>
      </c>
      <c r="Y467" s="11">
        <v>-39.5</v>
      </c>
      <c r="Z467" s="14">
        <v>-1.6372683731562599E-3</v>
      </c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 t="s">
        <v>90</v>
      </c>
    </row>
    <row r="468" spans="1:48" ht="18" hidden="1" customHeight="1" x14ac:dyDescent="0.25">
      <c r="A468" s="4">
        <v>234</v>
      </c>
      <c r="B468" s="4">
        <v>1</v>
      </c>
      <c r="C468" s="4">
        <v>234</v>
      </c>
      <c r="D468" s="87">
        <v>45770</v>
      </c>
      <c r="E468" s="87">
        <v>45772</v>
      </c>
      <c r="F468" s="87">
        <v>45777</v>
      </c>
      <c r="G468" s="5">
        <v>24328.95</v>
      </c>
      <c r="H468" s="5">
        <v>24039.35</v>
      </c>
      <c r="I468" s="5">
        <v>-289.60000000000002</v>
      </c>
      <c r="J468" s="6">
        <v>-1.1903514126174779E-2</v>
      </c>
      <c r="K468" s="90"/>
      <c r="L468" s="90"/>
      <c r="M468" s="7" t="s">
        <v>28</v>
      </c>
      <c r="N468" s="4">
        <v>24300</v>
      </c>
      <c r="O468" s="94"/>
      <c r="P468" s="94"/>
      <c r="Q468" s="7" t="s">
        <v>89</v>
      </c>
      <c r="R468" s="4">
        <v>65</v>
      </c>
      <c r="S468" s="5">
        <v>225.5</v>
      </c>
      <c r="T468" s="5">
        <v>71.150000000000006</v>
      </c>
      <c r="U468" s="8">
        <v>-9.64E-2</v>
      </c>
      <c r="V468" s="8">
        <v>0.73550000000000004</v>
      </c>
      <c r="W468" s="5">
        <v>154.35</v>
      </c>
      <c r="X468" s="6">
        <v>6.3442935268476436E-3</v>
      </c>
      <c r="Y468" s="4">
        <v>0</v>
      </c>
      <c r="Z468" s="6">
        <v>0</v>
      </c>
      <c r="AA468" s="5">
        <v>55041.1</v>
      </c>
      <c r="AB468" s="5">
        <v>53570.2</v>
      </c>
      <c r="AC468" s="5">
        <v>-1470.9</v>
      </c>
      <c r="AD468" s="5">
        <v>-2.6724000000000001</v>
      </c>
      <c r="AE468" s="4">
        <v>2</v>
      </c>
      <c r="AF468" s="5">
        <v>-3.3333000000000002E-2</v>
      </c>
      <c r="AG468" s="5">
        <v>-1489.2470000000001</v>
      </c>
      <c r="AH468" s="5">
        <v>-2.7057000000000002</v>
      </c>
      <c r="AI468" s="8">
        <v>-3.5295000000000001</v>
      </c>
      <c r="AJ468" s="8">
        <v>0.31440000000000001</v>
      </c>
      <c r="AK468" s="9">
        <v>-1192.4970000000001</v>
      </c>
      <c r="AL468" s="9">
        <v>-1.486</v>
      </c>
      <c r="AM468" s="5">
        <v>102.9538</v>
      </c>
      <c r="AN468" s="5">
        <v>104.5068</v>
      </c>
      <c r="AO468" s="5">
        <v>-1.5529999999999999</v>
      </c>
      <c r="AP468" s="5">
        <v>-1.486</v>
      </c>
      <c r="AQ468" s="8">
        <v>0.10680000000000001</v>
      </c>
      <c r="AR468" s="8">
        <v>-1.7908999999999999</v>
      </c>
      <c r="AS468" s="8">
        <v>-1.7908999999999999</v>
      </c>
      <c r="AT468" s="5">
        <v>102.63509999999999</v>
      </c>
      <c r="AU468" s="5">
        <v>-1.7908999999999999</v>
      </c>
      <c r="AV468" s="7" t="s">
        <v>93</v>
      </c>
    </row>
    <row r="469" spans="1:48" ht="18" customHeight="1" x14ac:dyDescent="0.25">
      <c r="A469" s="10">
        <v>234</v>
      </c>
      <c r="B469" s="10">
        <v>2</v>
      </c>
      <c r="C469" s="10">
        <v>234</v>
      </c>
      <c r="D469" s="88">
        <v>45770</v>
      </c>
      <c r="E469" s="88">
        <v>45772</v>
      </c>
      <c r="F469" s="88">
        <v>45806</v>
      </c>
      <c r="G469" s="11">
        <v>24328.95</v>
      </c>
      <c r="H469" s="11">
        <v>24039.35</v>
      </c>
      <c r="I469" s="12"/>
      <c r="J469" s="12"/>
      <c r="K469" s="92"/>
      <c r="L469" s="92"/>
      <c r="M469" s="12" t="s">
        <v>40</v>
      </c>
      <c r="N469" s="10">
        <v>24300</v>
      </c>
      <c r="O469" s="95">
        <f>IF(F469=F467,O467,MROUND(G469,100))</f>
        <v>24300</v>
      </c>
      <c r="P469" s="95">
        <f>O469-N469</f>
        <v>0</v>
      </c>
      <c r="Q469" s="12" t="s">
        <v>91</v>
      </c>
      <c r="R469" s="10">
        <v>65</v>
      </c>
      <c r="S469" s="11">
        <v>389.95</v>
      </c>
      <c r="T469" s="11">
        <v>532.35</v>
      </c>
      <c r="U469" s="13">
        <v>-0.11119999999999999</v>
      </c>
      <c r="V469" s="13">
        <v>1.0031000000000001</v>
      </c>
      <c r="W469" s="10">
        <v>0</v>
      </c>
      <c r="X469" s="14">
        <v>0</v>
      </c>
      <c r="Y469" s="11">
        <v>142.4</v>
      </c>
      <c r="Z469" s="14">
        <v>5.8531091559643963E-3</v>
      </c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 t="s">
        <v>93</v>
      </c>
    </row>
    <row r="470" spans="1:48" ht="18" hidden="1" customHeight="1" x14ac:dyDescent="0.25">
      <c r="A470" s="4">
        <v>235</v>
      </c>
      <c r="B470" s="4">
        <v>1</v>
      </c>
      <c r="C470" s="4">
        <v>235</v>
      </c>
      <c r="D470" s="87">
        <v>45772</v>
      </c>
      <c r="E470" s="87">
        <v>45775</v>
      </c>
      <c r="F470" s="87">
        <v>45777</v>
      </c>
      <c r="G470" s="5">
        <v>24039.35</v>
      </c>
      <c r="H470" s="5">
        <v>24328.5</v>
      </c>
      <c r="I470" s="5">
        <v>289.14999999999998</v>
      </c>
      <c r="J470" s="6">
        <v>1.202819543789662E-2</v>
      </c>
      <c r="K470" s="90"/>
      <c r="L470" s="90"/>
      <c r="M470" s="7" t="s">
        <v>28</v>
      </c>
      <c r="N470" s="4">
        <v>24000</v>
      </c>
      <c r="O470" s="94"/>
      <c r="P470" s="94"/>
      <c r="Q470" s="7" t="s">
        <v>89</v>
      </c>
      <c r="R470" s="4">
        <v>65</v>
      </c>
      <c r="S470" s="5">
        <v>198.45</v>
      </c>
      <c r="T470" s="5">
        <v>373.9</v>
      </c>
      <c r="U470" s="8">
        <v>-0.89290000000000003</v>
      </c>
      <c r="V470" s="8">
        <v>0.12670000000000001</v>
      </c>
      <c r="W470" s="5">
        <v>-175.45</v>
      </c>
      <c r="X470" s="6">
        <v>-7.2984502492787866E-3</v>
      </c>
      <c r="Y470" s="4">
        <v>0</v>
      </c>
      <c r="Z470" s="6">
        <v>0</v>
      </c>
      <c r="AA470" s="5">
        <v>53570.2</v>
      </c>
      <c r="AB470" s="5">
        <v>54440.25</v>
      </c>
      <c r="AC470" s="5">
        <v>870.05</v>
      </c>
      <c r="AD470" s="5">
        <v>1.6241000000000001</v>
      </c>
      <c r="AE470" s="4">
        <v>3</v>
      </c>
      <c r="AF470" s="5">
        <v>-0.05</v>
      </c>
      <c r="AG470" s="5">
        <v>843.26490000000001</v>
      </c>
      <c r="AH470" s="5">
        <v>1.5741000000000001</v>
      </c>
      <c r="AI470" s="8">
        <v>-0.216</v>
      </c>
      <c r="AJ470" s="8">
        <v>1.6395999999999999</v>
      </c>
      <c r="AK470" s="15">
        <v>504.7149</v>
      </c>
      <c r="AL470" s="15">
        <v>0.1658</v>
      </c>
      <c r="AM470" s="5">
        <v>103.1245</v>
      </c>
      <c r="AN470" s="5">
        <v>104.5068</v>
      </c>
      <c r="AO470" s="5">
        <v>-1.3823000000000001</v>
      </c>
      <c r="AP470" s="5">
        <v>-1.3227</v>
      </c>
      <c r="AQ470" s="8">
        <v>8.9999999999999993E-3</v>
      </c>
      <c r="AR470" s="8">
        <v>-9.8900000000000002E-2</v>
      </c>
      <c r="AS470" s="8">
        <v>-9.8900000000000002E-2</v>
      </c>
      <c r="AT470" s="5">
        <v>102.852</v>
      </c>
      <c r="AU470" s="5">
        <v>-1.5833999999999999</v>
      </c>
      <c r="AV470" s="7" t="s">
        <v>96</v>
      </c>
    </row>
    <row r="471" spans="1:48" ht="18" customHeight="1" x14ac:dyDescent="0.25">
      <c r="A471" s="10">
        <v>235</v>
      </c>
      <c r="B471" s="10">
        <v>2</v>
      </c>
      <c r="C471" s="10">
        <v>235</v>
      </c>
      <c r="D471" s="88">
        <v>45772</v>
      </c>
      <c r="E471" s="88">
        <v>45775</v>
      </c>
      <c r="F471" s="88">
        <v>45806</v>
      </c>
      <c r="G471" s="11">
        <v>24039.35</v>
      </c>
      <c r="H471" s="11">
        <v>24328.5</v>
      </c>
      <c r="I471" s="12"/>
      <c r="J471" s="12"/>
      <c r="K471" s="92"/>
      <c r="L471" s="92"/>
      <c r="M471" s="12" t="s">
        <v>40</v>
      </c>
      <c r="N471" s="10">
        <v>24300</v>
      </c>
      <c r="O471" s="95">
        <f>IF(F471=F469,O469,MROUND(G471,100))</f>
        <v>24300</v>
      </c>
      <c r="P471" s="95">
        <f>O471-N471</f>
        <v>0</v>
      </c>
      <c r="Q471" s="12" t="s">
        <v>91</v>
      </c>
      <c r="R471" s="10">
        <v>65</v>
      </c>
      <c r="S471" s="11">
        <v>532.35</v>
      </c>
      <c r="T471" s="11">
        <v>369.25</v>
      </c>
      <c r="U471" s="13">
        <v>-0.73770000000000002</v>
      </c>
      <c r="V471" s="13">
        <v>-9.5999999999999992E-3</v>
      </c>
      <c r="W471" s="10">
        <v>0</v>
      </c>
      <c r="X471" s="14">
        <v>0</v>
      </c>
      <c r="Y471" s="11">
        <v>-163.1</v>
      </c>
      <c r="Z471" s="14">
        <v>-6.7847092371465956E-3</v>
      </c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 t="s">
        <v>96</v>
      </c>
    </row>
    <row r="472" spans="1:48" ht="18" hidden="1" customHeight="1" x14ac:dyDescent="0.25">
      <c r="A472" s="4">
        <v>236</v>
      </c>
      <c r="B472" s="4">
        <v>1</v>
      </c>
      <c r="C472" s="4">
        <v>236</v>
      </c>
      <c r="D472" s="87">
        <v>45775</v>
      </c>
      <c r="E472" s="87">
        <v>45776</v>
      </c>
      <c r="F472" s="87">
        <v>45777</v>
      </c>
      <c r="G472" s="5">
        <v>24328.5</v>
      </c>
      <c r="H472" s="5">
        <v>24335.95</v>
      </c>
      <c r="I472" s="5">
        <v>7.45</v>
      </c>
      <c r="J472" s="6">
        <v>3.0622520911687939E-4</v>
      </c>
      <c r="K472" s="90"/>
      <c r="L472" s="90"/>
      <c r="M472" s="7" t="s">
        <v>28</v>
      </c>
      <c r="N472" s="4">
        <v>24300</v>
      </c>
      <c r="O472" s="94"/>
      <c r="P472" s="94"/>
      <c r="Q472" s="7" t="s">
        <v>89</v>
      </c>
      <c r="R472" s="4">
        <v>65</v>
      </c>
      <c r="S472" s="4">
        <v>128</v>
      </c>
      <c r="T472" s="5">
        <v>64.3</v>
      </c>
      <c r="U472" s="8">
        <v>-0.24909999999999999</v>
      </c>
      <c r="V472" s="8">
        <v>0.28549999999999998</v>
      </c>
      <c r="W472" s="5">
        <v>63.7</v>
      </c>
      <c r="X472" s="6">
        <v>2.6183282980866058E-3</v>
      </c>
      <c r="Y472" s="4">
        <v>0</v>
      </c>
      <c r="Z472" s="6">
        <v>0</v>
      </c>
      <c r="AA472" s="5">
        <v>54440.25</v>
      </c>
      <c r="AB472" s="5">
        <v>54587.95</v>
      </c>
      <c r="AC472" s="5">
        <v>147.69999999999999</v>
      </c>
      <c r="AD472" s="5">
        <v>0.27129999999999999</v>
      </c>
      <c r="AE472" s="4">
        <v>1</v>
      </c>
      <c r="AF472" s="5">
        <v>-1.6667000000000001E-2</v>
      </c>
      <c r="AG472" s="5">
        <v>138.6266</v>
      </c>
      <c r="AH472" s="5">
        <v>0.25459999999999999</v>
      </c>
      <c r="AI472" s="8">
        <v>2.1399999999999999E-2</v>
      </c>
      <c r="AJ472" s="8">
        <v>1.0528999999999999</v>
      </c>
      <c r="AK472" s="15">
        <v>214.57660000000001</v>
      </c>
      <c r="AL472" s="15">
        <v>0.56679999999999997</v>
      </c>
      <c r="AM472" s="5">
        <v>103.709</v>
      </c>
      <c r="AN472" s="5">
        <v>104.5068</v>
      </c>
      <c r="AO472" s="5">
        <v>-0.79779999999999995</v>
      </c>
      <c r="AP472" s="5">
        <v>-0.76339999999999997</v>
      </c>
      <c r="AQ472" s="8">
        <v>0.60550000000000004</v>
      </c>
      <c r="AR472" s="8">
        <v>0.41710000000000003</v>
      </c>
      <c r="AS472" s="8">
        <v>0.41710000000000003</v>
      </c>
      <c r="AT472" s="5">
        <v>103.55459999999999</v>
      </c>
      <c r="AU472" s="5">
        <v>-0.91110000000000002</v>
      </c>
      <c r="AV472" s="7" t="s">
        <v>90</v>
      </c>
    </row>
    <row r="473" spans="1:48" ht="18" customHeight="1" x14ac:dyDescent="0.25">
      <c r="A473" s="10">
        <v>236</v>
      </c>
      <c r="B473" s="10">
        <v>2</v>
      </c>
      <c r="C473" s="10">
        <v>236</v>
      </c>
      <c r="D473" s="88">
        <v>45775</v>
      </c>
      <c r="E473" s="88">
        <v>45776</v>
      </c>
      <c r="F473" s="88">
        <v>45806</v>
      </c>
      <c r="G473" s="11">
        <v>24328.5</v>
      </c>
      <c r="H473" s="11">
        <v>24335.95</v>
      </c>
      <c r="I473" s="12"/>
      <c r="J473" s="12"/>
      <c r="K473" s="92"/>
      <c r="L473" s="92"/>
      <c r="M473" s="12" t="s">
        <v>40</v>
      </c>
      <c r="N473" s="10">
        <v>24300</v>
      </c>
      <c r="O473" s="95">
        <f>IF(F473=F471,O471,MROUND(G473,100))</f>
        <v>24300</v>
      </c>
      <c r="P473" s="95">
        <f>O473-N473</f>
        <v>0</v>
      </c>
      <c r="Q473" s="12" t="s">
        <v>91</v>
      </c>
      <c r="R473" s="10">
        <v>65</v>
      </c>
      <c r="S473" s="11">
        <v>369.25</v>
      </c>
      <c r="T473" s="11">
        <v>381.5</v>
      </c>
      <c r="U473" s="13">
        <v>-0.1983</v>
      </c>
      <c r="V473" s="13">
        <v>0.11020000000000001</v>
      </c>
      <c r="W473" s="10">
        <v>0</v>
      </c>
      <c r="X473" s="14">
        <v>0</v>
      </c>
      <c r="Y473" s="11">
        <v>12.25</v>
      </c>
      <c r="Z473" s="14">
        <v>5.0352467270896274E-4</v>
      </c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 t="s">
        <v>90</v>
      </c>
    </row>
    <row r="474" spans="1:48" ht="18" hidden="1" customHeight="1" x14ac:dyDescent="0.25">
      <c r="A474" s="4">
        <v>237</v>
      </c>
      <c r="B474" s="4">
        <v>1</v>
      </c>
      <c r="C474" s="4">
        <v>237</v>
      </c>
      <c r="D474" s="87">
        <v>45776</v>
      </c>
      <c r="E474" s="87">
        <v>45784</v>
      </c>
      <c r="F474" s="87">
        <v>45785</v>
      </c>
      <c r="G474" s="5">
        <v>24335.95</v>
      </c>
      <c r="H474" s="5">
        <v>24414.400000000001</v>
      </c>
      <c r="I474" s="5">
        <v>78.45</v>
      </c>
      <c r="J474" s="6">
        <v>3.2236259525516781E-3</v>
      </c>
      <c r="K474" s="90"/>
      <c r="L474" s="90"/>
      <c r="M474" s="7" t="s">
        <v>28</v>
      </c>
      <c r="N474" s="4">
        <v>24300</v>
      </c>
      <c r="O474" s="94"/>
      <c r="P474" s="94"/>
      <c r="Q474" s="7" t="s">
        <v>89</v>
      </c>
      <c r="R474" s="4">
        <v>65</v>
      </c>
      <c r="S474" s="5">
        <v>255.3</v>
      </c>
      <c r="T474" s="5">
        <v>106.8</v>
      </c>
      <c r="U474" s="8">
        <v>-0.74229999999999996</v>
      </c>
      <c r="V474" s="8">
        <v>0.82310000000000005</v>
      </c>
      <c r="W474" s="5">
        <v>148.5</v>
      </c>
      <c r="X474" s="6">
        <v>6.1020835430710529E-3</v>
      </c>
      <c r="Y474" s="4">
        <v>0</v>
      </c>
      <c r="Z474" s="6">
        <v>0</v>
      </c>
      <c r="AA474" s="5">
        <v>54587.95</v>
      </c>
      <c r="AB474" s="5">
        <v>54287.75</v>
      </c>
      <c r="AC474" s="5">
        <v>-300.2</v>
      </c>
      <c r="AD474" s="5">
        <v>-0.54990000000000006</v>
      </c>
      <c r="AE474" s="4">
        <v>8</v>
      </c>
      <c r="AF474" s="5">
        <v>-0.13333300000000001</v>
      </c>
      <c r="AG474" s="5">
        <v>-372.98390000000001</v>
      </c>
      <c r="AH474" s="5">
        <v>-0.68330000000000002</v>
      </c>
      <c r="AI474" s="8">
        <v>-3.5007000000000001</v>
      </c>
      <c r="AJ474" s="8">
        <v>0.44540000000000002</v>
      </c>
      <c r="AK474" s="9">
        <v>-282.53390000000002</v>
      </c>
      <c r="AL474" s="9">
        <v>-0.31159999999999999</v>
      </c>
      <c r="AM474" s="5">
        <v>103.3858</v>
      </c>
      <c r="AN474" s="5">
        <v>104.5068</v>
      </c>
      <c r="AO474" s="5">
        <v>-1.1209</v>
      </c>
      <c r="AP474" s="5">
        <v>-1.0726</v>
      </c>
      <c r="AQ474" s="8">
        <v>-0.751</v>
      </c>
      <c r="AR474" s="8">
        <v>-2.4487000000000001</v>
      </c>
      <c r="AS474" s="8">
        <v>-2.4487000000000001</v>
      </c>
      <c r="AT474" s="5">
        <v>101.1695</v>
      </c>
      <c r="AU474" s="5">
        <v>-3.1934</v>
      </c>
      <c r="AV474" s="7" t="s">
        <v>90</v>
      </c>
    </row>
    <row r="475" spans="1:48" ht="18" customHeight="1" x14ac:dyDescent="0.25">
      <c r="A475" s="10">
        <v>237</v>
      </c>
      <c r="B475" s="10">
        <v>2</v>
      </c>
      <c r="C475" s="10">
        <v>237</v>
      </c>
      <c r="D475" s="88">
        <v>45776</v>
      </c>
      <c r="E475" s="88">
        <v>45784</v>
      </c>
      <c r="F475" s="88">
        <v>45806</v>
      </c>
      <c r="G475" s="11">
        <v>24335.95</v>
      </c>
      <c r="H475" s="11">
        <v>24414.400000000001</v>
      </c>
      <c r="I475" s="12"/>
      <c r="J475" s="12"/>
      <c r="K475" s="92"/>
      <c r="L475" s="92"/>
      <c r="M475" s="12" t="s">
        <v>40</v>
      </c>
      <c r="N475" s="10">
        <v>24300</v>
      </c>
      <c r="O475" s="95">
        <f>IF(F475=F473,O473,MROUND(G475,100))</f>
        <v>24300</v>
      </c>
      <c r="P475" s="95">
        <f>O475-N475</f>
        <v>0</v>
      </c>
      <c r="Q475" s="12" t="s">
        <v>91</v>
      </c>
      <c r="R475" s="10">
        <v>65</v>
      </c>
      <c r="S475" s="11">
        <v>381.5</v>
      </c>
      <c r="T475" s="11">
        <v>323.45</v>
      </c>
      <c r="U475" s="13">
        <v>-0.4541</v>
      </c>
      <c r="V475" s="13">
        <v>0.22889999999999999</v>
      </c>
      <c r="W475" s="10">
        <v>0</v>
      </c>
      <c r="X475" s="14">
        <v>0</v>
      </c>
      <c r="Y475" s="11">
        <v>-58.05</v>
      </c>
      <c r="Z475" s="14">
        <v>-2.3853599304732298E-3</v>
      </c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 t="s">
        <v>90</v>
      </c>
    </row>
    <row r="476" spans="1:48" ht="18" hidden="1" customHeight="1" x14ac:dyDescent="0.25">
      <c r="A476" s="4">
        <v>238</v>
      </c>
      <c r="B476" s="4">
        <v>1</v>
      </c>
      <c r="C476" s="4">
        <v>238</v>
      </c>
      <c r="D476" s="87">
        <v>45784</v>
      </c>
      <c r="E476" s="87">
        <v>45786</v>
      </c>
      <c r="F476" s="87">
        <v>45792</v>
      </c>
      <c r="G476" s="5">
        <v>24414.400000000001</v>
      </c>
      <c r="H476" s="4">
        <v>24008</v>
      </c>
      <c r="I476" s="5">
        <v>-406.4</v>
      </c>
      <c r="J476" s="6">
        <v>-1.6645913886886431E-2</v>
      </c>
      <c r="K476" s="90"/>
      <c r="L476" s="90"/>
      <c r="M476" s="7" t="s">
        <v>28</v>
      </c>
      <c r="N476" s="4">
        <v>24400</v>
      </c>
      <c r="O476" s="94"/>
      <c r="P476" s="94"/>
      <c r="Q476" s="7" t="s">
        <v>89</v>
      </c>
      <c r="R476" s="4">
        <v>65</v>
      </c>
      <c r="S476" s="5">
        <v>224.3</v>
      </c>
      <c r="T476" s="5">
        <v>64.45</v>
      </c>
      <c r="U476" s="8">
        <v>-0.10489999999999999</v>
      </c>
      <c r="V476" s="8">
        <v>0.68459999999999999</v>
      </c>
      <c r="W476" s="5">
        <v>159.85</v>
      </c>
      <c r="X476" s="6">
        <v>6.547365489219476E-3</v>
      </c>
      <c r="Y476" s="4">
        <v>0</v>
      </c>
      <c r="Z476" s="6">
        <v>0</v>
      </c>
      <c r="AA476" s="5">
        <v>54287.75</v>
      </c>
      <c r="AB476" s="5">
        <v>53223.35</v>
      </c>
      <c r="AC476" s="5">
        <v>-1064.4000000000001</v>
      </c>
      <c r="AD476" s="5">
        <v>-1.9607000000000001</v>
      </c>
      <c r="AE476" s="4">
        <v>2</v>
      </c>
      <c r="AF476" s="5">
        <v>-3.3333000000000002E-2</v>
      </c>
      <c r="AG476" s="5">
        <v>-1082.4958999999999</v>
      </c>
      <c r="AH476" s="5">
        <v>-1.994</v>
      </c>
      <c r="AI476" s="8">
        <v>-4.0731000000000002</v>
      </c>
      <c r="AJ476" s="8">
        <v>0.64429999999999998</v>
      </c>
      <c r="AK476" s="9">
        <v>-723.34590000000003</v>
      </c>
      <c r="AL476" s="9">
        <v>-0.52290000000000003</v>
      </c>
      <c r="AM476" s="5">
        <v>102.84520000000001</v>
      </c>
      <c r="AN476" s="5">
        <v>104.5068</v>
      </c>
      <c r="AO476" s="5">
        <v>-1.6615</v>
      </c>
      <c r="AP476" s="5">
        <v>-1.5899000000000001</v>
      </c>
      <c r="AQ476" s="8">
        <v>0.38379999999999997</v>
      </c>
      <c r="AR476" s="8">
        <v>-2.2957000000000001</v>
      </c>
      <c r="AS476" s="8">
        <v>-2.2957000000000001</v>
      </c>
      <c r="AT476" s="5">
        <v>101.0124</v>
      </c>
      <c r="AU476" s="5">
        <v>-3.3437000000000001</v>
      </c>
      <c r="AV476" s="7" t="s">
        <v>93</v>
      </c>
    </row>
    <row r="477" spans="1:48" ht="18" customHeight="1" x14ac:dyDescent="0.25">
      <c r="A477" s="10">
        <v>238</v>
      </c>
      <c r="B477" s="10">
        <v>2</v>
      </c>
      <c r="C477" s="10">
        <v>238</v>
      </c>
      <c r="D477" s="88">
        <v>45784</v>
      </c>
      <c r="E477" s="88">
        <v>45786</v>
      </c>
      <c r="F477" s="88">
        <v>45806</v>
      </c>
      <c r="G477" s="11">
        <v>24414.400000000001</v>
      </c>
      <c r="H477" s="10">
        <v>24008</v>
      </c>
      <c r="I477" s="12"/>
      <c r="J477" s="12"/>
      <c r="K477" s="92"/>
      <c r="L477" s="92"/>
      <c r="M477" s="12" t="s">
        <v>40</v>
      </c>
      <c r="N477" s="10">
        <v>24300</v>
      </c>
      <c r="O477" s="95">
        <f>IF(F477=F475,O475,MROUND(G477,100))</f>
        <v>24300</v>
      </c>
      <c r="P477" s="95">
        <f>O477-N477</f>
        <v>0</v>
      </c>
      <c r="Q477" s="12" t="s">
        <v>91</v>
      </c>
      <c r="R477" s="10">
        <v>65</v>
      </c>
      <c r="S477" s="11">
        <v>323.45</v>
      </c>
      <c r="T477" s="11">
        <v>522.75</v>
      </c>
      <c r="U477" s="13">
        <v>-0.15559999999999999</v>
      </c>
      <c r="V477" s="13">
        <v>1.0928</v>
      </c>
      <c r="W477" s="10">
        <v>0</v>
      </c>
      <c r="X477" s="14">
        <v>0</v>
      </c>
      <c r="Y477" s="11">
        <v>199.3</v>
      </c>
      <c r="Z477" s="14">
        <v>8.163215151713742E-3</v>
      </c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 t="s">
        <v>93</v>
      </c>
    </row>
    <row r="478" spans="1:48" ht="18" hidden="1" customHeight="1" x14ac:dyDescent="0.25">
      <c r="A478" s="4">
        <v>239</v>
      </c>
      <c r="B478" s="4">
        <v>1</v>
      </c>
      <c r="C478" s="4">
        <v>239</v>
      </c>
      <c r="D478" s="87">
        <v>45786</v>
      </c>
      <c r="E478" s="87">
        <v>45789</v>
      </c>
      <c r="F478" s="87">
        <v>45792</v>
      </c>
      <c r="G478" s="4">
        <v>24008</v>
      </c>
      <c r="H478" s="5">
        <v>24924.7</v>
      </c>
      <c r="I478" s="5">
        <v>916.7</v>
      </c>
      <c r="J478" s="6">
        <v>3.8183105631456181E-2</v>
      </c>
      <c r="K478" s="90"/>
      <c r="L478" s="90"/>
      <c r="M478" s="7" t="s">
        <v>28</v>
      </c>
      <c r="N478" s="4">
        <v>24000</v>
      </c>
      <c r="O478" s="94"/>
      <c r="P478" s="94"/>
      <c r="Q478" s="7" t="s">
        <v>89</v>
      </c>
      <c r="R478" s="4">
        <v>65</v>
      </c>
      <c r="S478" s="5">
        <v>226.6</v>
      </c>
      <c r="T478" s="5">
        <v>974.9</v>
      </c>
      <c r="U478" s="8">
        <v>-3.2423000000000002</v>
      </c>
      <c r="V478" s="8">
        <v>-0.52480000000000004</v>
      </c>
      <c r="W478" s="5">
        <v>-748.3</v>
      </c>
      <c r="X478" s="6">
        <v>-3.1168777074308561E-2</v>
      </c>
      <c r="Y478" s="4">
        <v>0</v>
      </c>
      <c r="Z478" s="6">
        <v>0</v>
      </c>
      <c r="AA478" s="5">
        <v>53223.35</v>
      </c>
      <c r="AB478" s="5">
        <v>55416.05</v>
      </c>
      <c r="AC478" s="5">
        <v>2192.6999999999998</v>
      </c>
      <c r="AD478" s="5">
        <v>4.1197999999999997</v>
      </c>
      <c r="AE478" s="4">
        <v>3</v>
      </c>
      <c r="AF478" s="5">
        <v>-0.05</v>
      </c>
      <c r="AG478" s="5">
        <v>2166.0882999999999</v>
      </c>
      <c r="AH478" s="5">
        <v>4.0697999999999999</v>
      </c>
      <c r="AI478" s="8">
        <v>2.5121000000000002</v>
      </c>
      <c r="AJ478" s="8">
        <v>4.1166999999999998</v>
      </c>
      <c r="AK478" s="15">
        <v>1025.6883</v>
      </c>
      <c r="AL478" s="15">
        <v>-0.68030000000000002</v>
      </c>
      <c r="AM478" s="5">
        <v>102.1456</v>
      </c>
      <c r="AN478" s="5">
        <v>104.5068</v>
      </c>
      <c r="AO478" s="5">
        <v>-2.3612000000000002</v>
      </c>
      <c r="AP478" s="5">
        <v>-2.2593999999999999</v>
      </c>
      <c r="AQ478" s="8">
        <v>-0.78879999999999995</v>
      </c>
      <c r="AR478" s="8">
        <v>1.2636000000000001</v>
      </c>
      <c r="AS478" s="8">
        <v>-0.78879999999999995</v>
      </c>
      <c r="AT478" s="5">
        <v>102.03400000000001</v>
      </c>
      <c r="AU478" s="5">
        <v>-2.3660999999999999</v>
      </c>
      <c r="AV478" s="7" t="s">
        <v>96</v>
      </c>
    </row>
    <row r="479" spans="1:48" ht="18" customHeight="1" x14ac:dyDescent="0.25">
      <c r="A479" s="10">
        <v>239</v>
      </c>
      <c r="B479" s="10">
        <v>2</v>
      </c>
      <c r="C479" s="10">
        <v>239</v>
      </c>
      <c r="D479" s="88">
        <v>45786</v>
      </c>
      <c r="E479" s="88">
        <v>45789</v>
      </c>
      <c r="F479" s="88">
        <v>45806</v>
      </c>
      <c r="G479" s="10">
        <v>24008</v>
      </c>
      <c r="H479" s="11">
        <v>24924.7</v>
      </c>
      <c r="I479" s="12"/>
      <c r="J479" s="12"/>
      <c r="K479" s="92"/>
      <c r="L479" s="92"/>
      <c r="M479" s="12" t="s">
        <v>40</v>
      </c>
      <c r="N479" s="10">
        <v>24300</v>
      </c>
      <c r="O479" s="95">
        <f>IF(F479=F477,O477,MROUND(G479,100))</f>
        <v>24300</v>
      </c>
      <c r="P479" s="95">
        <f>O479-N479</f>
        <v>0</v>
      </c>
      <c r="Q479" s="12" t="s">
        <v>91</v>
      </c>
      <c r="R479" s="10">
        <v>65</v>
      </c>
      <c r="S479" s="11">
        <v>522.75</v>
      </c>
      <c r="T479" s="11">
        <v>130.65</v>
      </c>
      <c r="U479" s="13">
        <v>-1.6632</v>
      </c>
      <c r="V479" s="13">
        <v>-0.72370000000000001</v>
      </c>
      <c r="W479" s="10">
        <v>0</v>
      </c>
      <c r="X479" s="14">
        <v>0</v>
      </c>
      <c r="Y479" s="11">
        <v>-392.1</v>
      </c>
      <c r="Z479" s="14">
        <v>-1.6332055981339549E-2</v>
      </c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 t="s">
        <v>96</v>
      </c>
    </row>
    <row r="480" spans="1:48" ht="18" hidden="1" customHeight="1" x14ac:dyDescent="0.25">
      <c r="A480" s="4">
        <v>240</v>
      </c>
      <c r="B480" s="4">
        <v>1</v>
      </c>
      <c r="C480" s="4">
        <v>240</v>
      </c>
      <c r="D480" s="87">
        <v>45789</v>
      </c>
      <c r="E480" s="87">
        <v>45790</v>
      </c>
      <c r="F480" s="87">
        <v>45792</v>
      </c>
      <c r="G480" s="5">
        <v>24924.7</v>
      </c>
      <c r="H480" s="5">
        <v>24578.35</v>
      </c>
      <c r="I480" s="5">
        <v>-346.35</v>
      </c>
      <c r="J480" s="6">
        <v>-1.389585431319133E-2</v>
      </c>
      <c r="K480" s="90"/>
      <c r="L480" s="90"/>
      <c r="M480" s="7" t="s">
        <v>28</v>
      </c>
      <c r="N480" s="4">
        <v>24900</v>
      </c>
      <c r="O480" s="94"/>
      <c r="P480" s="94"/>
      <c r="Q480" s="7" t="s">
        <v>89</v>
      </c>
      <c r="R480" s="4">
        <v>65</v>
      </c>
      <c r="S480" s="5">
        <v>227.05</v>
      </c>
      <c r="T480" s="5">
        <v>41.8</v>
      </c>
      <c r="U480" s="8">
        <v>1.2999999999999999E-2</v>
      </c>
      <c r="V480" s="8">
        <v>0.76170000000000004</v>
      </c>
      <c r="W480" s="5">
        <v>185.25</v>
      </c>
      <c r="X480" s="6">
        <v>7.4323863476792092E-3</v>
      </c>
      <c r="Y480" s="4">
        <v>0</v>
      </c>
      <c r="Z480" s="6">
        <v>0</v>
      </c>
      <c r="AA480" s="5">
        <v>55416.05</v>
      </c>
      <c r="AB480" s="5">
        <v>55520.7</v>
      </c>
      <c r="AC480" s="5">
        <v>104.65</v>
      </c>
      <c r="AD480" s="5">
        <v>0.1888</v>
      </c>
      <c r="AE480" s="4">
        <v>1</v>
      </c>
      <c r="AF480" s="5">
        <v>-1.6667000000000001E-2</v>
      </c>
      <c r="AG480" s="5">
        <v>95.414000000000001</v>
      </c>
      <c r="AH480" s="5">
        <v>0.17219999999999999</v>
      </c>
      <c r="AI480" s="8">
        <v>-0.2888</v>
      </c>
      <c r="AJ480" s="8">
        <v>0.66979999999999995</v>
      </c>
      <c r="AK480" s="15">
        <v>351.01400000000001</v>
      </c>
      <c r="AL480" s="15">
        <v>1.1977</v>
      </c>
      <c r="AM480" s="5">
        <v>103.369</v>
      </c>
      <c r="AN480" s="5">
        <v>104.5068</v>
      </c>
      <c r="AO480" s="5">
        <v>-1.1377999999999999</v>
      </c>
      <c r="AP480" s="5">
        <v>-1.0887</v>
      </c>
      <c r="AQ480" s="8">
        <v>0.65010000000000001</v>
      </c>
      <c r="AR480" s="8">
        <v>0.80830000000000002</v>
      </c>
      <c r="AS480" s="8">
        <v>0.65010000000000001</v>
      </c>
      <c r="AT480" s="5">
        <v>102.8096</v>
      </c>
      <c r="AU480" s="5">
        <v>-1.6238999999999999</v>
      </c>
      <c r="AV480" s="7" t="s">
        <v>93</v>
      </c>
    </row>
    <row r="481" spans="1:48" ht="18" customHeight="1" x14ac:dyDescent="0.25">
      <c r="A481" s="10">
        <v>240</v>
      </c>
      <c r="B481" s="10">
        <v>2</v>
      </c>
      <c r="C481" s="10">
        <v>240</v>
      </c>
      <c r="D481" s="88">
        <v>45789</v>
      </c>
      <c r="E481" s="88">
        <v>45790</v>
      </c>
      <c r="F481" s="88">
        <v>45806</v>
      </c>
      <c r="G481" s="11">
        <v>24924.7</v>
      </c>
      <c r="H481" s="11">
        <v>24578.35</v>
      </c>
      <c r="I481" s="12"/>
      <c r="J481" s="12"/>
      <c r="K481" s="92"/>
      <c r="L481" s="92"/>
      <c r="M481" s="12" t="s">
        <v>40</v>
      </c>
      <c r="N481" s="10">
        <v>24300</v>
      </c>
      <c r="O481" s="95">
        <f>IF(F481=F479,O479,MROUND(G481,100))</f>
        <v>24300</v>
      </c>
      <c r="P481" s="95">
        <f>O481-N481</f>
        <v>0</v>
      </c>
      <c r="Q481" s="12" t="s">
        <v>91</v>
      </c>
      <c r="R481" s="10">
        <v>65</v>
      </c>
      <c r="S481" s="11">
        <v>130.65</v>
      </c>
      <c r="T481" s="10">
        <v>201</v>
      </c>
      <c r="U481" s="13">
        <v>-3.27E-2</v>
      </c>
      <c r="V481" s="13">
        <v>0.33539999999999998</v>
      </c>
      <c r="W481" s="10">
        <v>0</v>
      </c>
      <c r="X481" s="14">
        <v>0</v>
      </c>
      <c r="Y481" s="11">
        <v>70.349999999999994</v>
      </c>
      <c r="Z481" s="14">
        <v>2.8225013741389059E-3</v>
      </c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 t="s">
        <v>93</v>
      </c>
    </row>
    <row r="482" spans="1:48" ht="18" hidden="1" customHeight="1" x14ac:dyDescent="0.25">
      <c r="A482" s="4">
        <v>241</v>
      </c>
      <c r="B482" s="4">
        <v>1</v>
      </c>
      <c r="C482" s="4">
        <v>241</v>
      </c>
      <c r="D482" s="87">
        <v>45790</v>
      </c>
      <c r="E482" s="87">
        <v>45791</v>
      </c>
      <c r="F482" s="87">
        <v>45792</v>
      </c>
      <c r="G482" s="5">
        <v>24578.35</v>
      </c>
      <c r="H482" s="5">
        <v>24666.9</v>
      </c>
      <c r="I482" s="5">
        <v>88.55</v>
      </c>
      <c r="J482" s="6">
        <v>3.6027642213574138E-3</v>
      </c>
      <c r="K482" s="90"/>
      <c r="L482" s="90"/>
      <c r="M482" s="7" t="s">
        <v>28</v>
      </c>
      <c r="N482" s="4">
        <v>24600</v>
      </c>
      <c r="O482" s="94"/>
      <c r="P482" s="94"/>
      <c r="Q482" s="7" t="s">
        <v>89</v>
      </c>
      <c r="R482" s="4">
        <v>65</v>
      </c>
      <c r="S482" s="5">
        <v>128.15</v>
      </c>
      <c r="T482" s="5">
        <v>109.95</v>
      </c>
      <c r="U482" s="8">
        <v>-0.31490000000000001</v>
      </c>
      <c r="V482" s="8">
        <v>0.2482</v>
      </c>
      <c r="W482" s="5">
        <v>18.2</v>
      </c>
      <c r="X482" s="6">
        <v>7.4048908897464643E-4</v>
      </c>
      <c r="Y482" s="4">
        <v>0</v>
      </c>
      <c r="Z482" s="6">
        <v>0</v>
      </c>
      <c r="AA482" s="5">
        <v>55520.7</v>
      </c>
      <c r="AB482" s="5">
        <v>56136.4</v>
      </c>
      <c r="AC482" s="5">
        <v>615.70000000000005</v>
      </c>
      <c r="AD482" s="5">
        <v>1.109</v>
      </c>
      <c r="AE482" s="4">
        <v>1</v>
      </c>
      <c r="AF482" s="5">
        <v>-1.6667000000000001E-2</v>
      </c>
      <c r="AG482" s="5">
        <v>606.44659999999999</v>
      </c>
      <c r="AH482" s="5">
        <v>1.0923</v>
      </c>
      <c r="AI482" s="8">
        <v>-1.0699999999999999E-2</v>
      </c>
      <c r="AJ482" s="8">
        <v>1.2015</v>
      </c>
      <c r="AK482" s="15">
        <v>580.24659999999994</v>
      </c>
      <c r="AL482" s="15">
        <v>0.98570000000000002</v>
      </c>
      <c r="AM482" s="5">
        <v>104.3879</v>
      </c>
      <c r="AN482" s="5">
        <v>104.5068</v>
      </c>
      <c r="AO482" s="5">
        <v>-0.11890000000000001</v>
      </c>
      <c r="AP482" s="5">
        <v>-0.1137</v>
      </c>
      <c r="AQ482" s="8">
        <v>0.61580000000000001</v>
      </c>
      <c r="AR482" s="8">
        <v>0.25380000000000003</v>
      </c>
      <c r="AS482" s="8">
        <v>0.25380000000000003</v>
      </c>
      <c r="AT482" s="5">
        <v>103.6313</v>
      </c>
      <c r="AU482" s="5">
        <v>-0.8377</v>
      </c>
      <c r="AV482" s="7" t="s">
        <v>90</v>
      </c>
    </row>
    <row r="483" spans="1:48" ht="18" customHeight="1" x14ac:dyDescent="0.25">
      <c r="A483" s="10">
        <v>241</v>
      </c>
      <c r="B483" s="10">
        <v>2</v>
      </c>
      <c r="C483" s="10">
        <v>241</v>
      </c>
      <c r="D483" s="88">
        <v>45790</v>
      </c>
      <c r="E483" s="88">
        <v>45791</v>
      </c>
      <c r="F483" s="88">
        <v>45806</v>
      </c>
      <c r="G483" s="11">
        <v>24578.35</v>
      </c>
      <c r="H483" s="11">
        <v>24666.9</v>
      </c>
      <c r="I483" s="12"/>
      <c r="J483" s="12"/>
      <c r="K483" s="92"/>
      <c r="L483" s="92"/>
      <c r="M483" s="12" t="s">
        <v>40</v>
      </c>
      <c r="N483" s="10">
        <v>24300</v>
      </c>
      <c r="O483" s="95">
        <f>IF(F483=F481,O481,MROUND(G483,100))</f>
        <v>24300</v>
      </c>
      <c r="P483" s="95">
        <f>O483-N483</f>
        <v>0</v>
      </c>
      <c r="Q483" s="12" t="s">
        <v>91</v>
      </c>
      <c r="R483" s="10">
        <v>65</v>
      </c>
      <c r="S483" s="10">
        <v>201</v>
      </c>
      <c r="T483" s="11">
        <v>156.6</v>
      </c>
      <c r="U483" s="13">
        <v>-0.27079999999999999</v>
      </c>
      <c r="V483" s="13">
        <v>1.6299999999999999E-2</v>
      </c>
      <c r="W483" s="10">
        <v>0</v>
      </c>
      <c r="X483" s="14">
        <v>0</v>
      </c>
      <c r="Y483" s="11">
        <v>-44.4</v>
      </c>
      <c r="Z483" s="14">
        <v>-1.8064678873886981E-3</v>
      </c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 t="s">
        <v>90</v>
      </c>
    </row>
    <row r="484" spans="1:48" ht="18" hidden="1" customHeight="1" x14ac:dyDescent="0.25">
      <c r="A484" s="4">
        <v>242</v>
      </c>
      <c r="B484" s="4">
        <v>1</v>
      </c>
      <c r="C484" s="4">
        <v>242</v>
      </c>
      <c r="D484" s="87">
        <v>45791</v>
      </c>
      <c r="E484" s="87">
        <v>45792</v>
      </c>
      <c r="F484" s="87">
        <v>45799</v>
      </c>
      <c r="G484" s="5">
        <v>24666.9</v>
      </c>
      <c r="H484" s="5">
        <v>25062.1</v>
      </c>
      <c r="I484" s="5">
        <v>395.2</v>
      </c>
      <c r="J484" s="6">
        <v>1.6021470067175039E-2</v>
      </c>
      <c r="K484" s="90"/>
      <c r="L484" s="90"/>
      <c r="M484" s="7" t="s">
        <v>28</v>
      </c>
      <c r="N484" s="4">
        <v>24700</v>
      </c>
      <c r="O484" s="94"/>
      <c r="P484" s="94"/>
      <c r="Q484" s="7" t="s">
        <v>89</v>
      </c>
      <c r="R484" s="4">
        <v>65</v>
      </c>
      <c r="S484" s="5">
        <v>207.7</v>
      </c>
      <c r="T484" s="4">
        <v>431</v>
      </c>
      <c r="U484" s="8">
        <v>-1.1777</v>
      </c>
      <c r="V484" s="8">
        <v>0.24060000000000001</v>
      </c>
      <c r="W484" s="5">
        <v>-223.3</v>
      </c>
      <c r="X484" s="6">
        <v>-9.052617069838528E-3</v>
      </c>
      <c r="Y484" s="4">
        <v>0</v>
      </c>
      <c r="Z484" s="6">
        <v>0</v>
      </c>
      <c r="AA484" s="5">
        <v>56136.4</v>
      </c>
      <c r="AB484" s="5">
        <v>56530.85</v>
      </c>
      <c r="AC484" s="5">
        <v>394.45</v>
      </c>
      <c r="AD484" s="5">
        <v>0.70269999999999999</v>
      </c>
      <c r="AE484" s="4">
        <v>1</v>
      </c>
      <c r="AF484" s="5">
        <v>-1.6667000000000001E-2</v>
      </c>
      <c r="AG484" s="5">
        <v>385.09390000000002</v>
      </c>
      <c r="AH484" s="5">
        <v>0.68600000000000005</v>
      </c>
      <c r="AI484" s="8">
        <v>-0.16400000000000001</v>
      </c>
      <c r="AJ484" s="8">
        <v>0.77129999999999999</v>
      </c>
      <c r="AK484" s="15">
        <v>87.943899999999999</v>
      </c>
      <c r="AL484" s="15">
        <v>-0.51870000000000005</v>
      </c>
      <c r="AM484" s="5">
        <v>103.8464</v>
      </c>
      <c r="AN484" s="5">
        <v>104.5068</v>
      </c>
      <c r="AO484" s="5">
        <v>-0.6603</v>
      </c>
      <c r="AP484" s="5">
        <v>-0.63190000000000002</v>
      </c>
      <c r="AQ484" s="8">
        <v>-0.72060000000000002</v>
      </c>
      <c r="AR484" s="8">
        <v>0.2039</v>
      </c>
      <c r="AS484" s="8">
        <v>-0.72060000000000002</v>
      </c>
      <c r="AT484" s="5">
        <v>103.6357</v>
      </c>
      <c r="AU484" s="5">
        <v>-0.83350000000000002</v>
      </c>
      <c r="AV484" s="7" t="s">
        <v>101</v>
      </c>
    </row>
    <row r="485" spans="1:48" ht="18" customHeight="1" x14ac:dyDescent="0.25">
      <c r="A485" s="10">
        <v>242</v>
      </c>
      <c r="B485" s="10">
        <v>2</v>
      </c>
      <c r="C485" s="10">
        <v>242</v>
      </c>
      <c r="D485" s="88">
        <v>45791</v>
      </c>
      <c r="E485" s="88">
        <v>45792</v>
      </c>
      <c r="F485" s="88">
        <v>45806</v>
      </c>
      <c r="G485" s="11">
        <v>24666.9</v>
      </c>
      <c r="H485" s="11">
        <v>25062.1</v>
      </c>
      <c r="I485" s="12"/>
      <c r="J485" s="12"/>
      <c r="K485" s="92"/>
      <c r="L485" s="92"/>
      <c r="M485" s="12" t="s">
        <v>40</v>
      </c>
      <c r="N485" s="10">
        <v>24300</v>
      </c>
      <c r="O485" s="95">
        <f>IF(F485=F483,O483,MROUND(G485,100))</f>
        <v>24300</v>
      </c>
      <c r="P485" s="95">
        <f>O485-N485</f>
        <v>0</v>
      </c>
      <c r="Q485" s="12" t="s">
        <v>91</v>
      </c>
      <c r="R485" s="10">
        <v>65</v>
      </c>
      <c r="S485" s="11">
        <v>156.6</v>
      </c>
      <c r="T485" s="11">
        <v>82.75</v>
      </c>
      <c r="U485" s="13">
        <v>-0.31419999999999998</v>
      </c>
      <c r="V485" s="13">
        <v>0.1273</v>
      </c>
      <c r="W485" s="10">
        <v>0</v>
      </c>
      <c r="X485" s="14">
        <v>0</v>
      </c>
      <c r="Y485" s="11">
        <v>-73.849999999999994</v>
      </c>
      <c r="Z485" s="14">
        <v>-2.993890598332178E-3</v>
      </c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 t="s">
        <v>101</v>
      </c>
    </row>
    <row r="486" spans="1:48" ht="18" hidden="1" customHeight="1" x14ac:dyDescent="0.25">
      <c r="A486" s="4">
        <v>243</v>
      </c>
      <c r="B486" s="4">
        <v>1</v>
      </c>
      <c r="C486" s="4">
        <v>243</v>
      </c>
      <c r="D486" s="87">
        <v>45792</v>
      </c>
      <c r="E486" s="87">
        <v>45797</v>
      </c>
      <c r="F486" s="87">
        <v>45799</v>
      </c>
      <c r="G486" s="5">
        <v>25062.1</v>
      </c>
      <c r="H486" s="5">
        <v>24683.9</v>
      </c>
      <c r="I486" s="5">
        <v>-378.2</v>
      </c>
      <c r="J486" s="6">
        <v>-1.5090515160341709E-2</v>
      </c>
      <c r="K486" s="90"/>
      <c r="L486" s="90"/>
      <c r="M486" s="7" t="s">
        <v>28</v>
      </c>
      <c r="N486" s="4">
        <v>25100</v>
      </c>
      <c r="O486" s="94"/>
      <c r="P486" s="94"/>
      <c r="Q486" s="7" t="s">
        <v>89</v>
      </c>
      <c r="R486" s="4">
        <v>65</v>
      </c>
      <c r="S486" s="5">
        <v>168.4</v>
      </c>
      <c r="T486" s="5">
        <v>28.1</v>
      </c>
      <c r="U486" s="8">
        <v>-9.3399999999999997E-2</v>
      </c>
      <c r="V486" s="8">
        <v>0.56720000000000004</v>
      </c>
      <c r="W486" s="5">
        <v>140.30000000000001</v>
      </c>
      <c r="X486" s="6">
        <v>5.5980943336751514E-3</v>
      </c>
      <c r="Y486" s="4">
        <v>0</v>
      </c>
      <c r="Z486" s="6">
        <v>0</v>
      </c>
      <c r="AA486" s="5">
        <v>56530.85</v>
      </c>
      <c r="AB486" s="5">
        <v>56182.65</v>
      </c>
      <c r="AC486" s="5">
        <v>-348.2</v>
      </c>
      <c r="AD486" s="5">
        <v>-0.6159</v>
      </c>
      <c r="AE486" s="4">
        <v>5</v>
      </c>
      <c r="AF486" s="5">
        <v>-8.3333000000000004E-2</v>
      </c>
      <c r="AG486" s="5">
        <v>-395.30900000000003</v>
      </c>
      <c r="AH486" s="5">
        <v>-0.69930000000000003</v>
      </c>
      <c r="AI486" s="8">
        <v>-0.85350000000000004</v>
      </c>
      <c r="AJ486" s="8">
        <v>1.5616000000000001</v>
      </c>
      <c r="AK486" s="9">
        <v>-111.90900000000001</v>
      </c>
      <c r="AL486" s="9">
        <v>0.43149999999999999</v>
      </c>
      <c r="AM486" s="5">
        <v>104.2945</v>
      </c>
      <c r="AN486" s="5">
        <v>104.5068</v>
      </c>
      <c r="AO486" s="5">
        <v>-0.2122</v>
      </c>
      <c r="AP486" s="5">
        <v>-0.2031</v>
      </c>
      <c r="AQ486" s="8">
        <v>1.3319000000000001</v>
      </c>
      <c r="AR486" s="8">
        <v>0.37309999999999999</v>
      </c>
      <c r="AS486" s="8">
        <v>0.37309999999999999</v>
      </c>
      <c r="AT486" s="5">
        <v>104.23390000000001</v>
      </c>
      <c r="AU486" s="5">
        <v>-0.2611</v>
      </c>
      <c r="AV486" s="7" t="s">
        <v>93</v>
      </c>
    </row>
    <row r="487" spans="1:48" ht="18" customHeight="1" x14ac:dyDescent="0.25">
      <c r="A487" s="10">
        <v>243</v>
      </c>
      <c r="B487" s="10">
        <v>2</v>
      </c>
      <c r="C487" s="10">
        <v>243</v>
      </c>
      <c r="D487" s="88">
        <v>45792</v>
      </c>
      <c r="E487" s="88">
        <v>45797</v>
      </c>
      <c r="F487" s="88">
        <v>45806</v>
      </c>
      <c r="G487" s="11">
        <v>25062.1</v>
      </c>
      <c r="H487" s="11">
        <v>24683.9</v>
      </c>
      <c r="I487" s="12"/>
      <c r="J487" s="12"/>
      <c r="K487" s="92"/>
      <c r="L487" s="92"/>
      <c r="M487" s="12" t="s">
        <v>40</v>
      </c>
      <c r="N487" s="10">
        <v>25100</v>
      </c>
      <c r="O487" s="95">
        <f>IF(F487=F485,O485,MROUND(G487,100))</f>
        <v>24300</v>
      </c>
      <c r="P487" s="95">
        <f>O487-N487</f>
        <v>-800</v>
      </c>
      <c r="Q487" s="12" t="s">
        <v>91</v>
      </c>
      <c r="R487" s="10">
        <v>65</v>
      </c>
      <c r="S487" s="11">
        <v>291.85000000000002</v>
      </c>
      <c r="T487" s="11">
        <v>434.95</v>
      </c>
      <c r="U487" s="13">
        <v>-0.1363</v>
      </c>
      <c r="V487" s="13">
        <v>0.65939999999999999</v>
      </c>
      <c r="W487" s="10">
        <v>0</v>
      </c>
      <c r="X487" s="14">
        <v>0</v>
      </c>
      <c r="Y487" s="11">
        <v>143.1</v>
      </c>
      <c r="Z487" s="14">
        <v>5.709816815031462E-3</v>
      </c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 t="s">
        <v>93</v>
      </c>
    </row>
    <row r="488" spans="1:48" ht="18" hidden="1" customHeight="1" x14ac:dyDescent="0.25">
      <c r="A488" s="4">
        <v>244</v>
      </c>
      <c r="B488" s="4">
        <v>1</v>
      </c>
      <c r="C488" s="4">
        <v>244</v>
      </c>
      <c r="D488" s="87">
        <v>45797</v>
      </c>
      <c r="E488" s="87">
        <v>45798</v>
      </c>
      <c r="F488" s="87">
        <v>45799</v>
      </c>
      <c r="G488" s="5">
        <v>24683.9</v>
      </c>
      <c r="H488" s="5">
        <v>24813.45</v>
      </c>
      <c r="I488" s="5">
        <v>129.55000000000001</v>
      </c>
      <c r="J488" s="6">
        <v>5.2483602672187138E-3</v>
      </c>
      <c r="K488" s="90"/>
      <c r="L488" s="90"/>
      <c r="M488" s="7" t="s">
        <v>28</v>
      </c>
      <c r="N488" s="4">
        <v>24700</v>
      </c>
      <c r="O488" s="94"/>
      <c r="P488" s="94"/>
      <c r="Q488" s="7" t="s">
        <v>89</v>
      </c>
      <c r="R488" s="4">
        <v>65</v>
      </c>
      <c r="S488" s="5">
        <v>133.05000000000001</v>
      </c>
      <c r="T488" s="5">
        <v>163.30000000000001</v>
      </c>
      <c r="U488" s="8">
        <v>-0.76470000000000005</v>
      </c>
      <c r="V488" s="8">
        <v>7.7200000000000005E-2</v>
      </c>
      <c r="W488" s="5">
        <v>-30.25</v>
      </c>
      <c r="X488" s="6">
        <v>-1.2254951608133241E-3</v>
      </c>
      <c r="Y488" s="4">
        <v>0</v>
      </c>
      <c r="Z488" s="6">
        <v>0</v>
      </c>
      <c r="AA488" s="5">
        <v>56182.65</v>
      </c>
      <c r="AB488" s="5">
        <v>56619.6</v>
      </c>
      <c r="AC488" s="5">
        <v>436.95</v>
      </c>
      <c r="AD488" s="5">
        <v>0.77769999999999995</v>
      </c>
      <c r="AE488" s="4">
        <v>1</v>
      </c>
      <c r="AF488" s="5">
        <v>-1.6667000000000001E-2</v>
      </c>
      <c r="AG488" s="5">
        <v>427.58620000000002</v>
      </c>
      <c r="AH488" s="5">
        <v>0.7611</v>
      </c>
      <c r="AI488" s="8">
        <v>-0.33839999999999998</v>
      </c>
      <c r="AJ488" s="8">
        <v>0.95299999999999996</v>
      </c>
      <c r="AK488" s="15">
        <v>353.53620000000001</v>
      </c>
      <c r="AL488" s="15">
        <v>0.46110000000000001</v>
      </c>
      <c r="AM488" s="5">
        <v>104.7754</v>
      </c>
      <c r="AN488" s="5">
        <v>104.7754</v>
      </c>
      <c r="AO488" s="4">
        <v>0</v>
      </c>
      <c r="AP488" s="4">
        <v>0</v>
      </c>
      <c r="AQ488" s="8">
        <v>-0.433</v>
      </c>
      <c r="AR488" s="8">
        <v>-0.13539999999999999</v>
      </c>
      <c r="AS488" s="8">
        <v>-0.433</v>
      </c>
      <c r="AT488" s="5">
        <v>103.8429</v>
      </c>
      <c r="AU488" s="5">
        <v>-0.63519999999999999</v>
      </c>
      <c r="AV488" s="7" t="s">
        <v>90</v>
      </c>
    </row>
    <row r="489" spans="1:48" ht="18" customHeight="1" x14ac:dyDescent="0.25">
      <c r="A489" s="10">
        <v>244</v>
      </c>
      <c r="B489" s="10">
        <v>2</v>
      </c>
      <c r="C489" s="10">
        <v>244</v>
      </c>
      <c r="D489" s="88">
        <v>45797</v>
      </c>
      <c r="E489" s="88">
        <v>45798</v>
      </c>
      <c r="F489" s="88">
        <v>45806</v>
      </c>
      <c r="G489" s="11">
        <v>24683.9</v>
      </c>
      <c r="H489" s="11">
        <v>24813.45</v>
      </c>
      <c r="I489" s="12"/>
      <c r="J489" s="12"/>
      <c r="K489" s="92"/>
      <c r="L489" s="92"/>
      <c r="M489" s="12" t="s">
        <v>40</v>
      </c>
      <c r="N489" s="10">
        <v>25100</v>
      </c>
      <c r="O489" s="95">
        <f>IF(F489=F487,O487,MROUND(G489,100))</f>
        <v>24300</v>
      </c>
      <c r="P489" s="95">
        <f>O489-N489</f>
        <v>-800</v>
      </c>
      <c r="Q489" s="12" t="s">
        <v>91</v>
      </c>
      <c r="R489" s="10">
        <v>65</v>
      </c>
      <c r="S489" s="11">
        <v>434.95</v>
      </c>
      <c r="T489" s="11">
        <v>391.15</v>
      </c>
      <c r="U489" s="13">
        <v>-0.62129999999999996</v>
      </c>
      <c r="V489" s="13">
        <v>0.1258</v>
      </c>
      <c r="W489" s="10">
        <v>0</v>
      </c>
      <c r="X489" s="14">
        <v>0</v>
      </c>
      <c r="Y489" s="11">
        <v>-43.8</v>
      </c>
      <c r="Z489" s="14">
        <v>-1.7744359683842499E-3</v>
      </c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 t="s">
        <v>90</v>
      </c>
    </row>
    <row r="490" spans="1:48" ht="18" hidden="1" customHeight="1" x14ac:dyDescent="0.25">
      <c r="A490" s="4">
        <v>245</v>
      </c>
      <c r="B490" s="4">
        <v>1</v>
      </c>
      <c r="C490" s="4">
        <v>245</v>
      </c>
      <c r="D490" s="87">
        <v>45798</v>
      </c>
      <c r="E490" s="87">
        <v>45805</v>
      </c>
      <c r="F490" s="87">
        <v>45806</v>
      </c>
      <c r="G490" s="5">
        <v>24813.45</v>
      </c>
      <c r="H490" s="5">
        <v>24752.45</v>
      </c>
      <c r="I490" s="4">
        <v>-61</v>
      </c>
      <c r="J490" s="6">
        <v>-2.458344164152909E-3</v>
      </c>
      <c r="K490" s="90"/>
      <c r="L490" s="90"/>
      <c r="M490" s="7" t="s">
        <v>28</v>
      </c>
      <c r="N490" s="4">
        <v>24800</v>
      </c>
      <c r="O490" s="94"/>
      <c r="P490" s="94"/>
      <c r="Q490" s="7" t="s">
        <v>89</v>
      </c>
      <c r="R490" s="4">
        <v>65</v>
      </c>
      <c r="S490" s="5">
        <v>249.8</v>
      </c>
      <c r="T490" s="5">
        <v>96.5</v>
      </c>
      <c r="U490" s="8">
        <v>-0.67969999999999997</v>
      </c>
      <c r="V490" s="8">
        <v>0.66620000000000001</v>
      </c>
      <c r="W490" s="5">
        <v>153.30000000000001</v>
      </c>
      <c r="X490" s="6">
        <v>6.178100989584278E-3</v>
      </c>
      <c r="Y490" s="4">
        <v>0</v>
      </c>
      <c r="Z490" s="6">
        <v>0</v>
      </c>
      <c r="AA490" s="5">
        <v>56619.6</v>
      </c>
      <c r="AB490" s="5">
        <v>57141.4</v>
      </c>
      <c r="AC490" s="5">
        <v>521.79999999999995</v>
      </c>
      <c r="AD490" s="5">
        <v>0.92159999999999997</v>
      </c>
      <c r="AE490" s="4">
        <v>7</v>
      </c>
      <c r="AF490" s="5">
        <v>-0.11666700000000001</v>
      </c>
      <c r="AG490" s="5">
        <v>455.74380000000002</v>
      </c>
      <c r="AH490" s="5">
        <v>0.80489999999999995</v>
      </c>
      <c r="AI490" s="8">
        <v>-1.159</v>
      </c>
      <c r="AJ490" s="8">
        <v>1.3956</v>
      </c>
      <c r="AK490" s="15">
        <v>579.39380000000006</v>
      </c>
      <c r="AL490" s="15">
        <v>1.3031999999999999</v>
      </c>
      <c r="AM490" s="5">
        <v>106.1409</v>
      </c>
      <c r="AN490" s="5">
        <v>106.1409</v>
      </c>
      <c r="AO490" s="4">
        <v>0</v>
      </c>
      <c r="AP490" s="4">
        <v>0</v>
      </c>
      <c r="AQ490" s="8">
        <v>-0.1028</v>
      </c>
      <c r="AR490" s="8">
        <v>0.4345</v>
      </c>
      <c r="AS490" s="8">
        <v>-0.1028</v>
      </c>
      <c r="AT490" s="5">
        <v>104.6677</v>
      </c>
      <c r="AU490" s="5">
        <v>-0.1028</v>
      </c>
      <c r="AV490" s="7" t="s">
        <v>90</v>
      </c>
    </row>
    <row r="491" spans="1:48" ht="18" customHeight="1" x14ac:dyDescent="0.25">
      <c r="A491" s="10">
        <v>245</v>
      </c>
      <c r="B491" s="10">
        <v>2</v>
      </c>
      <c r="C491" s="10">
        <v>245</v>
      </c>
      <c r="D491" s="88">
        <v>45798</v>
      </c>
      <c r="E491" s="88">
        <v>45805</v>
      </c>
      <c r="F491" s="88">
        <v>45806</v>
      </c>
      <c r="G491" s="11">
        <v>24813.45</v>
      </c>
      <c r="H491" s="11">
        <v>24752.45</v>
      </c>
      <c r="I491" s="12"/>
      <c r="J491" s="12"/>
      <c r="K491" s="92"/>
      <c r="L491" s="92"/>
      <c r="M491" s="12" t="s">
        <v>40</v>
      </c>
      <c r="N491" s="10">
        <v>25100</v>
      </c>
      <c r="O491" s="95">
        <f>IF(F491=F489,O489,MROUND(G491,100))</f>
        <v>24300</v>
      </c>
      <c r="P491" s="95">
        <f>O491-N491</f>
        <v>-800</v>
      </c>
      <c r="Q491" s="12" t="s">
        <v>91</v>
      </c>
      <c r="R491" s="10">
        <v>65</v>
      </c>
      <c r="S491" s="11">
        <v>391.15</v>
      </c>
      <c r="T491" s="11">
        <v>361.5</v>
      </c>
      <c r="U491" s="13">
        <v>-0.81869999999999998</v>
      </c>
      <c r="V491" s="13">
        <v>0.92730000000000001</v>
      </c>
      <c r="W491" s="10">
        <v>0</v>
      </c>
      <c r="X491" s="14">
        <v>0</v>
      </c>
      <c r="Y491" s="11">
        <v>-29.65</v>
      </c>
      <c r="Z491" s="14">
        <v>-1.194916466674324E-3</v>
      </c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 t="s">
        <v>90</v>
      </c>
    </row>
    <row r="492" spans="1:48" ht="18" hidden="1" customHeight="1" x14ac:dyDescent="0.25">
      <c r="A492" s="4">
        <v>246</v>
      </c>
      <c r="B492" s="4">
        <v>1</v>
      </c>
      <c r="C492" s="4">
        <v>246</v>
      </c>
      <c r="D492" s="87">
        <v>45805</v>
      </c>
      <c r="E492" s="87">
        <v>45812</v>
      </c>
      <c r="F492" s="87">
        <v>45813</v>
      </c>
      <c r="G492" s="5">
        <v>24752.45</v>
      </c>
      <c r="H492" s="5">
        <v>24620.2</v>
      </c>
      <c r="I492" s="5">
        <v>-132.25</v>
      </c>
      <c r="J492" s="6">
        <v>-5.3429054497635582E-3</v>
      </c>
      <c r="K492" s="90"/>
      <c r="L492" s="90"/>
      <c r="M492" s="7" t="s">
        <v>28</v>
      </c>
      <c r="N492" s="4">
        <v>24800</v>
      </c>
      <c r="O492" s="94"/>
      <c r="P492" s="94"/>
      <c r="Q492" s="7" t="s">
        <v>89</v>
      </c>
      <c r="R492" s="4">
        <v>65</v>
      </c>
      <c r="S492" s="5">
        <v>254.2</v>
      </c>
      <c r="T492" s="5">
        <v>31.8</v>
      </c>
      <c r="U492" s="8">
        <v>-0.19389999999999999</v>
      </c>
      <c r="V492" s="8">
        <v>0.92169999999999996</v>
      </c>
      <c r="W492" s="5">
        <v>222.4</v>
      </c>
      <c r="X492" s="6">
        <v>8.9849691646685485E-3</v>
      </c>
      <c r="Y492" s="4">
        <v>0</v>
      </c>
      <c r="Z492" s="6">
        <v>0</v>
      </c>
      <c r="AA492" s="5">
        <v>57141.4</v>
      </c>
      <c r="AB492" s="5">
        <v>57924.65</v>
      </c>
      <c r="AC492" s="5">
        <v>783.25</v>
      </c>
      <c r="AD492" s="5">
        <v>1.3707</v>
      </c>
      <c r="AE492" s="4">
        <v>7</v>
      </c>
      <c r="AF492" s="5">
        <v>-0.11666700000000001</v>
      </c>
      <c r="AG492" s="5">
        <v>716.58500000000004</v>
      </c>
      <c r="AH492" s="5">
        <v>1.2541</v>
      </c>
      <c r="AI492" s="8">
        <v>-0.14510000000000001</v>
      </c>
      <c r="AJ492" s="8">
        <v>1.4483999999999999</v>
      </c>
      <c r="AK492" s="15">
        <v>909.33500000000004</v>
      </c>
      <c r="AL492" s="15">
        <v>2.0327999999999999</v>
      </c>
      <c r="AM492" s="5">
        <v>108.2985</v>
      </c>
      <c r="AN492" s="5">
        <v>108.2985</v>
      </c>
      <c r="AO492" s="4">
        <v>0</v>
      </c>
      <c r="AP492" s="4">
        <v>0</v>
      </c>
      <c r="AQ492" s="8">
        <v>0.84970000000000001</v>
      </c>
      <c r="AR492" s="8">
        <v>1.1617999999999999</v>
      </c>
      <c r="AS492" s="8">
        <v>0.84970000000000001</v>
      </c>
      <c r="AT492" s="5">
        <v>107.0427</v>
      </c>
      <c r="AU492" s="5">
        <v>0.84970000000000001</v>
      </c>
      <c r="AV492" s="7" t="s">
        <v>90</v>
      </c>
    </row>
    <row r="493" spans="1:48" ht="18" customHeight="1" x14ac:dyDescent="0.25">
      <c r="A493" s="10">
        <v>246</v>
      </c>
      <c r="B493" s="10">
        <v>2</v>
      </c>
      <c r="C493" s="10">
        <v>246</v>
      </c>
      <c r="D493" s="88">
        <v>45805</v>
      </c>
      <c r="E493" s="88">
        <v>45812</v>
      </c>
      <c r="F493" s="88">
        <v>45834</v>
      </c>
      <c r="G493" s="11">
        <v>24752.45</v>
      </c>
      <c r="H493" s="11">
        <v>24620.2</v>
      </c>
      <c r="I493" s="12"/>
      <c r="J493" s="12"/>
      <c r="K493" s="92"/>
      <c r="L493" s="92"/>
      <c r="M493" s="12" t="s">
        <v>40</v>
      </c>
      <c r="N493" s="10">
        <v>24800</v>
      </c>
      <c r="O493" s="95">
        <f>IF(F493=F491,O491,MROUND(G493,100))</f>
        <v>24800</v>
      </c>
      <c r="P493" s="95">
        <f>O493-N493</f>
        <v>0</v>
      </c>
      <c r="Q493" s="12" t="s">
        <v>91</v>
      </c>
      <c r="R493" s="10">
        <v>65</v>
      </c>
      <c r="S493" s="10">
        <v>428</v>
      </c>
      <c r="T493" s="11">
        <v>398.35</v>
      </c>
      <c r="U493" s="13">
        <v>-0.40479999999999999</v>
      </c>
      <c r="V493" s="13">
        <v>0.38519999999999999</v>
      </c>
      <c r="W493" s="10">
        <v>0</v>
      </c>
      <c r="X493" s="14">
        <v>0</v>
      </c>
      <c r="Y493" s="11">
        <v>-29.65</v>
      </c>
      <c r="Z493" s="14">
        <v>-1.1978612218184459E-3</v>
      </c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 t="s">
        <v>90</v>
      </c>
    </row>
    <row r="494" spans="1:48" ht="18" hidden="1" customHeight="1" x14ac:dyDescent="0.25">
      <c r="A494" s="4">
        <v>247</v>
      </c>
      <c r="B494" s="4">
        <v>1</v>
      </c>
      <c r="C494" s="4">
        <v>247</v>
      </c>
      <c r="D494" s="87">
        <v>45812</v>
      </c>
      <c r="E494" s="87">
        <v>45814</v>
      </c>
      <c r="F494" s="87">
        <v>45820</v>
      </c>
      <c r="G494" s="5">
        <v>24620.2</v>
      </c>
      <c r="H494" s="5">
        <v>25003.05</v>
      </c>
      <c r="I494" s="5">
        <v>382.85</v>
      </c>
      <c r="J494" s="6">
        <v>1.555023923444976E-2</v>
      </c>
      <c r="K494" s="90"/>
      <c r="L494" s="90"/>
      <c r="M494" s="7" t="s">
        <v>28</v>
      </c>
      <c r="N494" s="4">
        <v>24600</v>
      </c>
      <c r="O494" s="94"/>
      <c r="P494" s="94"/>
      <c r="Q494" s="7" t="s">
        <v>89</v>
      </c>
      <c r="R494" s="4">
        <v>65</v>
      </c>
      <c r="S494" s="5">
        <v>245.55</v>
      </c>
      <c r="T494" s="5">
        <v>469.45</v>
      </c>
      <c r="U494" s="8">
        <v>-1.1222000000000001</v>
      </c>
      <c r="V494" s="8">
        <v>9.4600000000000004E-2</v>
      </c>
      <c r="W494" s="5">
        <v>-223.9</v>
      </c>
      <c r="X494" s="6">
        <v>-9.0941584552521916E-3</v>
      </c>
      <c r="Y494" s="4">
        <v>0</v>
      </c>
      <c r="Z494" s="6">
        <v>0</v>
      </c>
      <c r="AA494" s="5">
        <v>57924.65</v>
      </c>
      <c r="AB494" s="5">
        <v>59010.3</v>
      </c>
      <c r="AC494" s="5">
        <v>1085.6500000000001</v>
      </c>
      <c r="AD494" s="5">
        <v>1.8742000000000001</v>
      </c>
      <c r="AE494" s="4">
        <v>2</v>
      </c>
      <c r="AF494" s="5">
        <v>-3.3333000000000002E-2</v>
      </c>
      <c r="AG494" s="5">
        <v>1066.3417999999999</v>
      </c>
      <c r="AH494" s="5">
        <v>1.8409</v>
      </c>
      <c r="AI494" s="8">
        <v>0.1384</v>
      </c>
      <c r="AJ494" s="8">
        <v>1.9476</v>
      </c>
      <c r="AK494" s="15">
        <v>652.19179999999994</v>
      </c>
      <c r="AL494" s="15">
        <v>0.15870000000000001</v>
      </c>
      <c r="AM494" s="5">
        <v>108.4704</v>
      </c>
      <c r="AN494" s="5">
        <v>108.4704</v>
      </c>
      <c r="AO494" s="4">
        <v>0</v>
      </c>
      <c r="AP494" s="4">
        <v>0</v>
      </c>
      <c r="AQ494" s="8">
        <v>2.24E-2</v>
      </c>
      <c r="AR494" s="8">
        <v>0.21129999999999999</v>
      </c>
      <c r="AS494" s="8">
        <v>2.24E-2</v>
      </c>
      <c r="AT494" s="5">
        <v>108.3227</v>
      </c>
      <c r="AU494" s="5">
        <v>2.24E-2</v>
      </c>
      <c r="AV494" s="7" t="s">
        <v>96</v>
      </c>
    </row>
    <row r="495" spans="1:48" ht="18" customHeight="1" x14ac:dyDescent="0.25">
      <c r="A495" s="10">
        <v>247</v>
      </c>
      <c r="B495" s="10">
        <v>2</v>
      </c>
      <c r="C495" s="10">
        <v>247</v>
      </c>
      <c r="D495" s="88">
        <v>45812</v>
      </c>
      <c r="E495" s="88">
        <v>45814</v>
      </c>
      <c r="F495" s="88">
        <v>45834</v>
      </c>
      <c r="G495" s="11">
        <v>24620.2</v>
      </c>
      <c r="H495" s="11">
        <v>25003.05</v>
      </c>
      <c r="I495" s="12"/>
      <c r="J495" s="12"/>
      <c r="K495" s="92"/>
      <c r="L495" s="92"/>
      <c r="M495" s="12" t="s">
        <v>40</v>
      </c>
      <c r="N495" s="10">
        <v>24800</v>
      </c>
      <c r="O495" s="95">
        <f>IF(F495=F493,O493,MROUND(G495,100))</f>
        <v>24800</v>
      </c>
      <c r="P495" s="95">
        <f>O495-N495</f>
        <v>0</v>
      </c>
      <c r="Q495" s="12" t="s">
        <v>91</v>
      </c>
      <c r="R495" s="10">
        <v>65</v>
      </c>
      <c r="S495" s="11">
        <v>398.35</v>
      </c>
      <c r="T495" s="11">
        <v>208.1</v>
      </c>
      <c r="U495" s="13">
        <v>-0.80300000000000005</v>
      </c>
      <c r="V495" s="13">
        <v>-2.1700000000000001E-2</v>
      </c>
      <c r="W495" s="10">
        <v>0</v>
      </c>
      <c r="X495" s="14">
        <v>0</v>
      </c>
      <c r="Y495" s="11">
        <v>-190.25</v>
      </c>
      <c r="Z495" s="14">
        <v>-7.7273945784355931E-3</v>
      </c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 t="s">
        <v>96</v>
      </c>
    </row>
    <row r="496" spans="1:48" ht="18" hidden="1" customHeight="1" x14ac:dyDescent="0.25">
      <c r="A496" s="4">
        <v>248</v>
      </c>
      <c r="B496" s="4">
        <v>1</v>
      </c>
      <c r="C496" s="4">
        <v>248</v>
      </c>
      <c r="D496" s="87">
        <v>45814</v>
      </c>
      <c r="E496" s="87">
        <v>45819</v>
      </c>
      <c r="F496" s="87">
        <v>45820</v>
      </c>
      <c r="G496" s="5">
        <v>25003.05</v>
      </c>
      <c r="H496" s="5">
        <v>25141.4</v>
      </c>
      <c r="I496" s="5">
        <v>138.35</v>
      </c>
      <c r="J496" s="6">
        <v>5.5333249343580094E-3</v>
      </c>
      <c r="K496" s="90"/>
      <c r="L496" s="90"/>
      <c r="M496" s="7" t="s">
        <v>28</v>
      </c>
      <c r="N496" s="4">
        <v>25000</v>
      </c>
      <c r="O496" s="94"/>
      <c r="P496" s="94"/>
      <c r="Q496" s="7" t="s">
        <v>89</v>
      </c>
      <c r="R496" s="4">
        <v>65</v>
      </c>
      <c r="S496" s="5">
        <v>182.4</v>
      </c>
      <c r="T496" s="5">
        <v>163.4</v>
      </c>
      <c r="U496" s="8">
        <v>-0.25340000000000001</v>
      </c>
      <c r="V496" s="8">
        <v>0.24099999999999999</v>
      </c>
      <c r="W496" s="4">
        <v>19</v>
      </c>
      <c r="X496" s="6">
        <v>7.5990729131046012E-4</v>
      </c>
      <c r="Y496" s="4">
        <v>0</v>
      </c>
      <c r="Z496" s="6">
        <v>0</v>
      </c>
      <c r="AA496" s="5">
        <v>59010.3</v>
      </c>
      <c r="AB496" s="5">
        <v>59388.15</v>
      </c>
      <c r="AC496" s="5">
        <v>377.85</v>
      </c>
      <c r="AD496" s="5">
        <v>0.64029999999999998</v>
      </c>
      <c r="AE496" s="4">
        <v>5</v>
      </c>
      <c r="AF496" s="5">
        <v>-8.3333000000000004E-2</v>
      </c>
      <c r="AG496" s="5">
        <v>328.67469999999997</v>
      </c>
      <c r="AH496" s="5">
        <v>0.55700000000000005</v>
      </c>
      <c r="AI496" s="8">
        <v>0.1148</v>
      </c>
      <c r="AJ496" s="8">
        <v>1.5550999999999999</v>
      </c>
      <c r="AK496" s="15">
        <v>256.67469999999997</v>
      </c>
      <c r="AL496" s="15">
        <v>0.26900000000000002</v>
      </c>
      <c r="AM496" s="5">
        <v>108.7621</v>
      </c>
      <c r="AN496" s="5">
        <v>108.7621</v>
      </c>
      <c r="AO496" s="4">
        <v>0</v>
      </c>
      <c r="AP496" s="4">
        <v>0</v>
      </c>
      <c r="AQ496" s="8">
        <v>0.879</v>
      </c>
      <c r="AR496" s="8">
        <v>0.28199999999999997</v>
      </c>
      <c r="AS496" s="8">
        <v>0.26900000000000002</v>
      </c>
      <c r="AT496" s="5">
        <v>108.7621</v>
      </c>
      <c r="AU496" s="5">
        <v>0.26900000000000002</v>
      </c>
      <c r="AV496" s="7" t="s">
        <v>90</v>
      </c>
    </row>
    <row r="497" spans="1:48" ht="18" customHeight="1" x14ac:dyDescent="0.25">
      <c r="A497" s="10">
        <v>248</v>
      </c>
      <c r="B497" s="10">
        <v>2</v>
      </c>
      <c r="C497" s="10">
        <v>248</v>
      </c>
      <c r="D497" s="88">
        <v>45814</v>
      </c>
      <c r="E497" s="88">
        <v>45819</v>
      </c>
      <c r="F497" s="88">
        <v>45834</v>
      </c>
      <c r="G497" s="11">
        <v>25003.05</v>
      </c>
      <c r="H497" s="11">
        <v>25141.4</v>
      </c>
      <c r="I497" s="12"/>
      <c r="J497" s="12"/>
      <c r="K497" s="92"/>
      <c r="L497" s="92"/>
      <c r="M497" s="12" t="s">
        <v>40</v>
      </c>
      <c r="N497" s="10">
        <v>24800</v>
      </c>
      <c r="O497" s="95">
        <f>IF(F497=F495,O495,MROUND(G497,100))</f>
        <v>24800</v>
      </c>
      <c r="P497" s="95">
        <f>O497-N497</f>
        <v>0</v>
      </c>
      <c r="Q497" s="12" t="s">
        <v>91</v>
      </c>
      <c r="R497" s="10">
        <v>65</v>
      </c>
      <c r="S497" s="11">
        <v>208.1</v>
      </c>
      <c r="T497" s="11">
        <v>117.1</v>
      </c>
      <c r="U497" s="13">
        <v>-0.42270000000000002</v>
      </c>
      <c r="V497" s="13">
        <v>-7.3800000000000004E-2</v>
      </c>
      <c r="W497" s="10">
        <v>0</v>
      </c>
      <c r="X497" s="14">
        <v>0</v>
      </c>
      <c r="Y497" s="10">
        <v>-91</v>
      </c>
      <c r="Z497" s="14">
        <v>-3.6395559741711509E-3</v>
      </c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 t="s">
        <v>90</v>
      </c>
    </row>
    <row r="498" spans="1:48" ht="18" hidden="1" customHeight="1" x14ac:dyDescent="0.25">
      <c r="A498" s="4">
        <v>249</v>
      </c>
      <c r="B498" s="4">
        <v>1</v>
      </c>
      <c r="C498" s="4">
        <v>249</v>
      </c>
      <c r="D498" s="87">
        <v>45819</v>
      </c>
      <c r="E498" s="87">
        <v>45820</v>
      </c>
      <c r="F498" s="87">
        <v>45827</v>
      </c>
      <c r="G498" s="5">
        <v>25141.4</v>
      </c>
      <c r="H498" s="5">
        <v>24888.2</v>
      </c>
      <c r="I498" s="5">
        <v>-253.2</v>
      </c>
      <c r="J498" s="6">
        <v>-1.007103820789614E-2</v>
      </c>
      <c r="K498" s="90"/>
      <c r="L498" s="90"/>
      <c r="M498" s="7" t="s">
        <v>28</v>
      </c>
      <c r="N498" s="4">
        <v>25100</v>
      </c>
      <c r="O498" s="94"/>
      <c r="P498" s="94"/>
      <c r="Q498" s="7" t="s">
        <v>89</v>
      </c>
      <c r="R498" s="4">
        <v>65</v>
      </c>
      <c r="S498" s="5">
        <v>220.5</v>
      </c>
      <c r="T498" s="5">
        <v>92.7</v>
      </c>
      <c r="U498" s="8">
        <v>-9.74E-2</v>
      </c>
      <c r="V498" s="8">
        <v>0.53800000000000003</v>
      </c>
      <c r="W498" s="5">
        <v>127.8</v>
      </c>
      <c r="X498" s="6">
        <v>5.0832491428480508E-3</v>
      </c>
      <c r="Y498" s="4">
        <v>0</v>
      </c>
      <c r="Z498" s="6">
        <v>0</v>
      </c>
      <c r="AA498" s="5">
        <v>59388.15</v>
      </c>
      <c r="AB498" s="5">
        <v>58440.85</v>
      </c>
      <c r="AC498" s="5">
        <v>-947.3</v>
      </c>
      <c r="AD498" s="5">
        <v>-1.5951</v>
      </c>
      <c r="AE498" s="4">
        <v>1</v>
      </c>
      <c r="AF498" s="5">
        <v>-1.6667000000000001E-2</v>
      </c>
      <c r="AG498" s="5">
        <v>-957.19799999999998</v>
      </c>
      <c r="AH498" s="5">
        <v>-1.6117999999999999</v>
      </c>
      <c r="AI498" s="8">
        <v>-1.7729999999999999</v>
      </c>
      <c r="AJ498" s="8">
        <v>8.3699999999999997E-2</v>
      </c>
      <c r="AK498" s="9">
        <v>-742.89800000000002</v>
      </c>
      <c r="AL498" s="9">
        <v>-0.75939999999999996</v>
      </c>
      <c r="AM498" s="5">
        <v>107.9362</v>
      </c>
      <c r="AN498" s="5">
        <v>108.7621</v>
      </c>
      <c r="AO498" s="5">
        <v>-0.82589999999999997</v>
      </c>
      <c r="AP498" s="5">
        <v>-0.75939999999999996</v>
      </c>
      <c r="AQ498" s="8">
        <v>-7.5399999999999995E-2</v>
      </c>
      <c r="AR498" s="8">
        <v>-0.81859999999999999</v>
      </c>
      <c r="AS498" s="8">
        <v>-0.81859999999999999</v>
      </c>
      <c r="AT498" s="5">
        <v>107.87179999999999</v>
      </c>
      <c r="AU498" s="5">
        <v>-0.81859999999999999</v>
      </c>
      <c r="AV498" s="7" t="s">
        <v>93</v>
      </c>
    </row>
    <row r="499" spans="1:48" ht="18" customHeight="1" x14ac:dyDescent="0.25">
      <c r="A499" s="10">
        <v>249</v>
      </c>
      <c r="B499" s="10">
        <v>2</v>
      </c>
      <c r="C499" s="10">
        <v>249</v>
      </c>
      <c r="D499" s="88">
        <v>45819</v>
      </c>
      <c r="E499" s="88">
        <v>45820</v>
      </c>
      <c r="F499" s="88">
        <v>45834</v>
      </c>
      <c r="G499" s="11">
        <v>25141.4</v>
      </c>
      <c r="H499" s="11">
        <v>24888.2</v>
      </c>
      <c r="I499" s="12"/>
      <c r="J499" s="12"/>
      <c r="K499" s="92"/>
      <c r="L499" s="92"/>
      <c r="M499" s="12" t="s">
        <v>40</v>
      </c>
      <c r="N499" s="10">
        <v>24800</v>
      </c>
      <c r="O499" s="95">
        <f>IF(F499=F497,O497,MROUND(G499,100))</f>
        <v>24800</v>
      </c>
      <c r="P499" s="95">
        <f>O499-N499</f>
        <v>0</v>
      </c>
      <c r="Q499" s="12" t="s">
        <v>91</v>
      </c>
      <c r="R499" s="10">
        <v>65</v>
      </c>
      <c r="S499" s="11">
        <v>117.1</v>
      </c>
      <c r="T499" s="11">
        <v>203.6</v>
      </c>
      <c r="U499" s="13">
        <v>-6.1699999999999998E-2</v>
      </c>
      <c r="V499" s="13">
        <v>0.41639999999999999</v>
      </c>
      <c r="W499" s="10">
        <v>0</v>
      </c>
      <c r="X499" s="14">
        <v>0</v>
      </c>
      <c r="Y499" s="11">
        <v>86.5</v>
      </c>
      <c r="Z499" s="14">
        <v>3.4405403040403482E-3</v>
      </c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 t="s">
        <v>93</v>
      </c>
    </row>
    <row r="500" spans="1:48" ht="18" hidden="1" customHeight="1" x14ac:dyDescent="0.25">
      <c r="A500" s="4">
        <v>250</v>
      </c>
      <c r="B500" s="4">
        <v>1</v>
      </c>
      <c r="C500" s="4">
        <v>250</v>
      </c>
      <c r="D500" s="87">
        <v>45820</v>
      </c>
      <c r="E500" s="87">
        <v>45826</v>
      </c>
      <c r="F500" s="87">
        <v>45827</v>
      </c>
      <c r="G500" s="5">
        <v>24888.2</v>
      </c>
      <c r="H500" s="5">
        <v>24812.05</v>
      </c>
      <c r="I500" s="5">
        <v>-76.150000000000006</v>
      </c>
      <c r="J500" s="6">
        <v>-3.059682901937465E-3</v>
      </c>
      <c r="K500" s="90"/>
      <c r="L500" s="90"/>
      <c r="M500" s="7" t="s">
        <v>28</v>
      </c>
      <c r="N500" s="4">
        <v>24900</v>
      </c>
      <c r="O500" s="94"/>
      <c r="P500" s="94"/>
      <c r="Q500" s="7" t="s">
        <v>89</v>
      </c>
      <c r="R500" s="4">
        <v>65</v>
      </c>
      <c r="S500" s="5">
        <v>178.65</v>
      </c>
      <c r="T500" s="5">
        <v>42.45</v>
      </c>
      <c r="U500" s="8">
        <v>-6.3500000000000001E-2</v>
      </c>
      <c r="V500" s="8">
        <v>0.5796</v>
      </c>
      <c r="W500" s="5">
        <v>136.19999999999999</v>
      </c>
      <c r="X500" s="6">
        <v>5.4724728988034483E-3</v>
      </c>
      <c r="Y500" s="4">
        <v>0</v>
      </c>
      <c r="Z500" s="6">
        <v>0</v>
      </c>
      <c r="AA500" s="5">
        <v>58440.85</v>
      </c>
      <c r="AB500" s="5">
        <v>58109.2</v>
      </c>
      <c r="AC500" s="5">
        <v>-331.65</v>
      </c>
      <c r="AD500" s="5">
        <v>-0.5675</v>
      </c>
      <c r="AE500" s="4">
        <v>6</v>
      </c>
      <c r="AF500" s="5">
        <v>-0.1</v>
      </c>
      <c r="AG500" s="5">
        <v>-390.09089999999998</v>
      </c>
      <c r="AH500" s="5">
        <v>-0.66749999999999998</v>
      </c>
      <c r="AI500" s="8">
        <v>-2.0604</v>
      </c>
      <c r="AJ500" s="8">
        <v>0.85619999999999996</v>
      </c>
      <c r="AK500" s="9">
        <v>-261.9409</v>
      </c>
      <c r="AL500" s="9">
        <v>-0.15260000000000001</v>
      </c>
      <c r="AM500" s="5">
        <v>107.7715</v>
      </c>
      <c r="AN500" s="5">
        <v>108.7621</v>
      </c>
      <c r="AO500" s="5">
        <v>-0.99070000000000003</v>
      </c>
      <c r="AP500" s="5">
        <v>-0.91080000000000005</v>
      </c>
      <c r="AQ500" s="8">
        <v>0.54459999999999997</v>
      </c>
      <c r="AR500" s="8">
        <v>-0.6109</v>
      </c>
      <c r="AS500" s="8">
        <v>-0.6109</v>
      </c>
      <c r="AT500" s="5">
        <v>107.27679999999999</v>
      </c>
      <c r="AU500" s="5">
        <v>-1.3656999999999999</v>
      </c>
      <c r="AV500" s="7" t="s">
        <v>90</v>
      </c>
    </row>
    <row r="501" spans="1:48" ht="18" customHeight="1" x14ac:dyDescent="0.25">
      <c r="A501" s="10">
        <v>250</v>
      </c>
      <c r="B501" s="10">
        <v>2</v>
      </c>
      <c r="C501" s="10">
        <v>250</v>
      </c>
      <c r="D501" s="88">
        <v>45820</v>
      </c>
      <c r="E501" s="88">
        <v>45826</v>
      </c>
      <c r="F501" s="88">
        <v>45834</v>
      </c>
      <c r="G501" s="11">
        <v>24888.2</v>
      </c>
      <c r="H501" s="11">
        <v>24812.05</v>
      </c>
      <c r="I501" s="12"/>
      <c r="J501" s="12"/>
      <c r="K501" s="92"/>
      <c r="L501" s="92"/>
      <c r="M501" s="12" t="s">
        <v>40</v>
      </c>
      <c r="N501" s="10">
        <v>24800</v>
      </c>
      <c r="O501" s="95">
        <f>IF(F501=F499,O499,MROUND(G501,100))</f>
        <v>24800</v>
      </c>
      <c r="P501" s="95">
        <f>O501-N501</f>
        <v>0</v>
      </c>
      <c r="Q501" s="12" t="s">
        <v>91</v>
      </c>
      <c r="R501" s="10">
        <v>65</v>
      </c>
      <c r="S501" s="11">
        <v>203.6</v>
      </c>
      <c r="T501" s="11">
        <v>195.55</v>
      </c>
      <c r="U501" s="13">
        <v>-0.24809999999999999</v>
      </c>
      <c r="V501" s="13">
        <v>0.86990000000000001</v>
      </c>
      <c r="W501" s="10">
        <v>0</v>
      </c>
      <c r="X501" s="14">
        <v>0</v>
      </c>
      <c r="Y501" s="11">
        <v>-8.0500000000000007</v>
      </c>
      <c r="Z501" s="14">
        <v>-3.2344645253573991E-4</v>
      </c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 t="s">
        <v>90</v>
      </c>
    </row>
    <row r="502" spans="1:48" ht="18" hidden="1" customHeight="1" x14ac:dyDescent="0.25">
      <c r="A502" s="4">
        <v>251</v>
      </c>
      <c r="B502" s="4">
        <v>1</v>
      </c>
      <c r="C502" s="4">
        <v>251</v>
      </c>
      <c r="D502" s="87">
        <v>45826</v>
      </c>
      <c r="E502" s="87">
        <v>45828</v>
      </c>
      <c r="F502" s="87">
        <v>45834</v>
      </c>
      <c r="G502" s="5">
        <v>24812.05</v>
      </c>
      <c r="H502" s="5">
        <v>25112.400000000001</v>
      </c>
      <c r="I502" s="5">
        <v>300.35000000000002</v>
      </c>
      <c r="J502" s="6">
        <v>1.210500543082897E-2</v>
      </c>
      <c r="K502" s="90"/>
      <c r="L502" s="90"/>
      <c r="M502" s="7" t="s">
        <v>28</v>
      </c>
      <c r="N502" s="4">
        <v>24800</v>
      </c>
      <c r="O502" s="94"/>
      <c r="P502" s="94"/>
      <c r="Q502" s="7" t="s">
        <v>89</v>
      </c>
      <c r="R502" s="4">
        <v>65</v>
      </c>
      <c r="S502" s="5">
        <v>219.2</v>
      </c>
      <c r="T502" s="5">
        <v>380.65</v>
      </c>
      <c r="U502" s="8">
        <v>-0.74460000000000004</v>
      </c>
      <c r="V502" s="8">
        <v>0.19750000000000001</v>
      </c>
      <c r="W502" s="5">
        <v>-161.44999999999999</v>
      </c>
      <c r="X502" s="6">
        <v>-6.5069190171710917E-3</v>
      </c>
      <c r="Y502" s="4">
        <v>0</v>
      </c>
      <c r="Z502" s="6">
        <v>0</v>
      </c>
      <c r="AA502" s="5">
        <v>58109.2</v>
      </c>
      <c r="AB502" s="5">
        <v>57995.5</v>
      </c>
      <c r="AC502" s="5">
        <v>-113.7</v>
      </c>
      <c r="AD502" s="5">
        <v>-0.19570000000000001</v>
      </c>
      <c r="AE502" s="4">
        <v>2</v>
      </c>
      <c r="AF502" s="5">
        <v>-3.3333000000000002E-2</v>
      </c>
      <c r="AG502" s="5">
        <v>-133.06970000000001</v>
      </c>
      <c r="AH502" s="5">
        <v>-0.22900000000000001</v>
      </c>
      <c r="AI502" s="8">
        <v>-1.8434999999999999</v>
      </c>
      <c r="AJ502" s="8">
        <v>9.3200000000000005E-2</v>
      </c>
      <c r="AK502" s="9">
        <v>-423.56970000000001</v>
      </c>
      <c r="AL502" s="9">
        <v>-1.3997999999999999</v>
      </c>
      <c r="AM502" s="5">
        <v>106.2629</v>
      </c>
      <c r="AN502" s="5">
        <v>108.7621</v>
      </c>
      <c r="AO502" s="5">
        <v>-2.4992000000000001</v>
      </c>
      <c r="AP502" s="5">
        <v>-2.2978999999999998</v>
      </c>
      <c r="AQ502" s="8">
        <v>-1.1874</v>
      </c>
      <c r="AR502" s="8">
        <v>-1.5515000000000001</v>
      </c>
      <c r="AS502" s="8">
        <v>-1.5515000000000001</v>
      </c>
      <c r="AT502" s="5">
        <v>106.0994</v>
      </c>
      <c r="AU502" s="5">
        <v>-2.4481999999999999</v>
      </c>
      <c r="AV502" s="7" t="s">
        <v>96</v>
      </c>
    </row>
    <row r="503" spans="1:48" ht="18" customHeight="1" x14ac:dyDescent="0.25">
      <c r="A503" s="10">
        <v>251</v>
      </c>
      <c r="B503" s="10">
        <v>2</v>
      </c>
      <c r="C503" s="10">
        <v>251</v>
      </c>
      <c r="D503" s="88">
        <v>45826</v>
      </c>
      <c r="E503" s="88">
        <v>45828</v>
      </c>
      <c r="F503" s="88">
        <v>45834</v>
      </c>
      <c r="G503" s="11">
        <v>24812.05</v>
      </c>
      <c r="H503" s="11">
        <v>25112.400000000001</v>
      </c>
      <c r="I503" s="12"/>
      <c r="J503" s="12"/>
      <c r="K503" s="92"/>
      <c r="L503" s="92"/>
      <c r="M503" s="12" t="s">
        <v>40</v>
      </c>
      <c r="N503" s="10">
        <v>24800</v>
      </c>
      <c r="O503" s="95">
        <f>IF(F503=F501,O501,MROUND(G503,100))</f>
        <v>24800</v>
      </c>
      <c r="P503" s="95">
        <f>O503-N503</f>
        <v>0</v>
      </c>
      <c r="Q503" s="12" t="s">
        <v>91</v>
      </c>
      <c r="R503" s="10">
        <v>65</v>
      </c>
      <c r="S503" s="11">
        <v>195.55</v>
      </c>
      <c r="T503" s="11">
        <v>66.5</v>
      </c>
      <c r="U503" s="13">
        <v>-0.53600000000000003</v>
      </c>
      <c r="V503" s="13">
        <v>9.4500000000000001E-2</v>
      </c>
      <c r="W503" s="10">
        <v>0</v>
      </c>
      <c r="X503" s="14">
        <v>0</v>
      </c>
      <c r="Y503" s="11">
        <v>-129.05000000000001</v>
      </c>
      <c r="Z503" s="14">
        <v>-5.2011018839636389E-3</v>
      </c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 t="s">
        <v>96</v>
      </c>
    </row>
    <row r="504" spans="1:48" ht="18" hidden="1" customHeight="1" x14ac:dyDescent="0.25">
      <c r="A504" s="4">
        <v>252</v>
      </c>
      <c r="B504" s="4">
        <v>1</v>
      </c>
      <c r="C504" s="4">
        <v>252</v>
      </c>
      <c r="D504" s="87">
        <v>45828</v>
      </c>
      <c r="E504" s="87">
        <v>45833</v>
      </c>
      <c r="F504" s="87">
        <v>45834</v>
      </c>
      <c r="G504" s="5">
        <v>25112.400000000001</v>
      </c>
      <c r="H504" s="5">
        <v>25244.75</v>
      </c>
      <c r="I504" s="5">
        <v>132.35</v>
      </c>
      <c r="J504" s="6">
        <v>5.2703047100237316E-3</v>
      </c>
      <c r="K504" s="90"/>
      <c r="L504" s="90"/>
      <c r="M504" s="7" t="s">
        <v>28</v>
      </c>
      <c r="N504" s="4">
        <v>25100</v>
      </c>
      <c r="O504" s="94"/>
      <c r="P504" s="94"/>
      <c r="Q504" s="7" t="s">
        <v>89</v>
      </c>
      <c r="R504" s="4">
        <v>65</v>
      </c>
      <c r="S504" s="5">
        <v>165.55</v>
      </c>
      <c r="T504" s="5">
        <v>176.35</v>
      </c>
      <c r="U504" s="8">
        <v>-0.51549999999999996</v>
      </c>
      <c r="V504" s="8">
        <v>0.47389999999999999</v>
      </c>
      <c r="W504" s="5">
        <v>-10.8</v>
      </c>
      <c r="X504" s="6">
        <v>-4.3006642136952261E-4</v>
      </c>
      <c r="Y504" s="4">
        <v>0</v>
      </c>
      <c r="Z504" s="6">
        <v>0</v>
      </c>
      <c r="AA504" s="5">
        <v>57995.5</v>
      </c>
      <c r="AB504" s="5">
        <v>58881.7</v>
      </c>
      <c r="AC504" s="5">
        <v>886.2</v>
      </c>
      <c r="AD504" s="5">
        <v>1.528</v>
      </c>
      <c r="AE504" s="4">
        <v>5</v>
      </c>
      <c r="AF504" s="5">
        <v>-8.3333000000000004E-2</v>
      </c>
      <c r="AG504" s="5">
        <v>837.87040000000002</v>
      </c>
      <c r="AH504" s="5">
        <v>1.4447000000000001</v>
      </c>
      <c r="AI504" s="8">
        <v>-0.8397</v>
      </c>
      <c r="AJ504" s="8">
        <v>1.5865</v>
      </c>
      <c r="AK504" s="15">
        <v>768.0204</v>
      </c>
      <c r="AL504" s="15">
        <v>1.1666000000000001</v>
      </c>
      <c r="AM504" s="5">
        <v>107.5026</v>
      </c>
      <c r="AN504" s="5">
        <v>108.7621</v>
      </c>
      <c r="AO504" s="5">
        <v>-1.2596000000000001</v>
      </c>
      <c r="AP504" s="5">
        <v>-1.1580999999999999</v>
      </c>
      <c r="AQ504" s="8">
        <v>0.82950000000000002</v>
      </c>
      <c r="AR504" s="8">
        <v>-6.4199999999999993E-2</v>
      </c>
      <c r="AS504" s="8">
        <v>-6.4199999999999993E-2</v>
      </c>
      <c r="AT504" s="5">
        <v>106.1947</v>
      </c>
      <c r="AU504" s="5">
        <v>-2.3605999999999998</v>
      </c>
      <c r="AV504" s="7" t="s">
        <v>90</v>
      </c>
    </row>
    <row r="505" spans="1:48" ht="18" customHeight="1" x14ac:dyDescent="0.25">
      <c r="A505" s="10">
        <v>252</v>
      </c>
      <c r="B505" s="10">
        <v>2</v>
      </c>
      <c r="C505" s="10">
        <v>252</v>
      </c>
      <c r="D505" s="88">
        <v>45828</v>
      </c>
      <c r="E505" s="88">
        <v>45833</v>
      </c>
      <c r="F505" s="88">
        <v>45834</v>
      </c>
      <c r="G505" s="11">
        <v>25112.400000000001</v>
      </c>
      <c r="H505" s="11">
        <v>25244.75</v>
      </c>
      <c r="I505" s="12"/>
      <c r="J505" s="12"/>
      <c r="K505" s="92"/>
      <c r="L505" s="92"/>
      <c r="M505" s="12" t="s">
        <v>40</v>
      </c>
      <c r="N505" s="10">
        <v>24800</v>
      </c>
      <c r="O505" s="95">
        <f>IF(F505=F503,O503,MROUND(G505,100))</f>
        <v>24800</v>
      </c>
      <c r="P505" s="95">
        <f>O505-N505</f>
        <v>0</v>
      </c>
      <c r="Q505" s="12" t="s">
        <v>91</v>
      </c>
      <c r="R505" s="10">
        <v>65</v>
      </c>
      <c r="S505" s="11">
        <v>66.5</v>
      </c>
      <c r="T505" s="11">
        <v>7.45</v>
      </c>
      <c r="U505" s="13">
        <v>-0.24149999999999999</v>
      </c>
      <c r="V505" s="13">
        <v>0.30159999999999998</v>
      </c>
      <c r="W505" s="10">
        <v>0</v>
      </c>
      <c r="X505" s="14">
        <v>0</v>
      </c>
      <c r="Y505" s="11">
        <v>-59.05</v>
      </c>
      <c r="Z505" s="14">
        <v>-2.3514279798028058E-3</v>
      </c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 t="s">
        <v>90</v>
      </c>
    </row>
    <row r="506" spans="1:48" ht="18" hidden="1" customHeight="1" x14ac:dyDescent="0.25">
      <c r="A506" s="4">
        <v>253</v>
      </c>
      <c r="B506" s="4">
        <v>1</v>
      </c>
      <c r="C506" s="4">
        <v>253</v>
      </c>
      <c r="D506" s="87">
        <v>45833</v>
      </c>
      <c r="E506" s="87">
        <v>45834</v>
      </c>
      <c r="F506" s="87">
        <v>45841</v>
      </c>
      <c r="G506" s="5">
        <v>25244.75</v>
      </c>
      <c r="H506" s="4">
        <v>25549</v>
      </c>
      <c r="I506" s="5">
        <v>304.25</v>
      </c>
      <c r="J506" s="6">
        <v>1.205201081412967E-2</v>
      </c>
      <c r="K506" s="90"/>
      <c r="L506" s="90"/>
      <c r="M506" s="7" t="s">
        <v>28</v>
      </c>
      <c r="N506" s="4">
        <v>25200</v>
      </c>
      <c r="O506" s="94"/>
      <c r="P506" s="94"/>
      <c r="Q506" s="7" t="s">
        <v>89</v>
      </c>
      <c r="R506" s="4">
        <v>65</v>
      </c>
      <c r="S506" s="5">
        <v>212.2</v>
      </c>
      <c r="T506" s="5">
        <v>390.95</v>
      </c>
      <c r="U506" s="8">
        <v>-0.80989999999999995</v>
      </c>
      <c r="V506" s="8">
        <v>5.62E-2</v>
      </c>
      <c r="W506" s="5">
        <v>-178.75</v>
      </c>
      <c r="X506" s="6">
        <v>-7.0806801414155423E-3</v>
      </c>
      <c r="Y506" s="4">
        <v>0</v>
      </c>
      <c r="Z506" s="6">
        <v>0</v>
      </c>
      <c r="AA506" s="5">
        <v>58881.7</v>
      </c>
      <c r="AB506" s="5">
        <v>59227.4</v>
      </c>
      <c r="AC506" s="5">
        <v>345.7</v>
      </c>
      <c r="AD506" s="5">
        <v>0.58709999999999996</v>
      </c>
      <c r="AE506" s="4">
        <v>1</v>
      </c>
      <c r="AF506" s="5">
        <v>-1.6667000000000001E-2</v>
      </c>
      <c r="AG506" s="5">
        <v>335.88639999999998</v>
      </c>
      <c r="AH506" s="5">
        <v>0.57040000000000002</v>
      </c>
      <c r="AI506" s="8">
        <v>-0.26529999999999998</v>
      </c>
      <c r="AJ506" s="8">
        <v>0.61729999999999996</v>
      </c>
      <c r="AK506" s="15">
        <v>53.5364</v>
      </c>
      <c r="AL506" s="15">
        <v>-0.54810000000000003</v>
      </c>
      <c r="AM506" s="5">
        <v>106.91330000000001</v>
      </c>
      <c r="AN506" s="5">
        <v>108.7621</v>
      </c>
      <c r="AO506" s="5">
        <v>-1.8488</v>
      </c>
      <c r="AP506" s="5">
        <v>-1.6999</v>
      </c>
      <c r="AQ506" s="8">
        <v>-0.61699999999999999</v>
      </c>
      <c r="AR506" s="8">
        <v>-7.6399999999999996E-2</v>
      </c>
      <c r="AS506" s="8">
        <v>-0.61699999999999999</v>
      </c>
      <c r="AT506" s="5">
        <v>106.83929999999999</v>
      </c>
      <c r="AU506" s="5">
        <v>-1.768</v>
      </c>
      <c r="AV506" s="7" t="s">
        <v>96</v>
      </c>
    </row>
    <row r="507" spans="1:48" ht="18" customHeight="1" x14ac:dyDescent="0.25">
      <c r="A507" s="10">
        <v>253</v>
      </c>
      <c r="B507" s="10">
        <v>2</v>
      </c>
      <c r="C507" s="10">
        <v>253</v>
      </c>
      <c r="D507" s="88">
        <v>45833</v>
      </c>
      <c r="E507" s="88">
        <v>45834</v>
      </c>
      <c r="F507" s="88">
        <v>45869</v>
      </c>
      <c r="G507" s="11">
        <v>25244.75</v>
      </c>
      <c r="H507" s="10">
        <v>25549</v>
      </c>
      <c r="I507" s="12"/>
      <c r="J507" s="12"/>
      <c r="K507" s="92"/>
      <c r="L507" s="92"/>
      <c r="M507" s="12" t="s">
        <v>40</v>
      </c>
      <c r="N507" s="10">
        <v>25200</v>
      </c>
      <c r="O507" s="95">
        <f>IF(F507=F505,O505,MROUND(G507,100))</f>
        <v>25200</v>
      </c>
      <c r="P507" s="95">
        <f>O507-N507</f>
        <v>0</v>
      </c>
      <c r="Q507" s="12" t="s">
        <v>91</v>
      </c>
      <c r="R507" s="10">
        <v>65</v>
      </c>
      <c r="S507" s="11">
        <v>322.5</v>
      </c>
      <c r="T507" s="11">
        <v>218.9</v>
      </c>
      <c r="U507" s="13">
        <v>-0.4244</v>
      </c>
      <c r="V507" s="13">
        <v>0.13270000000000001</v>
      </c>
      <c r="W507" s="10">
        <v>0</v>
      </c>
      <c r="X507" s="14">
        <v>0</v>
      </c>
      <c r="Y507" s="11">
        <v>-103.6</v>
      </c>
      <c r="Z507" s="14">
        <v>-4.1038235672763643E-3</v>
      </c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 t="s">
        <v>96</v>
      </c>
    </row>
    <row r="508" spans="1:48" ht="18" hidden="1" customHeight="1" x14ac:dyDescent="0.25">
      <c r="A508" s="4">
        <v>254</v>
      </c>
      <c r="B508" s="4">
        <v>1</v>
      </c>
      <c r="C508" s="4">
        <v>254</v>
      </c>
      <c r="D508" s="87">
        <v>45834</v>
      </c>
      <c r="E508" s="87">
        <v>45840</v>
      </c>
      <c r="F508" s="87">
        <v>45841</v>
      </c>
      <c r="G508" s="4">
        <v>25549</v>
      </c>
      <c r="H508" s="5">
        <v>25453.4</v>
      </c>
      <c r="I508" s="5">
        <v>-95.6</v>
      </c>
      <c r="J508" s="6">
        <v>-3.7418294258092289E-3</v>
      </c>
      <c r="K508" s="90"/>
      <c r="L508" s="90"/>
      <c r="M508" s="7" t="s">
        <v>28</v>
      </c>
      <c r="N508" s="4">
        <v>25500</v>
      </c>
      <c r="O508" s="94"/>
      <c r="P508" s="94"/>
      <c r="Q508" s="7" t="s">
        <v>89</v>
      </c>
      <c r="R508" s="4">
        <v>65</v>
      </c>
      <c r="S508" s="5">
        <v>183.55</v>
      </c>
      <c r="T508" s="5">
        <v>49.7</v>
      </c>
      <c r="U508" s="8">
        <v>-0.30309999999999998</v>
      </c>
      <c r="V508" s="8">
        <v>0.59940000000000004</v>
      </c>
      <c r="W508" s="5">
        <v>133.85</v>
      </c>
      <c r="X508" s="6">
        <v>5.2389526008845746E-3</v>
      </c>
      <c r="Y508" s="4">
        <v>0</v>
      </c>
      <c r="Z508" s="6">
        <v>0</v>
      </c>
      <c r="AA508" s="5">
        <v>59227.4</v>
      </c>
      <c r="AB508" s="5">
        <v>59667.25</v>
      </c>
      <c r="AC508" s="5">
        <v>439.85</v>
      </c>
      <c r="AD508" s="5">
        <v>0.74260000000000004</v>
      </c>
      <c r="AE508" s="4">
        <v>6</v>
      </c>
      <c r="AF508" s="5">
        <v>-0.1</v>
      </c>
      <c r="AG508" s="5">
        <v>380.62259999999998</v>
      </c>
      <c r="AH508" s="5">
        <v>0.64259999999999995</v>
      </c>
      <c r="AI508" s="8">
        <v>0.1265</v>
      </c>
      <c r="AJ508" s="8">
        <v>1.0716000000000001</v>
      </c>
      <c r="AK508" s="15">
        <v>495.77260000000001</v>
      </c>
      <c r="AL508" s="15">
        <v>1.0932999999999999</v>
      </c>
      <c r="AM508" s="5">
        <v>108.0822</v>
      </c>
      <c r="AN508" s="5">
        <v>108.7621</v>
      </c>
      <c r="AO508" s="5">
        <v>-0.67989999999999995</v>
      </c>
      <c r="AP508" s="5">
        <v>-0.62509999999999999</v>
      </c>
      <c r="AQ508" s="8">
        <v>0.53129999999999999</v>
      </c>
      <c r="AR508" s="8">
        <v>0.75370000000000004</v>
      </c>
      <c r="AS508" s="8">
        <v>0.53129999999999999</v>
      </c>
      <c r="AT508" s="5">
        <v>107.48139999999999</v>
      </c>
      <c r="AU508" s="5">
        <v>-1.1776</v>
      </c>
      <c r="AV508" s="7" t="s">
        <v>90</v>
      </c>
    </row>
    <row r="509" spans="1:48" ht="18" customHeight="1" x14ac:dyDescent="0.25">
      <c r="A509" s="10">
        <v>254</v>
      </c>
      <c r="B509" s="10">
        <v>2</v>
      </c>
      <c r="C509" s="10">
        <v>254</v>
      </c>
      <c r="D509" s="88">
        <v>45834</v>
      </c>
      <c r="E509" s="88">
        <v>45840</v>
      </c>
      <c r="F509" s="88">
        <v>45869</v>
      </c>
      <c r="G509" s="10">
        <v>25549</v>
      </c>
      <c r="H509" s="11">
        <v>25453.4</v>
      </c>
      <c r="I509" s="12"/>
      <c r="J509" s="12"/>
      <c r="K509" s="92"/>
      <c r="L509" s="92"/>
      <c r="M509" s="12" t="s">
        <v>40</v>
      </c>
      <c r="N509" s="10">
        <v>25200</v>
      </c>
      <c r="O509" s="95">
        <f>IF(F509=F507,O507,MROUND(G509,100))</f>
        <v>25200</v>
      </c>
      <c r="P509" s="95">
        <f>O509-N509</f>
        <v>0</v>
      </c>
      <c r="Q509" s="12" t="s">
        <v>91</v>
      </c>
      <c r="R509" s="10">
        <v>65</v>
      </c>
      <c r="S509" s="11">
        <v>218.9</v>
      </c>
      <c r="T509" s="11">
        <v>200.2</v>
      </c>
      <c r="U509" s="13">
        <v>-0.23719999999999999</v>
      </c>
      <c r="V509" s="13">
        <v>2.7799999999999998E-2</v>
      </c>
      <c r="W509" s="10">
        <v>0</v>
      </c>
      <c r="X509" s="14">
        <v>0</v>
      </c>
      <c r="Y509" s="11">
        <v>-18.7</v>
      </c>
      <c r="Z509" s="14">
        <v>-7.3192688559239102E-4</v>
      </c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 t="s">
        <v>90</v>
      </c>
    </row>
    <row r="510" spans="1:48" ht="18" hidden="1" customHeight="1" x14ac:dyDescent="0.25">
      <c r="A510" s="4">
        <v>255</v>
      </c>
      <c r="B510" s="4">
        <v>1</v>
      </c>
      <c r="C510" s="4">
        <v>255</v>
      </c>
      <c r="D510" s="87">
        <v>45840</v>
      </c>
      <c r="E510" s="87">
        <v>45847</v>
      </c>
      <c r="F510" s="87">
        <v>45848</v>
      </c>
      <c r="G510" s="5">
        <v>25453.4</v>
      </c>
      <c r="H510" s="5">
        <v>25476.1</v>
      </c>
      <c r="I510" s="5">
        <v>22.7</v>
      </c>
      <c r="J510" s="6">
        <v>8.9182584644880445E-4</v>
      </c>
      <c r="K510" s="90"/>
      <c r="L510" s="90"/>
      <c r="M510" s="7" t="s">
        <v>28</v>
      </c>
      <c r="N510" s="4">
        <v>25500</v>
      </c>
      <c r="O510" s="94"/>
      <c r="P510" s="94"/>
      <c r="Q510" s="7" t="s">
        <v>89</v>
      </c>
      <c r="R510" s="4">
        <v>65</v>
      </c>
      <c r="S510" s="5">
        <v>161.44999999999999</v>
      </c>
      <c r="T510" s="5">
        <v>62.2</v>
      </c>
      <c r="U510" s="8">
        <v>-0.23</v>
      </c>
      <c r="V510" s="8">
        <v>0.43369999999999997</v>
      </c>
      <c r="W510" s="5">
        <v>99.25</v>
      </c>
      <c r="X510" s="6">
        <v>3.8992826105746191E-3</v>
      </c>
      <c r="Y510" s="4">
        <v>0</v>
      </c>
      <c r="Z510" s="6">
        <v>0</v>
      </c>
      <c r="AA510" s="5">
        <v>59667.25</v>
      </c>
      <c r="AB510" s="5">
        <v>59339.6</v>
      </c>
      <c r="AC510" s="5">
        <v>-327.64999999999998</v>
      </c>
      <c r="AD510" s="5">
        <v>-0.54910000000000003</v>
      </c>
      <c r="AE510" s="4">
        <v>7</v>
      </c>
      <c r="AF510" s="5">
        <v>-0.11666700000000001</v>
      </c>
      <c r="AG510" s="5">
        <v>-397.26179999999999</v>
      </c>
      <c r="AH510" s="5">
        <v>-0.66579999999999995</v>
      </c>
      <c r="AI510" s="8">
        <v>-1.2577</v>
      </c>
      <c r="AJ510" s="8">
        <v>0.46639999999999998</v>
      </c>
      <c r="AK510" s="9">
        <v>-356.81180000000001</v>
      </c>
      <c r="AL510" s="9">
        <v>-0.50690000000000002</v>
      </c>
      <c r="AM510" s="5">
        <v>107.53440000000001</v>
      </c>
      <c r="AN510" s="5">
        <v>108.7621</v>
      </c>
      <c r="AO510" s="5">
        <v>-1.2278</v>
      </c>
      <c r="AP510" s="5">
        <v>-1.1289</v>
      </c>
      <c r="AQ510" s="8">
        <v>-7.5899999999999995E-2</v>
      </c>
      <c r="AR510" s="8">
        <v>-0.66569999999999996</v>
      </c>
      <c r="AS510" s="8">
        <v>-0.66569999999999996</v>
      </c>
      <c r="AT510" s="5">
        <v>107.3627</v>
      </c>
      <c r="AU510" s="5">
        <v>-1.2867</v>
      </c>
      <c r="AV510" s="7" t="s">
        <v>90</v>
      </c>
    </row>
    <row r="511" spans="1:48" ht="18" customHeight="1" x14ac:dyDescent="0.25">
      <c r="A511" s="10">
        <v>255</v>
      </c>
      <c r="B511" s="10">
        <v>2</v>
      </c>
      <c r="C511" s="10">
        <v>255</v>
      </c>
      <c r="D511" s="88">
        <v>45840</v>
      </c>
      <c r="E511" s="88">
        <v>45847</v>
      </c>
      <c r="F511" s="88">
        <v>45869</v>
      </c>
      <c r="G511" s="11">
        <v>25453.4</v>
      </c>
      <c r="H511" s="11">
        <v>25476.1</v>
      </c>
      <c r="I511" s="12"/>
      <c r="J511" s="12"/>
      <c r="K511" s="92"/>
      <c r="L511" s="92"/>
      <c r="M511" s="12" t="s">
        <v>40</v>
      </c>
      <c r="N511" s="10">
        <v>25200</v>
      </c>
      <c r="O511" s="95">
        <f>IF(F511=F509,O509,MROUND(G511,100))</f>
        <v>25200</v>
      </c>
      <c r="P511" s="95">
        <f>O511-N511</f>
        <v>0</v>
      </c>
      <c r="Q511" s="12" t="s">
        <v>91</v>
      </c>
      <c r="R511" s="10">
        <v>65</v>
      </c>
      <c r="S511" s="11">
        <v>200.2</v>
      </c>
      <c r="T511" s="11">
        <v>141.4</v>
      </c>
      <c r="U511" s="13">
        <v>-0.31230000000000002</v>
      </c>
      <c r="V511" s="13">
        <v>0.1583</v>
      </c>
      <c r="W511" s="10">
        <v>0</v>
      </c>
      <c r="X511" s="14">
        <v>0</v>
      </c>
      <c r="Y511" s="11">
        <v>-58.8</v>
      </c>
      <c r="Z511" s="14">
        <v>-2.3101039546779599E-3</v>
      </c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 t="s">
        <v>90</v>
      </c>
    </row>
    <row r="512" spans="1:48" ht="18" hidden="1" customHeight="1" x14ac:dyDescent="0.25">
      <c r="A512" s="4">
        <v>256</v>
      </c>
      <c r="B512" s="4">
        <v>1</v>
      </c>
      <c r="C512" s="4">
        <v>256</v>
      </c>
      <c r="D512" s="87">
        <v>45847</v>
      </c>
      <c r="E512" s="87">
        <v>45849</v>
      </c>
      <c r="F512" s="87">
        <v>45855</v>
      </c>
      <c r="G512" s="5">
        <v>25476.1</v>
      </c>
      <c r="H512" s="5">
        <v>25149.85</v>
      </c>
      <c r="I512" s="5">
        <v>-326.25</v>
      </c>
      <c r="J512" s="6">
        <v>-1.280612024603452E-2</v>
      </c>
      <c r="K512" s="90"/>
      <c r="L512" s="90"/>
      <c r="M512" s="7" t="s">
        <v>28</v>
      </c>
      <c r="N512" s="4">
        <v>25500</v>
      </c>
      <c r="O512" s="94"/>
      <c r="P512" s="94"/>
      <c r="Q512" s="7" t="s">
        <v>89</v>
      </c>
      <c r="R512" s="4">
        <v>65</v>
      </c>
      <c r="S512" s="5">
        <v>166.65</v>
      </c>
      <c r="T512" s="5">
        <v>30.6</v>
      </c>
      <c r="U512" s="8">
        <v>-8.3400000000000002E-2</v>
      </c>
      <c r="V512" s="8">
        <v>0.54359999999999997</v>
      </c>
      <c r="W512" s="5">
        <v>136.05000000000001</v>
      </c>
      <c r="X512" s="6">
        <v>5.3402993393808322E-3</v>
      </c>
      <c r="Y512" s="4">
        <v>0</v>
      </c>
      <c r="Z512" s="6">
        <v>0</v>
      </c>
      <c r="AA512" s="5">
        <v>59339.6</v>
      </c>
      <c r="AB512" s="5">
        <v>58642.2</v>
      </c>
      <c r="AC512" s="5">
        <v>-697.4</v>
      </c>
      <c r="AD512" s="5">
        <v>-1.1753</v>
      </c>
      <c r="AE512" s="4">
        <v>2</v>
      </c>
      <c r="AF512" s="5">
        <v>-3.3333000000000002E-2</v>
      </c>
      <c r="AG512" s="5">
        <v>-717.17989999999998</v>
      </c>
      <c r="AH512" s="5">
        <v>-1.2085999999999999</v>
      </c>
      <c r="AI512" s="8">
        <v>-1.4595</v>
      </c>
      <c r="AJ512" s="8">
        <v>0.24260000000000001</v>
      </c>
      <c r="AK512" s="9">
        <v>-482.0299</v>
      </c>
      <c r="AL512" s="9">
        <v>-0.28560000000000002</v>
      </c>
      <c r="AM512" s="5">
        <v>107.2272</v>
      </c>
      <c r="AN512" s="5">
        <v>108.7621</v>
      </c>
      <c r="AO512" s="5">
        <v>-1.5348999999999999</v>
      </c>
      <c r="AP512" s="5">
        <v>-1.4112</v>
      </c>
      <c r="AQ512" s="8">
        <v>0.1145</v>
      </c>
      <c r="AR512" s="8">
        <v>-0.4647</v>
      </c>
      <c r="AS512" s="8">
        <v>-0.4647</v>
      </c>
      <c r="AT512" s="5">
        <v>107.0346</v>
      </c>
      <c r="AU512" s="5">
        <v>-1.5883</v>
      </c>
      <c r="AV512" s="7" t="s">
        <v>93</v>
      </c>
    </row>
    <row r="513" spans="1:48" ht="18" customHeight="1" x14ac:dyDescent="0.25">
      <c r="A513" s="10">
        <v>256</v>
      </c>
      <c r="B513" s="10">
        <v>2</v>
      </c>
      <c r="C513" s="10">
        <v>256</v>
      </c>
      <c r="D513" s="88">
        <v>45847</v>
      </c>
      <c r="E513" s="88">
        <v>45849</v>
      </c>
      <c r="F513" s="88">
        <v>45869</v>
      </c>
      <c r="G513" s="11">
        <v>25476.1</v>
      </c>
      <c r="H513" s="11">
        <v>25149.85</v>
      </c>
      <c r="I513" s="12"/>
      <c r="J513" s="12"/>
      <c r="K513" s="92"/>
      <c r="L513" s="92"/>
      <c r="M513" s="12" t="s">
        <v>40</v>
      </c>
      <c r="N513" s="10">
        <v>25200</v>
      </c>
      <c r="O513" s="95">
        <f>IF(F513=F511,O511,MROUND(G513,100))</f>
        <v>25200</v>
      </c>
      <c r="P513" s="95">
        <f>O513-N513</f>
        <v>0</v>
      </c>
      <c r="Q513" s="12" t="s">
        <v>91</v>
      </c>
      <c r="R513" s="10">
        <v>65</v>
      </c>
      <c r="S513" s="11">
        <v>141.4</v>
      </c>
      <c r="T513" s="11">
        <v>240.5</v>
      </c>
      <c r="U513" s="13">
        <v>-4.4699999999999997E-2</v>
      </c>
      <c r="V513" s="13">
        <v>0.45119999999999999</v>
      </c>
      <c r="W513" s="10">
        <v>0</v>
      </c>
      <c r="X513" s="14">
        <v>0</v>
      </c>
      <c r="Y513" s="11">
        <v>99.1</v>
      </c>
      <c r="Z513" s="14">
        <v>3.889920356726501E-3</v>
      </c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 t="s">
        <v>93</v>
      </c>
    </row>
    <row r="514" spans="1:48" ht="18" hidden="1" customHeight="1" x14ac:dyDescent="0.25">
      <c r="A514" s="4">
        <v>257</v>
      </c>
      <c r="B514" s="4">
        <v>1</v>
      </c>
      <c r="C514" s="4">
        <v>257</v>
      </c>
      <c r="D514" s="87">
        <v>45849</v>
      </c>
      <c r="E514" s="87">
        <v>45854</v>
      </c>
      <c r="F514" s="87">
        <v>45855</v>
      </c>
      <c r="G514" s="5">
        <v>25149.85</v>
      </c>
      <c r="H514" s="5">
        <v>25212.05</v>
      </c>
      <c r="I514" s="5">
        <v>62.2</v>
      </c>
      <c r="J514" s="6">
        <v>2.473175784348614E-3</v>
      </c>
      <c r="K514" s="90"/>
      <c r="L514" s="90"/>
      <c r="M514" s="7" t="s">
        <v>28</v>
      </c>
      <c r="N514" s="4">
        <v>25100</v>
      </c>
      <c r="O514" s="94"/>
      <c r="P514" s="94"/>
      <c r="Q514" s="7" t="s">
        <v>89</v>
      </c>
      <c r="R514" s="4">
        <v>65</v>
      </c>
      <c r="S514" s="5">
        <v>173.3</v>
      </c>
      <c r="T514" s="5">
        <v>139.30000000000001</v>
      </c>
      <c r="U514" s="8">
        <v>-8.5500000000000007E-2</v>
      </c>
      <c r="V514" s="8">
        <v>0.37869999999999998</v>
      </c>
      <c r="W514" s="4">
        <v>34</v>
      </c>
      <c r="X514" s="6">
        <v>1.3518967309944199E-3</v>
      </c>
      <c r="Y514" s="4">
        <v>0</v>
      </c>
      <c r="Z514" s="6">
        <v>0</v>
      </c>
      <c r="AA514" s="5">
        <v>58642.2</v>
      </c>
      <c r="AB514" s="5">
        <v>59620.65</v>
      </c>
      <c r="AC514" s="5">
        <v>978.45</v>
      </c>
      <c r="AD514" s="5">
        <v>1.6685000000000001</v>
      </c>
      <c r="AE514" s="4">
        <v>5</v>
      </c>
      <c r="AF514" s="5">
        <v>-8.3333000000000004E-2</v>
      </c>
      <c r="AG514" s="5">
        <v>929.58150000000001</v>
      </c>
      <c r="AH514" s="5">
        <v>1.5851999999999999</v>
      </c>
      <c r="AI514" s="8">
        <v>-0.30430000000000001</v>
      </c>
      <c r="AJ514" s="8">
        <v>1.8685</v>
      </c>
      <c r="AK514" s="15">
        <v>901.03150000000005</v>
      </c>
      <c r="AL514" s="15">
        <v>1.4717</v>
      </c>
      <c r="AM514" s="5">
        <v>108.8053</v>
      </c>
      <c r="AN514" s="5">
        <v>108.8053</v>
      </c>
      <c r="AO514" s="4">
        <v>0</v>
      </c>
      <c r="AP514" s="4">
        <v>0</v>
      </c>
      <c r="AQ514" s="8">
        <v>1.4717</v>
      </c>
      <c r="AR514" s="8">
        <v>0.34</v>
      </c>
      <c r="AS514" s="8">
        <v>0.34</v>
      </c>
      <c r="AT514" s="5">
        <v>107.59180000000001</v>
      </c>
      <c r="AU514" s="5">
        <v>-1.0760000000000001</v>
      </c>
      <c r="AV514" s="7" t="s">
        <v>90</v>
      </c>
    </row>
    <row r="515" spans="1:48" ht="18" customHeight="1" x14ac:dyDescent="0.25">
      <c r="A515" s="10">
        <v>257</v>
      </c>
      <c r="B515" s="10">
        <v>2</v>
      </c>
      <c r="C515" s="10">
        <v>257</v>
      </c>
      <c r="D515" s="88">
        <v>45849</v>
      </c>
      <c r="E515" s="88">
        <v>45854</v>
      </c>
      <c r="F515" s="88">
        <v>45869</v>
      </c>
      <c r="G515" s="11">
        <v>25149.85</v>
      </c>
      <c r="H515" s="11">
        <v>25212.05</v>
      </c>
      <c r="I515" s="12"/>
      <c r="J515" s="12"/>
      <c r="K515" s="92"/>
      <c r="L515" s="92"/>
      <c r="M515" s="12" t="s">
        <v>40</v>
      </c>
      <c r="N515" s="10">
        <v>25200</v>
      </c>
      <c r="O515" s="95">
        <f>IF(F515=F513,O513,MROUND(G515,100))</f>
        <v>25200</v>
      </c>
      <c r="P515" s="95">
        <f>O515-N515</f>
        <v>0</v>
      </c>
      <c r="Q515" s="12" t="s">
        <v>91</v>
      </c>
      <c r="R515" s="10">
        <v>65</v>
      </c>
      <c r="S515" s="11">
        <v>240.5</v>
      </c>
      <c r="T515" s="11">
        <v>177.95</v>
      </c>
      <c r="U515" s="13">
        <v>-0.31130000000000002</v>
      </c>
      <c r="V515" s="13">
        <v>0.2656</v>
      </c>
      <c r="W515" s="10">
        <v>0</v>
      </c>
      <c r="X515" s="14">
        <v>0</v>
      </c>
      <c r="Y515" s="11">
        <v>-62.55</v>
      </c>
      <c r="Z515" s="14">
        <v>-2.4870923683441449E-3</v>
      </c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 t="s">
        <v>90</v>
      </c>
    </row>
    <row r="516" spans="1:48" ht="18" hidden="1" customHeight="1" x14ac:dyDescent="0.25">
      <c r="A516" s="4">
        <v>258</v>
      </c>
      <c r="B516" s="4">
        <v>1</v>
      </c>
      <c r="C516" s="4">
        <v>258</v>
      </c>
      <c r="D516" s="87">
        <v>45854</v>
      </c>
      <c r="E516" s="87">
        <v>45861</v>
      </c>
      <c r="F516" s="87">
        <v>45862</v>
      </c>
      <c r="G516" s="5">
        <v>25212.05</v>
      </c>
      <c r="H516" s="5">
        <v>25219.9</v>
      </c>
      <c r="I516" s="5">
        <v>7.85</v>
      </c>
      <c r="J516" s="6">
        <v>3.1135905251655462E-4</v>
      </c>
      <c r="K516" s="90"/>
      <c r="L516" s="90"/>
      <c r="M516" s="7" t="s">
        <v>28</v>
      </c>
      <c r="N516" s="4">
        <v>25200</v>
      </c>
      <c r="O516" s="94"/>
      <c r="P516" s="94"/>
      <c r="Q516" s="7" t="s">
        <v>89</v>
      </c>
      <c r="R516" s="4">
        <v>65</v>
      </c>
      <c r="S516" s="5">
        <v>158.15</v>
      </c>
      <c r="T516" s="5">
        <v>63.6</v>
      </c>
      <c r="U516" s="8">
        <v>-3.5900000000000001E-2</v>
      </c>
      <c r="V516" s="8">
        <v>0.52669999999999995</v>
      </c>
      <c r="W516" s="5">
        <v>94.55</v>
      </c>
      <c r="X516" s="6">
        <v>3.7501908809478009E-3</v>
      </c>
      <c r="Y516" s="4">
        <v>0</v>
      </c>
      <c r="Z516" s="6">
        <v>0</v>
      </c>
      <c r="AA516" s="5">
        <v>59620.65</v>
      </c>
      <c r="AB516" s="5">
        <v>59307.1</v>
      </c>
      <c r="AC516" s="5">
        <v>-313.55</v>
      </c>
      <c r="AD516" s="5">
        <v>-0.52590000000000003</v>
      </c>
      <c r="AE516" s="4">
        <v>7</v>
      </c>
      <c r="AF516" s="5">
        <v>-0.11666700000000001</v>
      </c>
      <c r="AG516" s="5">
        <v>-383.10739999999998</v>
      </c>
      <c r="AH516" s="5">
        <v>-0.64259999999999995</v>
      </c>
      <c r="AI516" s="8">
        <v>-1.4683999999999999</v>
      </c>
      <c r="AJ516" s="8">
        <v>0.26879999999999998</v>
      </c>
      <c r="AK516" s="9">
        <v>-361.1574</v>
      </c>
      <c r="AL516" s="9">
        <v>-0.55549999999999999</v>
      </c>
      <c r="AM516" s="5">
        <v>108.2009</v>
      </c>
      <c r="AN516" s="5">
        <v>108.8053</v>
      </c>
      <c r="AO516" s="5">
        <v>-0.60440000000000005</v>
      </c>
      <c r="AP516" s="5">
        <v>-0.55549999999999999</v>
      </c>
      <c r="AQ516" s="8">
        <v>-6.4399999999999999E-2</v>
      </c>
      <c r="AR516" s="8">
        <v>-0.2712</v>
      </c>
      <c r="AS516" s="8">
        <v>-0.55549999999999999</v>
      </c>
      <c r="AT516" s="5">
        <v>108.2009</v>
      </c>
      <c r="AU516" s="5">
        <v>-0.55549999999999999</v>
      </c>
      <c r="AV516" s="7" t="s">
        <v>90</v>
      </c>
    </row>
    <row r="517" spans="1:48" ht="18" customHeight="1" x14ac:dyDescent="0.25">
      <c r="A517" s="10">
        <v>258</v>
      </c>
      <c r="B517" s="10">
        <v>2</v>
      </c>
      <c r="C517" s="10">
        <v>258</v>
      </c>
      <c r="D517" s="88">
        <v>45854</v>
      </c>
      <c r="E517" s="88">
        <v>45861</v>
      </c>
      <c r="F517" s="88">
        <v>45869</v>
      </c>
      <c r="G517" s="11">
        <v>25212.05</v>
      </c>
      <c r="H517" s="11">
        <v>25219.9</v>
      </c>
      <c r="I517" s="12"/>
      <c r="J517" s="12"/>
      <c r="K517" s="92"/>
      <c r="L517" s="92"/>
      <c r="M517" s="12" t="s">
        <v>40</v>
      </c>
      <c r="N517" s="10">
        <v>25200</v>
      </c>
      <c r="O517" s="95">
        <f>IF(F517=F515,O515,MROUND(G517,100))</f>
        <v>25200</v>
      </c>
      <c r="P517" s="95">
        <f>O517-N517</f>
        <v>0</v>
      </c>
      <c r="Q517" s="12" t="s">
        <v>91</v>
      </c>
      <c r="R517" s="10">
        <v>65</v>
      </c>
      <c r="S517" s="11">
        <v>177.95</v>
      </c>
      <c r="T517" s="11">
        <v>105.35</v>
      </c>
      <c r="U517" s="13">
        <v>-0.29730000000000001</v>
      </c>
      <c r="V517" s="13">
        <v>0.67049999999999998</v>
      </c>
      <c r="W517" s="10">
        <v>0</v>
      </c>
      <c r="X517" s="14">
        <v>0</v>
      </c>
      <c r="Y517" s="11">
        <v>-72.599999999999994</v>
      </c>
      <c r="Z517" s="14">
        <v>-2.879575441108517E-3</v>
      </c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 t="s">
        <v>90</v>
      </c>
    </row>
    <row r="518" spans="1:48" ht="18" hidden="1" customHeight="1" x14ac:dyDescent="0.25">
      <c r="A518" s="4">
        <v>259</v>
      </c>
      <c r="B518" s="4">
        <v>1</v>
      </c>
      <c r="C518" s="4">
        <v>259</v>
      </c>
      <c r="D518" s="87">
        <v>45861</v>
      </c>
      <c r="E518" s="87">
        <v>45863</v>
      </c>
      <c r="F518" s="87">
        <v>45869</v>
      </c>
      <c r="G518" s="5">
        <v>25219.9</v>
      </c>
      <c r="H518" s="4">
        <v>24837</v>
      </c>
      <c r="I518" s="5">
        <v>-382.9</v>
      </c>
      <c r="J518" s="6">
        <v>-1.518245512472294E-2</v>
      </c>
      <c r="K518" s="90"/>
      <c r="L518" s="90"/>
      <c r="M518" s="7" t="s">
        <v>28</v>
      </c>
      <c r="N518" s="4">
        <v>25200</v>
      </c>
      <c r="O518" s="94"/>
      <c r="P518" s="94"/>
      <c r="Q518" s="7" t="s">
        <v>89</v>
      </c>
      <c r="R518" s="4">
        <v>65</v>
      </c>
      <c r="S518" s="5">
        <v>160.19999999999999</v>
      </c>
      <c r="T518" s="5">
        <v>27.25</v>
      </c>
      <c r="U518" s="8">
        <v>-4.36E-2</v>
      </c>
      <c r="V518" s="8">
        <v>0.53490000000000004</v>
      </c>
      <c r="W518" s="5">
        <v>132.94999999999999</v>
      </c>
      <c r="X518" s="6">
        <v>5.2716307360457411E-3</v>
      </c>
      <c r="Y518" s="4">
        <v>0</v>
      </c>
      <c r="Z518" s="6">
        <v>0</v>
      </c>
      <c r="AA518" s="5">
        <v>59307.1</v>
      </c>
      <c r="AB518" s="5">
        <v>58009.45</v>
      </c>
      <c r="AC518" s="5">
        <v>-1297.6500000000001</v>
      </c>
      <c r="AD518" s="5">
        <v>-2.1880000000000002</v>
      </c>
      <c r="AE518" s="4">
        <v>2</v>
      </c>
      <c r="AF518" s="5">
        <v>-3.3333000000000002E-2</v>
      </c>
      <c r="AG518" s="5">
        <v>-1317.4190000000001</v>
      </c>
      <c r="AH518" s="5">
        <v>-2.2214</v>
      </c>
      <c r="AI518" s="8">
        <v>-2.3925000000000001</v>
      </c>
      <c r="AJ518" s="8">
        <v>-0.01</v>
      </c>
      <c r="AK518" s="9">
        <v>-916.46900000000005</v>
      </c>
      <c r="AL518" s="9">
        <v>-0.63160000000000005</v>
      </c>
      <c r="AM518" s="5">
        <v>107.5175</v>
      </c>
      <c r="AN518" s="5">
        <v>108.8053</v>
      </c>
      <c r="AO518" s="5">
        <v>-1.2878000000000001</v>
      </c>
      <c r="AP518" s="5">
        <v>-1.1836</v>
      </c>
      <c r="AQ518" s="8">
        <v>-0.10440000000000001</v>
      </c>
      <c r="AR518" s="8">
        <v>-0.68930000000000002</v>
      </c>
      <c r="AS518" s="8">
        <v>-0.68930000000000002</v>
      </c>
      <c r="AT518" s="5">
        <v>107.4551</v>
      </c>
      <c r="AU518" s="5">
        <v>-1.2410000000000001</v>
      </c>
      <c r="AV518" s="7" t="s">
        <v>93</v>
      </c>
    </row>
    <row r="519" spans="1:48" ht="18" customHeight="1" x14ac:dyDescent="0.25">
      <c r="A519" s="10">
        <v>259</v>
      </c>
      <c r="B519" s="10">
        <v>2</v>
      </c>
      <c r="C519" s="10">
        <v>259</v>
      </c>
      <c r="D519" s="88">
        <v>45861</v>
      </c>
      <c r="E519" s="88">
        <v>45863</v>
      </c>
      <c r="F519" s="88">
        <v>45869</v>
      </c>
      <c r="G519" s="11">
        <v>25219.9</v>
      </c>
      <c r="H519" s="10">
        <v>24837</v>
      </c>
      <c r="I519" s="12"/>
      <c r="J519" s="12"/>
      <c r="K519" s="92"/>
      <c r="L519" s="92"/>
      <c r="M519" s="12" t="s">
        <v>40</v>
      </c>
      <c r="N519" s="10">
        <v>25200</v>
      </c>
      <c r="O519" s="95">
        <f>IF(F519=F517,O517,MROUND(G519,100))</f>
        <v>25200</v>
      </c>
      <c r="P519" s="95">
        <f>O519-N519</f>
        <v>0</v>
      </c>
      <c r="Q519" s="12" t="s">
        <v>91</v>
      </c>
      <c r="R519" s="10">
        <v>65</v>
      </c>
      <c r="S519" s="11">
        <v>105.35</v>
      </c>
      <c r="T519" s="11">
        <v>373.35</v>
      </c>
      <c r="U519" s="13">
        <v>-5.0799999999999998E-2</v>
      </c>
      <c r="V519" s="13">
        <v>1.1682999999999999</v>
      </c>
      <c r="W519" s="10">
        <v>0</v>
      </c>
      <c r="X519" s="14">
        <v>0</v>
      </c>
      <c r="Y519" s="10">
        <v>268</v>
      </c>
      <c r="Z519" s="14">
        <v>1.0626529050472049E-2</v>
      </c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 t="s">
        <v>93</v>
      </c>
    </row>
    <row r="520" spans="1:48" ht="18" hidden="1" customHeight="1" x14ac:dyDescent="0.25">
      <c r="A520" s="4">
        <v>260</v>
      </c>
      <c r="B520" s="4">
        <v>1</v>
      </c>
      <c r="C520" s="4">
        <v>260</v>
      </c>
      <c r="D520" s="87">
        <v>45863</v>
      </c>
      <c r="E520" s="87">
        <v>45868</v>
      </c>
      <c r="F520" s="87">
        <v>45869</v>
      </c>
      <c r="G520" s="4">
        <v>24837</v>
      </c>
      <c r="H520" s="5">
        <v>24855.05</v>
      </c>
      <c r="I520" s="5">
        <v>18.05</v>
      </c>
      <c r="J520" s="6">
        <v>7.2673833393727106E-4</v>
      </c>
      <c r="K520" s="90"/>
      <c r="L520" s="90"/>
      <c r="M520" s="7" t="s">
        <v>28</v>
      </c>
      <c r="N520" s="4">
        <v>24800</v>
      </c>
      <c r="O520" s="94"/>
      <c r="P520" s="94"/>
      <c r="Q520" s="7" t="s">
        <v>89</v>
      </c>
      <c r="R520" s="4">
        <v>65</v>
      </c>
      <c r="S520" s="5">
        <v>149.6</v>
      </c>
      <c r="T520" s="5">
        <v>102.6</v>
      </c>
      <c r="U520" s="8">
        <v>-0.16750000000000001</v>
      </c>
      <c r="V520" s="8">
        <v>0.4294</v>
      </c>
      <c r="W520" s="4">
        <v>47</v>
      </c>
      <c r="X520" s="6">
        <v>1.8923380440471879E-3</v>
      </c>
      <c r="Y520" s="4">
        <v>0</v>
      </c>
      <c r="Z520" s="6">
        <v>0</v>
      </c>
      <c r="AA520" s="5">
        <v>58009.45</v>
      </c>
      <c r="AB520" s="5">
        <v>57942.25</v>
      </c>
      <c r="AC520" s="5">
        <v>-67.2</v>
      </c>
      <c r="AD520" s="5">
        <v>-0.1158</v>
      </c>
      <c r="AE520" s="4">
        <v>5</v>
      </c>
      <c r="AF520" s="5">
        <v>-8.3333000000000004E-2</v>
      </c>
      <c r="AG520" s="5">
        <v>-115.5412</v>
      </c>
      <c r="AH520" s="5">
        <v>-0.19919999999999999</v>
      </c>
      <c r="AI520" s="8">
        <v>-1.2013</v>
      </c>
      <c r="AJ520" s="8">
        <v>0.70379999999999998</v>
      </c>
      <c r="AK520" s="9">
        <v>-107.6412</v>
      </c>
      <c r="AL520" s="9">
        <v>-0.16739999999999999</v>
      </c>
      <c r="AM520" s="5">
        <v>107.33750000000001</v>
      </c>
      <c r="AN520" s="5">
        <v>108.8053</v>
      </c>
      <c r="AO520" s="5">
        <v>-1.4678</v>
      </c>
      <c r="AP520" s="5">
        <v>-1.349</v>
      </c>
      <c r="AQ520" s="8">
        <v>0.22389999999999999</v>
      </c>
      <c r="AR520" s="8">
        <v>2.53E-2</v>
      </c>
      <c r="AS520" s="8">
        <v>-0.16739999999999999</v>
      </c>
      <c r="AT520" s="5">
        <v>107.33750000000001</v>
      </c>
      <c r="AU520" s="5">
        <v>-1.349</v>
      </c>
      <c r="AV520" s="7" t="s">
        <v>90</v>
      </c>
    </row>
    <row r="521" spans="1:48" ht="18" customHeight="1" x14ac:dyDescent="0.25">
      <c r="A521" s="10">
        <v>260</v>
      </c>
      <c r="B521" s="10">
        <v>2</v>
      </c>
      <c r="C521" s="10">
        <v>260</v>
      </c>
      <c r="D521" s="88">
        <v>45863</v>
      </c>
      <c r="E521" s="88">
        <v>45868</v>
      </c>
      <c r="F521" s="88">
        <v>45869</v>
      </c>
      <c r="G521" s="10">
        <v>24837</v>
      </c>
      <c r="H521" s="11">
        <v>24855.05</v>
      </c>
      <c r="I521" s="12"/>
      <c r="J521" s="12"/>
      <c r="K521" s="92"/>
      <c r="L521" s="92"/>
      <c r="M521" s="12" t="s">
        <v>40</v>
      </c>
      <c r="N521" s="10">
        <v>25200</v>
      </c>
      <c r="O521" s="95">
        <f>IF(F521=F519,O519,MROUND(G521,100))</f>
        <v>25200</v>
      </c>
      <c r="P521" s="95">
        <f>O521-N521</f>
        <v>0</v>
      </c>
      <c r="Q521" s="12" t="s">
        <v>91</v>
      </c>
      <c r="R521" s="10">
        <v>65</v>
      </c>
      <c r="S521" s="11">
        <v>373.35</v>
      </c>
      <c r="T521" s="11">
        <v>334.25</v>
      </c>
      <c r="U521" s="13">
        <v>-0.31240000000000001</v>
      </c>
      <c r="V521" s="13">
        <v>0.79720000000000002</v>
      </c>
      <c r="W521" s="10">
        <v>0</v>
      </c>
      <c r="X521" s="14">
        <v>0</v>
      </c>
      <c r="Y521" s="11">
        <v>-39.1</v>
      </c>
      <c r="Z521" s="14">
        <v>-1.5742642026009581E-3</v>
      </c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 t="s">
        <v>90</v>
      </c>
    </row>
    <row r="522" spans="1:48" ht="18" hidden="1" customHeight="1" x14ac:dyDescent="0.25">
      <c r="A522" s="4">
        <v>261</v>
      </c>
      <c r="B522" s="4">
        <v>1</v>
      </c>
      <c r="C522" s="4">
        <v>261</v>
      </c>
      <c r="D522" s="87">
        <v>45868</v>
      </c>
      <c r="E522" s="87">
        <v>45870</v>
      </c>
      <c r="F522" s="87">
        <v>45876</v>
      </c>
      <c r="G522" s="5">
        <v>24855.05</v>
      </c>
      <c r="H522" s="5">
        <v>24565.35</v>
      </c>
      <c r="I522" s="5">
        <v>-289.7</v>
      </c>
      <c r="J522" s="6">
        <v>-1.1655579047316339E-2</v>
      </c>
      <c r="K522" s="90"/>
      <c r="L522" s="90"/>
      <c r="M522" s="7" t="s">
        <v>28</v>
      </c>
      <c r="N522" s="4">
        <v>24900</v>
      </c>
      <c r="O522" s="94"/>
      <c r="P522" s="94"/>
      <c r="Q522" s="7" t="s">
        <v>89</v>
      </c>
      <c r="R522" s="4">
        <v>65</v>
      </c>
      <c r="S522" s="5">
        <v>147.80000000000001</v>
      </c>
      <c r="T522" s="5">
        <v>39.950000000000003</v>
      </c>
      <c r="U522" s="8">
        <v>-0.23250000000000001</v>
      </c>
      <c r="V522" s="8">
        <v>0.45240000000000002</v>
      </c>
      <c r="W522" s="5">
        <v>107.85</v>
      </c>
      <c r="X522" s="6">
        <v>4.3391584406388241E-3</v>
      </c>
      <c r="Y522" s="4">
        <v>0</v>
      </c>
      <c r="Z522" s="6">
        <v>0</v>
      </c>
      <c r="AA522" s="5">
        <v>57942.25</v>
      </c>
      <c r="AB522" s="5">
        <v>56637.15</v>
      </c>
      <c r="AC522" s="5">
        <v>-1305.0999999999999</v>
      </c>
      <c r="AD522" s="5">
        <v>-2.2524000000000002</v>
      </c>
      <c r="AE522" s="4">
        <v>2</v>
      </c>
      <c r="AF522" s="5">
        <v>-3.3333000000000002E-2</v>
      </c>
      <c r="AG522" s="5">
        <v>-1324.4141</v>
      </c>
      <c r="AH522" s="5">
        <v>-2.2856999999999998</v>
      </c>
      <c r="AI522" s="8">
        <v>-2.4384000000000001</v>
      </c>
      <c r="AJ522" s="8">
        <v>-0.30909999999999999</v>
      </c>
      <c r="AK522" s="9">
        <v>-1039.5641000000001</v>
      </c>
      <c r="AL522" s="9">
        <v>-1.1396999999999999</v>
      </c>
      <c r="AM522" s="5">
        <v>106.1142</v>
      </c>
      <c r="AN522" s="5">
        <v>108.8053</v>
      </c>
      <c r="AO522" s="5">
        <v>-2.6911</v>
      </c>
      <c r="AP522" s="5">
        <v>-2.4733000000000001</v>
      </c>
      <c r="AQ522" s="8">
        <v>-0.68220000000000003</v>
      </c>
      <c r="AR522" s="8">
        <v>-1.1858</v>
      </c>
      <c r="AS522" s="8">
        <v>-1.1858</v>
      </c>
      <c r="AT522" s="5">
        <v>106.0647</v>
      </c>
      <c r="AU522" s="5">
        <v>-2.5188000000000001</v>
      </c>
      <c r="AV522" s="7" t="s">
        <v>93</v>
      </c>
    </row>
    <row r="523" spans="1:48" ht="18" customHeight="1" x14ac:dyDescent="0.25">
      <c r="A523" s="10">
        <v>261</v>
      </c>
      <c r="B523" s="10">
        <v>2</v>
      </c>
      <c r="C523" s="10">
        <v>261</v>
      </c>
      <c r="D523" s="88">
        <v>45868</v>
      </c>
      <c r="E523" s="88">
        <v>45870</v>
      </c>
      <c r="F523" s="88">
        <v>45897</v>
      </c>
      <c r="G523" s="11">
        <v>24855.05</v>
      </c>
      <c r="H523" s="11">
        <v>24565.35</v>
      </c>
      <c r="I523" s="12"/>
      <c r="J523" s="12"/>
      <c r="K523" s="92"/>
      <c r="L523" s="92"/>
      <c r="M523" s="12" t="s">
        <v>40</v>
      </c>
      <c r="N523" s="10">
        <v>24900</v>
      </c>
      <c r="O523" s="95">
        <f>IF(F523=F521,O521,MROUND(G523,100))</f>
        <v>24900</v>
      </c>
      <c r="P523" s="95">
        <f>O523-N523</f>
        <v>0</v>
      </c>
      <c r="Q523" s="12" t="s">
        <v>91</v>
      </c>
      <c r="R523" s="10">
        <v>65</v>
      </c>
      <c r="S523" s="11">
        <v>263.05</v>
      </c>
      <c r="T523" s="11">
        <v>440.05</v>
      </c>
      <c r="U523" s="13">
        <v>-0.1406</v>
      </c>
      <c r="V523" s="13">
        <v>0.80020000000000002</v>
      </c>
      <c r="W523" s="10">
        <v>0</v>
      </c>
      <c r="X523" s="14">
        <v>0</v>
      </c>
      <c r="Y523" s="10">
        <v>177</v>
      </c>
      <c r="Z523" s="14">
        <v>7.1212892349844402E-3</v>
      </c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 t="s">
        <v>93</v>
      </c>
    </row>
    <row r="524" spans="1:48" ht="18" hidden="1" customHeight="1" x14ac:dyDescent="0.25">
      <c r="A524" s="4">
        <v>262</v>
      </c>
      <c r="B524" s="4">
        <v>1</v>
      </c>
      <c r="C524" s="4">
        <v>262</v>
      </c>
      <c r="D524" s="87">
        <v>45870</v>
      </c>
      <c r="E524" s="87">
        <v>45875</v>
      </c>
      <c r="F524" s="87">
        <v>45876</v>
      </c>
      <c r="G524" s="5">
        <v>24565.35</v>
      </c>
      <c r="H524" s="5">
        <v>24574.2</v>
      </c>
      <c r="I524" s="5">
        <v>8.85</v>
      </c>
      <c r="J524" s="6">
        <v>3.6026354194017182E-4</v>
      </c>
      <c r="K524" s="90"/>
      <c r="L524" s="90"/>
      <c r="M524" s="7" t="s">
        <v>28</v>
      </c>
      <c r="N524" s="4">
        <v>24600</v>
      </c>
      <c r="O524" s="94"/>
      <c r="P524" s="94"/>
      <c r="Q524" s="7" t="s">
        <v>89</v>
      </c>
      <c r="R524" s="4">
        <v>65</v>
      </c>
      <c r="S524" s="5">
        <v>138.80000000000001</v>
      </c>
      <c r="T524" s="5">
        <v>60.3</v>
      </c>
      <c r="U524" s="8">
        <v>-0.32219999999999999</v>
      </c>
      <c r="V524" s="8">
        <v>0.3594</v>
      </c>
      <c r="W524" s="5">
        <v>78.5</v>
      </c>
      <c r="X524" s="6">
        <v>3.1955579708817499E-3</v>
      </c>
      <c r="Y524" s="4">
        <v>0</v>
      </c>
      <c r="Z524" s="6">
        <v>0</v>
      </c>
      <c r="AA524" s="5">
        <v>56637.15</v>
      </c>
      <c r="AB524" s="5">
        <v>56749.75</v>
      </c>
      <c r="AC524" s="5">
        <v>112.6</v>
      </c>
      <c r="AD524" s="5">
        <v>0.1988</v>
      </c>
      <c r="AE524" s="4">
        <v>5</v>
      </c>
      <c r="AF524" s="5">
        <v>-8.3333000000000004E-2</v>
      </c>
      <c r="AG524" s="5">
        <v>65.4024</v>
      </c>
      <c r="AH524" s="5">
        <v>0.11550000000000001</v>
      </c>
      <c r="AI524" s="8">
        <v>-0.35389999999999999</v>
      </c>
      <c r="AJ524" s="8">
        <v>1.5023</v>
      </c>
      <c r="AK524" s="15">
        <v>108.3524</v>
      </c>
      <c r="AL524" s="15">
        <v>0.2903</v>
      </c>
      <c r="AM524" s="5">
        <v>106.4222</v>
      </c>
      <c r="AN524" s="5">
        <v>108.8053</v>
      </c>
      <c r="AO524" s="5">
        <v>-2.3831000000000002</v>
      </c>
      <c r="AP524" s="5">
        <v>-2.1901999999999999</v>
      </c>
      <c r="AQ524" s="8">
        <v>0.66110000000000002</v>
      </c>
      <c r="AR524" s="8">
        <v>-1.0800000000000001E-2</v>
      </c>
      <c r="AS524" s="8">
        <v>-1.0800000000000001E-2</v>
      </c>
      <c r="AT524" s="5">
        <v>106.1027</v>
      </c>
      <c r="AU524" s="5">
        <v>-2.4839000000000002</v>
      </c>
      <c r="AV524" s="7" t="s">
        <v>90</v>
      </c>
    </row>
    <row r="525" spans="1:48" ht="18" customHeight="1" x14ac:dyDescent="0.25">
      <c r="A525" s="10">
        <v>262</v>
      </c>
      <c r="B525" s="10">
        <v>2</v>
      </c>
      <c r="C525" s="10">
        <v>262</v>
      </c>
      <c r="D525" s="88">
        <v>45870</v>
      </c>
      <c r="E525" s="88">
        <v>45875</v>
      </c>
      <c r="F525" s="88">
        <v>45897</v>
      </c>
      <c r="G525" s="11">
        <v>24565.35</v>
      </c>
      <c r="H525" s="11">
        <v>24574.2</v>
      </c>
      <c r="I525" s="12"/>
      <c r="J525" s="12"/>
      <c r="K525" s="92"/>
      <c r="L525" s="92"/>
      <c r="M525" s="12" t="s">
        <v>40</v>
      </c>
      <c r="N525" s="10">
        <v>24900</v>
      </c>
      <c r="O525" s="95">
        <f>IF(F525=F523,O523,MROUND(G525,100))</f>
        <v>24900</v>
      </c>
      <c r="P525" s="95">
        <f>O525-N525</f>
        <v>0</v>
      </c>
      <c r="Q525" s="12" t="s">
        <v>91</v>
      </c>
      <c r="R525" s="10">
        <v>65</v>
      </c>
      <c r="S525" s="11">
        <v>440.05</v>
      </c>
      <c r="T525" s="11">
        <v>404.5</v>
      </c>
      <c r="U525" s="13">
        <v>-0.51900000000000002</v>
      </c>
      <c r="V525" s="13">
        <v>-1.6299999999999999E-2</v>
      </c>
      <c r="W525" s="10">
        <v>0</v>
      </c>
      <c r="X525" s="14">
        <v>0</v>
      </c>
      <c r="Y525" s="11">
        <v>-35.549999999999997</v>
      </c>
      <c r="Z525" s="14">
        <v>-1.4471603294884869E-3</v>
      </c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 t="s">
        <v>90</v>
      </c>
    </row>
    <row r="526" spans="1:48" ht="18" hidden="1" customHeight="1" x14ac:dyDescent="0.25">
      <c r="A526" s="4">
        <v>263</v>
      </c>
      <c r="B526" s="4">
        <v>1</v>
      </c>
      <c r="C526" s="4">
        <v>263</v>
      </c>
      <c r="D526" s="87">
        <v>45875</v>
      </c>
      <c r="E526" s="87">
        <v>45882</v>
      </c>
      <c r="F526" s="87">
        <v>45883</v>
      </c>
      <c r="G526" s="5">
        <v>24574.2</v>
      </c>
      <c r="H526" s="5">
        <v>24619.35</v>
      </c>
      <c r="I526" s="5">
        <v>45.15</v>
      </c>
      <c r="J526" s="6">
        <v>1.8372927704665869E-3</v>
      </c>
      <c r="K526" s="90"/>
      <c r="L526" s="90"/>
      <c r="M526" s="7" t="s">
        <v>28</v>
      </c>
      <c r="N526" s="4">
        <v>24600</v>
      </c>
      <c r="O526" s="94"/>
      <c r="P526" s="94"/>
      <c r="Q526" s="7" t="s">
        <v>89</v>
      </c>
      <c r="R526" s="4">
        <v>65</v>
      </c>
      <c r="S526" s="5">
        <v>154.85</v>
      </c>
      <c r="T526" s="5">
        <v>83.55</v>
      </c>
      <c r="U526" s="8">
        <v>-9.9900000000000003E-2</v>
      </c>
      <c r="V526" s="8">
        <v>0.4657</v>
      </c>
      <c r="W526" s="5">
        <v>71.3</v>
      </c>
      <c r="X526" s="6">
        <v>2.9014169332063711E-3</v>
      </c>
      <c r="Y526" s="4">
        <v>0</v>
      </c>
      <c r="Z526" s="6">
        <v>0</v>
      </c>
      <c r="AA526" s="5">
        <v>56749.75</v>
      </c>
      <c r="AB526" s="5">
        <v>56681.5</v>
      </c>
      <c r="AC526" s="5">
        <v>-68.25</v>
      </c>
      <c r="AD526" s="5">
        <v>-0.1203</v>
      </c>
      <c r="AE526" s="4">
        <v>7</v>
      </c>
      <c r="AF526" s="5">
        <v>-0.11666700000000001</v>
      </c>
      <c r="AG526" s="5">
        <v>-134.458</v>
      </c>
      <c r="AH526" s="5">
        <v>-0.2369</v>
      </c>
      <c r="AI526" s="8">
        <v>-1.768</v>
      </c>
      <c r="AJ526" s="8">
        <v>0.57699999999999996</v>
      </c>
      <c r="AK526" s="9">
        <v>-164.55799999999999</v>
      </c>
      <c r="AL526" s="9">
        <v>-0.3594</v>
      </c>
      <c r="AM526" s="5">
        <v>106.0398</v>
      </c>
      <c r="AN526" s="5">
        <v>108.8053</v>
      </c>
      <c r="AO526" s="5">
        <v>-2.7656000000000001</v>
      </c>
      <c r="AP526" s="5">
        <v>-2.5417000000000001</v>
      </c>
      <c r="AQ526" s="8">
        <v>-1.0999999999999999E-2</v>
      </c>
      <c r="AR526" s="8">
        <v>-0.64710000000000001</v>
      </c>
      <c r="AS526" s="8">
        <v>-0.64710000000000001</v>
      </c>
      <c r="AT526" s="5">
        <v>105.7336</v>
      </c>
      <c r="AU526" s="5">
        <v>-2.8231000000000002</v>
      </c>
      <c r="AV526" s="7" t="s">
        <v>90</v>
      </c>
    </row>
    <row r="527" spans="1:48" ht="18" customHeight="1" x14ac:dyDescent="0.25">
      <c r="A527" s="10">
        <v>263</v>
      </c>
      <c r="B527" s="10">
        <v>2</v>
      </c>
      <c r="C527" s="10">
        <v>263</v>
      </c>
      <c r="D527" s="88">
        <v>45875</v>
      </c>
      <c r="E527" s="88">
        <v>45882</v>
      </c>
      <c r="F527" s="88">
        <v>45897</v>
      </c>
      <c r="G527" s="11">
        <v>24574.2</v>
      </c>
      <c r="H527" s="11">
        <v>24619.35</v>
      </c>
      <c r="I527" s="12"/>
      <c r="J527" s="12"/>
      <c r="K527" s="92"/>
      <c r="L527" s="92"/>
      <c r="M527" s="12" t="s">
        <v>40</v>
      </c>
      <c r="N527" s="10">
        <v>24900</v>
      </c>
      <c r="O527" s="95">
        <f>IF(F527=F525,O525,MROUND(G527,100))</f>
        <v>24900</v>
      </c>
      <c r="P527" s="95">
        <f>O527-N527</f>
        <v>0</v>
      </c>
      <c r="Q527" s="12" t="s">
        <v>91</v>
      </c>
      <c r="R527" s="10">
        <v>65</v>
      </c>
      <c r="S527" s="11">
        <v>404.5</v>
      </c>
      <c r="T527" s="11">
        <v>303.10000000000002</v>
      </c>
      <c r="U527" s="13">
        <v>-0.48809999999999998</v>
      </c>
      <c r="V527" s="13">
        <v>0.6552</v>
      </c>
      <c r="W527" s="10">
        <v>0</v>
      </c>
      <c r="X527" s="14">
        <v>0</v>
      </c>
      <c r="Y527" s="11">
        <v>-101.4</v>
      </c>
      <c r="Z527" s="14">
        <v>-4.1262787801840959E-3</v>
      </c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 t="s">
        <v>90</v>
      </c>
    </row>
    <row r="528" spans="1:48" ht="18" hidden="1" customHeight="1" x14ac:dyDescent="0.25">
      <c r="A528" s="4">
        <v>264</v>
      </c>
      <c r="B528" s="4">
        <v>1</v>
      </c>
      <c r="C528" s="4">
        <v>264</v>
      </c>
      <c r="D528" s="87">
        <v>45882</v>
      </c>
      <c r="E528" s="87">
        <v>45887</v>
      </c>
      <c r="F528" s="87">
        <v>45890</v>
      </c>
      <c r="G528" s="5">
        <v>24619.35</v>
      </c>
      <c r="H528" s="5">
        <v>24876.95</v>
      </c>
      <c r="I528" s="5">
        <v>257.60000000000002</v>
      </c>
      <c r="J528" s="6">
        <v>1.046331442544178E-2</v>
      </c>
      <c r="K528" s="90"/>
      <c r="L528" s="90"/>
      <c r="M528" s="7" t="s">
        <v>28</v>
      </c>
      <c r="N528" s="4">
        <v>24600</v>
      </c>
      <c r="O528" s="94"/>
      <c r="P528" s="94"/>
      <c r="Q528" s="7" t="s">
        <v>89</v>
      </c>
      <c r="R528" s="4">
        <v>65</v>
      </c>
      <c r="S528" s="5">
        <v>191.65</v>
      </c>
      <c r="T528" s="4">
        <v>358</v>
      </c>
      <c r="U528" s="8">
        <v>-1.1428</v>
      </c>
      <c r="V528" s="8">
        <v>0.13439999999999999</v>
      </c>
      <c r="W528" s="5">
        <v>-166.35</v>
      </c>
      <c r="X528" s="6">
        <v>-6.7568802588208058E-3</v>
      </c>
      <c r="Y528" s="4">
        <v>0</v>
      </c>
      <c r="Z528" s="6">
        <v>0</v>
      </c>
      <c r="AA528" s="5">
        <v>56681.5</v>
      </c>
      <c r="AB528" s="5">
        <v>57113.15</v>
      </c>
      <c r="AC528" s="5">
        <v>431.65</v>
      </c>
      <c r="AD528" s="5">
        <v>0.76149999999999995</v>
      </c>
      <c r="AE528" s="4">
        <v>5</v>
      </c>
      <c r="AF528" s="5">
        <v>-8.3333000000000004E-2</v>
      </c>
      <c r="AG528" s="5">
        <v>384.41539999999998</v>
      </c>
      <c r="AH528" s="5">
        <v>0.67820000000000003</v>
      </c>
      <c r="AI528" s="8">
        <v>-0.56469999999999998</v>
      </c>
      <c r="AJ528" s="8">
        <v>1.2741</v>
      </c>
      <c r="AK528" s="15">
        <v>57.865400000000001</v>
      </c>
      <c r="AL528" s="15">
        <v>-0.6482</v>
      </c>
      <c r="AM528" s="5">
        <v>105.3524</v>
      </c>
      <c r="AN528" s="5">
        <v>108.8053</v>
      </c>
      <c r="AO528" s="5">
        <v>-3.4529000000000001</v>
      </c>
      <c r="AP528" s="5">
        <v>-3.1735000000000002</v>
      </c>
      <c r="AQ528" s="8">
        <v>-0.60409999999999997</v>
      </c>
      <c r="AR528" s="8">
        <v>-0.28239999999999998</v>
      </c>
      <c r="AS528" s="8">
        <v>-0.6482</v>
      </c>
      <c r="AT528" s="5">
        <v>105.3524</v>
      </c>
      <c r="AU528" s="5">
        <v>-3.1735000000000002</v>
      </c>
      <c r="AV528" s="7" t="s">
        <v>96</v>
      </c>
    </row>
    <row r="529" spans="1:48" ht="18" customHeight="1" x14ac:dyDescent="0.25">
      <c r="A529" s="10">
        <v>264</v>
      </c>
      <c r="B529" s="10">
        <v>2</v>
      </c>
      <c r="C529" s="10">
        <v>264</v>
      </c>
      <c r="D529" s="88">
        <v>45882</v>
      </c>
      <c r="E529" s="88">
        <v>45887</v>
      </c>
      <c r="F529" s="88">
        <v>45897</v>
      </c>
      <c r="G529" s="11">
        <v>24619.35</v>
      </c>
      <c r="H529" s="11">
        <v>24876.95</v>
      </c>
      <c r="I529" s="12"/>
      <c r="J529" s="12"/>
      <c r="K529" s="92"/>
      <c r="L529" s="92"/>
      <c r="M529" s="12" t="s">
        <v>40</v>
      </c>
      <c r="N529" s="10">
        <v>24900</v>
      </c>
      <c r="O529" s="95">
        <f>IF(F529=F527,O527,MROUND(G529,100))</f>
        <v>24900</v>
      </c>
      <c r="P529" s="95">
        <f>O529-N529</f>
        <v>0</v>
      </c>
      <c r="Q529" s="12" t="s">
        <v>91</v>
      </c>
      <c r="R529" s="10">
        <v>65</v>
      </c>
      <c r="S529" s="11">
        <v>303.10000000000002</v>
      </c>
      <c r="T529" s="11">
        <v>142.9</v>
      </c>
      <c r="U529" s="13">
        <v>-0.73540000000000005</v>
      </c>
      <c r="V529" s="13">
        <v>0.1479</v>
      </c>
      <c r="W529" s="10">
        <v>0</v>
      </c>
      <c r="X529" s="14">
        <v>0</v>
      </c>
      <c r="Y529" s="11">
        <v>-160.19999999999999</v>
      </c>
      <c r="Z529" s="14">
        <v>-6.5070767506047074E-3</v>
      </c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 t="s">
        <v>96</v>
      </c>
    </row>
    <row r="530" spans="1:48" ht="18" hidden="1" customHeight="1" x14ac:dyDescent="0.25">
      <c r="A530" s="4">
        <v>265</v>
      </c>
      <c r="B530" s="4">
        <v>1</v>
      </c>
      <c r="C530" s="4">
        <v>265</v>
      </c>
      <c r="D530" s="87">
        <v>45887</v>
      </c>
      <c r="E530" s="87">
        <v>45889</v>
      </c>
      <c r="F530" s="87">
        <v>45890</v>
      </c>
      <c r="G530" s="5">
        <v>24876.95</v>
      </c>
      <c r="H530" s="5">
        <v>25050.55</v>
      </c>
      <c r="I530" s="5">
        <v>173.6</v>
      </c>
      <c r="J530" s="6">
        <v>6.9783474260309234E-3</v>
      </c>
      <c r="K530" s="90"/>
      <c r="L530" s="90"/>
      <c r="M530" s="7" t="s">
        <v>28</v>
      </c>
      <c r="N530" s="4">
        <v>24900</v>
      </c>
      <c r="O530" s="94"/>
      <c r="P530" s="94"/>
      <c r="Q530" s="7" t="s">
        <v>89</v>
      </c>
      <c r="R530" s="4">
        <v>65</v>
      </c>
      <c r="S530" s="5">
        <v>128.65</v>
      </c>
      <c r="T530" s="5">
        <v>168.5</v>
      </c>
      <c r="U530" s="8">
        <v>-0.24179999999999999</v>
      </c>
      <c r="V530" s="8">
        <v>0.1726</v>
      </c>
      <c r="W530" s="5">
        <v>-39.85</v>
      </c>
      <c r="X530" s="6">
        <v>-1.6018844753878591E-3</v>
      </c>
      <c r="Y530" s="4">
        <v>0</v>
      </c>
      <c r="Z530" s="6">
        <v>0</v>
      </c>
      <c r="AA530" s="5">
        <v>57113.15</v>
      </c>
      <c r="AB530" s="5">
        <v>57930.5</v>
      </c>
      <c r="AC530" s="5">
        <v>817.35</v>
      </c>
      <c r="AD530" s="5">
        <v>1.4311</v>
      </c>
      <c r="AE530" s="4">
        <v>2</v>
      </c>
      <c r="AF530" s="5">
        <v>-3.3333000000000002E-2</v>
      </c>
      <c r="AG530" s="5">
        <v>798.31230000000005</v>
      </c>
      <c r="AH530" s="5">
        <v>1.3977999999999999</v>
      </c>
      <c r="AI530" s="8">
        <v>-0.3493</v>
      </c>
      <c r="AJ530" s="8">
        <v>1.5356000000000001</v>
      </c>
      <c r="AK530" s="15">
        <v>687.01229999999998</v>
      </c>
      <c r="AL530" s="15">
        <v>0.95040000000000002</v>
      </c>
      <c r="AM530" s="5">
        <v>106.3537</v>
      </c>
      <c r="AN530" s="5">
        <v>108.8053</v>
      </c>
      <c r="AO530" s="5">
        <v>-2.4516</v>
      </c>
      <c r="AP530" s="5">
        <v>-2.2532000000000001</v>
      </c>
      <c r="AQ530" s="8">
        <v>0.9788</v>
      </c>
      <c r="AR530" s="8">
        <v>-0.13789999999999999</v>
      </c>
      <c r="AS530" s="8">
        <v>-0.13789999999999999</v>
      </c>
      <c r="AT530" s="5">
        <v>105.2071</v>
      </c>
      <c r="AU530" s="5">
        <v>-3.3069999999999999</v>
      </c>
      <c r="AV530" s="7" t="s">
        <v>90</v>
      </c>
    </row>
    <row r="531" spans="1:48" ht="18" customHeight="1" x14ac:dyDescent="0.25">
      <c r="A531" s="10">
        <v>265</v>
      </c>
      <c r="B531" s="10">
        <v>2</v>
      </c>
      <c r="C531" s="10">
        <v>265</v>
      </c>
      <c r="D531" s="88">
        <v>45887</v>
      </c>
      <c r="E531" s="88">
        <v>45889</v>
      </c>
      <c r="F531" s="88">
        <v>45897</v>
      </c>
      <c r="G531" s="11">
        <v>24876.95</v>
      </c>
      <c r="H531" s="11">
        <v>25050.55</v>
      </c>
      <c r="I531" s="12"/>
      <c r="J531" s="12"/>
      <c r="K531" s="92"/>
      <c r="L531" s="92"/>
      <c r="M531" s="12" t="s">
        <v>40</v>
      </c>
      <c r="N531" s="10">
        <v>24900</v>
      </c>
      <c r="O531" s="95">
        <f>IF(F531=F529,O529,MROUND(G531,100))</f>
        <v>24900</v>
      </c>
      <c r="P531" s="95">
        <f>O531-N531</f>
        <v>0</v>
      </c>
      <c r="Q531" s="12" t="s">
        <v>91</v>
      </c>
      <c r="R531" s="10">
        <v>65</v>
      </c>
      <c r="S531" s="11">
        <v>142.9</v>
      </c>
      <c r="T531" s="11">
        <v>71.45</v>
      </c>
      <c r="U531" s="13">
        <v>-0.315</v>
      </c>
      <c r="V531" s="13">
        <v>3.8800000000000001E-2</v>
      </c>
      <c r="W531" s="10">
        <v>0</v>
      </c>
      <c r="X531" s="14">
        <v>0</v>
      </c>
      <c r="Y531" s="11">
        <v>-71.45</v>
      </c>
      <c r="Z531" s="14">
        <v>-2.8721366566239032E-3</v>
      </c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 t="s">
        <v>90</v>
      </c>
    </row>
    <row r="532" spans="1:48" ht="18" hidden="1" customHeight="1" x14ac:dyDescent="0.25">
      <c r="A532" s="4">
        <v>266</v>
      </c>
      <c r="B532" s="4">
        <v>1</v>
      </c>
      <c r="C532" s="4">
        <v>266</v>
      </c>
      <c r="D532" s="87">
        <v>45889</v>
      </c>
      <c r="E532" s="87">
        <v>45895</v>
      </c>
      <c r="F532" s="87">
        <v>45897</v>
      </c>
      <c r="G532" s="5">
        <v>25050.55</v>
      </c>
      <c r="H532" s="5">
        <v>24712.05</v>
      </c>
      <c r="I532" s="5">
        <v>-338.5</v>
      </c>
      <c r="J532" s="6">
        <v>-1.351267736636521E-2</v>
      </c>
      <c r="K532" s="90"/>
      <c r="L532" s="90"/>
      <c r="M532" s="7" t="s">
        <v>28</v>
      </c>
      <c r="N532" s="4">
        <v>25100</v>
      </c>
      <c r="O532" s="94"/>
      <c r="P532" s="94"/>
      <c r="Q532" s="7" t="s">
        <v>89</v>
      </c>
      <c r="R532" s="4">
        <v>65</v>
      </c>
      <c r="S532" s="5">
        <v>133.94999999999999</v>
      </c>
      <c r="T532" s="5">
        <v>7.3</v>
      </c>
      <c r="U532" s="8">
        <v>-0.15970000000000001</v>
      </c>
      <c r="V532" s="8">
        <v>0.51280000000000003</v>
      </c>
      <c r="W532" s="5">
        <v>126.65</v>
      </c>
      <c r="X532" s="6">
        <v>5.0557772184642658E-3</v>
      </c>
      <c r="Y532" s="4">
        <v>0</v>
      </c>
      <c r="Z532" s="6">
        <v>0</v>
      </c>
      <c r="AA532" s="5">
        <v>57930.5</v>
      </c>
      <c r="AB532" s="5">
        <v>56766.2</v>
      </c>
      <c r="AC532" s="5">
        <v>-1164.3</v>
      </c>
      <c r="AD532" s="5">
        <v>-2.0097999999999998</v>
      </c>
      <c r="AE532" s="4">
        <v>6</v>
      </c>
      <c r="AF532" s="5">
        <v>-0.1</v>
      </c>
      <c r="AG532" s="5">
        <v>-1222.2304999999999</v>
      </c>
      <c r="AH532" s="5">
        <v>-2.1097999999999999</v>
      </c>
      <c r="AI532" s="8">
        <v>-2.2721</v>
      </c>
      <c r="AJ532" s="8">
        <v>0.45579999999999998</v>
      </c>
      <c r="AK532" s="9">
        <v>-979.73050000000001</v>
      </c>
      <c r="AL532" s="9">
        <v>-1.1417999999999999</v>
      </c>
      <c r="AM532" s="5">
        <v>105.13930000000001</v>
      </c>
      <c r="AN532" s="5">
        <v>108.8053</v>
      </c>
      <c r="AO532" s="5">
        <v>-3.6659999999999999</v>
      </c>
      <c r="AP532" s="5">
        <v>-3.3693</v>
      </c>
      <c r="AQ532" s="8">
        <v>0.14399999999999999</v>
      </c>
      <c r="AR532" s="8">
        <v>-1.2065999999999999</v>
      </c>
      <c r="AS532" s="8">
        <v>-1.2065999999999999</v>
      </c>
      <c r="AT532" s="5">
        <v>105.07040000000001</v>
      </c>
      <c r="AU532" s="5">
        <v>-3.4325999999999999</v>
      </c>
      <c r="AV532" s="7" t="s">
        <v>97</v>
      </c>
    </row>
    <row r="533" spans="1:48" ht="18" customHeight="1" x14ac:dyDescent="0.25">
      <c r="A533" s="10">
        <v>266</v>
      </c>
      <c r="B533" s="10">
        <v>2</v>
      </c>
      <c r="C533" s="10">
        <v>266</v>
      </c>
      <c r="D533" s="88">
        <v>45889</v>
      </c>
      <c r="E533" s="88">
        <v>45895</v>
      </c>
      <c r="F533" s="88">
        <v>45897</v>
      </c>
      <c r="G533" s="11">
        <v>25050.55</v>
      </c>
      <c r="H533" s="11">
        <v>24712.05</v>
      </c>
      <c r="I533" s="12"/>
      <c r="J533" s="12"/>
      <c r="K533" s="92"/>
      <c r="L533" s="92"/>
      <c r="M533" s="12" t="s">
        <v>40</v>
      </c>
      <c r="N533" s="10">
        <v>24900</v>
      </c>
      <c r="O533" s="95">
        <f>IF(F533=F531,O531,MROUND(G533,100))</f>
        <v>24900</v>
      </c>
      <c r="P533" s="95">
        <f>O533-N533</f>
        <v>0</v>
      </c>
      <c r="Q533" s="12" t="s">
        <v>91</v>
      </c>
      <c r="R533" s="10">
        <v>65</v>
      </c>
      <c r="S533" s="11">
        <v>71.45</v>
      </c>
      <c r="T533" s="11">
        <v>187.3</v>
      </c>
      <c r="U533" s="13">
        <v>-0.15210000000000001</v>
      </c>
      <c r="V533" s="13">
        <v>0.55269999999999997</v>
      </c>
      <c r="W533" s="10">
        <v>0</v>
      </c>
      <c r="X533" s="14">
        <v>0</v>
      </c>
      <c r="Y533" s="11">
        <v>115.85</v>
      </c>
      <c r="Z533" s="14">
        <v>4.624648959803278E-3</v>
      </c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 t="s">
        <v>97</v>
      </c>
    </row>
    <row r="534" spans="1:48" ht="18" hidden="1" customHeight="1" x14ac:dyDescent="0.25">
      <c r="A534" s="4">
        <v>267</v>
      </c>
      <c r="B534" s="4">
        <v>1</v>
      </c>
      <c r="C534" s="4">
        <v>267</v>
      </c>
      <c r="D534" s="87">
        <v>45895</v>
      </c>
      <c r="E534" s="87">
        <v>45898</v>
      </c>
      <c r="F534" s="87">
        <v>45902</v>
      </c>
      <c r="G534" s="5">
        <v>24712.05</v>
      </c>
      <c r="H534" s="5">
        <v>24426.85</v>
      </c>
      <c r="I534" s="5">
        <v>-285.2</v>
      </c>
      <c r="J534" s="6">
        <v>-1.154092841346631E-2</v>
      </c>
      <c r="K534" s="90"/>
      <c r="L534" s="90"/>
      <c r="M534" s="7" t="s">
        <v>28</v>
      </c>
      <c r="N534" s="4">
        <v>24700</v>
      </c>
      <c r="O534" s="94"/>
      <c r="P534" s="94"/>
      <c r="Q534" s="7" t="s">
        <v>89</v>
      </c>
      <c r="R534" s="4">
        <v>65</v>
      </c>
      <c r="S534" s="5">
        <v>166.1</v>
      </c>
      <c r="T534" s="4">
        <v>20</v>
      </c>
      <c r="U534" s="8">
        <v>5.7099999999999998E-2</v>
      </c>
      <c r="V534" s="8">
        <v>0.60129999999999995</v>
      </c>
      <c r="W534" s="5">
        <v>146.1</v>
      </c>
      <c r="X534" s="6">
        <v>5.9120955161550736E-3</v>
      </c>
      <c r="Y534" s="4">
        <v>0</v>
      </c>
      <c r="Z534" s="6">
        <v>0</v>
      </c>
      <c r="AA534" s="5">
        <v>56766.2</v>
      </c>
      <c r="AB534" s="5">
        <v>55727.4</v>
      </c>
      <c r="AC534" s="5">
        <v>-1038.8</v>
      </c>
      <c r="AD534" s="5">
        <v>-1.83</v>
      </c>
      <c r="AE534" s="4">
        <v>3</v>
      </c>
      <c r="AF534" s="5">
        <v>-0.05</v>
      </c>
      <c r="AG534" s="5">
        <v>-1067.1831</v>
      </c>
      <c r="AH534" s="5">
        <v>-1.88</v>
      </c>
      <c r="AI534" s="8">
        <v>-1.9971000000000001</v>
      </c>
      <c r="AJ534" s="8">
        <v>4.7899999999999998E-2</v>
      </c>
      <c r="AK534" s="9">
        <v>-806.08309999999994</v>
      </c>
      <c r="AL534" s="9">
        <v>-0.82340000000000002</v>
      </c>
      <c r="AM534" s="5">
        <v>104.2736</v>
      </c>
      <c r="AN534" s="5">
        <v>108.8053</v>
      </c>
      <c r="AO534" s="5">
        <v>-4.5316999999999998</v>
      </c>
      <c r="AP534" s="5">
        <v>-4.165</v>
      </c>
      <c r="AQ534" s="8">
        <v>0.1022</v>
      </c>
      <c r="AR534" s="8">
        <v>-0.88529999999999998</v>
      </c>
      <c r="AS534" s="8">
        <v>-0.88529999999999998</v>
      </c>
      <c r="AT534" s="5">
        <v>104.2085</v>
      </c>
      <c r="AU534" s="5">
        <v>-4.2248000000000001</v>
      </c>
      <c r="AV534" s="7" t="s">
        <v>93</v>
      </c>
    </row>
    <row r="535" spans="1:48" ht="18" customHeight="1" x14ac:dyDescent="0.25">
      <c r="A535" s="10">
        <v>267</v>
      </c>
      <c r="B535" s="10">
        <v>2</v>
      </c>
      <c r="C535" s="10">
        <v>267</v>
      </c>
      <c r="D535" s="88">
        <v>45895</v>
      </c>
      <c r="E535" s="88">
        <v>45898</v>
      </c>
      <c r="F535" s="88">
        <v>45930</v>
      </c>
      <c r="G535" s="11">
        <v>24712.05</v>
      </c>
      <c r="H535" s="11">
        <v>24426.85</v>
      </c>
      <c r="I535" s="12"/>
      <c r="J535" s="12"/>
      <c r="K535" s="92"/>
      <c r="L535" s="92"/>
      <c r="M535" s="12" t="s">
        <v>40</v>
      </c>
      <c r="N535" s="10">
        <v>24700</v>
      </c>
      <c r="O535" s="95">
        <f>IF(F535=F533,O533,MROUND(G535,100))</f>
        <v>24700</v>
      </c>
      <c r="P535" s="95">
        <f>O535-N535</f>
        <v>0</v>
      </c>
      <c r="Q535" s="12" t="s">
        <v>91</v>
      </c>
      <c r="R535" s="10">
        <v>65</v>
      </c>
      <c r="S535" s="11">
        <v>261.3</v>
      </c>
      <c r="T535" s="11">
        <v>376.3</v>
      </c>
      <c r="U535" s="13">
        <v>-2.8E-3</v>
      </c>
      <c r="V535" s="13">
        <v>0.51049999999999995</v>
      </c>
      <c r="W535" s="10">
        <v>0</v>
      </c>
      <c r="X535" s="14">
        <v>0</v>
      </c>
      <c r="Y535" s="10">
        <v>115</v>
      </c>
      <c r="Z535" s="14">
        <v>4.6536001667202842E-3</v>
      </c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 t="s">
        <v>93</v>
      </c>
    </row>
    <row r="536" spans="1:48" ht="18" hidden="1" customHeight="1" x14ac:dyDescent="0.25">
      <c r="A536" s="4">
        <v>268</v>
      </c>
      <c r="B536" s="4">
        <v>1</v>
      </c>
      <c r="C536" s="4">
        <v>268</v>
      </c>
      <c r="D536" s="87">
        <v>45898</v>
      </c>
      <c r="E536" s="87">
        <v>45901</v>
      </c>
      <c r="F536" s="87">
        <v>45902</v>
      </c>
      <c r="G536" s="5">
        <v>24426.85</v>
      </c>
      <c r="H536" s="5">
        <v>24625.05</v>
      </c>
      <c r="I536" s="5">
        <v>198.2</v>
      </c>
      <c r="J536" s="6">
        <v>8.1140220699762768E-3</v>
      </c>
      <c r="K536" s="90"/>
      <c r="L536" s="90"/>
      <c r="M536" s="7" t="s">
        <v>28</v>
      </c>
      <c r="N536" s="4">
        <v>24400</v>
      </c>
      <c r="O536" s="94"/>
      <c r="P536" s="94"/>
      <c r="Q536" s="7" t="s">
        <v>89</v>
      </c>
      <c r="R536" s="4">
        <v>65</v>
      </c>
      <c r="S536" s="5">
        <v>124.25</v>
      </c>
      <c r="T536" s="5">
        <v>244.2</v>
      </c>
      <c r="U536" s="8">
        <v>-0.53120000000000001</v>
      </c>
      <c r="V536" s="8">
        <v>-1.7399999999999999E-2</v>
      </c>
      <c r="W536" s="5">
        <v>-119.95</v>
      </c>
      <c r="X536" s="6">
        <v>-4.9105799560729283E-3</v>
      </c>
      <c r="Y536" s="4">
        <v>0</v>
      </c>
      <c r="Z536" s="6">
        <v>0</v>
      </c>
      <c r="AA536" s="5">
        <v>55727.4</v>
      </c>
      <c r="AB536" s="5">
        <v>56825.5</v>
      </c>
      <c r="AC536" s="5">
        <v>1098.0999999999999</v>
      </c>
      <c r="AD536" s="5">
        <v>1.9704999999999999</v>
      </c>
      <c r="AE536" s="4">
        <v>3</v>
      </c>
      <c r="AF536" s="5">
        <v>-0.05</v>
      </c>
      <c r="AG536" s="5">
        <v>1070.2363</v>
      </c>
      <c r="AH536" s="5">
        <v>1.9205000000000001</v>
      </c>
      <c r="AI536" s="8">
        <v>0.25109999999999999</v>
      </c>
      <c r="AJ536" s="8">
        <v>1.9792000000000001</v>
      </c>
      <c r="AK536" s="15">
        <v>833.48630000000003</v>
      </c>
      <c r="AL536" s="15">
        <v>0.95130000000000003</v>
      </c>
      <c r="AM536" s="5">
        <v>105.26560000000001</v>
      </c>
      <c r="AN536" s="5">
        <v>108.8053</v>
      </c>
      <c r="AO536" s="5">
        <v>-3.5396999999999998</v>
      </c>
      <c r="AP536" s="5">
        <v>-3.2532999999999999</v>
      </c>
      <c r="AQ536" s="8">
        <v>0.95550000000000002</v>
      </c>
      <c r="AR536" s="8">
        <v>6.4399999999999999E-2</v>
      </c>
      <c r="AS536" s="8">
        <v>6.4399999999999999E-2</v>
      </c>
      <c r="AT536" s="5">
        <v>104.3408</v>
      </c>
      <c r="AU536" s="5">
        <v>-4.1032000000000002</v>
      </c>
      <c r="AV536" s="7" t="s">
        <v>90</v>
      </c>
    </row>
    <row r="537" spans="1:48" ht="18" customHeight="1" x14ac:dyDescent="0.25">
      <c r="A537" s="10">
        <v>268</v>
      </c>
      <c r="B537" s="10">
        <v>2</v>
      </c>
      <c r="C537" s="10">
        <v>268</v>
      </c>
      <c r="D537" s="88">
        <v>45898</v>
      </c>
      <c r="E537" s="88">
        <v>45901</v>
      </c>
      <c r="F537" s="88">
        <v>45930</v>
      </c>
      <c r="G537" s="11">
        <v>24426.85</v>
      </c>
      <c r="H537" s="11">
        <v>24625.05</v>
      </c>
      <c r="I537" s="12"/>
      <c r="J537" s="12"/>
      <c r="K537" s="92"/>
      <c r="L537" s="92"/>
      <c r="M537" s="12" t="s">
        <v>40</v>
      </c>
      <c r="N537" s="10">
        <v>24700</v>
      </c>
      <c r="O537" s="95">
        <f>IF(F537=F535,O535,MROUND(G537,100))</f>
        <v>24700</v>
      </c>
      <c r="P537" s="95">
        <f>O537-N537</f>
        <v>0</v>
      </c>
      <c r="Q537" s="12" t="s">
        <v>91</v>
      </c>
      <c r="R537" s="10">
        <v>65</v>
      </c>
      <c r="S537" s="11">
        <v>376.3</v>
      </c>
      <c r="T537" s="11">
        <v>259.5</v>
      </c>
      <c r="U537" s="13">
        <v>-0.49249999999999999</v>
      </c>
      <c r="V537" s="13">
        <v>-0.16930000000000001</v>
      </c>
      <c r="W537" s="10">
        <v>0</v>
      </c>
      <c r="X537" s="14">
        <v>0</v>
      </c>
      <c r="Y537" s="11">
        <v>-116.8</v>
      </c>
      <c r="Z537" s="14">
        <v>-4.7816235003694703E-3</v>
      </c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 t="s">
        <v>90</v>
      </c>
    </row>
    <row r="538" spans="1:48" ht="18" hidden="1" customHeight="1" x14ac:dyDescent="0.25">
      <c r="A538" s="4">
        <v>269</v>
      </c>
      <c r="B538" s="4">
        <v>1</v>
      </c>
      <c r="C538" s="4">
        <v>269</v>
      </c>
      <c r="D538" s="87">
        <v>45901</v>
      </c>
      <c r="E538" s="87">
        <v>45908</v>
      </c>
      <c r="F538" s="87">
        <v>45909</v>
      </c>
      <c r="G538" s="5">
        <v>24625.05</v>
      </c>
      <c r="H538" s="5">
        <v>24773.15</v>
      </c>
      <c r="I538" s="5">
        <v>148.1</v>
      </c>
      <c r="J538" s="6">
        <v>6.0142009863939361E-3</v>
      </c>
      <c r="K538" s="90"/>
      <c r="L538" s="90"/>
      <c r="M538" s="7" t="s">
        <v>28</v>
      </c>
      <c r="N538" s="4">
        <v>24600</v>
      </c>
      <c r="O538" s="94"/>
      <c r="P538" s="94"/>
      <c r="Q538" s="7" t="s">
        <v>89</v>
      </c>
      <c r="R538" s="4">
        <v>65</v>
      </c>
      <c r="S538" s="5">
        <v>181.35</v>
      </c>
      <c r="T538" s="5">
        <v>215.25</v>
      </c>
      <c r="U538" s="8">
        <v>-0.81079999999999997</v>
      </c>
      <c r="V538" s="8">
        <v>0.31409999999999999</v>
      </c>
      <c r="W538" s="5">
        <v>-33.9</v>
      </c>
      <c r="X538" s="6">
        <v>-1.3766469509706579E-3</v>
      </c>
      <c r="Y538" s="4">
        <v>0</v>
      </c>
      <c r="Z538" s="6">
        <v>0</v>
      </c>
      <c r="AA538" s="5">
        <v>56825.5</v>
      </c>
      <c r="AB538" s="5">
        <v>57361.15</v>
      </c>
      <c r="AC538" s="5">
        <v>535.65</v>
      </c>
      <c r="AD538" s="5">
        <v>0.94259999999999999</v>
      </c>
      <c r="AE538" s="4">
        <v>7</v>
      </c>
      <c r="AF538" s="5">
        <v>-0.11666700000000001</v>
      </c>
      <c r="AG538" s="5">
        <v>469.35359999999997</v>
      </c>
      <c r="AH538" s="5">
        <v>0.82599999999999996</v>
      </c>
      <c r="AI538" s="8">
        <v>-0.3427</v>
      </c>
      <c r="AJ538" s="8">
        <v>1.9641999999999999</v>
      </c>
      <c r="AK538" s="15">
        <v>335.80360000000002</v>
      </c>
      <c r="AL538" s="15">
        <v>0.28370000000000001</v>
      </c>
      <c r="AM538" s="5">
        <v>105.5642</v>
      </c>
      <c r="AN538" s="5">
        <v>108.8053</v>
      </c>
      <c r="AO538" s="5">
        <v>-3.2410999999999999</v>
      </c>
      <c r="AP538" s="5">
        <v>-2.9788000000000001</v>
      </c>
      <c r="AQ538" s="8">
        <v>0.60719999999999996</v>
      </c>
      <c r="AR538" s="8">
        <v>0.1883</v>
      </c>
      <c r="AS538" s="8">
        <v>0.1883</v>
      </c>
      <c r="AT538" s="5">
        <v>105.46380000000001</v>
      </c>
      <c r="AU538" s="5">
        <v>-3.0710999999999999</v>
      </c>
      <c r="AV538" s="7" t="s">
        <v>90</v>
      </c>
    </row>
    <row r="539" spans="1:48" ht="18" customHeight="1" x14ac:dyDescent="0.25">
      <c r="A539" s="10">
        <v>269</v>
      </c>
      <c r="B539" s="10">
        <v>2</v>
      </c>
      <c r="C539" s="10">
        <v>269</v>
      </c>
      <c r="D539" s="88">
        <v>45901</v>
      </c>
      <c r="E539" s="88">
        <v>45908</v>
      </c>
      <c r="F539" s="88">
        <v>45930</v>
      </c>
      <c r="G539" s="11">
        <v>24625.05</v>
      </c>
      <c r="H539" s="11">
        <v>24773.15</v>
      </c>
      <c r="I539" s="12"/>
      <c r="J539" s="12"/>
      <c r="K539" s="92"/>
      <c r="L539" s="92"/>
      <c r="M539" s="12" t="s">
        <v>40</v>
      </c>
      <c r="N539" s="10">
        <v>24700</v>
      </c>
      <c r="O539" s="95">
        <f>IF(F539=F537,O537,MROUND(G539,100))</f>
        <v>24700</v>
      </c>
      <c r="P539" s="95">
        <f>O539-N539</f>
        <v>0</v>
      </c>
      <c r="Q539" s="12" t="s">
        <v>91</v>
      </c>
      <c r="R539" s="10">
        <v>65</v>
      </c>
      <c r="S539" s="11">
        <v>259.5</v>
      </c>
      <c r="T539" s="11">
        <v>159.85</v>
      </c>
      <c r="U539" s="13">
        <v>-0.54620000000000002</v>
      </c>
      <c r="V539" s="13">
        <v>0.21690000000000001</v>
      </c>
      <c r="W539" s="10">
        <v>0</v>
      </c>
      <c r="X539" s="14">
        <v>0</v>
      </c>
      <c r="Y539" s="11">
        <v>-99.65</v>
      </c>
      <c r="Z539" s="14">
        <v>-4.0466922909801204E-3</v>
      </c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 t="s">
        <v>90</v>
      </c>
    </row>
    <row r="540" spans="1:48" ht="18" hidden="1" customHeight="1" x14ac:dyDescent="0.25">
      <c r="A540" s="4">
        <v>270</v>
      </c>
      <c r="B540" s="4">
        <v>1</v>
      </c>
      <c r="C540" s="4">
        <v>270</v>
      </c>
      <c r="D540" s="87">
        <v>45908</v>
      </c>
      <c r="E540" s="87">
        <v>45912</v>
      </c>
      <c r="F540" s="87">
        <v>45916</v>
      </c>
      <c r="G540" s="5">
        <v>24773.15</v>
      </c>
      <c r="H540" s="4">
        <v>25114</v>
      </c>
      <c r="I540" s="5">
        <v>340.85</v>
      </c>
      <c r="J540" s="6">
        <v>1.375884778479927E-2</v>
      </c>
      <c r="K540" s="90"/>
      <c r="L540" s="90"/>
      <c r="M540" s="7" t="s">
        <v>28</v>
      </c>
      <c r="N540" s="4">
        <v>24800</v>
      </c>
      <c r="O540" s="94"/>
      <c r="P540" s="94"/>
      <c r="Q540" s="7" t="s">
        <v>89</v>
      </c>
      <c r="R540" s="4">
        <v>65</v>
      </c>
      <c r="S540" s="5">
        <v>159.44999999999999</v>
      </c>
      <c r="T540" s="4">
        <v>344</v>
      </c>
      <c r="U540" s="8">
        <v>-0.82989999999999997</v>
      </c>
      <c r="V540" s="8">
        <v>-2.2000000000000001E-3</v>
      </c>
      <c r="W540" s="5">
        <v>-184.55</v>
      </c>
      <c r="X540" s="6">
        <v>-7.4495976490676404E-3</v>
      </c>
      <c r="Y540" s="4">
        <v>0</v>
      </c>
      <c r="Z540" s="6">
        <v>0</v>
      </c>
      <c r="AA540" s="5">
        <v>57361.15</v>
      </c>
      <c r="AB540" s="5">
        <v>58227.199999999997</v>
      </c>
      <c r="AC540" s="5">
        <v>866.05</v>
      </c>
      <c r="AD540" s="5">
        <v>1.5098</v>
      </c>
      <c r="AE540" s="4">
        <v>4</v>
      </c>
      <c r="AF540" s="5">
        <v>-6.6667000000000004E-2</v>
      </c>
      <c r="AG540" s="5">
        <v>827.80920000000003</v>
      </c>
      <c r="AH540" s="5">
        <v>1.4432</v>
      </c>
      <c r="AI540" s="8">
        <v>-0.2437</v>
      </c>
      <c r="AJ540" s="8">
        <v>1.6173</v>
      </c>
      <c r="AK540" s="15">
        <v>536.00919999999996</v>
      </c>
      <c r="AL540" s="15">
        <v>0.26529999999999998</v>
      </c>
      <c r="AM540" s="5">
        <v>105.8443</v>
      </c>
      <c r="AN540" s="5">
        <v>108.8053</v>
      </c>
      <c r="AO540" s="5">
        <v>-2.9609999999999999</v>
      </c>
      <c r="AP540" s="5">
        <v>-2.7214</v>
      </c>
      <c r="AQ540" s="8">
        <v>0.34560000000000002</v>
      </c>
      <c r="AR540" s="8">
        <v>-0.26550000000000001</v>
      </c>
      <c r="AS540" s="8">
        <v>-0.26550000000000001</v>
      </c>
      <c r="AT540" s="5">
        <v>105.2839</v>
      </c>
      <c r="AU540" s="5">
        <v>-3.2364000000000002</v>
      </c>
      <c r="AV540" s="7" t="s">
        <v>96</v>
      </c>
    </row>
    <row r="541" spans="1:48" ht="18" customHeight="1" x14ac:dyDescent="0.25">
      <c r="A541" s="10">
        <v>270</v>
      </c>
      <c r="B541" s="10">
        <v>2</v>
      </c>
      <c r="C541" s="10">
        <v>270</v>
      </c>
      <c r="D541" s="88">
        <v>45908</v>
      </c>
      <c r="E541" s="88">
        <v>45912</v>
      </c>
      <c r="F541" s="88">
        <v>45930</v>
      </c>
      <c r="G541" s="11">
        <v>24773.15</v>
      </c>
      <c r="H541" s="10">
        <v>25114</v>
      </c>
      <c r="I541" s="12"/>
      <c r="J541" s="12"/>
      <c r="K541" s="92"/>
      <c r="L541" s="92"/>
      <c r="M541" s="12" t="s">
        <v>40</v>
      </c>
      <c r="N541" s="10">
        <v>24700</v>
      </c>
      <c r="O541" s="95">
        <f>IF(F541=F539,O539,MROUND(G541,100))</f>
        <v>24700</v>
      </c>
      <c r="P541" s="95">
        <f>O541-N541</f>
        <v>0</v>
      </c>
      <c r="Q541" s="12" t="s">
        <v>91</v>
      </c>
      <c r="R541" s="10">
        <v>65</v>
      </c>
      <c r="S541" s="11">
        <v>159.85</v>
      </c>
      <c r="T541" s="11">
        <v>52.6</v>
      </c>
      <c r="U541" s="13">
        <v>-0.44180000000000003</v>
      </c>
      <c r="V541" s="13">
        <v>-1.9599999999999999E-2</v>
      </c>
      <c r="W541" s="10">
        <v>0</v>
      </c>
      <c r="X541" s="14">
        <v>0</v>
      </c>
      <c r="Y541" s="11">
        <v>-107.25</v>
      </c>
      <c r="Z541" s="14">
        <v>-4.3292839223110502E-3</v>
      </c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 t="s">
        <v>96</v>
      </c>
    </row>
    <row r="542" spans="1:48" ht="18" hidden="1" customHeight="1" x14ac:dyDescent="0.25">
      <c r="A542" s="4">
        <v>271</v>
      </c>
      <c r="B542" s="4">
        <v>1</v>
      </c>
      <c r="C542" s="4">
        <v>271</v>
      </c>
      <c r="D542" s="87">
        <v>45912</v>
      </c>
      <c r="E542" s="87">
        <v>45915</v>
      </c>
      <c r="F542" s="87">
        <v>45916</v>
      </c>
      <c r="G542" s="4">
        <v>25114</v>
      </c>
      <c r="H542" s="5">
        <v>25069.200000000001</v>
      </c>
      <c r="I542" s="5">
        <v>-44.8</v>
      </c>
      <c r="J542" s="6">
        <v>-1.783865572987178E-3</v>
      </c>
      <c r="K542" s="90"/>
      <c r="L542" s="90"/>
      <c r="M542" s="7" t="s">
        <v>28</v>
      </c>
      <c r="N542" s="4">
        <v>25100</v>
      </c>
      <c r="O542" s="94"/>
      <c r="P542" s="94"/>
      <c r="Q542" s="7" t="s">
        <v>89</v>
      </c>
      <c r="R542" s="4">
        <v>65</v>
      </c>
      <c r="S542" s="5">
        <v>91.85</v>
      </c>
      <c r="T542" s="5">
        <v>46.15</v>
      </c>
      <c r="U542" s="8">
        <v>7.4000000000000003E-3</v>
      </c>
      <c r="V542" s="8">
        <v>0.1971</v>
      </c>
      <c r="W542" s="5">
        <v>45.7</v>
      </c>
      <c r="X542" s="6">
        <v>1.819702158158796E-3</v>
      </c>
      <c r="Y542" s="4">
        <v>0</v>
      </c>
      <c r="Z542" s="6">
        <v>0</v>
      </c>
      <c r="AA542" s="5">
        <v>58227.199999999997</v>
      </c>
      <c r="AB542" s="5">
        <v>58486.1</v>
      </c>
      <c r="AC542" s="5">
        <v>258.89999999999998</v>
      </c>
      <c r="AD542" s="5">
        <v>0.4446</v>
      </c>
      <c r="AE542" s="4">
        <v>3</v>
      </c>
      <c r="AF542" s="5">
        <v>-0.05</v>
      </c>
      <c r="AG542" s="5">
        <v>229.78639999999999</v>
      </c>
      <c r="AH542" s="5">
        <v>0.39460000000000001</v>
      </c>
      <c r="AI542" s="8">
        <v>5.1999999999999998E-3</v>
      </c>
      <c r="AJ542" s="8">
        <v>0.50019999999999998</v>
      </c>
      <c r="AK542" s="15">
        <v>273.43639999999999</v>
      </c>
      <c r="AL542" s="15">
        <v>0.56840000000000002</v>
      </c>
      <c r="AM542" s="5">
        <v>106.44589999999999</v>
      </c>
      <c r="AN542" s="5">
        <v>108.8053</v>
      </c>
      <c r="AO542" s="5">
        <v>-2.3593999999999999</v>
      </c>
      <c r="AP542" s="5">
        <v>-2.1684999999999999</v>
      </c>
      <c r="AQ542" s="8">
        <v>0.4869</v>
      </c>
      <c r="AR542" s="8">
        <v>0.21779999999999999</v>
      </c>
      <c r="AS542" s="8">
        <v>0.21779999999999999</v>
      </c>
      <c r="AT542" s="5">
        <v>106.0748</v>
      </c>
      <c r="AU542" s="5">
        <v>-2.5095000000000001</v>
      </c>
      <c r="AV542" s="7" t="s">
        <v>90</v>
      </c>
    </row>
    <row r="543" spans="1:48" ht="18" customHeight="1" x14ac:dyDescent="0.25">
      <c r="A543" s="10">
        <v>271</v>
      </c>
      <c r="B543" s="10">
        <v>2</v>
      </c>
      <c r="C543" s="10">
        <v>271</v>
      </c>
      <c r="D543" s="88">
        <v>45912</v>
      </c>
      <c r="E543" s="88">
        <v>45915</v>
      </c>
      <c r="F543" s="88">
        <v>45930</v>
      </c>
      <c r="G543" s="10">
        <v>25114</v>
      </c>
      <c r="H543" s="11">
        <v>25069.200000000001</v>
      </c>
      <c r="I543" s="12"/>
      <c r="J543" s="12"/>
      <c r="K543" s="92"/>
      <c r="L543" s="92"/>
      <c r="M543" s="12" t="s">
        <v>40</v>
      </c>
      <c r="N543" s="10">
        <v>24700</v>
      </c>
      <c r="O543" s="95">
        <f>IF(F543=F541,O541,MROUND(G543,100))</f>
        <v>24700</v>
      </c>
      <c r="P543" s="95">
        <f>O543-N543</f>
        <v>0</v>
      </c>
      <c r="Q543" s="12" t="s">
        <v>91</v>
      </c>
      <c r="R543" s="10">
        <v>65</v>
      </c>
      <c r="S543" s="11">
        <v>52.6</v>
      </c>
      <c r="T543" s="11">
        <v>50.55</v>
      </c>
      <c r="U543" s="13">
        <v>-2.07E-2</v>
      </c>
      <c r="V543" s="13">
        <v>1.55E-2</v>
      </c>
      <c r="W543" s="10">
        <v>0</v>
      </c>
      <c r="X543" s="14">
        <v>0</v>
      </c>
      <c r="Y543" s="11">
        <v>-2.0499999999999998</v>
      </c>
      <c r="Z543" s="14">
        <v>-8.1627777335350788E-5</v>
      </c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 t="s">
        <v>90</v>
      </c>
    </row>
    <row r="544" spans="1:48" ht="18" hidden="1" customHeight="1" x14ac:dyDescent="0.25">
      <c r="A544" s="4">
        <v>272</v>
      </c>
      <c r="B544" s="4">
        <v>1</v>
      </c>
      <c r="C544" s="4">
        <v>272</v>
      </c>
      <c r="D544" s="87">
        <v>45915</v>
      </c>
      <c r="E544" s="87">
        <v>45917</v>
      </c>
      <c r="F544" s="87">
        <v>45923</v>
      </c>
      <c r="G544" s="5">
        <v>25069.200000000001</v>
      </c>
      <c r="H544" s="5">
        <v>25330.25</v>
      </c>
      <c r="I544" s="5">
        <v>261.05</v>
      </c>
      <c r="J544" s="6">
        <v>1.0413176327924311E-2</v>
      </c>
      <c r="K544" s="90"/>
      <c r="L544" s="90"/>
      <c r="M544" s="7" t="s">
        <v>28</v>
      </c>
      <c r="N544" s="4">
        <v>25100</v>
      </c>
      <c r="O544" s="94"/>
      <c r="P544" s="94"/>
      <c r="Q544" s="7" t="s">
        <v>89</v>
      </c>
      <c r="R544" s="4">
        <v>65</v>
      </c>
      <c r="S544" s="5">
        <v>151.75</v>
      </c>
      <c r="T544" s="5">
        <v>311.60000000000002</v>
      </c>
      <c r="U544" s="8">
        <v>-0.69830000000000003</v>
      </c>
      <c r="V544" s="8">
        <v>4.4900000000000002E-2</v>
      </c>
      <c r="W544" s="5">
        <v>-159.85</v>
      </c>
      <c r="X544" s="6">
        <v>-6.3763502624734729E-3</v>
      </c>
      <c r="Y544" s="4">
        <v>0</v>
      </c>
      <c r="Z544" s="6">
        <v>0</v>
      </c>
      <c r="AA544" s="5">
        <v>58486.1</v>
      </c>
      <c r="AB544" s="5">
        <v>58848.55</v>
      </c>
      <c r="AC544" s="5">
        <v>362.45</v>
      </c>
      <c r="AD544" s="5">
        <v>0.61970000000000003</v>
      </c>
      <c r="AE544" s="4">
        <v>2</v>
      </c>
      <c r="AF544" s="5">
        <v>-3.3333000000000002E-2</v>
      </c>
      <c r="AG544" s="5">
        <v>342.95460000000003</v>
      </c>
      <c r="AH544" s="5">
        <v>0.58640000000000003</v>
      </c>
      <c r="AI544" s="8">
        <v>-0.11609999999999999</v>
      </c>
      <c r="AJ544" s="8">
        <v>0.95860000000000001</v>
      </c>
      <c r="AK544" s="15">
        <v>156.30459999999999</v>
      </c>
      <c r="AL544" s="15">
        <v>-0.15809999999999999</v>
      </c>
      <c r="AM544" s="5">
        <v>106.27760000000001</v>
      </c>
      <c r="AN544" s="5">
        <v>108.8053</v>
      </c>
      <c r="AO544" s="5">
        <v>-2.5276999999999998</v>
      </c>
      <c r="AP544" s="5">
        <v>-2.3231999999999999</v>
      </c>
      <c r="AQ544" s="8">
        <v>0.14360000000000001</v>
      </c>
      <c r="AR544" s="8">
        <v>-7.0199999999999999E-2</v>
      </c>
      <c r="AS544" s="8">
        <v>-0.15809999999999999</v>
      </c>
      <c r="AT544" s="5">
        <v>106.27760000000001</v>
      </c>
      <c r="AU544" s="5">
        <v>-2.3231999999999999</v>
      </c>
      <c r="AV544" s="7" t="s">
        <v>96</v>
      </c>
    </row>
    <row r="545" spans="1:48" ht="18" customHeight="1" x14ac:dyDescent="0.25">
      <c r="A545" s="10">
        <v>272</v>
      </c>
      <c r="B545" s="10">
        <v>2</v>
      </c>
      <c r="C545" s="10">
        <v>272</v>
      </c>
      <c r="D545" s="88">
        <v>45915</v>
      </c>
      <c r="E545" s="88">
        <v>45917</v>
      </c>
      <c r="F545" s="88">
        <v>45930</v>
      </c>
      <c r="G545" s="11">
        <v>25069.200000000001</v>
      </c>
      <c r="H545" s="11">
        <v>25330.25</v>
      </c>
      <c r="I545" s="12"/>
      <c r="J545" s="12"/>
      <c r="K545" s="92"/>
      <c r="L545" s="92"/>
      <c r="M545" s="12" t="s">
        <v>40</v>
      </c>
      <c r="N545" s="10">
        <v>24700</v>
      </c>
      <c r="O545" s="95">
        <f>IF(F545=F543,O543,MROUND(G545,100))</f>
        <v>24700</v>
      </c>
      <c r="P545" s="95">
        <f>O545-N545</f>
        <v>0</v>
      </c>
      <c r="Q545" s="12" t="s">
        <v>91</v>
      </c>
      <c r="R545" s="10">
        <v>65</v>
      </c>
      <c r="S545" s="11">
        <v>50.55</v>
      </c>
      <c r="T545" s="11">
        <v>23.75</v>
      </c>
      <c r="U545" s="13">
        <v>-0.1167</v>
      </c>
      <c r="V545" s="13">
        <v>1E-3</v>
      </c>
      <c r="W545" s="10">
        <v>0</v>
      </c>
      <c r="X545" s="14">
        <v>0</v>
      </c>
      <c r="Y545" s="11">
        <v>-26.8</v>
      </c>
      <c r="Z545" s="14">
        <v>-1.0690408948031849E-3</v>
      </c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 t="s">
        <v>96</v>
      </c>
    </row>
    <row r="546" spans="1:48" ht="18" hidden="1" customHeight="1" x14ac:dyDescent="0.25">
      <c r="A546" s="4">
        <v>273</v>
      </c>
      <c r="B546" s="4">
        <v>1</v>
      </c>
      <c r="C546" s="4">
        <v>273</v>
      </c>
      <c r="D546" s="87">
        <v>45917</v>
      </c>
      <c r="E546" s="87">
        <v>45922</v>
      </c>
      <c r="F546" s="87">
        <v>45923</v>
      </c>
      <c r="G546" s="5">
        <v>25330.25</v>
      </c>
      <c r="H546" s="5">
        <v>25202.35</v>
      </c>
      <c r="I546" s="5">
        <v>-127.9</v>
      </c>
      <c r="J546" s="6">
        <v>-5.0492987633363271E-3</v>
      </c>
      <c r="K546" s="90"/>
      <c r="L546" s="90"/>
      <c r="M546" s="7" t="s">
        <v>28</v>
      </c>
      <c r="N546" s="4">
        <v>25300</v>
      </c>
      <c r="O546" s="94"/>
      <c r="P546" s="94"/>
      <c r="Q546" s="7" t="s">
        <v>89</v>
      </c>
      <c r="R546" s="4">
        <v>65</v>
      </c>
      <c r="S546" s="5">
        <v>155.35</v>
      </c>
      <c r="T546" s="5">
        <v>27.15</v>
      </c>
      <c r="U546" s="8">
        <v>-0.23080000000000001</v>
      </c>
      <c r="V546" s="8">
        <v>0.52229999999999999</v>
      </c>
      <c r="W546" s="5">
        <v>128.19999999999999</v>
      </c>
      <c r="X546" s="6">
        <v>5.0611423100837922E-3</v>
      </c>
      <c r="Y546" s="4">
        <v>0</v>
      </c>
      <c r="Z546" s="6">
        <v>0</v>
      </c>
      <c r="AA546" s="5">
        <v>58848.55</v>
      </c>
      <c r="AB546" s="5">
        <v>58699.5</v>
      </c>
      <c r="AC546" s="5">
        <v>-149.05000000000001</v>
      </c>
      <c r="AD546" s="5">
        <v>-0.25330000000000003</v>
      </c>
      <c r="AE546" s="4">
        <v>5</v>
      </c>
      <c r="AF546" s="5">
        <v>-8.3333000000000004E-2</v>
      </c>
      <c r="AG546" s="5">
        <v>-198.09049999999999</v>
      </c>
      <c r="AH546" s="5">
        <v>-0.33660000000000001</v>
      </c>
      <c r="AI546" s="8">
        <v>-0.59530000000000005</v>
      </c>
      <c r="AJ546" s="8">
        <v>0.64390000000000003</v>
      </c>
      <c r="AK546" s="9">
        <v>-75.490499999999997</v>
      </c>
      <c r="AL546" s="9">
        <v>0.1474</v>
      </c>
      <c r="AM546" s="5">
        <v>106.4342</v>
      </c>
      <c r="AN546" s="5">
        <v>108.8053</v>
      </c>
      <c r="AO546" s="5">
        <v>-2.3711000000000002</v>
      </c>
      <c r="AP546" s="5">
        <v>-2.1791999999999998</v>
      </c>
      <c r="AQ546" s="8">
        <v>0.36909999999999998</v>
      </c>
      <c r="AR546" s="8">
        <v>-6.83E-2</v>
      </c>
      <c r="AS546" s="8">
        <v>-6.83E-2</v>
      </c>
      <c r="AT546" s="5">
        <v>106.205</v>
      </c>
      <c r="AU546" s="5">
        <v>-2.3898999999999999</v>
      </c>
      <c r="AV546" s="7" t="s">
        <v>90</v>
      </c>
    </row>
    <row r="547" spans="1:48" ht="18" customHeight="1" x14ac:dyDescent="0.25">
      <c r="A547" s="10">
        <v>273</v>
      </c>
      <c r="B547" s="10">
        <v>2</v>
      </c>
      <c r="C547" s="10">
        <v>273</v>
      </c>
      <c r="D547" s="88">
        <v>45917</v>
      </c>
      <c r="E547" s="88">
        <v>45922</v>
      </c>
      <c r="F547" s="88">
        <v>45930</v>
      </c>
      <c r="G547" s="11">
        <v>25330.25</v>
      </c>
      <c r="H547" s="11">
        <v>25202.35</v>
      </c>
      <c r="I547" s="12"/>
      <c r="J547" s="12"/>
      <c r="K547" s="92"/>
      <c r="L547" s="92"/>
      <c r="M547" s="12" t="s">
        <v>40</v>
      </c>
      <c r="N547" s="10">
        <v>24700</v>
      </c>
      <c r="O547" s="95">
        <f>IF(F547=F545,O545,MROUND(G547,100))</f>
        <v>24700</v>
      </c>
      <c r="P547" s="95">
        <f>O547-N547</f>
        <v>0</v>
      </c>
      <c r="Q547" s="12" t="s">
        <v>91</v>
      </c>
      <c r="R547" s="10">
        <v>65</v>
      </c>
      <c r="S547" s="11">
        <v>23.75</v>
      </c>
      <c r="T547" s="11">
        <v>18.149999999999999</v>
      </c>
      <c r="U547" s="13">
        <v>-4.3999999999999997E-2</v>
      </c>
      <c r="V547" s="13">
        <v>4.7000000000000002E-3</v>
      </c>
      <c r="W547" s="10">
        <v>0</v>
      </c>
      <c r="X547" s="14">
        <v>0</v>
      </c>
      <c r="Y547" s="11">
        <v>-5.6</v>
      </c>
      <c r="Z547" s="14">
        <v>-2.210795392860315E-4</v>
      </c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 t="s">
        <v>90</v>
      </c>
    </row>
    <row r="548" spans="1:48" ht="18" hidden="1" customHeight="1" x14ac:dyDescent="0.25">
      <c r="A548" s="4">
        <v>274</v>
      </c>
      <c r="B548" s="4">
        <v>1</v>
      </c>
      <c r="C548" s="4">
        <v>274</v>
      </c>
      <c r="D548" s="87">
        <v>45922</v>
      </c>
      <c r="E548" s="87">
        <v>45925</v>
      </c>
      <c r="F548" s="87">
        <v>45930</v>
      </c>
      <c r="G548" s="5">
        <v>25202.35</v>
      </c>
      <c r="H548" s="5">
        <v>24890.85</v>
      </c>
      <c r="I548" s="5">
        <v>-311.5</v>
      </c>
      <c r="J548" s="6">
        <v>-1.2359958495933909E-2</v>
      </c>
      <c r="K548" s="90"/>
      <c r="L548" s="90"/>
      <c r="M548" s="7" t="s">
        <v>28</v>
      </c>
      <c r="N548" s="4">
        <v>25200</v>
      </c>
      <c r="O548" s="94"/>
      <c r="P548" s="94"/>
      <c r="Q548" s="7" t="s">
        <v>89</v>
      </c>
      <c r="R548" s="4">
        <v>65</v>
      </c>
      <c r="S548" s="4">
        <v>180</v>
      </c>
      <c r="T548" s="5">
        <v>26.25</v>
      </c>
      <c r="U548" s="8">
        <v>-9.5200000000000007E-2</v>
      </c>
      <c r="V548" s="8">
        <v>0.62239999999999995</v>
      </c>
      <c r="W548" s="5">
        <v>153.75</v>
      </c>
      <c r="X548" s="6">
        <v>6.1006215690203496E-3</v>
      </c>
      <c r="Y548" s="4">
        <v>0</v>
      </c>
      <c r="Z548" s="6">
        <v>0</v>
      </c>
      <c r="AA548" s="5">
        <v>58699.5</v>
      </c>
      <c r="AB548" s="5">
        <v>57555.9</v>
      </c>
      <c r="AC548" s="5">
        <v>-1143.5999999999999</v>
      </c>
      <c r="AD548" s="5">
        <v>-1.9481999999999999</v>
      </c>
      <c r="AE548" s="4">
        <v>3</v>
      </c>
      <c r="AF548" s="5">
        <v>-0.05</v>
      </c>
      <c r="AG548" s="5">
        <v>-1172.9496999999999</v>
      </c>
      <c r="AH548" s="5">
        <v>-1.9982</v>
      </c>
      <c r="AI548" s="8">
        <v>-2.1408</v>
      </c>
      <c r="AJ548" s="8">
        <v>0.2321</v>
      </c>
      <c r="AK548" s="9">
        <v>-1015.8997000000001</v>
      </c>
      <c r="AL548" s="9">
        <v>-1.375</v>
      </c>
      <c r="AM548" s="5">
        <v>104.9708</v>
      </c>
      <c r="AN548" s="5">
        <v>108.8053</v>
      </c>
      <c r="AO548" s="5">
        <v>-3.8344999999999998</v>
      </c>
      <c r="AP548" s="5">
        <v>-3.5242</v>
      </c>
      <c r="AQ548" s="8">
        <v>0.1079</v>
      </c>
      <c r="AR548" s="8">
        <v>-1.49</v>
      </c>
      <c r="AS548" s="8">
        <v>-1.49</v>
      </c>
      <c r="AT548" s="5">
        <v>104.8484</v>
      </c>
      <c r="AU548" s="5">
        <v>-3.6366999999999998</v>
      </c>
      <c r="AV548" s="7" t="s">
        <v>93</v>
      </c>
    </row>
    <row r="549" spans="1:48" ht="18" customHeight="1" x14ac:dyDescent="0.25">
      <c r="A549" s="10">
        <v>274</v>
      </c>
      <c r="B549" s="10">
        <v>2</v>
      </c>
      <c r="C549" s="10">
        <v>274</v>
      </c>
      <c r="D549" s="88">
        <v>45922</v>
      </c>
      <c r="E549" s="88">
        <v>45925</v>
      </c>
      <c r="F549" s="88">
        <v>45930</v>
      </c>
      <c r="G549" s="11">
        <v>25202.35</v>
      </c>
      <c r="H549" s="11">
        <v>24890.85</v>
      </c>
      <c r="I549" s="12"/>
      <c r="J549" s="12"/>
      <c r="K549" s="92"/>
      <c r="L549" s="92"/>
      <c r="M549" s="12" t="s">
        <v>40</v>
      </c>
      <c r="N549" s="10">
        <v>24700</v>
      </c>
      <c r="O549" s="95">
        <f>IF(F549=F547,O547,MROUND(G549,100))</f>
        <v>24700</v>
      </c>
      <c r="P549" s="95">
        <f>O549-N549</f>
        <v>0</v>
      </c>
      <c r="Q549" s="12" t="s">
        <v>91</v>
      </c>
      <c r="R549" s="10">
        <v>65</v>
      </c>
      <c r="S549" s="11">
        <v>18.149999999999999</v>
      </c>
      <c r="T549" s="11">
        <v>21.45</v>
      </c>
      <c r="U549" s="13">
        <v>-2.9000000000000001E-2</v>
      </c>
      <c r="V549" s="13">
        <v>2.8400000000000002E-2</v>
      </c>
      <c r="W549" s="10">
        <v>0</v>
      </c>
      <c r="X549" s="14">
        <v>0</v>
      </c>
      <c r="Y549" s="11">
        <v>3.3</v>
      </c>
      <c r="Z549" s="14">
        <v>1.3094017026190019E-4</v>
      </c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 t="s">
        <v>93</v>
      </c>
    </row>
    <row r="550" spans="1:48" ht="18" hidden="1" customHeight="1" x14ac:dyDescent="0.25">
      <c r="A550" s="4">
        <v>275</v>
      </c>
      <c r="B550" s="4">
        <v>1</v>
      </c>
      <c r="C550" s="4">
        <v>275</v>
      </c>
      <c r="D550" s="87">
        <v>45925</v>
      </c>
      <c r="E550" s="87">
        <v>45929</v>
      </c>
      <c r="F550" s="87">
        <v>45930</v>
      </c>
      <c r="G550" s="5">
        <v>24890.85</v>
      </c>
      <c r="H550" s="5">
        <v>24634.9</v>
      </c>
      <c r="I550" s="5">
        <v>-255.95</v>
      </c>
      <c r="J550" s="6">
        <v>-1.0282895120094331E-2</v>
      </c>
      <c r="K550" s="90"/>
      <c r="L550" s="90"/>
      <c r="M550" s="7" t="s">
        <v>28</v>
      </c>
      <c r="N550" s="4">
        <v>24900</v>
      </c>
      <c r="O550" s="94"/>
      <c r="P550" s="94"/>
      <c r="Q550" s="7" t="s">
        <v>89</v>
      </c>
      <c r="R550" s="4">
        <v>65</v>
      </c>
      <c r="S550" s="5">
        <v>134.5</v>
      </c>
      <c r="T550" s="5">
        <v>8.4</v>
      </c>
      <c r="U550" s="8">
        <v>0.12759999999999999</v>
      </c>
      <c r="V550" s="8">
        <v>0.51259999999999994</v>
      </c>
      <c r="W550" s="5">
        <v>126.1</v>
      </c>
      <c r="X550" s="6">
        <v>5.0661186741312574E-3</v>
      </c>
      <c r="Y550" s="4">
        <v>0</v>
      </c>
      <c r="Z550" s="6">
        <v>0</v>
      </c>
      <c r="AA550" s="5">
        <v>57555.9</v>
      </c>
      <c r="AB550" s="5">
        <v>56533.15</v>
      </c>
      <c r="AC550" s="5">
        <v>-1022.75</v>
      </c>
      <c r="AD550" s="5">
        <v>-1.7769999999999999</v>
      </c>
      <c r="AE550" s="4">
        <v>4</v>
      </c>
      <c r="AF550" s="5">
        <v>-6.6667000000000004E-2</v>
      </c>
      <c r="AG550" s="5">
        <v>-1061.1206</v>
      </c>
      <c r="AH550" s="5">
        <v>-1.8435999999999999</v>
      </c>
      <c r="AI550" s="8">
        <v>-2.1787999999999998</v>
      </c>
      <c r="AJ550" s="8">
        <v>-0.105</v>
      </c>
      <c r="AK550" s="9">
        <v>-889.52059999999994</v>
      </c>
      <c r="AL550" s="9">
        <v>-1.1541999999999999</v>
      </c>
      <c r="AM550" s="5">
        <v>103.75920000000001</v>
      </c>
      <c r="AN550" s="5">
        <v>108.8053</v>
      </c>
      <c r="AO550" s="5">
        <v>-5.0461</v>
      </c>
      <c r="AP550" s="5">
        <v>-4.6376999999999997</v>
      </c>
      <c r="AQ550" s="8">
        <v>3.2599999999999997E-2</v>
      </c>
      <c r="AR550" s="8">
        <v>-1.2879</v>
      </c>
      <c r="AS550" s="8">
        <v>-1.2879</v>
      </c>
      <c r="AT550" s="5">
        <v>103.6189</v>
      </c>
      <c r="AU550" s="5">
        <v>-4.7667000000000002</v>
      </c>
      <c r="AV550" s="7" t="s">
        <v>90</v>
      </c>
    </row>
    <row r="551" spans="1:48" ht="18" customHeight="1" x14ac:dyDescent="0.25">
      <c r="A551" s="10">
        <v>275</v>
      </c>
      <c r="B551" s="10">
        <v>2</v>
      </c>
      <c r="C551" s="10">
        <v>275</v>
      </c>
      <c r="D551" s="88">
        <v>45925</v>
      </c>
      <c r="E551" s="88">
        <v>45929</v>
      </c>
      <c r="F551" s="88">
        <v>45930</v>
      </c>
      <c r="G551" s="11">
        <v>24890.85</v>
      </c>
      <c r="H551" s="11">
        <v>24634.9</v>
      </c>
      <c r="I551" s="12"/>
      <c r="J551" s="12"/>
      <c r="K551" s="92"/>
      <c r="L551" s="92"/>
      <c r="M551" s="12" t="s">
        <v>40</v>
      </c>
      <c r="N551" s="10">
        <v>24700</v>
      </c>
      <c r="O551" s="95">
        <f>IF(F551=F549,O549,MROUND(G551,100))</f>
        <v>24700</v>
      </c>
      <c r="P551" s="95">
        <f>O551-N551</f>
        <v>0</v>
      </c>
      <c r="Q551" s="12" t="s">
        <v>91</v>
      </c>
      <c r="R551" s="10">
        <v>65</v>
      </c>
      <c r="S551" s="11">
        <v>21.45</v>
      </c>
      <c r="T551" s="11">
        <v>66.95</v>
      </c>
      <c r="U551" s="13">
        <v>0.01</v>
      </c>
      <c r="V551" s="13">
        <v>0.37830000000000003</v>
      </c>
      <c r="W551" s="10">
        <v>0</v>
      </c>
      <c r="X551" s="14">
        <v>0</v>
      </c>
      <c r="Y551" s="11">
        <v>45.5</v>
      </c>
      <c r="Z551" s="14">
        <v>1.827980964892722E-3</v>
      </c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 t="s">
        <v>90</v>
      </c>
    </row>
    <row r="552" spans="1:48" ht="18" hidden="1" customHeight="1" x14ac:dyDescent="0.25">
      <c r="A552" s="4">
        <v>276</v>
      </c>
      <c r="B552" s="4">
        <v>1</v>
      </c>
      <c r="C552" s="4">
        <v>276</v>
      </c>
      <c r="D552" s="87">
        <v>45929</v>
      </c>
      <c r="E552" s="87">
        <v>45933</v>
      </c>
      <c r="F552" s="87">
        <v>45937</v>
      </c>
      <c r="G552" s="5">
        <v>24634.9</v>
      </c>
      <c r="H552" s="5">
        <v>24894.25</v>
      </c>
      <c r="I552" s="5">
        <v>259.35000000000002</v>
      </c>
      <c r="J552" s="6">
        <v>1.052774722040682E-2</v>
      </c>
      <c r="K552" s="90"/>
      <c r="L552" s="90"/>
      <c r="M552" s="7" t="s">
        <v>28</v>
      </c>
      <c r="N552" s="4">
        <v>24600</v>
      </c>
      <c r="O552" s="94"/>
      <c r="P552" s="94"/>
      <c r="Q552" s="7" t="s">
        <v>89</v>
      </c>
      <c r="R552" s="4">
        <v>65</v>
      </c>
      <c r="S552" s="5">
        <v>224.15</v>
      </c>
      <c r="T552" s="5">
        <v>325.55</v>
      </c>
      <c r="U552" s="8">
        <v>-0.44829999999999998</v>
      </c>
      <c r="V552" s="8">
        <v>0.32940000000000003</v>
      </c>
      <c r="W552" s="5">
        <v>-101.4</v>
      </c>
      <c r="X552" s="6">
        <v>-4.1161116951966524E-3</v>
      </c>
      <c r="Y552" s="4">
        <v>0</v>
      </c>
      <c r="Z552" s="6">
        <v>0</v>
      </c>
      <c r="AA552" s="5">
        <v>56533.15</v>
      </c>
      <c r="AB552" s="5">
        <v>57503.35</v>
      </c>
      <c r="AC552" s="5">
        <v>970.2</v>
      </c>
      <c r="AD552" s="5">
        <v>1.7161999999999999</v>
      </c>
      <c r="AE552" s="4">
        <v>4</v>
      </c>
      <c r="AF552" s="5">
        <v>-6.6667000000000004E-2</v>
      </c>
      <c r="AG552" s="5">
        <v>932.51120000000003</v>
      </c>
      <c r="AH552" s="5">
        <v>1.6495</v>
      </c>
      <c r="AI552" s="8">
        <v>-0.61299999999999999</v>
      </c>
      <c r="AJ552" s="8">
        <v>1.7231000000000001</v>
      </c>
      <c r="AK552" s="15">
        <v>723.21119999999996</v>
      </c>
      <c r="AL552" s="15">
        <v>0.79990000000000006</v>
      </c>
      <c r="AM552" s="5">
        <v>104.58920000000001</v>
      </c>
      <c r="AN552" s="5">
        <v>108.8053</v>
      </c>
      <c r="AO552" s="5">
        <v>-4.2161</v>
      </c>
      <c r="AP552" s="5">
        <v>-3.8748999999999998</v>
      </c>
      <c r="AQ552" s="8">
        <v>0.82440000000000002</v>
      </c>
      <c r="AR552" s="8">
        <v>-0.1409</v>
      </c>
      <c r="AS552" s="8">
        <v>-0.1409</v>
      </c>
      <c r="AT552" s="5">
        <v>103.613</v>
      </c>
      <c r="AU552" s="5">
        <v>-4.7721</v>
      </c>
      <c r="AV552" s="7" t="s">
        <v>96</v>
      </c>
    </row>
    <row r="553" spans="1:48" ht="18" customHeight="1" x14ac:dyDescent="0.25">
      <c r="A553" s="10">
        <v>276</v>
      </c>
      <c r="B553" s="10">
        <v>2</v>
      </c>
      <c r="C553" s="10">
        <v>276</v>
      </c>
      <c r="D553" s="88">
        <v>45929</v>
      </c>
      <c r="E553" s="88">
        <v>45933</v>
      </c>
      <c r="F553" s="88">
        <v>45958</v>
      </c>
      <c r="G553" s="11">
        <v>24634.9</v>
      </c>
      <c r="H553" s="11">
        <v>24894.25</v>
      </c>
      <c r="I553" s="12"/>
      <c r="J553" s="12"/>
      <c r="K553" s="92"/>
      <c r="L553" s="92"/>
      <c r="M553" s="12" t="s">
        <v>40</v>
      </c>
      <c r="N553" s="10">
        <v>24600</v>
      </c>
      <c r="O553" s="95">
        <f>IF(F553=F551,O551,MROUND(G553,100))</f>
        <v>24600</v>
      </c>
      <c r="P553" s="95">
        <f>O553-N553</f>
        <v>0</v>
      </c>
      <c r="Q553" s="12" t="s">
        <v>91</v>
      </c>
      <c r="R553" s="10">
        <v>65</v>
      </c>
      <c r="S553" s="11">
        <v>210.1</v>
      </c>
      <c r="T553" s="11">
        <v>102.2</v>
      </c>
      <c r="U553" s="13">
        <v>-0.45040000000000002</v>
      </c>
      <c r="V553" s="13">
        <v>0.14269999999999999</v>
      </c>
      <c r="W553" s="10">
        <v>0</v>
      </c>
      <c r="X553" s="14">
        <v>0</v>
      </c>
      <c r="Y553" s="11">
        <v>-107.9</v>
      </c>
      <c r="Z553" s="14">
        <v>-4.379965008991309E-3</v>
      </c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 t="s">
        <v>96</v>
      </c>
    </row>
    <row r="554" spans="1:48" ht="18" hidden="1" customHeight="1" x14ac:dyDescent="0.25">
      <c r="A554" s="4">
        <v>277</v>
      </c>
      <c r="B554" s="4">
        <v>1</v>
      </c>
      <c r="C554" s="4">
        <v>277</v>
      </c>
      <c r="D554" s="87">
        <v>45933</v>
      </c>
      <c r="E554" s="87">
        <v>45936</v>
      </c>
      <c r="F554" s="87">
        <v>45937</v>
      </c>
      <c r="G554" s="5">
        <v>24894.25</v>
      </c>
      <c r="H554" s="5">
        <v>25077.65</v>
      </c>
      <c r="I554" s="5">
        <v>183.4</v>
      </c>
      <c r="J554" s="6">
        <v>7.3671630999126306E-3</v>
      </c>
      <c r="K554" s="90"/>
      <c r="L554" s="90"/>
      <c r="M554" s="7" t="s">
        <v>28</v>
      </c>
      <c r="N554" s="4">
        <v>24900</v>
      </c>
      <c r="O554" s="94"/>
      <c r="P554" s="94"/>
      <c r="Q554" s="7" t="s">
        <v>89</v>
      </c>
      <c r="R554" s="4">
        <v>65</v>
      </c>
      <c r="S554" s="5">
        <v>76.599999999999994</v>
      </c>
      <c r="T554" s="5">
        <v>208.1</v>
      </c>
      <c r="U554" s="8">
        <v>-0.59950000000000003</v>
      </c>
      <c r="V554" s="8">
        <v>8.4199999999999997E-2</v>
      </c>
      <c r="W554" s="5">
        <v>-131.5</v>
      </c>
      <c r="X554" s="6">
        <v>-5.2823443164586202E-3</v>
      </c>
      <c r="Y554" s="4">
        <v>0</v>
      </c>
      <c r="Z554" s="6">
        <v>0</v>
      </c>
      <c r="AA554" s="5">
        <v>57503.35</v>
      </c>
      <c r="AB554" s="5">
        <v>58015.1</v>
      </c>
      <c r="AC554" s="5">
        <v>511.75</v>
      </c>
      <c r="AD554" s="5">
        <v>0.88990000000000002</v>
      </c>
      <c r="AE554" s="4">
        <v>3</v>
      </c>
      <c r="AF554" s="5">
        <v>-0.05</v>
      </c>
      <c r="AG554" s="5">
        <v>482.99829999999997</v>
      </c>
      <c r="AH554" s="5">
        <v>0.83989999999999998</v>
      </c>
      <c r="AI554" s="8">
        <v>-0.15570000000000001</v>
      </c>
      <c r="AJ554" s="8">
        <v>0.88780000000000003</v>
      </c>
      <c r="AK554" s="15">
        <v>308.89830000000001</v>
      </c>
      <c r="AL554" s="15">
        <v>0.14050000000000001</v>
      </c>
      <c r="AM554" s="5">
        <v>104.73609999999999</v>
      </c>
      <c r="AN554" s="5">
        <v>108.8053</v>
      </c>
      <c r="AO554" s="5">
        <v>-4.0692000000000004</v>
      </c>
      <c r="AP554" s="5">
        <v>-3.7399</v>
      </c>
      <c r="AQ554" s="8">
        <v>0.11070000000000001</v>
      </c>
      <c r="AR554" s="8">
        <v>-5.0799999999999998E-2</v>
      </c>
      <c r="AS554" s="8">
        <v>-5.0799999999999998E-2</v>
      </c>
      <c r="AT554" s="5">
        <v>104.536</v>
      </c>
      <c r="AU554" s="5">
        <v>-3.9238</v>
      </c>
      <c r="AV554" s="7" t="s">
        <v>90</v>
      </c>
    </row>
    <row r="555" spans="1:48" ht="18" customHeight="1" x14ac:dyDescent="0.25">
      <c r="A555" s="10">
        <v>277</v>
      </c>
      <c r="B555" s="10">
        <v>2</v>
      </c>
      <c r="C555" s="10">
        <v>277</v>
      </c>
      <c r="D555" s="88">
        <v>45933</v>
      </c>
      <c r="E555" s="88">
        <v>45936</v>
      </c>
      <c r="F555" s="88">
        <v>45958</v>
      </c>
      <c r="G555" s="11">
        <v>24894.25</v>
      </c>
      <c r="H555" s="11">
        <v>25077.65</v>
      </c>
      <c r="I555" s="12"/>
      <c r="J555" s="12"/>
      <c r="K555" s="92"/>
      <c r="L555" s="92"/>
      <c r="M555" s="12" t="s">
        <v>40</v>
      </c>
      <c r="N555" s="10">
        <v>24600</v>
      </c>
      <c r="O555" s="95">
        <f>IF(F555=F553,O553,MROUND(G555,100))</f>
        <v>24600</v>
      </c>
      <c r="P555" s="95">
        <f>O555-N555</f>
        <v>0</v>
      </c>
      <c r="Q555" s="12" t="s">
        <v>91</v>
      </c>
      <c r="R555" s="10">
        <v>65</v>
      </c>
      <c r="S555" s="11">
        <v>102.2</v>
      </c>
      <c r="T555" s="11">
        <v>59.6</v>
      </c>
      <c r="U555" s="13">
        <v>-0.17760000000000001</v>
      </c>
      <c r="V555" s="13">
        <v>2.07E-2</v>
      </c>
      <c r="W555" s="10">
        <v>0</v>
      </c>
      <c r="X555" s="14">
        <v>0</v>
      </c>
      <c r="Y555" s="11">
        <v>-42.6</v>
      </c>
      <c r="Z555" s="14">
        <v>-1.7112385390200551E-3</v>
      </c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 t="s">
        <v>90</v>
      </c>
    </row>
    <row r="556" spans="1:48" ht="18" hidden="1" customHeight="1" x14ac:dyDescent="0.25">
      <c r="A556" s="4">
        <v>278</v>
      </c>
      <c r="B556" s="4">
        <v>1</v>
      </c>
      <c r="C556" s="4">
        <v>278</v>
      </c>
      <c r="D556" s="87">
        <v>45936</v>
      </c>
      <c r="E556" s="87">
        <v>45943</v>
      </c>
      <c r="F556" s="87">
        <v>45944</v>
      </c>
      <c r="G556" s="5">
        <v>25077.65</v>
      </c>
      <c r="H556" s="5">
        <v>25227.35</v>
      </c>
      <c r="I556" s="5">
        <v>149.69999999999999</v>
      </c>
      <c r="J556" s="6">
        <v>5.9694588607784212E-3</v>
      </c>
      <c r="K556" s="90"/>
      <c r="L556" s="90"/>
      <c r="M556" s="7" t="s">
        <v>28</v>
      </c>
      <c r="N556" s="4">
        <v>25100</v>
      </c>
      <c r="O556" s="94"/>
      <c r="P556" s="94"/>
      <c r="Q556" s="7" t="s">
        <v>89</v>
      </c>
      <c r="R556" s="4">
        <v>65</v>
      </c>
      <c r="S556" s="5">
        <v>141.9</v>
      </c>
      <c r="T556" s="4">
        <v>161</v>
      </c>
      <c r="U556" s="8">
        <v>-0.64039999999999997</v>
      </c>
      <c r="V556" s="8">
        <v>0.2767</v>
      </c>
      <c r="W556" s="5">
        <v>-19.100000000000001</v>
      </c>
      <c r="X556" s="6">
        <v>-7.6163436366645206E-4</v>
      </c>
      <c r="Y556" s="4">
        <v>0</v>
      </c>
      <c r="Z556" s="6">
        <v>0</v>
      </c>
      <c r="AA556" s="5">
        <v>58015.1</v>
      </c>
      <c r="AB556" s="5">
        <v>58762.35</v>
      </c>
      <c r="AC556" s="5">
        <v>747.25</v>
      </c>
      <c r="AD556" s="5">
        <v>1.288</v>
      </c>
      <c r="AE556" s="4">
        <v>7</v>
      </c>
      <c r="AF556" s="5">
        <v>-0.11666700000000001</v>
      </c>
      <c r="AG556" s="5">
        <v>679.56569999999999</v>
      </c>
      <c r="AH556" s="5">
        <v>1.1714</v>
      </c>
      <c r="AI556" s="8">
        <v>-0.41239999999999999</v>
      </c>
      <c r="AJ556" s="8">
        <v>1.3602000000000001</v>
      </c>
      <c r="AK556" s="15">
        <v>638.31569999999999</v>
      </c>
      <c r="AL556" s="15">
        <v>1.0068999999999999</v>
      </c>
      <c r="AM556" s="5">
        <v>105.7907</v>
      </c>
      <c r="AN556" s="5">
        <v>108.8053</v>
      </c>
      <c r="AO556" s="5">
        <v>-3.0146000000000002</v>
      </c>
      <c r="AP556" s="5">
        <v>-2.7706</v>
      </c>
      <c r="AQ556" s="8">
        <v>0.59260000000000002</v>
      </c>
      <c r="AR556" s="8">
        <v>-8.9599999999999999E-2</v>
      </c>
      <c r="AS556" s="8">
        <v>-8.9599999999999999E-2</v>
      </c>
      <c r="AT556" s="5">
        <v>104.64230000000001</v>
      </c>
      <c r="AU556" s="5">
        <v>-3.8260999999999998</v>
      </c>
      <c r="AV556" s="7" t="s">
        <v>90</v>
      </c>
    </row>
    <row r="557" spans="1:48" ht="18" customHeight="1" x14ac:dyDescent="0.25">
      <c r="A557" s="10">
        <v>278</v>
      </c>
      <c r="B557" s="10">
        <v>2</v>
      </c>
      <c r="C557" s="10">
        <v>278</v>
      </c>
      <c r="D557" s="88">
        <v>45936</v>
      </c>
      <c r="E557" s="88">
        <v>45943</v>
      </c>
      <c r="F557" s="88">
        <v>45958</v>
      </c>
      <c r="G557" s="11">
        <v>25077.65</v>
      </c>
      <c r="H557" s="11">
        <v>25227.35</v>
      </c>
      <c r="I557" s="12"/>
      <c r="J557" s="12"/>
      <c r="K557" s="92"/>
      <c r="L557" s="92"/>
      <c r="M557" s="12" t="s">
        <v>40</v>
      </c>
      <c r="N557" s="10">
        <v>24600</v>
      </c>
      <c r="O557" s="95">
        <f>IF(F557=F555,O555,MROUND(G557,100))</f>
        <v>24600</v>
      </c>
      <c r="P557" s="95">
        <f>O557-N557</f>
        <v>0</v>
      </c>
      <c r="Q557" s="12" t="s">
        <v>91</v>
      </c>
      <c r="R557" s="10">
        <v>65</v>
      </c>
      <c r="S557" s="11">
        <v>59.6</v>
      </c>
      <c r="T557" s="11">
        <v>37.450000000000003</v>
      </c>
      <c r="U557" s="13">
        <v>-0.12720000000000001</v>
      </c>
      <c r="V557" s="13">
        <v>4.6100000000000002E-2</v>
      </c>
      <c r="W557" s="10">
        <v>0</v>
      </c>
      <c r="X557" s="14">
        <v>0</v>
      </c>
      <c r="Y557" s="11">
        <v>-22.15</v>
      </c>
      <c r="Z557" s="14">
        <v>-8.8325660498491678E-4</v>
      </c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 t="s">
        <v>90</v>
      </c>
    </row>
    <row r="558" spans="1:48" ht="18" hidden="1" customHeight="1" x14ac:dyDescent="0.25">
      <c r="A558" s="4">
        <v>279</v>
      </c>
      <c r="B558" s="4">
        <v>1</v>
      </c>
      <c r="C558" s="4">
        <v>279</v>
      </c>
      <c r="D558" s="87">
        <v>45943</v>
      </c>
      <c r="E558" s="87">
        <v>45946</v>
      </c>
      <c r="F558" s="87">
        <v>45950</v>
      </c>
      <c r="G558" s="5">
        <v>25227.35</v>
      </c>
      <c r="H558" s="5">
        <v>25585.3</v>
      </c>
      <c r="I558" s="5">
        <v>357.95</v>
      </c>
      <c r="J558" s="6">
        <v>1.418896554731274E-2</v>
      </c>
      <c r="K558" s="90"/>
      <c r="L558" s="90"/>
      <c r="M558" s="7" t="s">
        <v>28</v>
      </c>
      <c r="N558" s="4">
        <v>25200</v>
      </c>
      <c r="O558" s="94"/>
      <c r="P558" s="94"/>
      <c r="Q558" s="7" t="s">
        <v>89</v>
      </c>
      <c r="R558" s="4">
        <v>65</v>
      </c>
      <c r="S558" s="5">
        <v>183.95</v>
      </c>
      <c r="T558" s="5">
        <v>423.8</v>
      </c>
      <c r="U558" s="8">
        <v>-1.099</v>
      </c>
      <c r="V558" s="8">
        <v>0.3266</v>
      </c>
      <c r="W558" s="5">
        <v>-239.85</v>
      </c>
      <c r="X558" s="6">
        <v>-9.5075384453777358E-3</v>
      </c>
      <c r="Y558" s="4">
        <v>0</v>
      </c>
      <c r="Z558" s="6">
        <v>0</v>
      </c>
      <c r="AA558" s="5">
        <v>58762.35</v>
      </c>
      <c r="AB558" s="5">
        <v>59241.15</v>
      </c>
      <c r="AC558" s="5">
        <v>478.8</v>
      </c>
      <c r="AD558" s="5">
        <v>0.81479999999999997</v>
      </c>
      <c r="AE558" s="4">
        <v>3</v>
      </c>
      <c r="AF558" s="5">
        <v>-0.05</v>
      </c>
      <c r="AG558" s="5">
        <v>449.41879999999998</v>
      </c>
      <c r="AH558" s="5">
        <v>0.76480000000000004</v>
      </c>
      <c r="AI558" s="8">
        <v>-0.93440000000000001</v>
      </c>
      <c r="AJ558" s="8">
        <v>0.90180000000000005</v>
      </c>
      <c r="AK558" s="15">
        <v>186.96879999999999</v>
      </c>
      <c r="AL558" s="15">
        <v>-0.27550000000000002</v>
      </c>
      <c r="AM558" s="5">
        <v>105.49930000000001</v>
      </c>
      <c r="AN558" s="5">
        <v>108.8053</v>
      </c>
      <c r="AO558" s="5">
        <v>-3.3060999999999998</v>
      </c>
      <c r="AP558" s="5">
        <v>-3.0385</v>
      </c>
      <c r="AQ558" s="8">
        <v>-0.29509999999999997</v>
      </c>
      <c r="AR558" s="8">
        <v>-0.50139999999999996</v>
      </c>
      <c r="AS558" s="8">
        <v>-0.50139999999999996</v>
      </c>
      <c r="AT558" s="5">
        <v>105.2603</v>
      </c>
      <c r="AU558" s="5">
        <v>-3.2581000000000002</v>
      </c>
      <c r="AV558" s="7" t="s">
        <v>101</v>
      </c>
    </row>
    <row r="559" spans="1:48" ht="18" customHeight="1" x14ac:dyDescent="0.25">
      <c r="A559" s="10">
        <v>279</v>
      </c>
      <c r="B559" s="10">
        <v>2</v>
      </c>
      <c r="C559" s="10">
        <v>279</v>
      </c>
      <c r="D559" s="88">
        <v>45943</v>
      </c>
      <c r="E559" s="88">
        <v>45946</v>
      </c>
      <c r="F559" s="88">
        <v>45958</v>
      </c>
      <c r="G559" s="11">
        <v>25227.35</v>
      </c>
      <c r="H559" s="11">
        <v>25585.3</v>
      </c>
      <c r="I559" s="12"/>
      <c r="J559" s="12"/>
      <c r="K559" s="92"/>
      <c r="L559" s="92"/>
      <c r="M559" s="12" t="s">
        <v>40</v>
      </c>
      <c r="N559" s="10">
        <v>24600</v>
      </c>
      <c r="O559" s="95">
        <f>IF(F559=F557,O557,MROUND(G559,100))</f>
        <v>24600</v>
      </c>
      <c r="P559" s="95">
        <f>O559-N559</f>
        <v>0</v>
      </c>
      <c r="Q559" s="12" t="s">
        <v>91</v>
      </c>
      <c r="R559" s="10">
        <v>65</v>
      </c>
      <c r="S559" s="11">
        <v>37.450000000000003</v>
      </c>
      <c r="T559" s="11">
        <v>14.85</v>
      </c>
      <c r="U559" s="13">
        <v>-9.7900000000000001E-2</v>
      </c>
      <c r="V559" s="13">
        <v>0.10639999999999999</v>
      </c>
      <c r="W559" s="10">
        <v>0</v>
      </c>
      <c r="X559" s="14">
        <v>0</v>
      </c>
      <c r="Y559" s="11">
        <v>-22.6</v>
      </c>
      <c r="Z559" s="14">
        <v>-8.9585311180127923E-4</v>
      </c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 t="s">
        <v>101</v>
      </c>
    </row>
    <row r="560" spans="1:48" ht="18" hidden="1" customHeight="1" x14ac:dyDescent="0.25">
      <c r="A560" s="4">
        <v>280</v>
      </c>
      <c r="B560" s="4">
        <v>1</v>
      </c>
      <c r="C560" s="4">
        <v>280</v>
      </c>
      <c r="D560" s="87">
        <v>45946</v>
      </c>
      <c r="E560" s="87">
        <v>45947</v>
      </c>
      <c r="F560" s="87">
        <v>45950</v>
      </c>
      <c r="G560" s="5">
        <v>25585.3</v>
      </c>
      <c r="H560" s="5">
        <v>25709.85</v>
      </c>
      <c r="I560" s="5">
        <v>124.55</v>
      </c>
      <c r="J560" s="6">
        <v>4.8680296889229363E-3</v>
      </c>
      <c r="K560" s="90"/>
      <c r="L560" s="90"/>
      <c r="M560" s="7" t="s">
        <v>28</v>
      </c>
      <c r="N560" s="4">
        <v>25600</v>
      </c>
      <c r="O560" s="94"/>
      <c r="P560" s="94"/>
      <c r="Q560" s="7" t="s">
        <v>89</v>
      </c>
      <c r="R560" s="4">
        <v>65</v>
      </c>
      <c r="S560" s="5">
        <v>96.5</v>
      </c>
      <c r="T560" s="5">
        <v>167.6</v>
      </c>
      <c r="U560" s="8">
        <v>-0.60719999999999996</v>
      </c>
      <c r="V560" s="8">
        <v>0.1305</v>
      </c>
      <c r="W560" s="5">
        <v>-71.099999999999994</v>
      </c>
      <c r="X560" s="6">
        <v>-2.7789394691482999E-3</v>
      </c>
      <c r="Y560" s="4">
        <v>0</v>
      </c>
      <c r="Z560" s="6">
        <v>0</v>
      </c>
      <c r="AA560" s="5">
        <v>59241.15</v>
      </c>
      <c r="AB560" s="5">
        <v>58902.25</v>
      </c>
      <c r="AC560" s="5">
        <v>-338.9</v>
      </c>
      <c r="AD560" s="5">
        <v>-0.57210000000000005</v>
      </c>
      <c r="AE560" s="4">
        <v>1</v>
      </c>
      <c r="AF560" s="5">
        <v>-1.6667000000000001E-2</v>
      </c>
      <c r="AG560" s="5">
        <v>-348.77350000000001</v>
      </c>
      <c r="AH560" s="5">
        <v>-0.5887</v>
      </c>
      <c r="AI560" s="8">
        <v>-0.88680000000000003</v>
      </c>
      <c r="AJ560" s="8">
        <v>7.0999999999999994E-2</v>
      </c>
      <c r="AK560" s="9">
        <v>-452.42349999999999</v>
      </c>
      <c r="AL560" s="9">
        <v>-0.99380000000000002</v>
      </c>
      <c r="AM560" s="5">
        <v>104.4508</v>
      </c>
      <c r="AN560" s="5">
        <v>108.8053</v>
      </c>
      <c r="AO560" s="5">
        <v>-4.3544999999999998</v>
      </c>
      <c r="AP560" s="5">
        <v>-4.0021000000000004</v>
      </c>
      <c r="AQ560" s="8">
        <v>-0.74590000000000001</v>
      </c>
      <c r="AR560" s="8">
        <v>-0.64739999999999998</v>
      </c>
      <c r="AS560" s="8">
        <v>-0.99380000000000002</v>
      </c>
      <c r="AT560" s="5">
        <v>104.4508</v>
      </c>
      <c r="AU560" s="5">
        <v>-4.0021000000000004</v>
      </c>
      <c r="AV560" s="7" t="s">
        <v>90</v>
      </c>
    </row>
    <row r="561" spans="1:48" ht="18" customHeight="1" x14ac:dyDescent="0.25">
      <c r="A561" s="10">
        <v>280</v>
      </c>
      <c r="B561" s="10">
        <v>2</v>
      </c>
      <c r="C561" s="10">
        <v>280</v>
      </c>
      <c r="D561" s="88">
        <v>45946</v>
      </c>
      <c r="E561" s="88">
        <v>45947</v>
      </c>
      <c r="F561" s="88">
        <v>45958</v>
      </c>
      <c r="G561" s="11">
        <v>25585.3</v>
      </c>
      <c r="H561" s="11">
        <v>25709.85</v>
      </c>
      <c r="I561" s="12"/>
      <c r="J561" s="12"/>
      <c r="K561" s="92"/>
      <c r="L561" s="92"/>
      <c r="M561" s="12" t="s">
        <v>40</v>
      </c>
      <c r="N561" s="10">
        <v>25600</v>
      </c>
      <c r="O561" s="95">
        <f>IF(F561=F559,O559,MROUND(G561,100))</f>
        <v>24600</v>
      </c>
      <c r="P561" s="95">
        <f>O561-N561</f>
        <v>-1000</v>
      </c>
      <c r="Q561" s="12" t="s">
        <v>91</v>
      </c>
      <c r="R561" s="10">
        <v>65</v>
      </c>
      <c r="S561" s="11">
        <v>142.75</v>
      </c>
      <c r="T561" s="11">
        <v>110.2</v>
      </c>
      <c r="U561" s="13">
        <v>-0.2097</v>
      </c>
      <c r="V561" s="13">
        <v>0.1089</v>
      </c>
      <c r="W561" s="10">
        <v>0</v>
      </c>
      <c r="X561" s="14">
        <v>0</v>
      </c>
      <c r="Y561" s="11">
        <v>-32.549999999999997</v>
      </c>
      <c r="Z561" s="14">
        <v>-1.2722149046522811E-3</v>
      </c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 t="s">
        <v>90</v>
      </c>
    </row>
    <row r="562" spans="1:48" ht="18" hidden="1" customHeight="1" x14ac:dyDescent="0.25">
      <c r="A562" s="4">
        <v>281</v>
      </c>
      <c r="B562" s="4">
        <v>1</v>
      </c>
      <c r="C562" s="4">
        <v>281</v>
      </c>
      <c r="D562" s="87">
        <v>45947</v>
      </c>
      <c r="E562" s="87">
        <v>45957</v>
      </c>
      <c r="F562" s="87">
        <v>45958</v>
      </c>
      <c r="G562" s="5">
        <v>25709.85</v>
      </c>
      <c r="H562" s="5">
        <v>25966.05</v>
      </c>
      <c r="I562" s="5">
        <v>256.2</v>
      </c>
      <c r="J562" s="6">
        <v>9.9650523048559203E-3</v>
      </c>
      <c r="K562" s="90"/>
      <c r="L562" s="90"/>
      <c r="M562" s="7" t="s">
        <v>28</v>
      </c>
      <c r="N562" s="4">
        <v>25700</v>
      </c>
      <c r="O562" s="94"/>
      <c r="P562" s="94"/>
      <c r="Q562" s="7" t="s">
        <v>89</v>
      </c>
      <c r="R562" s="4">
        <v>65</v>
      </c>
      <c r="S562" s="5">
        <v>205.95</v>
      </c>
      <c r="T562" s="5">
        <v>319.64999999999998</v>
      </c>
      <c r="U562" s="8">
        <v>-1.1192</v>
      </c>
      <c r="V562" s="8">
        <v>0.34110000000000001</v>
      </c>
      <c r="W562" s="5">
        <v>-113.7</v>
      </c>
      <c r="X562" s="6">
        <v>-4.4224295357615864E-3</v>
      </c>
      <c r="Y562" s="4">
        <v>0</v>
      </c>
      <c r="Z562" s="6">
        <v>0</v>
      </c>
      <c r="AA562" s="5">
        <v>58902.25</v>
      </c>
      <c r="AB562" s="5">
        <v>59780.15</v>
      </c>
      <c r="AC562" s="5">
        <v>877.9</v>
      </c>
      <c r="AD562" s="5">
        <v>1.4903999999999999</v>
      </c>
      <c r="AE562" s="4">
        <v>10</v>
      </c>
      <c r="AF562" s="5">
        <v>-0.16666700000000001</v>
      </c>
      <c r="AG562" s="5">
        <v>779.7296</v>
      </c>
      <c r="AH562" s="5">
        <v>1.3238000000000001</v>
      </c>
      <c r="AI562" s="8">
        <v>0.18290000000000001</v>
      </c>
      <c r="AJ562" s="8">
        <v>1.452</v>
      </c>
      <c r="AK562" s="15">
        <v>562.02959999999996</v>
      </c>
      <c r="AL562" s="15">
        <v>0.47699999999999998</v>
      </c>
      <c r="AM562" s="5">
        <v>104.949</v>
      </c>
      <c r="AN562" s="5">
        <v>108.8053</v>
      </c>
      <c r="AO562" s="5">
        <v>-3.8563000000000001</v>
      </c>
      <c r="AP562" s="5">
        <v>-3.5442</v>
      </c>
      <c r="AQ562" s="8">
        <v>-7.3899999999999993E-2</v>
      </c>
      <c r="AR562" s="8">
        <v>0.40870000000000001</v>
      </c>
      <c r="AS562" s="8">
        <v>-7.3899999999999993E-2</v>
      </c>
      <c r="AT562" s="5">
        <v>104.3736</v>
      </c>
      <c r="AU562" s="5">
        <v>-4.0730000000000004</v>
      </c>
      <c r="AV562" s="7" t="s">
        <v>90</v>
      </c>
    </row>
    <row r="563" spans="1:48" ht="18" customHeight="1" x14ac:dyDescent="0.25">
      <c r="A563" s="10">
        <v>281</v>
      </c>
      <c r="B563" s="10">
        <v>2</v>
      </c>
      <c r="C563" s="10">
        <v>281</v>
      </c>
      <c r="D563" s="88">
        <v>45947</v>
      </c>
      <c r="E563" s="88">
        <v>45957</v>
      </c>
      <c r="F563" s="88">
        <v>45958</v>
      </c>
      <c r="G563" s="11">
        <v>25709.85</v>
      </c>
      <c r="H563" s="11">
        <v>25966.05</v>
      </c>
      <c r="I563" s="12"/>
      <c r="J563" s="12"/>
      <c r="K563" s="92"/>
      <c r="L563" s="92"/>
      <c r="M563" s="12" t="s">
        <v>40</v>
      </c>
      <c r="N563" s="10">
        <v>25600</v>
      </c>
      <c r="O563" s="95">
        <f>IF(F563=F561,O561,MROUND(G563,100))</f>
        <v>24600</v>
      </c>
      <c r="P563" s="95">
        <f>O563-N563</f>
        <v>-1000</v>
      </c>
      <c r="Q563" s="12" t="s">
        <v>91</v>
      </c>
      <c r="R563" s="10">
        <v>65</v>
      </c>
      <c r="S563" s="11">
        <v>110.2</v>
      </c>
      <c r="T563" s="11">
        <v>6.2</v>
      </c>
      <c r="U563" s="13">
        <v>-0.40670000000000001</v>
      </c>
      <c r="V563" s="13">
        <v>-0.1153</v>
      </c>
      <c r="W563" s="10">
        <v>0</v>
      </c>
      <c r="X563" s="14">
        <v>0</v>
      </c>
      <c r="Y563" s="10">
        <v>-104</v>
      </c>
      <c r="Z563" s="14">
        <v>-4.0451422314793754E-3</v>
      </c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 t="s">
        <v>90</v>
      </c>
    </row>
    <row r="564" spans="1:48" ht="18" hidden="1" customHeight="1" x14ac:dyDescent="0.25">
      <c r="A564" s="4">
        <v>282</v>
      </c>
      <c r="B564" s="4">
        <v>1</v>
      </c>
      <c r="C564" s="4">
        <v>282</v>
      </c>
      <c r="D564" s="87">
        <v>45957</v>
      </c>
      <c r="E564" s="87">
        <v>45964</v>
      </c>
      <c r="F564" s="87">
        <v>45965</v>
      </c>
      <c r="G564" s="5">
        <v>25966.05</v>
      </c>
      <c r="H564" s="5">
        <v>25763.35</v>
      </c>
      <c r="I564" s="5">
        <v>-202.7</v>
      </c>
      <c r="J564" s="6">
        <v>-7.8063471340461873E-3</v>
      </c>
      <c r="K564" s="90"/>
      <c r="L564" s="90"/>
      <c r="M564" s="7" t="s">
        <v>28</v>
      </c>
      <c r="N564" s="4">
        <v>26000</v>
      </c>
      <c r="O564" s="94"/>
      <c r="P564" s="94"/>
      <c r="Q564" s="7" t="s">
        <v>89</v>
      </c>
      <c r="R564" s="4">
        <v>65</v>
      </c>
      <c r="S564" s="5">
        <v>215.45</v>
      </c>
      <c r="T564" s="5">
        <v>13.9</v>
      </c>
      <c r="U564" s="8">
        <v>-0.1598</v>
      </c>
      <c r="V564" s="8">
        <v>0.78369999999999995</v>
      </c>
      <c r="W564" s="5">
        <v>201.55</v>
      </c>
      <c r="X564" s="6">
        <v>7.7620585341243668E-3</v>
      </c>
      <c r="Y564" s="4">
        <v>0</v>
      </c>
      <c r="Z564" s="6">
        <v>0</v>
      </c>
      <c r="AA564" s="5">
        <v>59780.15</v>
      </c>
      <c r="AB564" s="5">
        <v>60287.4</v>
      </c>
      <c r="AC564" s="5">
        <v>507.25</v>
      </c>
      <c r="AD564" s="5">
        <v>0.84850000000000003</v>
      </c>
      <c r="AE564" s="4">
        <v>7</v>
      </c>
      <c r="AF564" s="5">
        <v>-0.11666700000000001</v>
      </c>
      <c r="AG564" s="5">
        <v>437.50650000000002</v>
      </c>
      <c r="AH564" s="5">
        <v>0.7319</v>
      </c>
      <c r="AI564" s="8">
        <v>-0.45889999999999997</v>
      </c>
      <c r="AJ564" s="8">
        <v>0.92</v>
      </c>
      <c r="AK564" s="15">
        <v>728.20650000000001</v>
      </c>
      <c r="AL564" s="15">
        <v>1.8513999999999999</v>
      </c>
      <c r="AM564" s="5">
        <v>106.8921</v>
      </c>
      <c r="AN564" s="5">
        <v>108.8053</v>
      </c>
      <c r="AO564" s="5">
        <v>-1.9132</v>
      </c>
      <c r="AP564" s="5">
        <v>-1.7584</v>
      </c>
      <c r="AQ564" s="8">
        <v>0.55959999999999999</v>
      </c>
      <c r="AR564" s="8">
        <v>0.9264</v>
      </c>
      <c r="AS564" s="8">
        <v>0.55959999999999999</v>
      </c>
      <c r="AT564" s="5">
        <v>105.5363</v>
      </c>
      <c r="AU564" s="5">
        <v>-3.0044</v>
      </c>
      <c r="AV564" s="7" t="s">
        <v>90</v>
      </c>
    </row>
    <row r="565" spans="1:48" ht="18" customHeight="1" x14ac:dyDescent="0.25">
      <c r="A565" s="10">
        <v>282</v>
      </c>
      <c r="B565" s="10">
        <v>2</v>
      </c>
      <c r="C565" s="10">
        <v>282</v>
      </c>
      <c r="D565" s="88">
        <v>45957</v>
      </c>
      <c r="E565" s="88">
        <v>45964</v>
      </c>
      <c r="F565" s="88">
        <v>45986</v>
      </c>
      <c r="G565" s="11">
        <v>25966.05</v>
      </c>
      <c r="H565" s="11">
        <v>25763.35</v>
      </c>
      <c r="I565" s="12"/>
      <c r="J565" s="12"/>
      <c r="K565" s="92"/>
      <c r="L565" s="92"/>
      <c r="M565" s="12" t="s">
        <v>40</v>
      </c>
      <c r="N565" s="10">
        <v>26000</v>
      </c>
      <c r="O565" s="95">
        <f>IF(F565=F563,O563,MROUND(G565,100))</f>
        <v>26000</v>
      </c>
      <c r="P565" s="95">
        <f>O565-N565</f>
        <v>0</v>
      </c>
      <c r="Q565" s="12" t="s">
        <v>91</v>
      </c>
      <c r="R565" s="10">
        <v>65</v>
      </c>
      <c r="S565" s="11">
        <v>246.25</v>
      </c>
      <c r="T565" s="11">
        <v>335.4</v>
      </c>
      <c r="U565" s="13">
        <v>-0.2006</v>
      </c>
      <c r="V565" s="13">
        <v>0.60160000000000002</v>
      </c>
      <c r="W565" s="10">
        <v>0</v>
      </c>
      <c r="X565" s="14">
        <v>0</v>
      </c>
      <c r="Y565" s="11">
        <v>89.15</v>
      </c>
      <c r="Z565" s="14">
        <v>3.4333292895916022E-3</v>
      </c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 t="s">
        <v>90</v>
      </c>
    </row>
    <row r="566" spans="1:48" ht="18" hidden="1" customHeight="1" x14ac:dyDescent="0.25">
      <c r="A566" s="4">
        <v>283</v>
      </c>
      <c r="B566" s="4">
        <v>1</v>
      </c>
      <c r="C566" s="4">
        <v>283</v>
      </c>
      <c r="D566" s="87">
        <v>45964</v>
      </c>
      <c r="E566" s="87">
        <v>45968</v>
      </c>
      <c r="F566" s="87">
        <v>45972</v>
      </c>
      <c r="G566" s="5">
        <v>25763.35</v>
      </c>
      <c r="H566" s="5">
        <v>25492.3</v>
      </c>
      <c r="I566" s="5">
        <v>-271.05</v>
      </c>
      <c r="J566" s="6">
        <v>-1.0520759140406819E-2</v>
      </c>
      <c r="K566" s="90"/>
      <c r="L566" s="90"/>
      <c r="M566" s="7" t="s">
        <v>28</v>
      </c>
      <c r="N566" s="4">
        <v>25800</v>
      </c>
      <c r="O566" s="94"/>
      <c r="P566" s="94"/>
      <c r="Q566" s="7" t="s">
        <v>89</v>
      </c>
      <c r="R566" s="4">
        <v>65</v>
      </c>
      <c r="S566" s="5">
        <v>178.3</v>
      </c>
      <c r="T566" s="5">
        <v>12.9</v>
      </c>
      <c r="U566" s="8">
        <v>-1.7899999999999999E-2</v>
      </c>
      <c r="V566" s="8">
        <v>0.6633</v>
      </c>
      <c r="W566" s="5">
        <v>165.4</v>
      </c>
      <c r="X566" s="6">
        <v>6.4199725579165761E-3</v>
      </c>
      <c r="Y566" s="4">
        <v>0</v>
      </c>
      <c r="Z566" s="6">
        <v>0</v>
      </c>
      <c r="AA566" s="5">
        <v>60287.4</v>
      </c>
      <c r="AB566" s="5">
        <v>59843.15</v>
      </c>
      <c r="AC566" s="5">
        <v>-444.25</v>
      </c>
      <c r="AD566" s="5">
        <v>-0.7369</v>
      </c>
      <c r="AE566" s="4">
        <v>4</v>
      </c>
      <c r="AF566" s="5">
        <v>-6.6667000000000004E-2</v>
      </c>
      <c r="AG566" s="5">
        <v>-484.44159999999999</v>
      </c>
      <c r="AH566" s="5">
        <v>-0.80359999999999998</v>
      </c>
      <c r="AI566" s="8">
        <v>-2.5200999999999998</v>
      </c>
      <c r="AJ566" s="8">
        <v>0.1066</v>
      </c>
      <c r="AK566" s="9">
        <v>-159.94159999999999</v>
      </c>
      <c r="AL566" s="9">
        <v>0.45590000000000003</v>
      </c>
      <c r="AM566" s="5">
        <v>107.3794</v>
      </c>
      <c r="AN566" s="5">
        <v>108.8053</v>
      </c>
      <c r="AO566" s="5">
        <v>-1.4258999999999999</v>
      </c>
      <c r="AP566" s="5">
        <v>-1.3105</v>
      </c>
      <c r="AQ566" s="8">
        <v>6.8699999999999997E-2</v>
      </c>
      <c r="AR566" s="8">
        <v>-0.7026</v>
      </c>
      <c r="AS566" s="8">
        <v>-0.7026</v>
      </c>
      <c r="AT566" s="5">
        <v>106.14100000000001</v>
      </c>
      <c r="AU566" s="5">
        <v>-2.4487000000000001</v>
      </c>
      <c r="AV566" s="7" t="s">
        <v>93</v>
      </c>
    </row>
    <row r="567" spans="1:48" ht="18" customHeight="1" x14ac:dyDescent="0.25">
      <c r="A567" s="10">
        <v>283</v>
      </c>
      <c r="B567" s="10">
        <v>2</v>
      </c>
      <c r="C567" s="10">
        <v>283</v>
      </c>
      <c r="D567" s="88">
        <v>45964</v>
      </c>
      <c r="E567" s="88">
        <v>45968</v>
      </c>
      <c r="F567" s="88">
        <v>45986</v>
      </c>
      <c r="G567" s="11">
        <v>25763.35</v>
      </c>
      <c r="H567" s="11">
        <v>25492.3</v>
      </c>
      <c r="I567" s="12"/>
      <c r="J567" s="12"/>
      <c r="K567" s="92"/>
      <c r="L567" s="92"/>
      <c r="M567" s="12" t="s">
        <v>40</v>
      </c>
      <c r="N567" s="10">
        <v>26000</v>
      </c>
      <c r="O567" s="95">
        <f>IF(F567=F565,O565,MROUND(G567,100))</f>
        <v>26000</v>
      </c>
      <c r="P567" s="95">
        <f>O567-N567</f>
        <v>0</v>
      </c>
      <c r="Q567" s="12" t="s">
        <v>91</v>
      </c>
      <c r="R567" s="10">
        <v>65</v>
      </c>
      <c r="S567" s="11">
        <v>335.4</v>
      </c>
      <c r="T567" s="11">
        <v>494.5</v>
      </c>
      <c r="U567" s="13">
        <v>-0.02</v>
      </c>
      <c r="V567" s="13">
        <v>1.1541999999999999</v>
      </c>
      <c r="W567" s="10">
        <v>0</v>
      </c>
      <c r="X567" s="14">
        <v>0</v>
      </c>
      <c r="Y567" s="11">
        <v>159.1</v>
      </c>
      <c r="Z567" s="14">
        <v>6.1754391412607449E-3</v>
      </c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 t="s">
        <v>93</v>
      </c>
    </row>
    <row r="568" spans="1:48" ht="18" hidden="1" customHeight="1" x14ac:dyDescent="0.25">
      <c r="A568" s="4">
        <v>284</v>
      </c>
      <c r="B568" s="4">
        <v>1</v>
      </c>
      <c r="C568" s="4">
        <v>284</v>
      </c>
      <c r="D568" s="87">
        <v>45968</v>
      </c>
      <c r="E568" s="87">
        <v>45971</v>
      </c>
      <c r="F568" s="87">
        <v>45972</v>
      </c>
      <c r="G568" s="5">
        <v>25492.3</v>
      </c>
      <c r="H568" s="5">
        <v>25574.35</v>
      </c>
      <c r="I568" s="5">
        <v>82.05</v>
      </c>
      <c r="J568" s="6">
        <v>3.218618955527748E-3</v>
      </c>
      <c r="K568" s="90"/>
      <c r="L568" s="90"/>
      <c r="M568" s="7" t="s">
        <v>28</v>
      </c>
      <c r="N568" s="4">
        <v>25500</v>
      </c>
      <c r="O568" s="94"/>
      <c r="P568" s="94"/>
      <c r="Q568" s="7" t="s">
        <v>89</v>
      </c>
      <c r="R568" s="4">
        <v>65</v>
      </c>
      <c r="S568" s="5">
        <v>96.9</v>
      </c>
      <c r="T568" s="5">
        <v>138.94999999999999</v>
      </c>
      <c r="U568" s="8">
        <v>-0.3377</v>
      </c>
      <c r="V568" s="8">
        <v>-1.9800000000000002E-2</v>
      </c>
      <c r="W568" s="5">
        <v>-42.05</v>
      </c>
      <c r="X568" s="6">
        <v>-1.6495176975008139E-3</v>
      </c>
      <c r="Y568" s="4">
        <v>0</v>
      </c>
      <c r="Z568" s="6">
        <v>0</v>
      </c>
      <c r="AA568" s="5">
        <v>59843.15</v>
      </c>
      <c r="AB568" s="5">
        <v>60124.25</v>
      </c>
      <c r="AC568" s="5">
        <v>281.10000000000002</v>
      </c>
      <c r="AD568" s="5">
        <v>0.46970000000000001</v>
      </c>
      <c r="AE568" s="4">
        <v>3</v>
      </c>
      <c r="AF568" s="5">
        <v>-0.05</v>
      </c>
      <c r="AG568" s="5">
        <v>251.17840000000001</v>
      </c>
      <c r="AH568" s="5">
        <v>0.41970000000000002</v>
      </c>
      <c r="AI568" s="8">
        <v>1.3899999999999999E-2</v>
      </c>
      <c r="AJ568" s="8">
        <v>0.72770000000000001</v>
      </c>
      <c r="AK568" s="15">
        <v>116.0784</v>
      </c>
      <c r="AL568" s="15">
        <v>-0.1103</v>
      </c>
      <c r="AM568" s="5">
        <v>107.26090000000001</v>
      </c>
      <c r="AN568" s="5">
        <v>108.8053</v>
      </c>
      <c r="AO568" s="5">
        <v>-1.5444</v>
      </c>
      <c r="AP568" s="5">
        <v>-1.4194</v>
      </c>
      <c r="AQ568" s="8">
        <v>-0.1082</v>
      </c>
      <c r="AR568" s="8">
        <v>-0.1142</v>
      </c>
      <c r="AS568" s="8">
        <v>-0.1142</v>
      </c>
      <c r="AT568" s="5">
        <v>107.2568</v>
      </c>
      <c r="AU568" s="5">
        <v>-1.4232</v>
      </c>
      <c r="AV568" s="7" t="s">
        <v>90</v>
      </c>
    </row>
    <row r="569" spans="1:48" ht="18" customHeight="1" x14ac:dyDescent="0.25">
      <c r="A569" s="10">
        <v>284</v>
      </c>
      <c r="B569" s="10">
        <v>2</v>
      </c>
      <c r="C569" s="10">
        <v>284</v>
      </c>
      <c r="D569" s="88">
        <v>45968</v>
      </c>
      <c r="E569" s="88">
        <v>45971</v>
      </c>
      <c r="F569" s="88">
        <v>45986</v>
      </c>
      <c r="G569" s="11">
        <v>25492.3</v>
      </c>
      <c r="H569" s="11">
        <v>25574.35</v>
      </c>
      <c r="I569" s="12"/>
      <c r="J569" s="12"/>
      <c r="K569" s="92"/>
      <c r="L569" s="92"/>
      <c r="M569" s="12" t="s">
        <v>40</v>
      </c>
      <c r="N569" s="10">
        <v>26000</v>
      </c>
      <c r="O569" s="95">
        <f>IF(F569=F567,O567,MROUND(G569,100))</f>
        <v>26000</v>
      </c>
      <c r="P569" s="95">
        <f>O569-N569</f>
        <v>0</v>
      </c>
      <c r="Q569" s="12" t="s">
        <v>91</v>
      </c>
      <c r="R569" s="10">
        <v>65</v>
      </c>
      <c r="S569" s="11">
        <v>494.5</v>
      </c>
      <c r="T569" s="11">
        <v>401.45</v>
      </c>
      <c r="U569" s="13">
        <v>-0.49819999999999998</v>
      </c>
      <c r="V569" s="13">
        <v>-0.10829999999999999</v>
      </c>
      <c r="W569" s="10">
        <v>0</v>
      </c>
      <c r="X569" s="14">
        <v>0</v>
      </c>
      <c r="Y569" s="11">
        <v>-93.05</v>
      </c>
      <c r="Z569" s="14">
        <v>-3.6501218014851539E-3</v>
      </c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 t="s">
        <v>90</v>
      </c>
    </row>
    <row r="570" spans="1:48" ht="18" hidden="1" customHeight="1" x14ac:dyDescent="0.25">
      <c r="A570" s="4">
        <v>285</v>
      </c>
      <c r="B570" s="4">
        <v>1</v>
      </c>
      <c r="C570" s="4">
        <v>285</v>
      </c>
      <c r="D570" s="87">
        <v>45971</v>
      </c>
      <c r="E570" s="87">
        <v>45973</v>
      </c>
      <c r="F570" s="87">
        <v>45979</v>
      </c>
      <c r="G570" s="5">
        <v>25574.35</v>
      </c>
      <c r="H570" s="5">
        <v>25875.8</v>
      </c>
      <c r="I570" s="5">
        <v>301.45</v>
      </c>
      <c r="J570" s="6">
        <v>1.178720084772438E-2</v>
      </c>
      <c r="K570" s="90"/>
      <c r="L570" s="90"/>
      <c r="M570" s="7" t="s">
        <v>28</v>
      </c>
      <c r="N570" s="4">
        <v>25600</v>
      </c>
      <c r="O570" s="94"/>
      <c r="P570" s="94"/>
      <c r="Q570" s="7" t="s">
        <v>89</v>
      </c>
      <c r="R570" s="4">
        <v>65</v>
      </c>
      <c r="S570" s="5">
        <v>192.15</v>
      </c>
      <c r="T570" s="5">
        <v>373.35</v>
      </c>
      <c r="U570" s="8">
        <v>-0.85589999999999999</v>
      </c>
      <c r="V570" s="8">
        <v>0.26219999999999999</v>
      </c>
      <c r="W570" s="5">
        <v>-181.2</v>
      </c>
      <c r="X570" s="6">
        <v>-7.0852240623906371E-3</v>
      </c>
      <c r="Y570" s="4">
        <v>0</v>
      </c>
      <c r="Z570" s="6">
        <v>0</v>
      </c>
      <c r="AA570" s="5">
        <v>60124.25</v>
      </c>
      <c r="AB570" s="5">
        <v>60902.3</v>
      </c>
      <c r="AC570" s="5">
        <v>778.05</v>
      </c>
      <c r="AD570" s="5">
        <v>1.2941</v>
      </c>
      <c r="AE570" s="4">
        <v>2</v>
      </c>
      <c r="AF570" s="5">
        <v>-3.3333000000000002E-2</v>
      </c>
      <c r="AG570" s="5">
        <v>758.0086</v>
      </c>
      <c r="AH570" s="5">
        <v>1.2606999999999999</v>
      </c>
      <c r="AI570" s="8">
        <v>-0.53580000000000005</v>
      </c>
      <c r="AJ570" s="8">
        <v>1.4410000000000001</v>
      </c>
      <c r="AK570" s="15">
        <v>383.2586</v>
      </c>
      <c r="AL570" s="15">
        <v>-0.2046</v>
      </c>
      <c r="AM570" s="5">
        <v>107.0415</v>
      </c>
      <c r="AN570" s="5">
        <v>108.8053</v>
      </c>
      <c r="AO570" s="5">
        <v>-1.7638</v>
      </c>
      <c r="AP570" s="5">
        <v>-1.6211</v>
      </c>
      <c r="AQ570" s="8">
        <v>-0.23</v>
      </c>
      <c r="AR570" s="8">
        <v>0.16900000000000001</v>
      </c>
      <c r="AS570" s="8">
        <v>-0.23</v>
      </c>
      <c r="AT570" s="5">
        <v>107.0142</v>
      </c>
      <c r="AU570" s="5">
        <v>-1.6460999999999999</v>
      </c>
      <c r="AV570" s="7" t="s">
        <v>96</v>
      </c>
    </row>
    <row r="571" spans="1:48" ht="18" customHeight="1" x14ac:dyDescent="0.25">
      <c r="A571" s="10">
        <v>285</v>
      </c>
      <c r="B571" s="10">
        <v>2</v>
      </c>
      <c r="C571" s="10">
        <v>285</v>
      </c>
      <c r="D571" s="88">
        <v>45971</v>
      </c>
      <c r="E571" s="88">
        <v>45973</v>
      </c>
      <c r="F571" s="88">
        <v>45986</v>
      </c>
      <c r="G571" s="11">
        <v>25574.35</v>
      </c>
      <c r="H571" s="11">
        <v>25875.8</v>
      </c>
      <c r="I571" s="12"/>
      <c r="J571" s="12"/>
      <c r="K571" s="92"/>
      <c r="L571" s="92"/>
      <c r="M571" s="12" t="s">
        <v>40</v>
      </c>
      <c r="N571" s="10">
        <v>26000</v>
      </c>
      <c r="O571" s="95">
        <f>IF(F571=F569,O569,MROUND(G571,100))</f>
        <v>26000</v>
      </c>
      <c r="P571" s="95">
        <f>O571-N571</f>
        <v>0</v>
      </c>
      <c r="Q571" s="12" t="s">
        <v>91</v>
      </c>
      <c r="R571" s="10">
        <v>65</v>
      </c>
      <c r="S571" s="11">
        <v>401.45</v>
      </c>
      <c r="T571" s="11">
        <v>207.9</v>
      </c>
      <c r="U571" s="13">
        <v>-0.81510000000000005</v>
      </c>
      <c r="V571" s="13">
        <v>0.44259999999999999</v>
      </c>
      <c r="W571" s="10">
        <v>0</v>
      </c>
      <c r="X571" s="14">
        <v>0</v>
      </c>
      <c r="Y571" s="11">
        <v>-193.55</v>
      </c>
      <c r="Z571" s="14">
        <v>-7.5681297862897796E-3</v>
      </c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 t="s">
        <v>96</v>
      </c>
    </row>
    <row r="572" spans="1:48" ht="18" hidden="1" customHeight="1" x14ac:dyDescent="0.25">
      <c r="A572" s="4">
        <v>286</v>
      </c>
      <c r="B572" s="4">
        <v>1</v>
      </c>
      <c r="C572" s="4">
        <v>286</v>
      </c>
      <c r="D572" s="87">
        <v>45973</v>
      </c>
      <c r="E572" s="87">
        <v>45978</v>
      </c>
      <c r="F572" s="87">
        <v>45979</v>
      </c>
      <c r="G572" s="5">
        <v>25875.8</v>
      </c>
      <c r="H572" s="5">
        <v>26013.45</v>
      </c>
      <c r="I572" s="5">
        <v>137.65</v>
      </c>
      <c r="J572" s="6">
        <v>5.3196422912528312E-3</v>
      </c>
      <c r="K572" s="90"/>
      <c r="L572" s="90"/>
      <c r="M572" s="7" t="s">
        <v>28</v>
      </c>
      <c r="N572" s="4">
        <v>25900</v>
      </c>
      <c r="O572" s="94"/>
      <c r="P572" s="94"/>
      <c r="Q572" s="7" t="s">
        <v>89</v>
      </c>
      <c r="R572" s="4">
        <v>65</v>
      </c>
      <c r="S572" s="5">
        <v>153.30000000000001</v>
      </c>
      <c r="T572" s="5">
        <v>140.44999999999999</v>
      </c>
      <c r="U572" s="8">
        <v>-0.2535</v>
      </c>
      <c r="V572" s="8">
        <v>0.35170000000000001</v>
      </c>
      <c r="W572" s="5">
        <v>12.85</v>
      </c>
      <c r="X572" s="6">
        <v>4.9660300357863335E-4</v>
      </c>
      <c r="Y572" s="4">
        <v>0</v>
      </c>
      <c r="Z572" s="6">
        <v>0</v>
      </c>
      <c r="AA572" s="5">
        <v>60902.3</v>
      </c>
      <c r="AB572" s="5">
        <v>61180.5</v>
      </c>
      <c r="AC572" s="5">
        <v>278.2</v>
      </c>
      <c r="AD572" s="5">
        <v>0.45679999999999998</v>
      </c>
      <c r="AE572" s="4">
        <v>5</v>
      </c>
      <c r="AF572" s="5">
        <v>-8.3333000000000004E-2</v>
      </c>
      <c r="AG572" s="5">
        <v>227.44810000000001</v>
      </c>
      <c r="AH572" s="5">
        <v>0.3735</v>
      </c>
      <c r="AI572" s="8">
        <v>-0.71150000000000002</v>
      </c>
      <c r="AJ572" s="8">
        <v>0.42330000000000001</v>
      </c>
      <c r="AK572" s="15">
        <v>173.09809999999999</v>
      </c>
      <c r="AL572" s="15">
        <v>0.16350000000000001</v>
      </c>
      <c r="AM572" s="5">
        <v>107.2165</v>
      </c>
      <c r="AN572" s="5">
        <v>108.8053</v>
      </c>
      <c r="AO572" s="5">
        <v>-1.5888</v>
      </c>
      <c r="AP572" s="5">
        <v>-1.4601999999999999</v>
      </c>
      <c r="AQ572" s="8">
        <v>-0.1268</v>
      </c>
      <c r="AR572" s="8">
        <v>1.7399999999999999E-2</v>
      </c>
      <c r="AS572" s="8">
        <v>-0.1268</v>
      </c>
      <c r="AT572" s="5">
        <v>106.9058</v>
      </c>
      <c r="AU572" s="5">
        <v>-1.7458</v>
      </c>
      <c r="AV572" s="7" t="s">
        <v>90</v>
      </c>
    </row>
    <row r="573" spans="1:48" ht="18" customHeight="1" x14ac:dyDescent="0.25">
      <c r="A573" s="10">
        <v>286</v>
      </c>
      <c r="B573" s="10">
        <v>2</v>
      </c>
      <c r="C573" s="10">
        <v>286</v>
      </c>
      <c r="D573" s="88">
        <v>45973</v>
      </c>
      <c r="E573" s="88">
        <v>45978</v>
      </c>
      <c r="F573" s="88">
        <v>45986</v>
      </c>
      <c r="G573" s="11">
        <v>25875.8</v>
      </c>
      <c r="H573" s="11">
        <v>26013.45</v>
      </c>
      <c r="I573" s="12"/>
      <c r="J573" s="12"/>
      <c r="K573" s="92"/>
      <c r="L573" s="92"/>
      <c r="M573" s="12" t="s">
        <v>40</v>
      </c>
      <c r="N573" s="10">
        <v>26000</v>
      </c>
      <c r="O573" s="95">
        <f>IF(F573=F571,O571,MROUND(G573,100))</f>
        <v>26000</v>
      </c>
      <c r="P573" s="95">
        <f>O573-N573</f>
        <v>0</v>
      </c>
      <c r="Q573" s="12" t="s">
        <v>91</v>
      </c>
      <c r="R573" s="10">
        <v>65</v>
      </c>
      <c r="S573" s="11">
        <v>207.9</v>
      </c>
      <c r="T573" s="11">
        <v>140.69999999999999</v>
      </c>
      <c r="U573" s="13">
        <v>-0.29659999999999997</v>
      </c>
      <c r="V573" s="13">
        <v>0.37719999999999998</v>
      </c>
      <c r="W573" s="10">
        <v>0</v>
      </c>
      <c r="X573" s="14">
        <v>0</v>
      </c>
      <c r="Y573" s="11">
        <v>-67.2</v>
      </c>
      <c r="Z573" s="14">
        <v>-2.5970211549014911E-3</v>
      </c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 t="s">
        <v>90</v>
      </c>
    </row>
    <row r="574" spans="1:48" ht="18" hidden="1" customHeight="1" x14ac:dyDescent="0.25">
      <c r="A574" s="4">
        <v>287</v>
      </c>
      <c r="B574" s="4">
        <v>1</v>
      </c>
      <c r="C574" s="4">
        <v>287</v>
      </c>
      <c r="D574" s="87">
        <v>45978</v>
      </c>
      <c r="E574" s="87">
        <v>45985</v>
      </c>
      <c r="F574" s="87">
        <v>45986</v>
      </c>
      <c r="G574" s="5">
        <v>26013.45</v>
      </c>
      <c r="H574" s="5">
        <v>25959.5</v>
      </c>
      <c r="I574" s="5">
        <v>-53.95</v>
      </c>
      <c r="J574" s="6">
        <v>-2.0739271415363982E-3</v>
      </c>
      <c r="K574" s="90"/>
      <c r="L574" s="90"/>
      <c r="M574" s="7" t="s">
        <v>28</v>
      </c>
      <c r="N574" s="4">
        <v>26000</v>
      </c>
      <c r="O574" s="94"/>
      <c r="P574" s="94"/>
      <c r="Q574" s="7" t="s">
        <v>89</v>
      </c>
      <c r="R574" s="4">
        <v>65</v>
      </c>
      <c r="S574" s="5">
        <v>203.15</v>
      </c>
      <c r="T574" s="5">
        <v>72.400000000000006</v>
      </c>
      <c r="U574" s="8">
        <v>-0.41039999999999999</v>
      </c>
      <c r="V574" s="8">
        <v>0.58819999999999995</v>
      </c>
      <c r="W574" s="5">
        <v>130.75</v>
      </c>
      <c r="X574" s="6">
        <v>5.0262460381072099E-3</v>
      </c>
      <c r="Y574" s="4">
        <v>0</v>
      </c>
      <c r="Z574" s="6">
        <v>0</v>
      </c>
      <c r="AA574" s="5">
        <v>61180.5</v>
      </c>
      <c r="AB574" s="5">
        <v>60081.599999999999</v>
      </c>
      <c r="AC574" s="5">
        <v>-1098.9000000000001</v>
      </c>
      <c r="AD574" s="5">
        <v>-1.7962</v>
      </c>
      <c r="AE574" s="4">
        <v>7</v>
      </c>
      <c r="AF574" s="5">
        <v>-0.11666700000000001</v>
      </c>
      <c r="AG574" s="5">
        <v>-1170.2773</v>
      </c>
      <c r="AH574" s="5">
        <v>-1.9128000000000001</v>
      </c>
      <c r="AI574" s="8">
        <v>-2.0952000000000002</v>
      </c>
      <c r="AJ574" s="8">
        <v>4.8300000000000003E-2</v>
      </c>
      <c r="AK574" s="9">
        <v>-1108.8272999999999</v>
      </c>
      <c r="AL574" s="9">
        <v>-1.6766000000000001</v>
      </c>
      <c r="AM574" s="5">
        <v>105.41889999999999</v>
      </c>
      <c r="AN574" s="5">
        <v>108.8053</v>
      </c>
      <c r="AO574" s="5">
        <v>-3.3864000000000001</v>
      </c>
      <c r="AP574" s="5">
        <v>-3.1122999999999998</v>
      </c>
      <c r="AQ574" s="8">
        <v>-0.81840000000000002</v>
      </c>
      <c r="AR574" s="8">
        <v>-1.1908000000000001</v>
      </c>
      <c r="AS574" s="8">
        <v>-1.6766000000000001</v>
      </c>
      <c r="AT574" s="5">
        <v>105.41889999999999</v>
      </c>
      <c r="AU574" s="5">
        <v>-3.1122999999999998</v>
      </c>
      <c r="AV574" s="7" t="s">
        <v>90</v>
      </c>
    </row>
    <row r="575" spans="1:48" ht="18" customHeight="1" x14ac:dyDescent="0.25">
      <c r="A575" s="10">
        <v>287</v>
      </c>
      <c r="B575" s="10">
        <v>2</v>
      </c>
      <c r="C575" s="10">
        <v>287</v>
      </c>
      <c r="D575" s="88">
        <v>45978</v>
      </c>
      <c r="E575" s="88">
        <v>45985</v>
      </c>
      <c r="F575" s="88">
        <v>45986</v>
      </c>
      <c r="G575" s="11">
        <v>26013.45</v>
      </c>
      <c r="H575" s="11">
        <v>25959.5</v>
      </c>
      <c r="I575" s="12"/>
      <c r="J575" s="12"/>
      <c r="K575" s="92"/>
      <c r="L575" s="92"/>
      <c r="M575" s="12" t="s">
        <v>40</v>
      </c>
      <c r="N575" s="10">
        <v>26000</v>
      </c>
      <c r="O575" s="95">
        <f>IF(F575=F573,O573,MROUND(G575,100))</f>
        <v>26000</v>
      </c>
      <c r="P575" s="95">
        <f>O575-N575</f>
        <v>0</v>
      </c>
      <c r="Q575" s="12" t="s">
        <v>91</v>
      </c>
      <c r="R575" s="10">
        <v>65</v>
      </c>
      <c r="S575" s="11">
        <v>140.69999999999999</v>
      </c>
      <c r="T575" s="11">
        <v>71.400000000000006</v>
      </c>
      <c r="U575" s="13">
        <v>-0.45629999999999998</v>
      </c>
      <c r="V575" s="13">
        <v>0.31619999999999998</v>
      </c>
      <c r="W575" s="10">
        <v>0</v>
      </c>
      <c r="X575" s="14">
        <v>0</v>
      </c>
      <c r="Y575" s="11">
        <v>-69.3</v>
      </c>
      <c r="Z575" s="14">
        <v>-2.6640065043275689E-3</v>
      </c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 t="s">
        <v>90</v>
      </c>
    </row>
    <row r="576" spans="1:48" ht="18" hidden="1" customHeight="1" x14ac:dyDescent="0.25">
      <c r="A576" s="4">
        <v>288</v>
      </c>
      <c r="B576" s="4">
        <v>1</v>
      </c>
      <c r="C576" s="4">
        <v>288</v>
      </c>
      <c r="D576" s="87">
        <v>45985</v>
      </c>
      <c r="E576" s="87">
        <v>45992</v>
      </c>
      <c r="F576" s="87">
        <v>45993</v>
      </c>
      <c r="G576" s="5">
        <v>25959.5</v>
      </c>
      <c r="H576" s="5">
        <v>26175.75</v>
      </c>
      <c r="I576" s="5">
        <v>216.25</v>
      </c>
      <c r="J576" s="6">
        <v>8.3302837111654694E-3</v>
      </c>
      <c r="K576" s="90"/>
      <c r="L576" s="90"/>
      <c r="M576" s="7" t="s">
        <v>28</v>
      </c>
      <c r="N576" s="4">
        <v>26000</v>
      </c>
      <c r="O576" s="94"/>
      <c r="P576" s="94"/>
      <c r="Q576" s="7" t="s">
        <v>89</v>
      </c>
      <c r="R576" s="4">
        <v>65</v>
      </c>
      <c r="S576" s="5">
        <v>198.05</v>
      </c>
      <c r="T576" s="5">
        <v>198.8</v>
      </c>
      <c r="U576" s="8">
        <v>-0.67220000000000002</v>
      </c>
      <c r="V576" s="8">
        <v>0.4143</v>
      </c>
      <c r="W576" s="5">
        <v>-0.75</v>
      </c>
      <c r="X576" s="6">
        <v>-2.8891157379764631E-5</v>
      </c>
      <c r="Y576" s="4">
        <v>0</v>
      </c>
      <c r="Z576" s="6">
        <v>0</v>
      </c>
      <c r="AA576" s="5">
        <v>60081.599999999999</v>
      </c>
      <c r="AB576" s="5">
        <v>61043.4</v>
      </c>
      <c r="AC576" s="5">
        <v>961.8</v>
      </c>
      <c r="AD576" s="5">
        <v>1.6008</v>
      </c>
      <c r="AE576" s="4">
        <v>7</v>
      </c>
      <c r="AF576" s="5">
        <v>-0.11666700000000001</v>
      </c>
      <c r="AG576" s="5">
        <v>891.70479999999998</v>
      </c>
      <c r="AH576" s="5">
        <v>1.4842</v>
      </c>
      <c r="AI576" s="8">
        <v>-0.22950000000000001</v>
      </c>
      <c r="AJ576" s="8">
        <v>1.9277</v>
      </c>
      <c r="AK576" s="15">
        <v>778.70479999999998</v>
      </c>
      <c r="AL576" s="15">
        <v>1.0488999999999999</v>
      </c>
      <c r="AM576" s="5">
        <v>106.52460000000001</v>
      </c>
      <c r="AN576" s="5">
        <v>108.8053</v>
      </c>
      <c r="AO576" s="5">
        <v>-2.2806999999999999</v>
      </c>
      <c r="AP576" s="5">
        <v>-2.0960999999999999</v>
      </c>
      <c r="AQ576" s="8">
        <v>0.64319999999999999</v>
      </c>
      <c r="AR576" s="8">
        <v>0.32119999999999999</v>
      </c>
      <c r="AS576" s="8">
        <v>0.32119999999999999</v>
      </c>
      <c r="AT576" s="5">
        <v>105.75749999999999</v>
      </c>
      <c r="AU576" s="5">
        <v>-2.8010999999999999</v>
      </c>
      <c r="AV576" s="7" t="s">
        <v>90</v>
      </c>
    </row>
    <row r="577" spans="1:48" ht="18" customHeight="1" x14ac:dyDescent="0.25">
      <c r="A577" s="10">
        <v>288</v>
      </c>
      <c r="B577" s="10">
        <v>2</v>
      </c>
      <c r="C577" s="10">
        <v>288</v>
      </c>
      <c r="D577" s="88">
        <v>45985</v>
      </c>
      <c r="E577" s="88">
        <v>45992</v>
      </c>
      <c r="F577" s="88">
        <v>46021</v>
      </c>
      <c r="G577" s="11">
        <v>25959.5</v>
      </c>
      <c r="H577" s="11">
        <v>26175.75</v>
      </c>
      <c r="I577" s="12"/>
      <c r="J577" s="12"/>
      <c r="K577" s="92"/>
      <c r="L577" s="92"/>
      <c r="M577" s="12" t="s">
        <v>40</v>
      </c>
      <c r="N577" s="10">
        <v>26000</v>
      </c>
      <c r="O577" s="95">
        <f>IF(F577=F575,O575,MROUND(G577,100))</f>
        <v>26000</v>
      </c>
      <c r="P577" s="95">
        <f>O577-N577</f>
        <v>0</v>
      </c>
      <c r="Q577" s="12" t="s">
        <v>91</v>
      </c>
      <c r="R577" s="10">
        <v>65</v>
      </c>
      <c r="S577" s="11">
        <v>280.5</v>
      </c>
      <c r="T577" s="11">
        <v>168.25</v>
      </c>
      <c r="U577" s="13">
        <v>-0.61229999999999996</v>
      </c>
      <c r="V577" s="13">
        <v>0.13639999999999999</v>
      </c>
      <c r="W577" s="10">
        <v>0</v>
      </c>
      <c r="X577" s="14">
        <v>0</v>
      </c>
      <c r="Y577" s="11">
        <v>-112.25</v>
      </c>
      <c r="Z577" s="14">
        <v>-4.3240432211714402E-3</v>
      </c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 t="s">
        <v>90</v>
      </c>
    </row>
    <row r="578" spans="1:48" ht="18" hidden="1" customHeight="1" x14ac:dyDescent="0.25">
      <c r="A578" s="4">
        <v>289</v>
      </c>
      <c r="B578" s="4">
        <v>1</v>
      </c>
      <c r="C578" s="4">
        <v>289</v>
      </c>
      <c r="D578" s="87">
        <v>45992</v>
      </c>
      <c r="E578" s="87">
        <v>45999</v>
      </c>
      <c r="F578" s="87">
        <v>46000</v>
      </c>
      <c r="G578" s="5">
        <v>26175.75</v>
      </c>
      <c r="H578" s="5">
        <v>25960.55</v>
      </c>
      <c r="I578" s="5">
        <v>-215.2</v>
      </c>
      <c r="J578" s="6">
        <v>-8.2213499135650354E-3</v>
      </c>
      <c r="K578" s="90"/>
      <c r="L578" s="90"/>
      <c r="M578" s="7" t="s">
        <v>28</v>
      </c>
      <c r="N578" s="4">
        <v>26200</v>
      </c>
      <c r="O578" s="94"/>
      <c r="P578" s="94"/>
      <c r="Q578" s="7" t="s">
        <v>89</v>
      </c>
      <c r="R578" s="4">
        <v>65</v>
      </c>
      <c r="S578" s="5">
        <v>173.85</v>
      </c>
      <c r="T578" s="5">
        <v>8.15</v>
      </c>
      <c r="U578" s="8">
        <v>5.4600000000000003E-2</v>
      </c>
      <c r="V578" s="8">
        <v>0.63929999999999998</v>
      </c>
      <c r="W578" s="5">
        <v>165.7</v>
      </c>
      <c r="X578" s="6">
        <v>6.3302866202496581E-3</v>
      </c>
      <c r="Y578" s="4">
        <v>0</v>
      </c>
      <c r="Z578" s="6">
        <v>0</v>
      </c>
      <c r="AA578" s="5">
        <v>61043.4</v>
      </c>
      <c r="AB578" s="5">
        <v>59488.1</v>
      </c>
      <c r="AC578" s="5">
        <v>-1555.3</v>
      </c>
      <c r="AD578" s="5">
        <v>-2.5478999999999998</v>
      </c>
      <c r="AE578" s="4">
        <v>7</v>
      </c>
      <c r="AF578" s="5">
        <v>-0.11666700000000001</v>
      </c>
      <c r="AG578" s="5">
        <v>-1626.5173</v>
      </c>
      <c r="AH578" s="5">
        <v>-2.6644999999999999</v>
      </c>
      <c r="AI578" s="8">
        <v>-3.1034999999999999</v>
      </c>
      <c r="AJ578" s="8">
        <v>0.32990000000000003</v>
      </c>
      <c r="AK578" s="9">
        <v>-1410.9173000000001</v>
      </c>
      <c r="AL578" s="9">
        <v>-1.8408</v>
      </c>
      <c r="AM578" s="5">
        <v>104.5637</v>
      </c>
      <c r="AN578" s="5">
        <v>108.8053</v>
      </c>
      <c r="AO578" s="5">
        <v>-4.2416</v>
      </c>
      <c r="AP578" s="5">
        <v>-3.8982999999999999</v>
      </c>
      <c r="AQ578" s="8">
        <v>0.1857</v>
      </c>
      <c r="AR578" s="8">
        <v>-2.1101999999999999</v>
      </c>
      <c r="AS578" s="8">
        <v>-2.1101999999999999</v>
      </c>
      <c r="AT578" s="5">
        <v>104.27679999999999</v>
      </c>
      <c r="AU578" s="5">
        <v>-4.1620999999999997</v>
      </c>
      <c r="AV578" s="7" t="s">
        <v>90</v>
      </c>
    </row>
    <row r="579" spans="1:48" ht="18" customHeight="1" x14ac:dyDescent="0.25">
      <c r="A579" s="10">
        <v>289</v>
      </c>
      <c r="B579" s="10">
        <v>2</v>
      </c>
      <c r="C579" s="10">
        <v>289</v>
      </c>
      <c r="D579" s="88">
        <v>45992</v>
      </c>
      <c r="E579" s="88">
        <v>45999</v>
      </c>
      <c r="F579" s="88">
        <v>46021</v>
      </c>
      <c r="G579" s="11">
        <v>26175.75</v>
      </c>
      <c r="H579" s="11">
        <v>25960.55</v>
      </c>
      <c r="I579" s="12"/>
      <c r="J579" s="12"/>
      <c r="K579" s="92"/>
      <c r="L579" s="92"/>
      <c r="M579" s="12" t="s">
        <v>40</v>
      </c>
      <c r="N579" s="10">
        <v>26000</v>
      </c>
      <c r="O579" s="95">
        <f>IF(F579=F577,O577,MROUND(G579,100))</f>
        <v>26000</v>
      </c>
      <c r="P579" s="95">
        <f>O579-N579</f>
        <v>0</v>
      </c>
      <c r="Q579" s="12" t="s">
        <v>91</v>
      </c>
      <c r="R579" s="10">
        <v>65</v>
      </c>
      <c r="S579" s="11">
        <v>168.25</v>
      </c>
      <c r="T579" s="11">
        <v>218.15</v>
      </c>
      <c r="U579" s="13">
        <v>-0.1988</v>
      </c>
      <c r="V579" s="13">
        <v>0.35399999999999998</v>
      </c>
      <c r="W579" s="10">
        <v>0</v>
      </c>
      <c r="X579" s="14">
        <v>0</v>
      </c>
      <c r="Y579" s="11">
        <v>49.9</v>
      </c>
      <c r="Z579" s="14">
        <v>1.9063446128573199E-3</v>
      </c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 t="s">
        <v>90</v>
      </c>
    </row>
    <row r="580" spans="1:48" ht="18" hidden="1" customHeight="1" x14ac:dyDescent="0.25">
      <c r="A580" s="4">
        <v>290</v>
      </c>
      <c r="B580" s="4">
        <v>1</v>
      </c>
      <c r="C580" s="4">
        <v>290</v>
      </c>
      <c r="D580" s="87">
        <v>45999</v>
      </c>
      <c r="E580" s="87">
        <v>46006</v>
      </c>
      <c r="F580" s="87">
        <v>46007</v>
      </c>
      <c r="G580" s="5">
        <v>25960.55</v>
      </c>
      <c r="H580" s="5">
        <v>26027.3</v>
      </c>
      <c r="I580" s="5">
        <v>66.75</v>
      </c>
      <c r="J580" s="6">
        <v>2.5712090075133229E-3</v>
      </c>
      <c r="K580" s="90"/>
      <c r="L580" s="90"/>
      <c r="M580" s="7" t="s">
        <v>28</v>
      </c>
      <c r="N580" s="4">
        <v>26000</v>
      </c>
      <c r="O580" s="94"/>
      <c r="P580" s="94"/>
      <c r="Q580" s="7" t="s">
        <v>89</v>
      </c>
      <c r="R580" s="4">
        <v>65</v>
      </c>
      <c r="S580" s="5">
        <v>153.15</v>
      </c>
      <c r="T580" s="5">
        <v>72.8</v>
      </c>
      <c r="U580" s="8">
        <v>8.1500000000000003E-2</v>
      </c>
      <c r="V580" s="8">
        <v>0.45669999999999999</v>
      </c>
      <c r="W580" s="5">
        <v>80.349999999999994</v>
      </c>
      <c r="X580" s="6">
        <v>3.095080805298809E-3</v>
      </c>
      <c r="Y580" s="4">
        <v>0</v>
      </c>
      <c r="Z580" s="6">
        <v>0</v>
      </c>
      <c r="AA580" s="5">
        <v>59488.1</v>
      </c>
      <c r="AB580" s="5">
        <v>60212.800000000003</v>
      </c>
      <c r="AC580" s="5">
        <v>724.7</v>
      </c>
      <c r="AD580" s="5">
        <v>1.2181999999999999</v>
      </c>
      <c r="AE580" s="4">
        <v>7</v>
      </c>
      <c r="AF580" s="5">
        <v>-0.11666700000000001</v>
      </c>
      <c r="AG580" s="5">
        <v>655.29719999999998</v>
      </c>
      <c r="AH580" s="5">
        <v>1.1015999999999999</v>
      </c>
      <c r="AI580" s="8">
        <v>-1.6011</v>
      </c>
      <c r="AJ580" s="8">
        <v>1.3507</v>
      </c>
      <c r="AK580" s="15">
        <v>658.94719999999995</v>
      </c>
      <c r="AL580" s="15">
        <v>1.1156999999999999</v>
      </c>
      <c r="AM580" s="5">
        <v>105.7304</v>
      </c>
      <c r="AN580" s="5">
        <v>108.8053</v>
      </c>
      <c r="AO580" s="5">
        <v>-3.0749</v>
      </c>
      <c r="AP580" s="5">
        <v>-2.8260999999999998</v>
      </c>
      <c r="AQ580" s="8">
        <v>1.0992</v>
      </c>
      <c r="AR580" s="8">
        <v>-0.66600000000000004</v>
      </c>
      <c r="AS580" s="8">
        <v>-0.66600000000000004</v>
      </c>
      <c r="AT580" s="5">
        <v>103.8673</v>
      </c>
      <c r="AU580" s="5">
        <v>-4.5382999999999996</v>
      </c>
      <c r="AV580" s="7" t="s">
        <v>90</v>
      </c>
    </row>
    <row r="581" spans="1:48" ht="18" customHeight="1" x14ac:dyDescent="0.25">
      <c r="A581" s="10">
        <v>290</v>
      </c>
      <c r="B581" s="10">
        <v>2</v>
      </c>
      <c r="C581" s="10">
        <v>290</v>
      </c>
      <c r="D581" s="88">
        <v>45999</v>
      </c>
      <c r="E581" s="88">
        <v>46006</v>
      </c>
      <c r="F581" s="88">
        <v>46021</v>
      </c>
      <c r="G581" s="11">
        <v>25960.55</v>
      </c>
      <c r="H581" s="11">
        <v>26027.3</v>
      </c>
      <c r="I581" s="12"/>
      <c r="J581" s="12"/>
      <c r="K581" s="92"/>
      <c r="L581" s="92"/>
      <c r="M581" s="12" t="s">
        <v>40</v>
      </c>
      <c r="N581" s="10">
        <v>26000</v>
      </c>
      <c r="O581" s="95">
        <f>IF(F581=F579,O579,MROUND(G581,100))</f>
        <v>26000</v>
      </c>
      <c r="P581" s="95">
        <f>O581-N581</f>
        <v>0</v>
      </c>
      <c r="Q581" s="12" t="s">
        <v>91</v>
      </c>
      <c r="R581" s="10">
        <v>65</v>
      </c>
      <c r="S581" s="11">
        <v>218.15</v>
      </c>
      <c r="T581" s="11">
        <v>141.44999999999999</v>
      </c>
      <c r="U581" s="13">
        <v>-0.33300000000000002</v>
      </c>
      <c r="V581" s="13">
        <v>0.47839999999999999</v>
      </c>
      <c r="W581" s="10">
        <v>0</v>
      </c>
      <c r="X581" s="14">
        <v>0</v>
      </c>
      <c r="Y581" s="11">
        <v>-76.7</v>
      </c>
      <c r="Z581" s="14">
        <v>-2.954482859569616E-3</v>
      </c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 t="s">
        <v>90</v>
      </c>
    </row>
    <row r="582" spans="1:48" ht="18" hidden="1" customHeight="1" x14ac:dyDescent="0.25">
      <c r="A582" s="4">
        <v>291</v>
      </c>
      <c r="B582" s="4">
        <v>1</v>
      </c>
      <c r="C582" s="4">
        <v>291</v>
      </c>
      <c r="D582" s="87">
        <v>46006</v>
      </c>
      <c r="E582" s="87">
        <v>46013</v>
      </c>
      <c r="F582" s="87">
        <v>46014</v>
      </c>
      <c r="G582" s="5">
        <v>26027.3</v>
      </c>
      <c r="H582" s="5">
        <v>26172.400000000001</v>
      </c>
      <c r="I582" s="5">
        <v>145.1</v>
      </c>
      <c r="J582" s="6">
        <v>5.5749155694213379E-3</v>
      </c>
      <c r="K582" s="90"/>
      <c r="L582" s="90"/>
      <c r="M582" s="7" t="s">
        <v>28</v>
      </c>
      <c r="N582" s="4">
        <v>26000</v>
      </c>
      <c r="O582" s="94"/>
      <c r="P582" s="94"/>
      <c r="Q582" s="7" t="s">
        <v>89</v>
      </c>
      <c r="R582" s="4">
        <v>65</v>
      </c>
      <c r="S582" s="5">
        <v>180.45</v>
      </c>
      <c r="T582" s="5">
        <v>165.8</v>
      </c>
      <c r="U582" s="8">
        <v>2.23E-2</v>
      </c>
      <c r="V582" s="8">
        <v>0.57230000000000003</v>
      </c>
      <c r="W582" s="5">
        <v>14.65</v>
      </c>
      <c r="X582" s="6">
        <v>5.6287052441090699E-4</v>
      </c>
      <c r="Y582" s="4">
        <v>0</v>
      </c>
      <c r="Z582" s="6">
        <v>0</v>
      </c>
      <c r="AA582" s="5">
        <v>60212.800000000003</v>
      </c>
      <c r="AB582" s="5">
        <v>60815.25</v>
      </c>
      <c r="AC582" s="5">
        <v>602.45000000000005</v>
      </c>
      <c r="AD582" s="5">
        <v>1.0004999999999999</v>
      </c>
      <c r="AE582" s="4">
        <v>7</v>
      </c>
      <c r="AF582" s="5">
        <v>-0.11666700000000001</v>
      </c>
      <c r="AG582" s="5">
        <v>532.20169999999996</v>
      </c>
      <c r="AH582" s="5">
        <v>0.88390000000000002</v>
      </c>
      <c r="AI582" s="8">
        <v>-2.1255000000000002</v>
      </c>
      <c r="AJ582" s="8">
        <v>0.96740000000000004</v>
      </c>
      <c r="AK582" s="15">
        <v>465.55169999999998</v>
      </c>
      <c r="AL582" s="15">
        <v>0.62780000000000002</v>
      </c>
      <c r="AM582" s="5">
        <v>106.39409999999999</v>
      </c>
      <c r="AN582" s="5">
        <v>108.8053</v>
      </c>
      <c r="AO582" s="5">
        <v>-2.4112</v>
      </c>
      <c r="AP582" s="5">
        <v>-2.2160000000000002</v>
      </c>
      <c r="AQ582" s="8">
        <v>0.6704</v>
      </c>
      <c r="AR582" s="8">
        <v>-1.0146999999999999</v>
      </c>
      <c r="AS582" s="8">
        <v>-1.0146999999999999</v>
      </c>
      <c r="AT582" s="5">
        <v>104.6575</v>
      </c>
      <c r="AU582" s="5">
        <v>-3.8121</v>
      </c>
      <c r="AV582" s="7" t="s">
        <v>90</v>
      </c>
    </row>
    <row r="583" spans="1:48" ht="18" customHeight="1" x14ac:dyDescent="0.25">
      <c r="A583" s="10">
        <v>291</v>
      </c>
      <c r="B583" s="10">
        <v>2</v>
      </c>
      <c r="C583" s="10">
        <v>291</v>
      </c>
      <c r="D583" s="88">
        <v>46006</v>
      </c>
      <c r="E583" s="88">
        <v>46013</v>
      </c>
      <c r="F583" s="88">
        <v>46021</v>
      </c>
      <c r="G583" s="11">
        <v>26027.3</v>
      </c>
      <c r="H583" s="11">
        <v>26172.400000000001</v>
      </c>
      <c r="I583" s="12"/>
      <c r="J583" s="12"/>
      <c r="K583" s="92"/>
      <c r="L583" s="92"/>
      <c r="M583" s="12" t="s">
        <v>40</v>
      </c>
      <c r="N583" s="10">
        <v>26000</v>
      </c>
      <c r="O583" s="95">
        <f>IF(F583=F581,O581,MROUND(G583,100))</f>
        <v>26000</v>
      </c>
      <c r="P583" s="95">
        <f>O583-N583</f>
        <v>0</v>
      </c>
      <c r="Q583" s="12" t="s">
        <v>91</v>
      </c>
      <c r="R583" s="10">
        <v>65</v>
      </c>
      <c r="S583" s="11">
        <v>141.44999999999999</v>
      </c>
      <c r="T583" s="11">
        <v>60.15</v>
      </c>
      <c r="U583" s="13">
        <v>-0.31929999999999997</v>
      </c>
      <c r="V583" s="13">
        <v>0.53849999999999998</v>
      </c>
      <c r="W583" s="10">
        <v>0</v>
      </c>
      <c r="X583" s="14">
        <v>0</v>
      </c>
      <c r="Y583" s="11">
        <v>-81.3</v>
      </c>
      <c r="Z583" s="14">
        <v>-3.1236432515089931E-3</v>
      </c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 t="s">
        <v>90</v>
      </c>
    </row>
    <row r="584" spans="1:48" ht="18" hidden="1" customHeight="1" x14ac:dyDescent="0.25">
      <c r="A584" s="4">
        <v>292</v>
      </c>
      <c r="B584" s="4">
        <v>1</v>
      </c>
      <c r="C584" s="4">
        <v>292</v>
      </c>
      <c r="D584" s="87">
        <v>46013</v>
      </c>
      <c r="E584" s="87">
        <v>46020</v>
      </c>
      <c r="F584" s="87">
        <v>46021</v>
      </c>
      <c r="G584" s="5">
        <v>26172.400000000001</v>
      </c>
      <c r="H584" s="5">
        <v>25942.1</v>
      </c>
      <c r="I584" s="5">
        <v>-230.3</v>
      </c>
      <c r="J584" s="6">
        <v>-8.7993458758081032E-3</v>
      </c>
      <c r="K584" s="90"/>
      <c r="L584" s="90"/>
      <c r="M584" s="7" t="s">
        <v>28</v>
      </c>
      <c r="N584" s="4">
        <v>26200</v>
      </c>
      <c r="O584" s="94"/>
      <c r="P584" s="94"/>
      <c r="Q584" s="7" t="s">
        <v>89</v>
      </c>
      <c r="R584" s="4">
        <v>65</v>
      </c>
      <c r="S584" s="5">
        <v>128.25</v>
      </c>
      <c r="T584" s="5">
        <v>4.95</v>
      </c>
      <c r="U584" s="8">
        <v>-8.5000000000000006E-2</v>
      </c>
      <c r="V584" s="8">
        <v>0.47360000000000002</v>
      </c>
      <c r="W584" s="5">
        <v>123.3</v>
      </c>
      <c r="X584" s="6">
        <v>4.7110696764530568E-3</v>
      </c>
      <c r="Y584" s="4">
        <v>0</v>
      </c>
      <c r="Z584" s="6">
        <v>0</v>
      </c>
      <c r="AA584" s="5">
        <v>60815.25</v>
      </c>
      <c r="AB584" s="5">
        <v>60001.3</v>
      </c>
      <c r="AC584" s="5">
        <v>-813.95</v>
      </c>
      <c r="AD584" s="5">
        <v>-1.3384</v>
      </c>
      <c r="AE584" s="4">
        <v>7</v>
      </c>
      <c r="AF584" s="5">
        <v>-0.11666700000000001</v>
      </c>
      <c r="AG584" s="5">
        <v>-884.90110000000004</v>
      </c>
      <c r="AH584" s="5">
        <v>-1.4551000000000001</v>
      </c>
      <c r="AI584" s="8">
        <v>-1.5661</v>
      </c>
      <c r="AJ584" s="8">
        <v>0.31900000000000001</v>
      </c>
      <c r="AK584" s="9">
        <v>-745.90110000000004</v>
      </c>
      <c r="AL584" s="9">
        <v>-0.92400000000000004</v>
      </c>
      <c r="AM584" s="5">
        <v>105.4111</v>
      </c>
      <c r="AN584" s="5">
        <v>108.8053</v>
      </c>
      <c r="AO584" s="5">
        <v>-3.3942999999999999</v>
      </c>
      <c r="AP584" s="5">
        <v>-3.1196000000000002</v>
      </c>
      <c r="AQ584" s="8">
        <v>7.4700000000000003E-2</v>
      </c>
      <c r="AR584" s="8">
        <v>-0.96779999999999999</v>
      </c>
      <c r="AS584" s="8">
        <v>-0.96779999999999999</v>
      </c>
      <c r="AT584" s="5">
        <v>105.3644</v>
      </c>
      <c r="AU584" s="5">
        <v>-3.1623999999999999</v>
      </c>
      <c r="AV584" s="7" t="s">
        <v>90</v>
      </c>
    </row>
    <row r="585" spans="1:48" ht="18" customHeight="1" x14ac:dyDescent="0.25">
      <c r="A585" s="10">
        <v>292</v>
      </c>
      <c r="B585" s="10">
        <v>2</v>
      </c>
      <c r="C585" s="10">
        <v>292</v>
      </c>
      <c r="D585" s="88">
        <v>46013</v>
      </c>
      <c r="E585" s="88">
        <v>46020</v>
      </c>
      <c r="F585" s="88">
        <v>46021</v>
      </c>
      <c r="G585" s="11">
        <v>26172.400000000001</v>
      </c>
      <c r="H585" s="11">
        <v>25942.1</v>
      </c>
      <c r="I585" s="12"/>
      <c r="J585" s="12"/>
      <c r="K585" s="92"/>
      <c r="L585" s="92"/>
      <c r="M585" s="12" t="s">
        <v>40</v>
      </c>
      <c r="N585" s="10">
        <v>26000</v>
      </c>
      <c r="O585" s="95">
        <f>IF(F585=F583,O583,MROUND(G585,100))</f>
        <v>26000</v>
      </c>
      <c r="P585" s="95">
        <f>O585-N585</f>
        <v>0</v>
      </c>
      <c r="Q585" s="12" t="s">
        <v>91</v>
      </c>
      <c r="R585" s="10">
        <v>65</v>
      </c>
      <c r="S585" s="11">
        <v>60.15</v>
      </c>
      <c r="T585" s="11">
        <v>75.849999999999994</v>
      </c>
      <c r="U585" s="13">
        <v>-0.1593</v>
      </c>
      <c r="V585" s="13">
        <v>0.12470000000000001</v>
      </c>
      <c r="W585" s="10">
        <v>0</v>
      </c>
      <c r="X585" s="14">
        <v>0</v>
      </c>
      <c r="Y585" s="11">
        <v>15.7</v>
      </c>
      <c r="Z585" s="14">
        <v>5.9986856383060008E-4</v>
      </c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 t="s">
        <v>90</v>
      </c>
    </row>
    <row r="586" spans="1:48" ht="18" hidden="1" customHeight="1" x14ac:dyDescent="0.25">
      <c r="A586" s="4">
        <v>293</v>
      </c>
      <c r="B586" s="4">
        <v>1</v>
      </c>
      <c r="C586" s="4">
        <v>293</v>
      </c>
      <c r="D586" s="87">
        <v>46020</v>
      </c>
      <c r="E586" s="87">
        <v>46024</v>
      </c>
      <c r="F586" s="87">
        <v>46028</v>
      </c>
      <c r="G586" s="5">
        <v>25942.1</v>
      </c>
      <c r="H586" s="5">
        <v>26328.55</v>
      </c>
      <c r="I586" s="5">
        <v>386.45</v>
      </c>
      <c r="J586" s="6">
        <v>1.489663519915504E-2</v>
      </c>
      <c r="K586" s="90"/>
      <c r="L586" s="90"/>
      <c r="M586" s="7" t="s">
        <v>28</v>
      </c>
      <c r="N586" s="4">
        <v>25900</v>
      </c>
      <c r="O586" s="94"/>
      <c r="P586" s="94"/>
      <c r="Q586" s="7" t="s">
        <v>89</v>
      </c>
      <c r="R586" s="4">
        <v>65</v>
      </c>
      <c r="S586" s="5">
        <v>184.95</v>
      </c>
      <c r="T586" s="5">
        <v>429.3</v>
      </c>
      <c r="U586" s="8">
        <v>-1.0315000000000001</v>
      </c>
      <c r="V586" s="8">
        <v>0.1958</v>
      </c>
      <c r="W586" s="5">
        <v>-244.35</v>
      </c>
      <c r="X586" s="6">
        <v>-9.4190524282922357E-3</v>
      </c>
      <c r="Y586" s="4">
        <v>0</v>
      </c>
      <c r="Z586" s="6">
        <v>0</v>
      </c>
      <c r="AA586" s="5">
        <v>60001.3</v>
      </c>
      <c r="AB586" s="5">
        <v>61365.9</v>
      </c>
      <c r="AC586" s="5">
        <v>1364.6</v>
      </c>
      <c r="AD586" s="5">
        <v>2.2743000000000002</v>
      </c>
      <c r="AE586" s="4">
        <v>4</v>
      </c>
      <c r="AF586" s="5">
        <v>-6.6667000000000004E-2</v>
      </c>
      <c r="AG586" s="5">
        <v>1324.5990999999999</v>
      </c>
      <c r="AH586" s="5">
        <v>2.2075999999999998</v>
      </c>
      <c r="AI586" s="8">
        <v>-0.46250000000000002</v>
      </c>
      <c r="AJ586" s="8">
        <v>2.2603</v>
      </c>
      <c r="AK586" s="15">
        <v>972.34910000000002</v>
      </c>
      <c r="AL586" s="15">
        <v>0.8498</v>
      </c>
      <c r="AM586" s="5">
        <v>106.3068</v>
      </c>
      <c r="AN586" s="5">
        <v>108.8053</v>
      </c>
      <c r="AO586" s="5">
        <v>-2.4984999999999999</v>
      </c>
      <c r="AP586" s="5">
        <v>-2.2963</v>
      </c>
      <c r="AQ586" s="8">
        <v>0.80420000000000003</v>
      </c>
      <c r="AR586" s="8">
        <v>-0.152</v>
      </c>
      <c r="AS586" s="8">
        <v>-0.152</v>
      </c>
      <c r="AT586" s="5">
        <v>105.2508</v>
      </c>
      <c r="AU586" s="5">
        <v>-3.2667999999999999</v>
      </c>
      <c r="AV586" s="7" t="s">
        <v>96</v>
      </c>
    </row>
    <row r="587" spans="1:48" ht="18" customHeight="1" x14ac:dyDescent="0.25">
      <c r="A587" s="10">
        <v>293</v>
      </c>
      <c r="B587" s="10">
        <v>2</v>
      </c>
      <c r="C587" s="10">
        <v>293</v>
      </c>
      <c r="D587" s="88">
        <v>46020</v>
      </c>
      <c r="E587" s="88">
        <v>46024</v>
      </c>
      <c r="F587" s="88">
        <v>46049</v>
      </c>
      <c r="G587" s="11">
        <v>25942.1</v>
      </c>
      <c r="H587" s="11">
        <v>26328.55</v>
      </c>
      <c r="I587" s="12"/>
      <c r="J587" s="12"/>
      <c r="K587" s="92"/>
      <c r="L587" s="92"/>
      <c r="M587" s="12" t="s">
        <v>40</v>
      </c>
      <c r="N587" s="10">
        <v>25900</v>
      </c>
      <c r="O587" s="95">
        <f>IF(F587=F585,O585,MROUND(G587,100))</f>
        <v>25900</v>
      </c>
      <c r="P587" s="95">
        <f>O587-N587</f>
        <v>0</v>
      </c>
      <c r="Q587" s="12" t="s">
        <v>91</v>
      </c>
      <c r="R587" s="10">
        <v>65</v>
      </c>
      <c r="S587" s="11">
        <v>173.45</v>
      </c>
      <c r="T587" s="11">
        <v>65.55</v>
      </c>
      <c r="U587" s="13">
        <v>-0.42459999999999998</v>
      </c>
      <c r="V587" s="13">
        <v>0.1147</v>
      </c>
      <c r="W587" s="10">
        <v>0</v>
      </c>
      <c r="X587" s="14">
        <v>0</v>
      </c>
      <c r="Y587" s="11">
        <v>-107.9</v>
      </c>
      <c r="Z587" s="14">
        <v>-4.1592623573265082E-3</v>
      </c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 t="s">
        <v>96</v>
      </c>
    </row>
    <row r="588" spans="1:48" ht="18" hidden="1" customHeight="1" x14ac:dyDescent="0.25">
      <c r="A588" s="4">
        <v>294</v>
      </c>
      <c r="B588" s="4">
        <v>1</v>
      </c>
      <c r="C588" s="4">
        <v>294</v>
      </c>
      <c r="D588" s="87">
        <v>46024</v>
      </c>
      <c r="E588" s="87">
        <v>46027</v>
      </c>
      <c r="F588" s="87">
        <v>46028</v>
      </c>
      <c r="G588" s="5">
        <v>26328.55</v>
      </c>
      <c r="H588" s="5">
        <v>26250.3</v>
      </c>
      <c r="I588" s="5">
        <v>-78.25</v>
      </c>
      <c r="J588" s="6">
        <v>-2.972058848664283E-3</v>
      </c>
      <c r="K588" s="90"/>
      <c r="L588" s="90"/>
      <c r="M588" s="7" t="s">
        <v>28</v>
      </c>
      <c r="N588" s="4">
        <v>26300</v>
      </c>
      <c r="O588" s="94"/>
      <c r="P588" s="94"/>
      <c r="Q588" s="7" t="s">
        <v>89</v>
      </c>
      <c r="R588" s="4">
        <v>65</v>
      </c>
      <c r="S588" s="5">
        <v>80.8</v>
      </c>
      <c r="T588" s="5">
        <v>22.6</v>
      </c>
      <c r="U588" s="8">
        <v>-0.1326</v>
      </c>
      <c r="V588" s="8">
        <v>0.23949999999999999</v>
      </c>
      <c r="W588" s="5">
        <v>58.2</v>
      </c>
      <c r="X588" s="6">
        <v>2.210528114917077E-3</v>
      </c>
      <c r="Y588" s="4">
        <v>0</v>
      </c>
      <c r="Z588" s="6">
        <v>0</v>
      </c>
      <c r="AA588" s="5">
        <v>61365.9</v>
      </c>
      <c r="AB588" s="5">
        <v>61265.7</v>
      </c>
      <c r="AC588" s="5">
        <v>-100.2</v>
      </c>
      <c r="AD588" s="5">
        <v>-0.1633</v>
      </c>
      <c r="AE588" s="4">
        <v>3</v>
      </c>
      <c r="AF588" s="5">
        <v>-0.05</v>
      </c>
      <c r="AG588" s="5">
        <v>-130.88300000000001</v>
      </c>
      <c r="AH588" s="5">
        <v>-0.21329999999999999</v>
      </c>
      <c r="AI588" s="8">
        <v>-0.69389999999999996</v>
      </c>
      <c r="AJ588" s="8">
        <v>0.20200000000000001</v>
      </c>
      <c r="AK588" s="9">
        <v>-56.933</v>
      </c>
      <c r="AL588" s="9">
        <v>6.7599999999999993E-2</v>
      </c>
      <c r="AM588" s="5">
        <v>106.37869999999999</v>
      </c>
      <c r="AN588" s="5">
        <v>108.8053</v>
      </c>
      <c r="AO588" s="5">
        <v>-2.4266000000000001</v>
      </c>
      <c r="AP588" s="5">
        <v>-2.2302</v>
      </c>
      <c r="AQ588" s="8">
        <v>3.3500000000000002E-2</v>
      </c>
      <c r="AR588" s="8">
        <v>-0.36720000000000003</v>
      </c>
      <c r="AS588" s="8">
        <v>-0.36720000000000003</v>
      </c>
      <c r="AT588" s="5">
        <v>105.9165</v>
      </c>
      <c r="AU588" s="5">
        <v>-2.6549999999999998</v>
      </c>
      <c r="AV588" s="7" t="s">
        <v>90</v>
      </c>
    </row>
    <row r="589" spans="1:48" ht="18" customHeight="1" x14ac:dyDescent="0.25">
      <c r="A589" s="10">
        <v>294</v>
      </c>
      <c r="B589" s="10">
        <v>2</v>
      </c>
      <c r="C589" s="10">
        <v>294</v>
      </c>
      <c r="D589" s="88">
        <v>46024</v>
      </c>
      <c r="E589" s="88">
        <v>46027</v>
      </c>
      <c r="F589" s="88">
        <v>46049</v>
      </c>
      <c r="G589" s="11">
        <v>26328.55</v>
      </c>
      <c r="H589" s="11">
        <v>26250.3</v>
      </c>
      <c r="I589" s="12"/>
      <c r="J589" s="12"/>
      <c r="K589" s="92"/>
      <c r="L589" s="92"/>
      <c r="M589" s="12" t="s">
        <v>40</v>
      </c>
      <c r="N589" s="10">
        <v>25900</v>
      </c>
      <c r="O589" s="95">
        <f>IF(F589=F587,O587,MROUND(G589,100))</f>
        <v>25900</v>
      </c>
      <c r="P589" s="95">
        <f>O589-N589</f>
        <v>0</v>
      </c>
      <c r="Q589" s="12" t="s">
        <v>91</v>
      </c>
      <c r="R589" s="10">
        <v>65</v>
      </c>
      <c r="S589" s="11">
        <v>65.55</v>
      </c>
      <c r="T589" s="11">
        <v>81.3</v>
      </c>
      <c r="U589" s="13">
        <v>-3.5900000000000001E-2</v>
      </c>
      <c r="V589" s="13">
        <v>8.72E-2</v>
      </c>
      <c r="W589" s="10">
        <v>0</v>
      </c>
      <c r="X589" s="14">
        <v>0</v>
      </c>
      <c r="Y589" s="11">
        <v>15.75</v>
      </c>
      <c r="Z589" s="14">
        <v>5.982099280059099E-4</v>
      </c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 t="s">
        <v>90</v>
      </c>
    </row>
    <row r="590" spans="1:48" ht="18" hidden="1" customHeight="1" x14ac:dyDescent="0.25">
      <c r="A590" s="4">
        <v>295</v>
      </c>
      <c r="B590" s="4">
        <v>1</v>
      </c>
      <c r="C590" s="4">
        <v>295</v>
      </c>
      <c r="D590" s="87">
        <v>46027</v>
      </c>
      <c r="E590" s="87">
        <v>46030</v>
      </c>
      <c r="F590" s="87">
        <v>46035</v>
      </c>
      <c r="G590" s="5">
        <v>26250.3</v>
      </c>
      <c r="H590" s="5">
        <v>25876.85</v>
      </c>
      <c r="I590" s="5">
        <v>-373.45</v>
      </c>
      <c r="J590" s="6">
        <v>-1.4226504078048629E-2</v>
      </c>
      <c r="K590" s="90"/>
      <c r="L590" s="90"/>
      <c r="M590" s="7" t="s">
        <v>28</v>
      </c>
      <c r="N590" s="4">
        <v>26300</v>
      </c>
      <c r="O590" s="94"/>
      <c r="P590" s="94"/>
      <c r="Q590" s="7" t="s">
        <v>89</v>
      </c>
      <c r="R590" s="4">
        <v>65</v>
      </c>
      <c r="S590" s="5">
        <v>109.75</v>
      </c>
      <c r="T590" s="5">
        <v>8.85</v>
      </c>
      <c r="U590" s="8">
        <v>-9.6000000000000002E-2</v>
      </c>
      <c r="V590" s="8">
        <v>0.39119999999999999</v>
      </c>
      <c r="W590" s="5">
        <v>100.9</v>
      </c>
      <c r="X590" s="6">
        <v>3.8437655950598658E-3</v>
      </c>
      <c r="Y590" s="4">
        <v>0</v>
      </c>
      <c r="Z590" s="6">
        <v>0</v>
      </c>
      <c r="AA590" s="5">
        <v>61265.7</v>
      </c>
      <c r="AB590" s="5">
        <v>60222.55</v>
      </c>
      <c r="AC590" s="5">
        <v>-1043.1500000000001</v>
      </c>
      <c r="AD590" s="5">
        <v>-1.7027000000000001</v>
      </c>
      <c r="AE590" s="4">
        <v>3</v>
      </c>
      <c r="AF590" s="5">
        <v>-0.05</v>
      </c>
      <c r="AG590" s="5">
        <v>-1073.7828</v>
      </c>
      <c r="AH590" s="5">
        <v>-1.7526999999999999</v>
      </c>
      <c r="AI590" s="8">
        <v>-1.8784000000000001</v>
      </c>
      <c r="AJ590" s="8">
        <v>0.42870000000000003</v>
      </c>
      <c r="AK590" s="9">
        <v>-884.7328</v>
      </c>
      <c r="AL590" s="9">
        <v>-1.0325</v>
      </c>
      <c r="AM590" s="5">
        <v>105.2803</v>
      </c>
      <c r="AN590" s="5">
        <v>108.8053</v>
      </c>
      <c r="AO590" s="5">
        <v>-3.5249999999999999</v>
      </c>
      <c r="AP590" s="5">
        <v>-3.2397</v>
      </c>
      <c r="AQ590" s="8">
        <v>0.27800000000000002</v>
      </c>
      <c r="AR590" s="8">
        <v>-1.0941000000000001</v>
      </c>
      <c r="AS590" s="8">
        <v>-1.0941000000000001</v>
      </c>
      <c r="AT590" s="5">
        <v>105.2148</v>
      </c>
      <c r="AU590" s="5">
        <v>-3.2999000000000001</v>
      </c>
      <c r="AV590" s="7" t="s">
        <v>93</v>
      </c>
    </row>
    <row r="591" spans="1:48" ht="18" customHeight="1" x14ac:dyDescent="0.25">
      <c r="A591" s="10">
        <v>295</v>
      </c>
      <c r="B591" s="10">
        <v>2</v>
      </c>
      <c r="C591" s="10">
        <v>295</v>
      </c>
      <c r="D591" s="88">
        <v>46027</v>
      </c>
      <c r="E591" s="88">
        <v>46030</v>
      </c>
      <c r="F591" s="88">
        <v>46049</v>
      </c>
      <c r="G591" s="11">
        <v>26250.3</v>
      </c>
      <c r="H591" s="11">
        <v>25876.85</v>
      </c>
      <c r="I591" s="12"/>
      <c r="J591" s="12"/>
      <c r="K591" s="92"/>
      <c r="L591" s="92"/>
      <c r="M591" s="12" t="s">
        <v>40</v>
      </c>
      <c r="N591" s="10">
        <v>25900</v>
      </c>
      <c r="O591" s="95">
        <f>IF(F591=F589,O589,MROUND(G591,100))</f>
        <v>25900</v>
      </c>
      <c r="P591" s="95">
        <f>O591-N591</f>
        <v>0</v>
      </c>
      <c r="Q591" s="12" t="s">
        <v>91</v>
      </c>
      <c r="R591" s="10">
        <v>65</v>
      </c>
      <c r="S591" s="11">
        <v>81.3</v>
      </c>
      <c r="T591" s="11">
        <v>169.45</v>
      </c>
      <c r="U591" s="13">
        <v>-5.4699999999999999E-2</v>
      </c>
      <c r="V591" s="13">
        <v>0.3931</v>
      </c>
      <c r="W591" s="10">
        <v>0</v>
      </c>
      <c r="X591" s="14">
        <v>0</v>
      </c>
      <c r="Y591" s="11">
        <v>88.15</v>
      </c>
      <c r="Z591" s="14">
        <v>3.3580568603025491E-3</v>
      </c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 t="s">
        <v>93</v>
      </c>
    </row>
    <row r="592" spans="1:48" ht="18" hidden="1" customHeight="1" x14ac:dyDescent="0.25">
      <c r="A592" s="4">
        <v>296</v>
      </c>
      <c r="B592" s="4">
        <v>1</v>
      </c>
      <c r="C592" s="4">
        <v>296</v>
      </c>
      <c r="D592" s="87">
        <v>46030</v>
      </c>
      <c r="E592" s="87">
        <v>46034</v>
      </c>
      <c r="F592" s="87">
        <v>46035</v>
      </c>
      <c r="G592" s="5">
        <v>25876.85</v>
      </c>
      <c r="H592" s="5">
        <v>25790.25</v>
      </c>
      <c r="I592" s="5">
        <v>-86.6</v>
      </c>
      <c r="J592" s="6">
        <v>-3.346620628090359E-3</v>
      </c>
      <c r="K592" s="90"/>
      <c r="L592" s="90"/>
      <c r="M592" s="7" t="s">
        <v>28</v>
      </c>
      <c r="N592" s="4">
        <v>25900</v>
      </c>
      <c r="O592" s="94"/>
      <c r="P592" s="94"/>
      <c r="Q592" s="7" t="s">
        <v>89</v>
      </c>
      <c r="R592" s="4">
        <v>65</v>
      </c>
      <c r="S592" s="5">
        <v>104.75</v>
      </c>
      <c r="T592" s="5">
        <v>32.700000000000003</v>
      </c>
      <c r="U592" s="8">
        <v>-8.2100000000000006E-2</v>
      </c>
      <c r="V592" s="8">
        <v>0.3851</v>
      </c>
      <c r="W592" s="5">
        <v>72.05</v>
      </c>
      <c r="X592" s="6">
        <v>2.7843419890751769E-3</v>
      </c>
      <c r="Y592" s="4">
        <v>0</v>
      </c>
      <c r="Z592" s="6">
        <v>0</v>
      </c>
      <c r="AA592" s="5">
        <v>60222.55</v>
      </c>
      <c r="AB592" s="5">
        <v>59717.1</v>
      </c>
      <c r="AC592" s="5">
        <v>-505.45</v>
      </c>
      <c r="AD592" s="5">
        <v>-0.83930000000000005</v>
      </c>
      <c r="AE592" s="4">
        <v>4</v>
      </c>
      <c r="AF592" s="5">
        <v>-6.6667000000000004E-2</v>
      </c>
      <c r="AG592" s="5">
        <v>-545.59839999999997</v>
      </c>
      <c r="AH592" s="5">
        <v>-0.90600000000000003</v>
      </c>
      <c r="AI592" s="8">
        <v>-2.3809</v>
      </c>
      <c r="AJ592" s="8">
        <v>0.54749999999999999</v>
      </c>
      <c r="AK592" s="9">
        <v>-422.9984</v>
      </c>
      <c r="AL592" s="9">
        <v>-0.43219999999999997</v>
      </c>
      <c r="AM592" s="5">
        <v>104.8253</v>
      </c>
      <c r="AN592" s="5">
        <v>108.8053</v>
      </c>
      <c r="AO592" s="5">
        <v>-3.98</v>
      </c>
      <c r="AP592" s="5">
        <v>-3.6579000000000002</v>
      </c>
      <c r="AQ592" s="8">
        <v>0.37859999999999999</v>
      </c>
      <c r="AR592" s="8">
        <v>-1.0421</v>
      </c>
      <c r="AS592" s="8">
        <v>-1.0421</v>
      </c>
      <c r="AT592" s="5">
        <v>104.1832</v>
      </c>
      <c r="AU592" s="5">
        <v>-4.2480000000000002</v>
      </c>
      <c r="AV592" s="7" t="s">
        <v>90</v>
      </c>
    </row>
    <row r="593" spans="1:48" ht="18" customHeight="1" x14ac:dyDescent="0.25">
      <c r="A593" s="10">
        <v>296</v>
      </c>
      <c r="B593" s="10">
        <v>2</v>
      </c>
      <c r="C593" s="10">
        <v>296</v>
      </c>
      <c r="D593" s="88">
        <v>46030</v>
      </c>
      <c r="E593" s="88">
        <v>46034</v>
      </c>
      <c r="F593" s="88">
        <v>46049</v>
      </c>
      <c r="G593" s="11">
        <v>25876.85</v>
      </c>
      <c r="H593" s="11">
        <v>25790.25</v>
      </c>
      <c r="I593" s="12"/>
      <c r="J593" s="12"/>
      <c r="K593" s="92"/>
      <c r="L593" s="92"/>
      <c r="M593" s="12" t="s">
        <v>40</v>
      </c>
      <c r="N593" s="10">
        <v>25900</v>
      </c>
      <c r="O593" s="95">
        <f>IF(F593=F591,O591,MROUND(G593,100))</f>
        <v>25900</v>
      </c>
      <c r="P593" s="95">
        <f>O593-N593</f>
        <v>0</v>
      </c>
      <c r="Q593" s="12" t="s">
        <v>91</v>
      </c>
      <c r="R593" s="10">
        <v>65</v>
      </c>
      <c r="S593" s="11">
        <v>169.45</v>
      </c>
      <c r="T593" s="10">
        <v>220</v>
      </c>
      <c r="U593" s="13">
        <v>-8.6800000000000002E-2</v>
      </c>
      <c r="V593" s="13">
        <v>0.95369999999999999</v>
      </c>
      <c r="W593" s="10">
        <v>0</v>
      </c>
      <c r="X593" s="14">
        <v>0</v>
      </c>
      <c r="Y593" s="11">
        <v>50.55</v>
      </c>
      <c r="Z593" s="14">
        <v>1.9534835190527441E-3</v>
      </c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 t="s">
        <v>90</v>
      </c>
    </row>
    <row r="594" spans="1:48" ht="18" hidden="1" customHeight="1" x14ac:dyDescent="0.25">
      <c r="A594" s="4">
        <v>297</v>
      </c>
      <c r="B594" s="4">
        <v>1</v>
      </c>
      <c r="C594" s="4">
        <v>297</v>
      </c>
      <c r="D594" s="87">
        <v>46034</v>
      </c>
      <c r="E594" s="87">
        <v>46041</v>
      </c>
      <c r="F594" s="87">
        <v>46042</v>
      </c>
      <c r="G594" s="5">
        <v>25790.25</v>
      </c>
      <c r="H594" s="5">
        <v>25585.5</v>
      </c>
      <c r="I594" s="5">
        <v>-204.75</v>
      </c>
      <c r="J594" s="6">
        <v>-7.9390467327769207E-3</v>
      </c>
      <c r="K594" s="90"/>
      <c r="L594" s="90"/>
      <c r="M594" s="7" t="s">
        <v>28</v>
      </c>
      <c r="N594" s="4">
        <v>25800</v>
      </c>
      <c r="O594" s="94"/>
      <c r="P594" s="94"/>
      <c r="Q594" s="7" t="s">
        <v>89</v>
      </c>
      <c r="R594" s="4">
        <v>65</v>
      </c>
      <c r="S594" s="5">
        <v>186.35</v>
      </c>
      <c r="T594" s="5">
        <v>8.85</v>
      </c>
      <c r="U594" s="8">
        <v>-0.17699999999999999</v>
      </c>
      <c r="V594" s="8">
        <v>0.70099999999999996</v>
      </c>
      <c r="W594" s="5">
        <v>177.5</v>
      </c>
      <c r="X594" s="6">
        <v>6.8824458855575267E-3</v>
      </c>
      <c r="Y594" s="4">
        <v>0</v>
      </c>
      <c r="Z594" s="6">
        <v>0</v>
      </c>
      <c r="AA594" s="5">
        <v>59717.1</v>
      </c>
      <c r="AB594" s="5">
        <v>59647.65</v>
      </c>
      <c r="AC594" s="5">
        <v>-69.45</v>
      </c>
      <c r="AD594" s="5">
        <v>-0.1163</v>
      </c>
      <c r="AE594" s="4">
        <v>7</v>
      </c>
      <c r="AF594" s="5">
        <v>-0.11666700000000001</v>
      </c>
      <c r="AG594" s="5">
        <v>-139.1199</v>
      </c>
      <c r="AH594" s="5">
        <v>-0.23300000000000001</v>
      </c>
      <c r="AI594" s="8">
        <v>-1.0975999999999999</v>
      </c>
      <c r="AJ594" s="8">
        <v>0.9556</v>
      </c>
      <c r="AK594" s="15">
        <v>159.73009999999999</v>
      </c>
      <c r="AL594" s="15">
        <v>0.92579999999999996</v>
      </c>
      <c r="AM594" s="5">
        <v>105.7958</v>
      </c>
      <c r="AN594" s="5">
        <v>108.8053</v>
      </c>
      <c r="AO594" s="5">
        <v>-3.0095000000000001</v>
      </c>
      <c r="AP594" s="5">
        <v>-2.766</v>
      </c>
      <c r="AQ594" s="8">
        <v>0.49569999999999997</v>
      </c>
      <c r="AR594" s="8">
        <v>0.34399999999999997</v>
      </c>
      <c r="AS594" s="8">
        <v>0.34399999999999997</v>
      </c>
      <c r="AT594" s="5">
        <v>105.1859</v>
      </c>
      <c r="AU594" s="5">
        <v>-3.3264999999999998</v>
      </c>
      <c r="AV594" s="7" t="s">
        <v>90</v>
      </c>
    </row>
    <row r="595" spans="1:48" ht="18" customHeight="1" x14ac:dyDescent="0.25">
      <c r="A595" s="10">
        <v>297</v>
      </c>
      <c r="B595" s="10">
        <v>2</v>
      </c>
      <c r="C595" s="10">
        <v>297</v>
      </c>
      <c r="D595" s="88">
        <v>46034</v>
      </c>
      <c r="E595" s="88">
        <v>46041</v>
      </c>
      <c r="F595" s="88">
        <v>46049</v>
      </c>
      <c r="G595" s="11">
        <v>25790.25</v>
      </c>
      <c r="H595" s="11">
        <v>25585.5</v>
      </c>
      <c r="I595" s="12"/>
      <c r="J595" s="12"/>
      <c r="K595" s="92"/>
      <c r="L595" s="92"/>
      <c r="M595" s="12" t="s">
        <v>40</v>
      </c>
      <c r="N595" s="10">
        <v>25900</v>
      </c>
      <c r="O595" s="95">
        <f>IF(F595=F593,O593,MROUND(G595,100))</f>
        <v>25900</v>
      </c>
      <c r="P595" s="95">
        <f>O595-N595</f>
        <v>0</v>
      </c>
      <c r="Q595" s="12" t="s">
        <v>91</v>
      </c>
      <c r="R595" s="10">
        <v>65</v>
      </c>
      <c r="S595" s="10">
        <v>220</v>
      </c>
      <c r="T595" s="11">
        <v>341.35</v>
      </c>
      <c r="U595" s="13">
        <v>-0.28289999999999998</v>
      </c>
      <c r="V595" s="13">
        <v>0.74060000000000004</v>
      </c>
      <c r="W595" s="10">
        <v>0</v>
      </c>
      <c r="X595" s="14">
        <v>0</v>
      </c>
      <c r="Y595" s="11">
        <v>121.35</v>
      </c>
      <c r="Z595" s="14">
        <v>4.7052665251403154E-3</v>
      </c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 t="s">
        <v>90</v>
      </c>
    </row>
    <row r="596" spans="1:48" ht="18" hidden="1" customHeight="1" x14ac:dyDescent="0.25">
      <c r="A596" s="4">
        <v>298</v>
      </c>
      <c r="B596" s="4">
        <v>1</v>
      </c>
      <c r="C596" s="4">
        <v>298</v>
      </c>
      <c r="D596" s="87">
        <v>46041</v>
      </c>
      <c r="E596" s="87">
        <v>46042</v>
      </c>
      <c r="F596" s="87">
        <v>46049</v>
      </c>
      <c r="G596" s="5">
        <v>25585.5</v>
      </c>
      <c r="H596" s="5">
        <v>25232.5</v>
      </c>
      <c r="I596" s="4">
        <v>-353</v>
      </c>
      <c r="J596" s="6">
        <v>-1.379687713744113E-2</v>
      </c>
      <c r="K596" s="90"/>
      <c r="L596" s="90"/>
      <c r="M596" s="7" t="s">
        <v>28</v>
      </c>
      <c r="N596" s="4">
        <v>25600</v>
      </c>
      <c r="O596" s="94"/>
      <c r="P596" s="94"/>
      <c r="Q596" s="7" t="s">
        <v>89</v>
      </c>
      <c r="R596" s="4">
        <v>65</v>
      </c>
      <c r="S596" s="5">
        <v>155.25</v>
      </c>
      <c r="T596" s="5">
        <v>45.9</v>
      </c>
      <c r="U596" s="8">
        <v>9.4000000000000004E-3</v>
      </c>
      <c r="V596" s="8">
        <v>0.44600000000000001</v>
      </c>
      <c r="W596" s="5">
        <v>109.35</v>
      </c>
      <c r="X596" s="6">
        <v>4.2739051415841001E-3</v>
      </c>
      <c r="Y596" s="4">
        <v>0</v>
      </c>
      <c r="Z596" s="6">
        <v>0</v>
      </c>
      <c r="AA596" s="5">
        <v>59647.65</v>
      </c>
      <c r="AB596" s="5">
        <v>58085.35</v>
      </c>
      <c r="AC596" s="5">
        <v>-1562.3</v>
      </c>
      <c r="AD596" s="5">
        <v>-2.6192000000000002</v>
      </c>
      <c r="AE596" s="4">
        <v>1</v>
      </c>
      <c r="AF596" s="5">
        <v>-1.6667000000000001E-2</v>
      </c>
      <c r="AG596" s="5">
        <v>-1572.2412999999999</v>
      </c>
      <c r="AH596" s="5">
        <v>-2.6358999999999999</v>
      </c>
      <c r="AI596" s="8">
        <v>-2.9483999999999999</v>
      </c>
      <c r="AJ596" s="8">
        <v>-3.85E-2</v>
      </c>
      <c r="AK596" s="9">
        <v>-1153.2913000000001</v>
      </c>
      <c r="AL596" s="9">
        <v>-0.99839999999999995</v>
      </c>
      <c r="AM596" s="5">
        <v>104.73950000000001</v>
      </c>
      <c r="AN596" s="5">
        <v>108.8053</v>
      </c>
      <c r="AO596" s="5">
        <v>-4.0658000000000003</v>
      </c>
      <c r="AP596" s="5">
        <v>-3.7368000000000001</v>
      </c>
      <c r="AQ596" s="8">
        <v>-3.8300000000000001E-2</v>
      </c>
      <c r="AR596" s="8">
        <v>-1.1596</v>
      </c>
      <c r="AS596" s="8">
        <v>-1.1596</v>
      </c>
      <c r="AT596" s="5">
        <v>104.569</v>
      </c>
      <c r="AU596" s="5">
        <v>-3.8935</v>
      </c>
      <c r="AV596" s="7" t="s">
        <v>93</v>
      </c>
    </row>
    <row r="597" spans="1:48" ht="18" customHeight="1" x14ac:dyDescent="0.25">
      <c r="A597" s="10">
        <v>298</v>
      </c>
      <c r="B597" s="10">
        <v>2</v>
      </c>
      <c r="C597" s="10">
        <v>298</v>
      </c>
      <c r="D597" s="88">
        <v>46041</v>
      </c>
      <c r="E597" s="88">
        <v>46042</v>
      </c>
      <c r="F597" s="88">
        <v>46049</v>
      </c>
      <c r="G597" s="11">
        <v>25585.5</v>
      </c>
      <c r="H597" s="11">
        <v>25232.5</v>
      </c>
      <c r="I597" s="12"/>
      <c r="J597" s="12"/>
      <c r="K597" s="92"/>
      <c r="L597" s="92"/>
      <c r="M597" s="12" t="s">
        <v>40</v>
      </c>
      <c r="N597" s="10">
        <v>25900</v>
      </c>
      <c r="O597" s="95">
        <f>IF(F597=F595,O595,MROUND(G597,100))</f>
        <v>25900</v>
      </c>
      <c r="P597" s="95">
        <f>O597-N597</f>
        <v>0</v>
      </c>
      <c r="Q597" s="12" t="s">
        <v>91</v>
      </c>
      <c r="R597" s="10">
        <v>65</v>
      </c>
      <c r="S597" s="11">
        <v>341.35</v>
      </c>
      <c r="T597" s="11">
        <v>650.95000000000005</v>
      </c>
      <c r="U597" s="13">
        <v>-9.1999999999999998E-3</v>
      </c>
      <c r="V597" s="13">
        <v>1.3428</v>
      </c>
      <c r="W597" s="10">
        <v>0</v>
      </c>
      <c r="X597" s="14">
        <v>0</v>
      </c>
      <c r="Y597" s="11">
        <v>309.60000000000002</v>
      </c>
      <c r="Z597" s="14">
        <v>1.210060385765375E-2</v>
      </c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 t="s">
        <v>93</v>
      </c>
    </row>
    <row r="598" spans="1:48" ht="18" hidden="1" customHeight="1" x14ac:dyDescent="0.25">
      <c r="A598" s="4">
        <v>299</v>
      </c>
      <c r="B598" s="4">
        <v>1</v>
      </c>
      <c r="C598" s="4">
        <v>299</v>
      </c>
      <c r="D598" s="87">
        <v>46042</v>
      </c>
      <c r="E598" s="87">
        <v>46043</v>
      </c>
      <c r="F598" s="87">
        <v>46049</v>
      </c>
      <c r="G598" s="5">
        <v>25232.5</v>
      </c>
      <c r="H598" s="5">
        <v>25157.5</v>
      </c>
      <c r="I598" s="4">
        <v>-75</v>
      </c>
      <c r="J598" s="6">
        <v>-2.9723570791637768E-3</v>
      </c>
      <c r="K598" s="90"/>
      <c r="L598" s="90"/>
      <c r="M598" s="7" t="s">
        <v>28</v>
      </c>
      <c r="N598" s="4">
        <v>25200</v>
      </c>
      <c r="O598" s="94"/>
      <c r="P598" s="94"/>
      <c r="Q598" s="7" t="s">
        <v>89</v>
      </c>
      <c r="R598" s="4">
        <v>65</v>
      </c>
      <c r="S598" s="5">
        <v>190.75</v>
      </c>
      <c r="T598" s="5">
        <v>145.6</v>
      </c>
      <c r="U598" s="8">
        <v>-0.2445</v>
      </c>
      <c r="V598" s="8">
        <v>0.4138</v>
      </c>
      <c r="W598" s="5">
        <v>45.15</v>
      </c>
      <c r="X598" s="6">
        <v>1.789358961656594E-3</v>
      </c>
      <c r="Y598" s="4">
        <v>0</v>
      </c>
      <c r="Z598" s="6">
        <v>0</v>
      </c>
      <c r="AA598" s="5">
        <v>58085.35</v>
      </c>
      <c r="AB598" s="5">
        <v>57423.65</v>
      </c>
      <c r="AC598" s="5">
        <v>-661.7</v>
      </c>
      <c r="AD598" s="5">
        <v>-1.1392</v>
      </c>
      <c r="AE598" s="4">
        <v>1</v>
      </c>
      <c r="AF598" s="5">
        <v>-1.6667000000000001E-2</v>
      </c>
      <c r="AG598" s="5">
        <v>-671.3809</v>
      </c>
      <c r="AH598" s="5">
        <v>-1.1558999999999999</v>
      </c>
      <c r="AI598" s="8">
        <v>-2.4338000000000002</v>
      </c>
      <c r="AJ598" s="8">
        <v>0.24829999999999999</v>
      </c>
      <c r="AK598" s="9">
        <v>-548.78089999999997</v>
      </c>
      <c r="AL598" s="9">
        <v>-0.67</v>
      </c>
      <c r="AM598" s="5">
        <v>104.0378</v>
      </c>
      <c r="AN598" s="5">
        <v>108.8053</v>
      </c>
      <c r="AO598" s="5">
        <v>-4.7675000000000001</v>
      </c>
      <c r="AP598" s="5">
        <v>-4.3817000000000004</v>
      </c>
      <c r="AQ598" s="8">
        <v>-0.29380000000000001</v>
      </c>
      <c r="AR598" s="8">
        <v>-0.85760000000000003</v>
      </c>
      <c r="AS598" s="8">
        <v>-0.85760000000000003</v>
      </c>
      <c r="AT598" s="5">
        <v>103.8413</v>
      </c>
      <c r="AU598" s="5">
        <v>-4.5622999999999996</v>
      </c>
      <c r="AV598" s="7" t="s">
        <v>95</v>
      </c>
    </row>
    <row r="599" spans="1:48" ht="18" customHeight="1" x14ac:dyDescent="0.25">
      <c r="A599" s="10">
        <v>299</v>
      </c>
      <c r="B599" s="10">
        <v>2</v>
      </c>
      <c r="C599" s="10">
        <v>299</v>
      </c>
      <c r="D599" s="88">
        <v>46042</v>
      </c>
      <c r="E599" s="88">
        <v>46043</v>
      </c>
      <c r="F599" s="88">
        <v>46049</v>
      </c>
      <c r="G599" s="11">
        <v>25232.5</v>
      </c>
      <c r="H599" s="11">
        <v>25157.5</v>
      </c>
      <c r="I599" s="12"/>
      <c r="J599" s="12"/>
      <c r="K599" s="92"/>
      <c r="L599" s="92"/>
      <c r="M599" s="12" t="s">
        <v>40</v>
      </c>
      <c r="N599" s="10">
        <v>25900</v>
      </c>
      <c r="O599" s="95">
        <f>IF(F599=F597,O597,MROUND(G599,100))</f>
        <v>25900</v>
      </c>
      <c r="P599" s="95">
        <f>O599-N599</f>
        <v>0</v>
      </c>
      <c r="Q599" s="12" t="s">
        <v>91</v>
      </c>
      <c r="R599" s="10">
        <v>65</v>
      </c>
      <c r="S599" s="11">
        <v>650.95000000000005</v>
      </c>
      <c r="T599" s="11">
        <v>728.4</v>
      </c>
      <c r="U599" s="13">
        <v>-0.29759999999999998</v>
      </c>
      <c r="V599" s="13">
        <v>1.1624000000000001</v>
      </c>
      <c r="W599" s="10">
        <v>0</v>
      </c>
      <c r="X599" s="14">
        <v>0</v>
      </c>
      <c r="Y599" s="11">
        <v>77.45</v>
      </c>
      <c r="Z599" s="14">
        <v>3.0694540770831269E-3</v>
      </c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 t="s">
        <v>95</v>
      </c>
    </row>
    <row r="600" spans="1:48" ht="18" hidden="1" customHeight="1" x14ac:dyDescent="0.25">
      <c r="A600" s="4">
        <v>300</v>
      </c>
      <c r="B600" s="4">
        <v>1</v>
      </c>
      <c r="C600" s="4">
        <v>300</v>
      </c>
      <c r="D600" s="87">
        <v>46043</v>
      </c>
      <c r="E600" s="87">
        <v>46045</v>
      </c>
      <c r="F600" s="87">
        <v>46049</v>
      </c>
      <c r="G600" s="5">
        <v>25157.5</v>
      </c>
      <c r="H600" s="5">
        <v>25048.65</v>
      </c>
      <c r="I600" s="5">
        <v>-108.85</v>
      </c>
      <c r="J600" s="6">
        <v>-4.3267415283712611E-3</v>
      </c>
      <c r="K600" s="90"/>
      <c r="L600" s="90"/>
      <c r="M600" s="7" t="s">
        <v>28</v>
      </c>
      <c r="N600" s="4">
        <v>25200</v>
      </c>
      <c r="O600" s="94"/>
      <c r="P600" s="94"/>
      <c r="Q600" s="7" t="s">
        <v>89</v>
      </c>
      <c r="R600" s="4">
        <v>65</v>
      </c>
      <c r="S600" s="5">
        <v>145.6</v>
      </c>
      <c r="T600" s="5">
        <v>61.2</v>
      </c>
      <c r="U600" s="8">
        <v>-0.73740000000000006</v>
      </c>
      <c r="V600" s="8">
        <v>0.3695</v>
      </c>
      <c r="W600" s="5">
        <v>84.4</v>
      </c>
      <c r="X600" s="6">
        <v>3.3548643545662331E-3</v>
      </c>
      <c r="Y600" s="4">
        <v>0</v>
      </c>
      <c r="Z600" s="6">
        <v>0</v>
      </c>
      <c r="AA600" s="5">
        <v>57423.65</v>
      </c>
      <c r="AB600" s="5">
        <v>57145.65</v>
      </c>
      <c r="AC600" s="4">
        <v>-278</v>
      </c>
      <c r="AD600" s="5">
        <v>-0.48409999999999997</v>
      </c>
      <c r="AE600" s="4">
        <v>2</v>
      </c>
      <c r="AF600" s="5">
        <v>-3.3333000000000002E-2</v>
      </c>
      <c r="AG600" s="5">
        <v>-297.14120000000003</v>
      </c>
      <c r="AH600" s="5">
        <v>-0.51749999999999996</v>
      </c>
      <c r="AI600" s="8">
        <v>-0.68569999999999998</v>
      </c>
      <c r="AJ600" s="8">
        <v>1.9775</v>
      </c>
      <c r="AK600" s="9">
        <v>-202.19120000000001</v>
      </c>
      <c r="AL600" s="9">
        <v>-0.1401</v>
      </c>
      <c r="AM600" s="5">
        <v>103.892</v>
      </c>
      <c r="AN600" s="5">
        <v>108.8053</v>
      </c>
      <c r="AO600" s="5">
        <v>-4.9132999999999996</v>
      </c>
      <c r="AP600" s="5">
        <v>-4.5156999999999998</v>
      </c>
      <c r="AQ600" s="8">
        <v>0.75990000000000002</v>
      </c>
      <c r="AR600" s="8">
        <v>-0.1646</v>
      </c>
      <c r="AS600" s="8">
        <v>-0.1646</v>
      </c>
      <c r="AT600" s="5">
        <v>103.8665</v>
      </c>
      <c r="AU600" s="5">
        <v>-4.5391000000000004</v>
      </c>
      <c r="AV600" s="7" t="s">
        <v>94</v>
      </c>
    </row>
    <row r="601" spans="1:48" ht="18" customHeight="1" x14ac:dyDescent="0.25">
      <c r="A601" s="10">
        <v>300</v>
      </c>
      <c r="B601" s="10">
        <v>2</v>
      </c>
      <c r="C601" s="10">
        <v>300</v>
      </c>
      <c r="D601" s="88">
        <v>46043</v>
      </c>
      <c r="E601" s="88">
        <v>46045</v>
      </c>
      <c r="F601" s="88">
        <v>46049</v>
      </c>
      <c r="G601" s="11">
        <v>25157.5</v>
      </c>
      <c r="H601" s="11">
        <v>25048.65</v>
      </c>
      <c r="I601" s="12"/>
      <c r="J601" s="12"/>
      <c r="K601" s="92"/>
      <c r="L601" s="92"/>
      <c r="M601" s="12" t="s">
        <v>40</v>
      </c>
      <c r="N601" s="10">
        <v>25200</v>
      </c>
      <c r="O601" s="95">
        <f>IF(F601=F599,O599,MROUND(G601,100))</f>
        <v>25900</v>
      </c>
      <c r="P601" s="95">
        <f>O601-N601</f>
        <v>700</v>
      </c>
      <c r="Q601" s="12" t="s">
        <v>91</v>
      </c>
      <c r="R601" s="10">
        <v>65</v>
      </c>
      <c r="S601" s="11">
        <v>166.05</v>
      </c>
      <c r="T601" s="11">
        <v>176.6</v>
      </c>
      <c r="U601" s="13">
        <v>-0.48020000000000002</v>
      </c>
      <c r="V601" s="13">
        <v>0.15160000000000001</v>
      </c>
      <c r="W601" s="10">
        <v>0</v>
      </c>
      <c r="X601" s="14">
        <v>0</v>
      </c>
      <c r="Y601" s="11">
        <v>10.55</v>
      </c>
      <c r="Z601" s="14">
        <v>4.1935804432077908E-4</v>
      </c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 t="s">
        <v>94</v>
      </c>
    </row>
    <row r="602" spans="1:48" ht="18" hidden="1" customHeight="1" x14ac:dyDescent="0.25">
      <c r="A602" s="4">
        <v>301</v>
      </c>
      <c r="B602" s="4">
        <v>1</v>
      </c>
      <c r="C602" s="4">
        <v>301</v>
      </c>
      <c r="D602" s="87">
        <v>46142</v>
      </c>
      <c r="E602" s="87">
        <v>46146</v>
      </c>
      <c r="F602" s="87">
        <v>46147</v>
      </c>
      <c r="G602" s="5">
        <v>23997.55</v>
      </c>
      <c r="H602" s="5">
        <v>24119.3</v>
      </c>
      <c r="I602" s="5">
        <v>121.75</v>
      </c>
      <c r="J602" s="6">
        <v>5.0734345797800191E-3</v>
      </c>
      <c r="K602" s="90"/>
      <c r="L602" s="90"/>
      <c r="M602" s="7" t="s">
        <v>28</v>
      </c>
      <c r="N602" s="4">
        <v>24000</v>
      </c>
      <c r="O602" s="94"/>
      <c r="P602" s="94"/>
      <c r="Q602" s="7" t="s">
        <v>89</v>
      </c>
      <c r="R602" s="4">
        <v>65</v>
      </c>
      <c r="S602" s="5">
        <v>206.6</v>
      </c>
      <c r="T602" s="5">
        <v>204.6</v>
      </c>
      <c r="U602" s="8">
        <v>-0.60589999999999999</v>
      </c>
      <c r="V602" s="8">
        <v>0.30840000000000001</v>
      </c>
      <c r="W602" s="4">
        <v>2</v>
      </c>
      <c r="X602" s="6">
        <v>8.3341841146283689E-5</v>
      </c>
      <c r="Y602" s="4">
        <v>0</v>
      </c>
      <c r="Z602" s="6">
        <v>0</v>
      </c>
      <c r="AA602" s="5">
        <v>59784.85</v>
      </c>
      <c r="AB602" s="5">
        <v>60159.75</v>
      </c>
      <c r="AC602" s="5">
        <v>374.9</v>
      </c>
      <c r="AD602" s="5">
        <v>0.62709999999999999</v>
      </c>
      <c r="AE602" s="4">
        <v>4</v>
      </c>
      <c r="AF602" s="5">
        <v>-6.6667000000000004E-2</v>
      </c>
      <c r="AG602" s="5">
        <v>335.04340000000002</v>
      </c>
      <c r="AH602" s="5">
        <v>0.56040000000000001</v>
      </c>
      <c r="AI602" s="8">
        <v>-6.2E-2</v>
      </c>
      <c r="AJ602" s="8">
        <v>1.2357</v>
      </c>
      <c r="AK602" s="15">
        <v>265.99340000000001</v>
      </c>
      <c r="AL602" s="15">
        <v>0.2727</v>
      </c>
      <c r="AM602" s="5">
        <v>100.2727</v>
      </c>
      <c r="AN602" s="5">
        <v>100.2727</v>
      </c>
      <c r="AO602" s="4">
        <v>0</v>
      </c>
      <c r="AP602" s="4">
        <v>0</v>
      </c>
      <c r="AQ602" s="8">
        <v>4.1599999999999998E-2</v>
      </c>
      <c r="AR602" s="8">
        <v>0.2341</v>
      </c>
      <c r="AS602" s="8">
        <v>4.1599999999999998E-2</v>
      </c>
      <c r="AT602" s="5">
        <v>100.0416</v>
      </c>
      <c r="AU602" s="5">
        <v>4.1599999999999998E-2</v>
      </c>
      <c r="AV602" s="7" t="s">
        <v>90</v>
      </c>
    </row>
    <row r="603" spans="1:48" ht="18" customHeight="1" x14ac:dyDescent="0.25">
      <c r="A603" s="10">
        <v>301</v>
      </c>
      <c r="B603" s="10">
        <v>2</v>
      </c>
      <c r="C603" s="10">
        <v>301</v>
      </c>
      <c r="D603" s="88">
        <v>46142</v>
      </c>
      <c r="E603" s="88">
        <v>46146</v>
      </c>
      <c r="F603" s="88">
        <v>46168</v>
      </c>
      <c r="G603" s="11">
        <v>23997.55</v>
      </c>
      <c r="H603" s="11">
        <v>24119.3</v>
      </c>
      <c r="I603" s="12"/>
      <c r="J603" s="12"/>
      <c r="K603" s="92"/>
      <c r="L603" s="92"/>
      <c r="M603" s="12" t="s">
        <v>40</v>
      </c>
      <c r="N603" s="10">
        <v>24000</v>
      </c>
      <c r="O603" s="95">
        <f>IF(F603=F601,O601,MROUND(G603,100))</f>
        <v>24000</v>
      </c>
      <c r="P603" s="95">
        <f>O603-N603</f>
        <v>0</v>
      </c>
      <c r="Q603" s="12" t="s">
        <v>91</v>
      </c>
      <c r="R603" s="10">
        <v>65</v>
      </c>
      <c r="S603" s="11">
        <v>396.2</v>
      </c>
      <c r="T603" s="11">
        <v>325.14999999999998</v>
      </c>
      <c r="U603" s="13">
        <v>-0.58819999999999995</v>
      </c>
      <c r="V603" s="13">
        <v>-1.23E-2</v>
      </c>
      <c r="W603" s="10">
        <v>0</v>
      </c>
      <c r="X603" s="14">
        <v>0</v>
      </c>
      <c r="Y603" s="11">
        <v>-71.05</v>
      </c>
      <c r="Z603" s="14">
        <v>-2.9607189067217279E-3</v>
      </c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 t="s">
        <v>90</v>
      </c>
    </row>
    <row r="604" spans="1:48" ht="18" hidden="1" customHeight="1" x14ac:dyDescent="0.25">
      <c r="A604" s="4">
        <v>302</v>
      </c>
      <c r="B604" s="4">
        <v>1</v>
      </c>
      <c r="C604" s="4">
        <v>302</v>
      </c>
      <c r="D604" s="87">
        <v>46146</v>
      </c>
      <c r="E604" s="87">
        <v>46153</v>
      </c>
      <c r="F604" s="87">
        <v>46154</v>
      </c>
      <c r="G604" s="5">
        <v>24119.3</v>
      </c>
      <c r="H604" s="5">
        <v>23815.85</v>
      </c>
      <c r="I604" s="5">
        <v>-303.45</v>
      </c>
      <c r="J604" s="6">
        <v>-1.258121089749703E-2</v>
      </c>
      <c r="K604" s="90"/>
      <c r="L604" s="90"/>
      <c r="M604" s="7" t="s">
        <v>28</v>
      </c>
      <c r="N604" s="4">
        <v>24100</v>
      </c>
      <c r="O604" s="94"/>
      <c r="P604" s="94"/>
      <c r="Q604" s="7" t="s">
        <v>89</v>
      </c>
      <c r="R604" s="4">
        <v>65</v>
      </c>
      <c r="S604" s="5">
        <v>297.60000000000002</v>
      </c>
      <c r="T604" s="4">
        <v>24</v>
      </c>
      <c r="U604" s="8">
        <v>-0.67659999999999998</v>
      </c>
      <c r="V604" s="8">
        <v>1.1605000000000001</v>
      </c>
      <c r="W604" s="5">
        <v>273.60000000000002</v>
      </c>
      <c r="X604" s="6">
        <v>1.134361279141601E-2</v>
      </c>
      <c r="Y604" s="4">
        <v>0</v>
      </c>
      <c r="Z604" s="6">
        <v>0</v>
      </c>
      <c r="AA604" s="5">
        <v>60159.75</v>
      </c>
      <c r="AB604" s="5">
        <v>61258.400000000001</v>
      </c>
      <c r="AC604" s="5">
        <v>1098.6500000000001</v>
      </c>
      <c r="AD604" s="5">
        <v>1.8262</v>
      </c>
      <c r="AE604" s="4">
        <v>7</v>
      </c>
      <c r="AF604" s="5">
        <v>-0.11666700000000001</v>
      </c>
      <c r="AG604" s="5">
        <v>1028.4636</v>
      </c>
      <c r="AH604" s="5">
        <v>1.7096</v>
      </c>
      <c r="AI604" s="8">
        <v>-0.48430000000000001</v>
      </c>
      <c r="AJ604" s="8">
        <v>3.1793999999999998</v>
      </c>
      <c r="AK604" s="15">
        <v>1381.3635999999999</v>
      </c>
      <c r="AL604" s="15">
        <v>3.1726999999999999</v>
      </c>
      <c r="AM604" s="5">
        <v>103.4541</v>
      </c>
      <c r="AN604" s="5">
        <v>103.4541</v>
      </c>
      <c r="AO604" s="4">
        <v>0</v>
      </c>
      <c r="AP604" s="4">
        <v>0</v>
      </c>
      <c r="AQ604" s="8">
        <v>1.8005</v>
      </c>
      <c r="AR604" s="8">
        <v>1.1673</v>
      </c>
      <c r="AS604" s="8">
        <v>1.1673</v>
      </c>
      <c r="AT604" s="5">
        <v>101.4432</v>
      </c>
      <c r="AU604" s="5">
        <v>1.1673</v>
      </c>
      <c r="AV604" s="7" t="s">
        <v>97</v>
      </c>
    </row>
    <row r="605" spans="1:48" ht="18" customHeight="1" x14ac:dyDescent="0.25">
      <c r="A605" s="10">
        <v>302</v>
      </c>
      <c r="B605" s="10">
        <v>2</v>
      </c>
      <c r="C605" s="10">
        <v>302</v>
      </c>
      <c r="D605" s="88">
        <v>46146</v>
      </c>
      <c r="E605" s="88">
        <v>46153</v>
      </c>
      <c r="F605" s="88">
        <v>46168</v>
      </c>
      <c r="G605" s="11">
        <v>24119.3</v>
      </c>
      <c r="H605" s="11">
        <v>23815.85</v>
      </c>
      <c r="I605" s="12"/>
      <c r="J605" s="12"/>
      <c r="K605" s="92"/>
      <c r="L605" s="92"/>
      <c r="M605" s="12" t="s">
        <v>40</v>
      </c>
      <c r="N605" s="10">
        <v>24000</v>
      </c>
      <c r="O605" s="95">
        <f>IF(F605=F603,O603,MROUND(G605,100))</f>
        <v>24000</v>
      </c>
      <c r="P605" s="95">
        <f>O605-N605</f>
        <v>0</v>
      </c>
      <c r="Q605" s="12" t="s">
        <v>91</v>
      </c>
      <c r="R605" s="10">
        <v>65</v>
      </c>
      <c r="S605" s="11">
        <v>325.14999999999998</v>
      </c>
      <c r="T605" s="11">
        <v>404.45</v>
      </c>
      <c r="U605" s="13">
        <v>-0.70230000000000004</v>
      </c>
      <c r="V605" s="13">
        <v>0.49109999999999998</v>
      </c>
      <c r="W605" s="10">
        <v>0</v>
      </c>
      <c r="X605" s="14">
        <v>0</v>
      </c>
      <c r="Y605" s="11">
        <v>79.3</v>
      </c>
      <c r="Z605" s="14">
        <v>3.2878234442956472E-3</v>
      </c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 t="s">
        <v>97</v>
      </c>
    </row>
    <row r="606" spans="1:48" ht="18" hidden="1" customHeight="1" x14ac:dyDescent="0.25">
      <c r="A606" s="4">
        <v>303</v>
      </c>
      <c r="B606" s="4">
        <v>1</v>
      </c>
      <c r="C606" s="4">
        <v>303</v>
      </c>
      <c r="D606" s="87">
        <v>46153</v>
      </c>
      <c r="E606" s="87">
        <v>46154</v>
      </c>
      <c r="F606" s="87">
        <v>46161</v>
      </c>
      <c r="G606" s="5">
        <v>23815.85</v>
      </c>
      <c r="H606" s="5">
        <v>23379.55</v>
      </c>
      <c r="I606" s="5">
        <v>-436.3</v>
      </c>
      <c r="J606" s="6">
        <v>-1.8319732447088809E-2</v>
      </c>
      <c r="K606" s="90"/>
      <c r="L606" s="90"/>
      <c r="M606" s="7" t="s">
        <v>28</v>
      </c>
      <c r="N606" s="4">
        <v>23800</v>
      </c>
      <c r="O606" s="94"/>
      <c r="P606" s="94"/>
      <c r="Q606" s="7" t="s">
        <v>89</v>
      </c>
      <c r="R606" s="4">
        <v>65</v>
      </c>
      <c r="S606" s="5">
        <v>290.3</v>
      </c>
      <c r="T606" s="5">
        <v>95.7</v>
      </c>
      <c r="U606" s="8">
        <v>8.5900000000000004E-2</v>
      </c>
      <c r="V606" s="8">
        <v>0.83679999999999999</v>
      </c>
      <c r="W606" s="5">
        <v>194.6</v>
      </c>
      <c r="X606" s="6">
        <v>8.1710289576059636E-3</v>
      </c>
      <c r="Y606" s="4">
        <v>0</v>
      </c>
      <c r="Z606" s="6">
        <v>0</v>
      </c>
      <c r="AA606" s="5">
        <v>61258.400000000001</v>
      </c>
      <c r="AB606" s="5">
        <v>59704.65</v>
      </c>
      <c r="AC606" s="5">
        <v>-1553.75</v>
      </c>
      <c r="AD606" s="5">
        <v>-2.5364</v>
      </c>
      <c r="AE606" s="4">
        <v>1</v>
      </c>
      <c r="AF606" s="5">
        <v>-1.6667000000000001E-2</v>
      </c>
      <c r="AG606" s="5">
        <v>-1563.9597000000001</v>
      </c>
      <c r="AH606" s="5">
        <v>-2.5531000000000001</v>
      </c>
      <c r="AI606" s="8">
        <v>-2.6816</v>
      </c>
      <c r="AJ606" s="8">
        <v>9.2600000000000002E-2</v>
      </c>
      <c r="AK606" s="9">
        <v>-1087.7097000000001</v>
      </c>
      <c r="AL606" s="9">
        <v>-0.5534</v>
      </c>
      <c r="AM606" s="5">
        <v>102.8815</v>
      </c>
      <c r="AN606" s="5">
        <v>103.4541</v>
      </c>
      <c r="AO606" s="5">
        <v>-0.57250000000000001</v>
      </c>
      <c r="AP606" s="5">
        <v>-0.5534</v>
      </c>
      <c r="AQ606" s="8">
        <v>0.36980000000000002</v>
      </c>
      <c r="AR606" s="8">
        <v>-0.56710000000000005</v>
      </c>
      <c r="AS606" s="8">
        <v>-0.56710000000000005</v>
      </c>
      <c r="AT606" s="5">
        <v>102.8674</v>
      </c>
      <c r="AU606" s="5">
        <v>-0.56710000000000005</v>
      </c>
      <c r="AV606" s="7" t="s">
        <v>93</v>
      </c>
    </row>
    <row r="607" spans="1:48" ht="18" customHeight="1" x14ac:dyDescent="0.25">
      <c r="A607" s="10">
        <v>303</v>
      </c>
      <c r="B607" s="10">
        <v>2</v>
      </c>
      <c r="C607" s="10">
        <v>303</v>
      </c>
      <c r="D607" s="88">
        <v>46153</v>
      </c>
      <c r="E607" s="88">
        <v>46154</v>
      </c>
      <c r="F607" s="88">
        <v>46168</v>
      </c>
      <c r="G607" s="11">
        <v>23815.85</v>
      </c>
      <c r="H607" s="11">
        <v>23379.55</v>
      </c>
      <c r="I607" s="12"/>
      <c r="J607" s="12"/>
      <c r="K607" s="92"/>
      <c r="L607" s="92"/>
      <c r="M607" s="12" t="s">
        <v>40</v>
      </c>
      <c r="N607" s="10">
        <v>24000</v>
      </c>
      <c r="O607" s="95">
        <f>IF(F607=F605,O605,MROUND(G607,100))</f>
        <v>24000</v>
      </c>
      <c r="P607" s="95">
        <f>O607-N607</f>
        <v>0</v>
      </c>
      <c r="Q607" s="12" t="s">
        <v>91</v>
      </c>
      <c r="R607" s="10">
        <v>65</v>
      </c>
      <c r="S607" s="11">
        <v>404.45</v>
      </c>
      <c r="T607" s="11">
        <v>686.1</v>
      </c>
      <c r="U607" s="13">
        <v>0.1913</v>
      </c>
      <c r="V607" s="13">
        <v>1.2777000000000001</v>
      </c>
      <c r="W607" s="10">
        <v>0</v>
      </c>
      <c r="X607" s="14">
        <v>0</v>
      </c>
      <c r="Y607" s="11">
        <v>281.64999999999998</v>
      </c>
      <c r="Z607" s="14">
        <v>1.182615778987523E-2</v>
      </c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 t="s">
        <v>93</v>
      </c>
    </row>
    <row r="608" spans="1:48" ht="18" hidden="1" customHeight="1" x14ac:dyDescent="0.25">
      <c r="A608" s="4">
        <v>304</v>
      </c>
      <c r="B608" s="4">
        <v>1</v>
      </c>
      <c r="C608" s="4">
        <v>304</v>
      </c>
      <c r="D608" s="87">
        <v>46154</v>
      </c>
      <c r="E608" s="87">
        <v>46156</v>
      </c>
      <c r="F608" s="87">
        <v>46161</v>
      </c>
      <c r="G608" s="5">
        <v>23379.55</v>
      </c>
      <c r="H608" s="5">
        <v>23689.599999999999</v>
      </c>
      <c r="I608" s="5">
        <v>310.05</v>
      </c>
      <c r="J608" s="6">
        <v>1.3261589722642219E-2</v>
      </c>
      <c r="K608" s="90"/>
      <c r="L608" s="90"/>
      <c r="M608" s="7" t="s">
        <v>28</v>
      </c>
      <c r="N608" s="4">
        <v>23400</v>
      </c>
      <c r="O608" s="94"/>
      <c r="P608" s="94"/>
      <c r="Q608" s="7" t="s">
        <v>89</v>
      </c>
      <c r="R608" s="4">
        <v>65</v>
      </c>
      <c r="S608" s="5">
        <v>255.1</v>
      </c>
      <c r="T608" s="5">
        <v>368.3</v>
      </c>
      <c r="U608" s="8">
        <v>-0.86229999999999996</v>
      </c>
      <c r="V608" s="8">
        <v>0.25540000000000002</v>
      </c>
      <c r="W608" s="5">
        <v>-113.2</v>
      </c>
      <c r="X608" s="6">
        <v>-4.8418382731917429E-3</v>
      </c>
      <c r="Y608" s="4">
        <v>0</v>
      </c>
      <c r="Z608" s="6">
        <v>0</v>
      </c>
      <c r="AA608" s="5">
        <v>59704.65</v>
      </c>
      <c r="AB608" s="5">
        <v>60839.7</v>
      </c>
      <c r="AC608" s="5">
        <v>1135.05</v>
      </c>
      <c r="AD608" s="5">
        <v>1.9011</v>
      </c>
      <c r="AE608" s="4">
        <v>2</v>
      </c>
      <c r="AF608" s="5">
        <v>-3.3333000000000002E-2</v>
      </c>
      <c r="AG608" s="5">
        <v>1115.1484</v>
      </c>
      <c r="AH608" s="5">
        <v>1.8677999999999999</v>
      </c>
      <c r="AI608" s="8">
        <v>-0.25779999999999997</v>
      </c>
      <c r="AJ608" s="8">
        <v>2.0350999999999999</v>
      </c>
      <c r="AK608" s="15">
        <v>769.69839999999999</v>
      </c>
      <c r="AL608" s="15">
        <v>0.39019999999999999</v>
      </c>
      <c r="AM608" s="5">
        <v>103.283</v>
      </c>
      <c r="AN608" s="5">
        <v>103.4541</v>
      </c>
      <c r="AO608" s="5">
        <v>-0.1711</v>
      </c>
      <c r="AP608" s="5">
        <v>-0.16539999999999999</v>
      </c>
      <c r="AQ608" s="8">
        <v>-4.6199999999999998E-2</v>
      </c>
      <c r="AR608" s="8">
        <v>0.39</v>
      </c>
      <c r="AS608" s="8">
        <v>-4.6199999999999998E-2</v>
      </c>
      <c r="AT608" s="5">
        <v>102.834</v>
      </c>
      <c r="AU608" s="5">
        <v>-0.59930000000000005</v>
      </c>
      <c r="AV608" s="7" t="s">
        <v>96</v>
      </c>
    </row>
    <row r="609" spans="1:48" ht="18" customHeight="1" x14ac:dyDescent="0.25">
      <c r="A609" s="10">
        <v>304</v>
      </c>
      <c r="B609" s="10">
        <v>2</v>
      </c>
      <c r="C609" s="10">
        <v>304</v>
      </c>
      <c r="D609" s="88">
        <v>46154</v>
      </c>
      <c r="E609" s="88">
        <v>46156</v>
      </c>
      <c r="F609" s="88">
        <v>46168</v>
      </c>
      <c r="G609" s="11">
        <v>23379.55</v>
      </c>
      <c r="H609" s="11">
        <v>23689.599999999999</v>
      </c>
      <c r="I609" s="12"/>
      <c r="J609" s="12"/>
      <c r="K609" s="92"/>
      <c r="L609" s="92"/>
      <c r="M609" s="12" t="s">
        <v>40</v>
      </c>
      <c r="N609" s="10">
        <v>24000</v>
      </c>
      <c r="O609" s="95">
        <f>IF(F609=F607,O607,MROUND(G609,100))</f>
        <v>24000</v>
      </c>
      <c r="P609" s="95">
        <f>O609-N609</f>
        <v>0</v>
      </c>
      <c r="Q609" s="12" t="s">
        <v>91</v>
      </c>
      <c r="R609" s="10">
        <v>65</v>
      </c>
      <c r="S609" s="11">
        <v>686.1</v>
      </c>
      <c r="T609" s="11">
        <v>453.85</v>
      </c>
      <c r="U609" s="13">
        <v>-1.2190000000000001</v>
      </c>
      <c r="V609" s="13">
        <v>0.39240000000000003</v>
      </c>
      <c r="W609" s="10">
        <v>0</v>
      </c>
      <c r="X609" s="14">
        <v>0</v>
      </c>
      <c r="Y609" s="11">
        <v>-232.25</v>
      </c>
      <c r="Z609" s="14">
        <v>-9.9338952203956027E-3</v>
      </c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 t="s">
        <v>96</v>
      </c>
    </row>
    <row r="610" spans="1:48" ht="18" hidden="1" customHeight="1" x14ac:dyDescent="0.25">
      <c r="A610" s="4">
        <v>305</v>
      </c>
      <c r="B610" s="4">
        <v>1</v>
      </c>
      <c r="C610" s="4">
        <v>305</v>
      </c>
      <c r="D610" s="87">
        <v>46156</v>
      </c>
      <c r="E610" s="87">
        <v>46160</v>
      </c>
      <c r="F610" s="87">
        <v>46161</v>
      </c>
      <c r="G610" s="5">
        <v>23689.599999999999</v>
      </c>
      <c r="H610" s="5">
        <v>23649.95</v>
      </c>
      <c r="I610" s="5">
        <v>-39.65</v>
      </c>
      <c r="J610" s="6">
        <v>-1.6737302444954751E-3</v>
      </c>
      <c r="K610" s="90"/>
      <c r="L610" s="90"/>
      <c r="M610" s="7" t="s">
        <v>28</v>
      </c>
      <c r="N610" s="4">
        <v>23700</v>
      </c>
      <c r="O610" s="94"/>
      <c r="P610" s="94"/>
      <c r="Q610" s="7" t="s">
        <v>89</v>
      </c>
      <c r="R610" s="4">
        <v>65</v>
      </c>
      <c r="S610" s="5">
        <v>171.95</v>
      </c>
      <c r="T610" s="5">
        <v>81.849999999999994</v>
      </c>
      <c r="U610" s="8">
        <v>-0.37840000000000001</v>
      </c>
      <c r="V610" s="8">
        <v>0.63780000000000003</v>
      </c>
      <c r="W610" s="5">
        <v>90.1</v>
      </c>
      <c r="X610" s="6">
        <v>3.8033567472646229E-3</v>
      </c>
      <c r="Y610" s="4">
        <v>0</v>
      </c>
      <c r="Z610" s="6">
        <v>0</v>
      </c>
      <c r="AA610" s="5">
        <v>60839.7</v>
      </c>
      <c r="AB610" s="5">
        <v>60473.8</v>
      </c>
      <c r="AC610" s="5">
        <v>-365.9</v>
      </c>
      <c r="AD610" s="5">
        <v>-0.60140000000000005</v>
      </c>
      <c r="AE610" s="4">
        <v>4</v>
      </c>
      <c r="AF610" s="5">
        <v>-6.6667000000000004E-2</v>
      </c>
      <c r="AG610" s="5">
        <v>-406.45979999999997</v>
      </c>
      <c r="AH610" s="5">
        <v>-0.66810000000000003</v>
      </c>
      <c r="AI610" s="8">
        <v>-2.3367</v>
      </c>
      <c r="AJ610" s="8">
        <v>0.32429999999999998</v>
      </c>
      <c r="AK610" s="9">
        <v>-309.20979999999997</v>
      </c>
      <c r="AL610" s="9">
        <v>-0.2576</v>
      </c>
      <c r="AM610" s="5">
        <v>103.01690000000001</v>
      </c>
      <c r="AN610" s="5">
        <v>103.4541</v>
      </c>
      <c r="AO610" s="5">
        <v>-0.43709999999999999</v>
      </c>
      <c r="AP610" s="5">
        <v>-0.42249999999999999</v>
      </c>
      <c r="AQ610" s="8">
        <v>-0.43569999999999998</v>
      </c>
      <c r="AR610" s="8">
        <v>-0.62609999999999999</v>
      </c>
      <c r="AS610" s="8">
        <v>-0.62609999999999999</v>
      </c>
      <c r="AT610" s="5">
        <v>102.63630000000001</v>
      </c>
      <c r="AU610" s="5">
        <v>-0.79039999999999999</v>
      </c>
      <c r="AV610" s="7" t="s">
        <v>90</v>
      </c>
    </row>
    <row r="611" spans="1:48" ht="18" customHeight="1" x14ac:dyDescent="0.25">
      <c r="A611" s="10">
        <v>305</v>
      </c>
      <c r="B611" s="10">
        <v>2</v>
      </c>
      <c r="C611" s="10">
        <v>305</v>
      </c>
      <c r="D611" s="88">
        <v>46156</v>
      </c>
      <c r="E611" s="88">
        <v>46160</v>
      </c>
      <c r="F611" s="88">
        <v>46168</v>
      </c>
      <c r="G611" s="11">
        <v>23689.599999999999</v>
      </c>
      <c r="H611" s="11">
        <v>23649.95</v>
      </c>
      <c r="I611" s="12"/>
      <c r="J611" s="12"/>
      <c r="K611" s="92"/>
      <c r="L611" s="92"/>
      <c r="M611" s="12" t="s">
        <v>40</v>
      </c>
      <c r="N611" s="10">
        <v>24000</v>
      </c>
      <c r="O611" s="95">
        <f>IF(F611=F609,O609,MROUND(G611,100))</f>
        <v>24000</v>
      </c>
      <c r="P611" s="95">
        <f>O611-N611</f>
        <v>0</v>
      </c>
      <c r="Q611" s="12" t="s">
        <v>91</v>
      </c>
      <c r="R611" s="10">
        <v>65</v>
      </c>
      <c r="S611" s="11">
        <v>453.85</v>
      </c>
      <c r="T611" s="10">
        <v>461</v>
      </c>
      <c r="U611" s="13">
        <v>-0.38159999999999999</v>
      </c>
      <c r="V611" s="13">
        <v>1.0728</v>
      </c>
      <c r="W611" s="10">
        <v>0</v>
      </c>
      <c r="X611" s="14">
        <v>0</v>
      </c>
      <c r="Y611" s="11">
        <v>7.15</v>
      </c>
      <c r="Z611" s="14">
        <v>3.0182020802377421E-4</v>
      </c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 t="s">
        <v>90</v>
      </c>
    </row>
    <row r="612" spans="1:48" ht="18" hidden="1" customHeight="1" x14ac:dyDescent="0.25">
      <c r="A612" s="4">
        <v>306</v>
      </c>
      <c r="B612" s="4">
        <v>1</v>
      </c>
      <c r="C612" s="4">
        <v>306</v>
      </c>
      <c r="D612" s="87">
        <v>46160</v>
      </c>
      <c r="E612" s="87">
        <v>46167</v>
      </c>
      <c r="F612" s="87">
        <v>46168</v>
      </c>
      <c r="G612" s="5">
        <v>23649.95</v>
      </c>
      <c r="H612" s="5">
        <v>24031.7</v>
      </c>
      <c r="I612" s="5">
        <v>381.75</v>
      </c>
      <c r="J612" s="6">
        <v>1.6141683174805861E-2</v>
      </c>
      <c r="K612" s="90"/>
      <c r="L612" s="90"/>
      <c r="M612" s="7" t="s">
        <v>28</v>
      </c>
      <c r="N612" s="4">
        <v>23600</v>
      </c>
      <c r="O612" s="94"/>
      <c r="P612" s="94"/>
      <c r="Q612" s="7" t="s">
        <v>89</v>
      </c>
      <c r="R612" s="4">
        <v>65</v>
      </c>
      <c r="S612" s="5">
        <v>299.3</v>
      </c>
      <c r="T612" s="5">
        <v>458.3</v>
      </c>
      <c r="U612" s="8">
        <v>-0.9385</v>
      </c>
      <c r="V612" s="8">
        <v>0.77059999999999995</v>
      </c>
      <c r="W612" s="4">
        <v>-159</v>
      </c>
      <c r="X612" s="6">
        <v>-6.7230586111175711E-3</v>
      </c>
      <c r="Y612" s="4">
        <v>0</v>
      </c>
      <c r="Z612" s="6">
        <v>0</v>
      </c>
      <c r="AA612" s="5">
        <v>60473.8</v>
      </c>
      <c r="AB612" s="5">
        <v>61966.6</v>
      </c>
      <c r="AC612" s="5">
        <v>1492.8</v>
      </c>
      <c r="AD612" s="5">
        <v>2.4685000000000001</v>
      </c>
      <c r="AE612" s="4">
        <v>7</v>
      </c>
      <c r="AF612" s="5">
        <v>-0.11666700000000001</v>
      </c>
      <c r="AG612" s="5">
        <v>1422.2472</v>
      </c>
      <c r="AH612" s="5">
        <v>2.3517999999999999</v>
      </c>
      <c r="AI612" s="8">
        <v>-2.5700000000000001E-2</v>
      </c>
      <c r="AJ612" s="8">
        <v>2.4615999999999998</v>
      </c>
      <c r="AK612" s="15">
        <v>861.19719999999995</v>
      </c>
      <c r="AL612" s="15">
        <v>-2.0500000000000001E-2</v>
      </c>
      <c r="AM612" s="5">
        <v>102.9958</v>
      </c>
      <c r="AN612" s="5">
        <v>103.4541</v>
      </c>
      <c r="AO612" s="5">
        <v>-0.4582</v>
      </c>
      <c r="AP612" s="5">
        <v>-0.44290000000000002</v>
      </c>
      <c r="AQ612" s="8">
        <v>-0.26379999999999998</v>
      </c>
      <c r="AR612" s="8">
        <v>1.5466</v>
      </c>
      <c r="AS612" s="8">
        <v>-0.26379999999999998</v>
      </c>
      <c r="AT612" s="5">
        <v>102.7452</v>
      </c>
      <c r="AU612" s="5">
        <v>-0.68520000000000003</v>
      </c>
      <c r="AV612" s="7" t="s">
        <v>92</v>
      </c>
    </row>
    <row r="613" spans="1:48" ht="18" customHeight="1" x14ac:dyDescent="0.25">
      <c r="A613" s="10">
        <v>306</v>
      </c>
      <c r="B613" s="10">
        <v>2</v>
      </c>
      <c r="C613" s="10">
        <v>306</v>
      </c>
      <c r="D613" s="88">
        <v>46160</v>
      </c>
      <c r="E613" s="88">
        <v>46167</v>
      </c>
      <c r="F613" s="88">
        <v>46168</v>
      </c>
      <c r="G613" s="11">
        <v>23649.95</v>
      </c>
      <c r="H613" s="11">
        <v>24031.7</v>
      </c>
      <c r="I613" s="12"/>
      <c r="J613" s="12"/>
      <c r="K613" s="92"/>
      <c r="L613" s="92"/>
      <c r="M613" s="12" t="s">
        <v>40</v>
      </c>
      <c r="N613" s="10">
        <v>24000</v>
      </c>
      <c r="O613" s="95">
        <f>IF(F613=F611,O611,MROUND(G613,100))</f>
        <v>24000</v>
      </c>
      <c r="P613" s="95">
        <f>O613-N613</f>
        <v>0</v>
      </c>
      <c r="Q613" s="12" t="s">
        <v>91</v>
      </c>
      <c r="R613" s="10">
        <v>65</v>
      </c>
      <c r="S613" s="10">
        <v>461</v>
      </c>
      <c r="T613" s="11">
        <v>58.95</v>
      </c>
      <c r="U613" s="13">
        <v>-1.7868999999999999</v>
      </c>
      <c r="V613" s="13">
        <v>0.80169999999999997</v>
      </c>
      <c r="W613" s="10">
        <v>0</v>
      </c>
      <c r="X613" s="14">
        <v>0</v>
      </c>
      <c r="Y613" s="11">
        <v>-402.05</v>
      </c>
      <c r="Z613" s="14">
        <v>-1.7000035940879371E-2</v>
      </c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 t="s">
        <v>92</v>
      </c>
    </row>
    <row r="614" spans="1:48" ht="18" hidden="1" customHeight="1" x14ac:dyDescent="0.25">
      <c r="A614" s="4">
        <v>307</v>
      </c>
      <c r="B614" s="4">
        <v>1</v>
      </c>
      <c r="C614" s="4">
        <v>307</v>
      </c>
      <c r="D614" s="87">
        <v>46167</v>
      </c>
      <c r="E614" s="87">
        <v>46171</v>
      </c>
      <c r="F614" s="87">
        <v>46175</v>
      </c>
      <c r="G614" s="5">
        <v>24031.7</v>
      </c>
      <c r="H614" s="5">
        <v>23547.75</v>
      </c>
      <c r="I614" s="5">
        <v>-483.95</v>
      </c>
      <c r="J614" s="6">
        <v>-2.0137984412255481E-2</v>
      </c>
      <c r="K614" s="90"/>
      <c r="L614" s="90"/>
      <c r="M614" s="7" t="s">
        <v>28</v>
      </c>
      <c r="N614" s="4">
        <v>24000</v>
      </c>
      <c r="O614" s="94"/>
      <c r="P614" s="94"/>
      <c r="Q614" s="7" t="s">
        <v>89</v>
      </c>
      <c r="R614" s="4">
        <v>65</v>
      </c>
      <c r="S614" s="5">
        <v>246.45</v>
      </c>
      <c r="T614" s="5">
        <v>50.7</v>
      </c>
      <c r="U614" s="8">
        <v>-1.06E-2</v>
      </c>
      <c r="V614" s="8">
        <v>0.84640000000000004</v>
      </c>
      <c r="W614" s="5">
        <v>195.75</v>
      </c>
      <c r="X614" s="6">
        <v>8.1454911637545407E-3</v>
      </c>
      <c r="Y614" s="4">
        <v>0</v>
      </c>
      <c r="Z614" s="6">
        <v>0</v>
      </c>
      <c r="AA614" s="5">
        <v>61966.6</v>
      </c>
      <c r="AB614" s="5">
        <v>61723.8</v>
      </c>
      <c r="AC614" s="5">
        <v>-242.8</v>
      </c>
      <c r="AD614" s="5">
        <v>-0.39179999999999998</v>
      </c>
      <c r="AE614" s="4">
        <v>4</v>
      </c>
      <c r="AF614" s="5">
        <v>-6.6667000000000004E-2</v>
      </c>
      <c r="AG614" s="5">
        <v>-284.11110000000002</v>
      </c>
      <c r="AH614" s="5">
        <v>-0.45850000000000002</v>
      </c>
      <c r="AI614" s="8">
        <v>-0.68720000000000003</v>
      </c>
      <c r="AJ614" s="8">
        <v>1.4508000000000001</v>
      </c>
      <c r="AK614" s="15">
        <v>68.688900000000004</v>
      </c>
      <c r="AL614" s="15">
        <v>1.0096000000000001</v>
      </c>
      <c r="AM614" s="5">
        <v>104.03570000000001</v>
      </c>
      <c r="AN614" s="5">
        <v>104.03570000000001</v>
      </c>
      <c r="AO614" s="4">
        <v>0</v>
      </c>
      <c r="AP614" s="4">
        <v>0</v>
      </c>
      <c r="AQ614" s="8">
        <v>1.31</v>
      </c>
      <c r="AR614" s="8">
        <v>0.90549999999999997</v>
      </c>
      <c r="AS614" s="8">
        <v>0.90549999999999997</v>
      </c>
      <c r="AT614" s="5">
        <v>103.9284</v>
      </c>
      <c r="AU614" s="5">
        <v>0.45850000000000002</v>
      </c>
      <c r="AV614" s="7" t="s">
        <v>93</v>
      </c>
    </row>
    <row r="615" spans="1:48" ht="18" customHeight="1" x14ac:dyDescent="0.25">
      <c r="A615" s="10">
        <v>307</v>
      </c>
      <c r="B615" s="10">
        <v>2</v>
      </c>
      <c r="C615" s="10">
        <v>307</v>
      </c>
      <c r="D615" s="88">
        <v>46167</v>
      </c>
      <c r="E615" s="88">
        <v>46171</v>
      </c>
      <c r="F615" s="88">
        <v>46203</v>
      </c>
      <c r="G615" s="11">
        <v>24031.7</v>
      </c>
      <c r="H615" s="11">
        <v>23547.75</v>
      </c>
      <c r="I615" s="12"/>
      <c r="J615" s="12"/>
      <c r="K615" s="92"/>
      <c r="L615" s="92"/>
      <c r="M615" s="12" t="s">
        <v>40</v>
      </c>
      <c r="N615" s="10">
        <v>24000</v>
      </c>
      <c r="O615" s="95">
        <f>IF(F615=F613,O613,MROUND(G615,100))</f>
        <v>24000</v>
      </c>
      <c r="P615" s="95">
        <f>O615-N615</f>
        <v>0</v>
      </c>
      <c r="Q615" s="12" t="s">
        <v>91</v>
      </c>
      <c r="R615" s="10">
        <v>65</v>
      </c>
      <c r="S615" s="11">
        <v>375.5</v>
      </c>
      <c r="T615" s="11">
        <v>532.54999999999995</v>
      </c>
      <c r="U615" s="13">
        <v>-0.13020000000000001</v>
      </c>
      <c r="V615" s="13">
        <v>0.74629999999999996</v>
      </c>
      <c r="W615" s="10">
        <v>0</v>
      </c>
      <c r="X615" s="14">
        <v>0</v>
      </c>
      <c r="Y615" s="11">
        <v>157.05000000000001</v>
      </c>
      <c r="Z615" s="14">
        <v>6.5351181980467469E-3</v>
      </c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 t="s">
        <v>93</v>
      </c>
    </row>
    <row r="616" spans="1:48" ht="18" hidden="1" customHeight="1" x14ac:dyDescent="0.25">
      <c r="A616" s="4">
        <v>308</v>
      </c>
      <c r="B616" s="4">
        <v>1</v>
      </c>
      <c r="C616" s="4">
        <v>308</v>
      </c>
      <c r="D616" s="87">
        <v>46171</v>
      </c>
      <c r="E616" s="87">
        <v>46174</v>
      </c>
      <c r="F616" s="87">
        <v>46175</v>
      </c>
      <c r="G616" s="5">
        <v>23547.75</v>
      </c>
      <c r="H616" s="5">
        <v>23382.6</v>
      </c>
      <c r="I616" s="5">
        <v>-165.15</v>
      </c>
      <c r="J616" s="6">
        <v>-7.013408924419531E-3</v>
      </c>
      <c r="K616" s="90"/>
      <c r="L616" s="90"/>
      <c r="M616" s="7" t="s">
        <v>28</v>
      </c>
      <c r="N616" s="4">
        <v>23500</v>
      </c>
      <c r="O616" s="94"/>
      <c r="P616" s="94"/>
      <c r="Q616" s="7" t="s">
        <v>89</v>
      </c>
      <c r="R616" s="4">
        <v>65</v>
      </c>
      <c r="S616" s="5">
        <v>282.5</v>
      </c>
      <c r="T616" s="5">
        <v>60.8</v>
      </c>
      <c r="U616" s="8">
        <v>-0.1077</v>
      </c>
      <c r="V616" s="8">
        <v>0.99970000000000003</v>
      </c>
      <c r="W616" s="5">
        <v>221.7</v>
      </c>
      <c r="X616" s="6">
        <v>9.4149122527630025E-3</v>
      </c>
      <c r="Y616" s="4">
        <v>0</v>
      </c>
      <c r="Z616" s="6">
        <v>0</v>
      </c>
      <c r="AA616" s="5">
        <v>61723.8</v>
      </c>
      <c r="AB616" s="5">
        <v>60827.95</v>
      </c>
      <c r="AC616" s="5">
        <v>-895.85</v>
      </c>
      <c r="AD616" s="5">
        <v>-1.4514</v>
      </c>
      <c r="AE616" s="4">
        <v>3</v>
      </c>
      <c r="AF616" s="5">
        <v>-0.05</v>
      </c>
      <c r="AG616" s="5">
        <v>-926.71190000000001</v>
      </c>
      <c r="AH616" s="5">
        <v>-1.5014000000000001</v>
      </c>
      <c r="AI616" s="8">
        <v>-1.6497999999999999</v>
      </c>
      <c r="AJ616" s="8">
        <v>0.49769999999999998</v>
      </c>
      <c r="AK616" s="9">
        <v>-538.31190000000004</v>
      </c>
      <c r="AL616" s="9">
        <v>0.14799999999999999</v>
      </c>
      <c r="AM616" s="5">
        <v>104.1896</v>
      </c>
      <c r="AN616" s="5">
        <v>104.1896</v>
      </c>
      <c r="AO616" s="4">
        <v>0</v>
      </c>
      <c r="AP616" s="4">
        <v>0</v>
      </c>
      <c r="AQ616" s="8">
        <v>0.25979999999999998</v>
      </c>
      <c r="AR616" s="8">
        <v>0.1517</v>
      </c>
      <c r="AS616" s="8">
        <v>0.14799999999999999</v>
      </c>
      <c r="AT616" s="5">
        <v>104.1896</v>
      </c>
      <c r="AU616" s="5">
        <v>0.14799999999999999</v>
      </c>
      <c r="AV616" s="7" t="s">
        <v>90</v>
      </c>
    </row>
    <row r="617" spans="1:48" ht="18" customHeight="1" x14ac:dyDescent="0.25">
      <c r="A617" s="10">
        <v>308</v>
      </c>
      <c r="B617" s="10">
        <v>2</v>
      </c>
      <c r="C617" s="10">
        <v>308</v>
      </c>
      <c r="D617" s="88">
        <v>46171</v>
      </c>
      <c r="E617" s="88">
        <v>46174</v>
      </c>
      <c r="F617" s="88">
        <v>46203</v>
      </c>
      <c r="G617" s="11">
        <v>23547.75</v>
      </c>
      <c r="H617" s="11">
        <v>23382.6</v>
      </c>
      <c r="I617" s="12"/>
      <c r="J617" s="12"/>
      <c r="K617" s="92"/>
      <c r="L617" s="92"/>
      <c r="M617" s="12" t="s">
        <v>40</v>
      </c>
      <c r="N617" s="10">
        <v>24000</v>
      </c>
      <c r="O617" s="95">
        <f>IF(F617=F615,O615,MROUND(G617,100))</f>
        <v>24000</v>
      </c>
      <c r="P617" s="95">
        <f>O617-N617</f>
        <v>0</v>
      </c>
      <c r="Q617" s="12" t="s">
        <v>91</v>
      </c>
      <c r="R617" s="10">
        <v>65</v>
      </c>
      <c r="S617" s="11">
        <v>532.54999999999995</v>
      </c>
      <c r="T617" s="11">
        <v>699.25</v>
      </c>
      <c r="U617" s="13">
        <v>-0.13020000000000001</v>
      </c>
      <c r="V617" s="13">
        <v>0.80179999999999996</v>
      </c>
      <c r="W617" s="10">
        <v>0</v>
      </c>
      <c r="X617" s="14">
        <v>0</v>
      </c>
      <c r="Y617" s="11">
        <v>166.7</v>
      </c>
      <c r="Z617" s="14">
        <v>7.0792326230743911E-3</v>
      </c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 t="s">
        <v>90</v>
      </c>
    </row>
    <row r="618" spans="1:48" ht="18" hidden="1" customHeight="1" x14ac:dyDescent="0.25">
      <c r="A618" s="4">
        <v>309</v>
      </c>
      <c r="B618" s="4">
        <v>1</v>
      </c>
      <c r="C618" s="4">
        <v>309</v>
      </c>
      <c r="D618" s="87">
        <v>46174</v>
      </c>
      <c r="E618" s="87">
        <v>46181</v>
      </c>
      <c r="F618" s="87">
        <v>46182</v>
      </c>
      <c r="G618" s="5">
        <v>23382.6</v>
      </c>
      <c r="H618" s="4">
        <v>23123</v>
      </c>
      <c r="I618" s="5">
        <v>-259.60000000000002</v>
      </c>
      <c r="J618" s="6">
        <v>-1.110227263007536E-2</v>
      </c>
      <c r="K618" s="90"/>
      <c r="L618" s="90"/>
      <c r="M618" s="7" t="s">
        <v>28</v>
      </c>
      <c r="N618" s="4">
        <v>23400</v>
      </c>
      <c r="O618" s="94"/>
      <c r="P618" s="94"/>
      <c r="Q618" s="7" t="s">
        <v>89</v>
      </c>
      <c r="R618" s="4">
        <v>65</v>
      </c>
      <c r="S618" s="5">
        <v>257.55</v>
      </c>
      <c r="T618" s="5">
        <v>18.850000000000001</v>
      </c>
      <c r="U618" s="8">
        <v>-0.29270000000000002</v>
      </c>
      <c r="V618" s="8">
        <v>1.0382</v>
      </c>
      <c r="W618" s="5">
        <v>238.7</v>
      </c>
      <c r="X618" s="6">
        <v>1.0208445596298099E-2</v>
      </c>
      <c r="Y618" s="4">
        <v>0</v>
      </c>
      <c r="Z618" s="6">
        <v>0</v>
      </c>
      <c r="AA618" s="5">
        <v>60827.95</v>
      </c>
      <c r="AB618" s="5">
        <v>59905.65</v>
      </c>
      <c r="AC618" s="5">
        <v>-922.3</v>
      </c>
      <c r="AD618" s="5">
        <v>-1.5162</v>
      </c>
      <c r="AE618" s="4">
        <v>7</v>
      </c>
      <c r="AF618" s="5">
        <v>-0.11666700000000001</v>
      </c>
      <c r="AG618" s="5">
        <v>-993.26589999999999</v>
      </c>
      <c r="AH618" s="5">
        <v>-1.6329</v>
      </c>
      <c r="AI618" s="8">
        <v>-2.0527000000000002</v>
      </c>
      <c r="AJ618" s="8">
        <v>0.80610000000000004</v>
      </c>
      <c r="AK618" s="9">
        <v>-553.11590000000001</v>
      </c>
      <c r="AL618" s="9">
        <v>0.2495</v>
      </c>
      <c r="AM618" s="5">
        <v>104.4496</v>
      </c>
      <c r="AN618" s="5">
        <v>104.4496</v>
      </c>
      <c r="AO618" s="4">
        <v>0</v>
      </c>
      <c r="AP618" s="4">
        <v>0</v>
      </c>
      <c r="AQ618" s="8">
        <v>-0.1057</v>
      </c>
      <c r="AR618" s="8">
        <v>-4.9299999999999997E-2</v>
      </c>
      <c r="AS618" s="8">
        <v>-0.1057</v>
      </c>
      <c r="AT618" s="5">
        <v>104.0795</v>
      </c>
      <c r="AU618" s="5">
        <v>-0.1057</v>
      </c>
      <c r="AV618" s="7" t="s">
        <v>104</v>
      </c>
    </row>
    <row r="619" spans="1:48" ht="18" customHeight="1" x14ac:dyDescent="0.25">
      <c r="A619" s="10">
        <v>309</v>
      </c>
      <c r="B619" s="10">
        <v>2</v>
      </c>
      <c r="C619" s="10">
        <v>309</v>
      </c>
      <c r="D619" s="88">
        <v>46174</v>
      </c>
      <c r="E619" s="88">
        <v>46181</v>
      </c>
      <c r="F619" s="88">
        <v>46203</v>
      </c>
      <c r="G619" s="11">
        <v>23382.6</v>
      </c>
      <c r="H619" s="10">
        <v>23123</v>
      </c>
      <c r="I619" s="12"/>
      <c r="J619" s="12"/>
      <c r="K619" s="92"/>
      <c r="L619" s="92"/>
      <c r="M619" s="12" t="s">
        <v>40</v>
      </c>
      <c r="N619" s="10">
        <v>24000</v>
      </c>
      <c r="O619" s="95">
        <f>IF(F619=F617,O617,MROUND(G619,100))</f>
        <v>24000</v>
      </c>
      <c r="P619" s="95">
        <f>O619-N619</f>
        <v>0</v>
      </c>
      <c r="Q619" s="12" t="s">
        <v>91</v>
      </c>
      <c r="R619" s="10">
        <v>65</v>
      </c>
      <c r="S619" s="11">
        <v>699.25</v>
      </c>
      <c r="T619" s="11">
        <v>900.7</v>
      </c>
      <c r="U619" s="13">
        <v>-0.61909999999999998</v>
      </c>
      <c r="V619" s="13">
        <v>0.96519999999999995</v>
      </c>
      <c r="W619" s="10">
        <v>0</v>
      </c>
      <c r="X619" s="14">
        <v>0</v>
      </c>
      <c r="Y619" s="11">
        <v>201.45</v>
      </c>
      <c r="Z619" s="14">
        <v>8.6153806676759637E-3</v>
      </c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 t="s">
        <v>104</v>
      </c>
    </row>
    <row r="620" spans="1:48" ht="18" hidden="1" customHeight="1" x14ac:dyDescent="0.25">
      <c r="A620" s="4">
        <v>310</v>
      </c>
      <c r="B620" s="4">
        <v>1</v>
      </c>
      <c r="C620" s="4">
        <v>310</v>
      </c>
      <c r="D620" s="87">
        <v>46181</v>
      </c>
      <c r="E620" s="87">
        <v>46185</v>
      </c>
      <c r="F620" s="87">
        <v>46189</v>
      </c>
      <c r="G620" s="4">
        <v>23123</v>
      </c>
      <c r="H620" s="5">
        <v>23622.9</v>
      </c>
      <c r="I620" s="5">
        <v>499.9</v>
      </c>
      <c r="J620" s="6">
        <v>2.1619167063097348E-2</v>
      </c>
      <c r="K620" s="90"/>
      <c r="L620" s="90"/>
      <c r="M620" s="7" t="s">
        <v>28</v>
      </c>
      <c r="N620" s="4">
        <v>23100</v>
      </c>
      <c r="O620" s="94"/>
      <c r="P620" s="94"/>
      <c r="Q620" s="7" t="s">
        <v>89</v>
      </c>
      <c r="R620" s="4">
        <v>65</v>
      </c>
      <c r="S620" s="5">
        <v>266.85000000000002</v>
      </c>
      <c r="T620" s="5">
        <v>566.6</v>
      </c>
      <c r="U620" s="8">
        <v>-1.4656</v>
      </c>
      <c r="V620" s="8">
        <v>0.46360000000000001</v>
      </c>
      <c r="W620" s="5">
        <v>-299.75</v>
      </c>
      <c r="X620" s="6">
        <v>-1.296328331098906E-2</v>
      </c>
      <c r="Y620" s="4">
        <v>0</v>
      </c>
      <c r="Z620" s="6">
        <v>0</v>
      </c>
      <c r="AA620" s="5">
        <v>59905.65</v>
      </c>
      <c r="AB620" s="5">
        <v>60768.1</v>
      </c>
      <c r="AC620" s="5">
        <v>862.45</v>
      </c>
      <c r="AD620" s="5">
        <v>1.4397</v>
      </c>
      <c r="AE620" s="4">
        <v>4</v>
      </c>
      <c r="AF620" s="5">
        <v>-6.6667000000000004E-2</v>
      </c>
      <c r="AG620" s="5">
        <v>822.51289999999995</v>
      </c>
      <c r="AH620" s="5">
        <v>1.373</v>
      </c>
      <c r="AI620" s="8">
        <v>-1.1987000000000001</v>
      </c>
      <c r="AJ620" s="8">
        <v>1.4816</v>
      </c>
      <c r="AK620" s="15">
        <v>81.862899999999996</v>
      </c>
      <c r="AL620" s="15">
        <v>-1.8301000000000001</v>
      </c>
      <c r="AM620" s="5">
        <v>102.538</v>
      </c>
      <c r="AN620" s="5">
        <v>104.4496</v>
      </c>
      <c r="AO620" s="5">
        <v>-1.9115</v>
      </c>
      <c r="AP620" s="5">
        <v>-1.8301000000000001</v>
      </c>
      <c r="AQ620" s="8">
        <v>-1.9978</v>
      </c>
      <c r="AR620" s="8">
        <v>-0.54349999999999998</v>
      </c>
      <c r="AS620" s="8">
        <v>-1.9978</v>
      </c>
      <c r="AT620" s="5">
        <v>102.3629</v>
      </c>
      <c r="AU620" s="5">
        <v>-1.9978</v>
      </c>
      <c r="AV620" s="7" t="s">
        <v>96</v>
      </c>
    </row>
    <row r="621" spans="1:48" ht="18" customHeight="1" x14ac:dyDescent="0.25">
      <c r="A621" s="10">
        <v>310</v>
      </c>
      <c r="B621" s="10">
        <v>2</v>
      </c>
      <c r="C621" s="10">
        <v>310</v>
      </c>
      <c r="D621" s="88">
        <v>46181</v>
      </c>
      <c r="E621" s="88">
        <v>46185</v>
      </c>
      <c r="F621" s="88">
        <v>46203</v>
      </c>
      <c r="G621" s="10">
        <v>23123</v>
      </c>
      <c r="H621" s="11">
        <v>23622.9</v>
      </c>
      <c r="I621" s="12"/>
      <c r="J621" s="12"/>
      <c r="K621" s="92"/>
      <c r="L621" s="92"/>
      <c r="M621" s="12" t="s">
        <v>40</v>
      </c>
      <c r="N621" s="10">
        <v>24000</v>
      </c>
      <c r="O621" s="95">
        <f>IF(F621=F619,O619,MROUND(G621,100))</f>
        <v>24000</v>
      </c>
      <c r="P621" s="95">
        <f>O621-N621</f>
        <v>0</v>
      </c>
      <c r="Q621" s="12" t="s">
        <v>91</v>
      </c>
      <c r="R621" s="10">
        <v>65</v>
      </c>
      <c r="S621" s="11">
        <v>900.7</v>
      </c>
      <c r="T621" s="11">
        <v>459.8</v>
      </c>
      <c r="U621" s="13">
        <v>-2.0137999999999998</v>
      </c>
      <c r="V621" s="13">
        <v>0.19159999999999999</v>
      </c>
      <c r="W621" s="10">
        <v>0</v>
      </c>
      <c r="X621" s="14">
        <v>0</v>
      </c>
      <c r="Y621" s="11">
        <v>-440.9</v>
      </c>
      <c r="Z621" s="14">
        <v>-1.9067595035246292E-2</v>
      </c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 t="s">
        <v>96</v>
      </c>
    </row>
    <row r="622" spans="1:48" ht="18" hidden="1" customHeight="1" x14ac:dyDescent="0.25">
      <c r="A622" s="4">
        <v>311</v>
      </c>
      <c r="B622" s="4">
        <v>1</v>
      </c>
      <c r="C622" s="4">
        <v>311</v>
      </c>
      <c r="D622" s="87">
        <v>46185</v>
      </c>
      <c r="E622" s="87">
        <v>46188</v>
      </c>
      <c r="F622" s="87">
        <v>46189</v>
      </c>
      <c r="G622" s="5">
        <v>23622.9</v>
      </c>
      <c r="H622" s="5">
        <v>23853.9</v>
      </c>
      <c r="I622" s="4">
        <v>231</v>
      </c>
      <c r="J622" s="6">
        <v>9.7786469908436296E-3</v>
      </c>
      <c r="K622" s="90"/>
      <c r="L622" s="90"/>
      <c r="M622" s="7" t="s">
        <v>28</v>
      </c>
      <c r="N622" s="4">
        <v>23600</v>
      </c>
      <c r="O622" s="94"/>
      <c r="P622" s="94"/>
      <c r="Q622" s="7" t="s">
        <v>89</v>
      </c>
      <c r="R622" s="4">
        <v>65</v>
      </c>
      <c r="S622" s="5">
        <v>166.5</v>
      </c>
      <c r="T622" s="5">
        <v>285.95</v>
      </c>
      <c r="U622" s="8">
        <v>-1.0778000000000001</v>
      </c>
      <c r="V622" s="8">
        <v>-0.36020000000000002</v>
      </c>
      <c r="W622" s="5">
        <v>-119.45</v>
      </c>
      <c r="X622" s="6">
        <v>-5.0565341257847261E-3</v>
      </c>
      <c r="Y622" s="4">
        <v>0</v>
      </c>
      <c r="Z622" s="6">
        <v>0</v>
      </c>
      <c r="AA622" s="5">
        <v>60768.1</v>
      </c>
      <c r="AB622" s="5">
        <v>61549.65</v>
      </c>
      <c r="AC622" s="5">
        <v>781.55</v>
      </c>
      <c r="AD622" s="5">
        <v>1.2861</v>
      </c>
      <c r="AE622" s="4">
        <v>3</v>
      </c>
      <c r="AF622" s="5">
        <v>-0.05</v>
      </c>
      <c r="AG622" s="5">
        <v>751.16600000000005</v>
      </c>
      <c r="AH622" s="5">
        <v>1.2361</v>
      </c>
      <c r="AI622" s="8">
        <v>1.0663</v>
      </c>
      <c r="AJ622" s="8">
        <v>1.7895000000000001</v>
      </c>
      <c r="AK622" s="15">
        <v>469.21600000000001</v>
      </c>
      <c r="AL622" s="15">
        <v>4.2599999999999999E-2</v>
      </c>
      <c r="AM622" s="5">
        <v>102.5817</v>
      </c>
      <c r="AN622" s="5">
        <v>104.4496</v>
      </c>
      <c r="AO622" s="5">
        <v>-1.8678999999999999</v>
      </c>
      <c r="AP622" s="5">
        <v>-1.7883</v>
      </c>
      <c r="AQ622" s="8">
        <v>-0.21410000000000001</v>
      </c>
      <c r="AR622" s="8">
        <v>0.13550000000000001</v>
      </c>
      <c r="AS622" s="8">
        <v>-0.21410000000000001</v>
      </c>
      <c r="AT622" s="5">
        <v>102.3185</v>
      </c>
      <c r="AU622" s="5">
        <v>-2.0402999999999998</v>
      </c>
      <c r="AV622" s="7" t="s">
        <v>90</v>
      </c>
    </row>
    <row r="623" spans="1:48" ht="18" customHeight="1" x14ac:dyDescent="0.25">
      <c r="A623" s="10">
        <v>311</v>
      </c>
      <c r="B623" s="10">
        <v>2</v>
      </c>
      <c r="C623" s="10">
        <v>311</v>
      </c>
      <c r="D623" s="88">
        <v>46185</v>
      </c>
      <c r="E623" s="88">
        <v>46188</v>
      </c>
      <c r="F623" s="88">
        <v>46203</v>
      </c>
      <c r="G623" s="11">
        <v>23622.9</v>
      </c>
      <c r="H623" s="11">
        <v>23853.9</v>
      </c>
      <c r="I623" s="12"/>
      <c r="J623" s="12"/>
      <c r="K623" s="92"/>
      <c r="L623" s="92"/>
      <c r="M623" s="12" t="s">
        <v>40</v>
      </c>
      <c r="N623" s="10">
        <v>24000</v>
      </c>
      <c r="O623" s="95">
        <f>IF(F623=F621,O621,MROUND(G623,100))</f>
        <v>24000</v>
      </c>
      <c r="P623" s="95">
        <f>O623-N623</f>
        <v>0</v>
      </c>
      <c r="Q623" s="12" t="s">
        <v>91</v>
      </c>
      <c r="R623" s="10">
        <v>65</v>
      </c>
      <c r="S623" s="11">
        <v>459.8</v>
      </c>
      <c r="T623" s="11">
        <v>297.3</v>
      </c>
      <c r="U623" s="13">
        <v>-0.92579999999999996</v>
      </c>
      <c r="V623" s="13">
        <v>-0.5706</v>
      </c>
      <c r="W623" s="10">
        <v>0</v>
      </c>
      <c r="X623" s="14">
        <v>0</v>
      </c>
      <c r="Y623" s="11">
        <v>-162.5</v>
      </c>
      <c r="Z623" s="14">
        <v>-6.8789183377146752E-3</v>
      </c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 t="s">
        <v>90</v>
      </c>
    </row>
    <row r="624" spans="1:48" ht="18" hidden="1" customHeight="1" x14ac:dyDescent="0.25">
      <c r="A624" s="4">
        <v>312</v>
      </c>
      <c r="B624" s="4">
        <v>1</v>
      </c>
      <c r="C624" s="4">
        <v>312</v>
      </c>
      <c r="D624" s="87">
        <v>46188</v>
      </c>
      <c r="E624" s="87">
        <v>46191</v>
      </c>
      <c r="F624" s="87">
        <v>46196</v>
      </c>
      <c r="G624" s="5">
        <v>23853.9</v>
      </c>
      <c r="H624" s="4">
        <v>24168</v>
      </c>
      <c r="I624" s="5">
        <v>314.10000000000002</v>
      </c>
      <c r="J624" s="6">
        <v>1.316765811879818E-2</v>
      </c>
      <c r="K624" s="90"/>
      <c r="L624" s="90"/>
      <c r="M624" s="7" t="s">
        <v>28</v>
      </c>
      <c r="N624" s="4">
        <v>23900</v>
      </c>
      <c r="O624" s="94"/>
      <c r="P624" s="94"/>
      <c r="Q624" s="7" t="s">
        <v>89</v>
      </c>
      <c r="R624" s="4">
        <v>65</v>
      </c>
      <c r="S624" s="5">
        <v>193.5</v>
      </c>
      <c r="T624" s="5">
        <v>295.60000000000002</v>
      </c>
      <c r="U624" s="8">
        <v>-0.51819999999999999</v>
      </c>
      <c r="V624" s="8">
        <v>0.1067</v>
      </c>
      <c r="W624" s="5">
        <v>-102.1</v>
      </c>
      <c r="X624" s="6">
        <v>-4.2802225212648657E-3</v>
      </c>
      <c r="Y624" s="4">
        <v>0</v>
      </c>
      <c r="Z624" s="6">
        <v>0</v>
      </c>
      <c r="AA624" s="5">
        <v>61549.65</v>
      </c>
      <c r="AB624" s="5">
        <v>62379.25</v>
      </c>
      <c r="AC624" s="5">
        <v>829.6</v>
      </c>
      <c r="AD624" s="5">
        <v>1.3479000000000001</v>
      </c>
      <c r="AE624" s="4">
        <v>3</v>
      </c>
      <c r="AF624" s="5">
        <v>-0.05</v>
      </c>
      <c r="AG624" s="5">
        <v>798.8252</v>
      </c>
      <c r="AH624" s="5">
        <v>1.2979000000000001</v>
      </c>
      <c r="AI624" s="8">
        <v>-0.2465</v>
      </c>
      <c r="AJ624" s="8">
        <v>1.3665</v>
      </c>
      <c r="AK624" s="15">
        <v>510.42520000000002</v>
      </c>
      <c r="AL624" s="15">
        <v>8.8900000000000007E-2</v>
      </c>
      <c r="AM624" s="5">
        <v>102.6729</v>
      </c>
      <c r="AN624" s="5">
        <v>104.4496</v>
      </c>
      <c r="AO624" s="5">
        <v>-1.7766999999999999</v>
      </c>
      <c r="AP624" s="5">
        <v>-1.7010000000000001</v>
      </c>
      <c r="AQ624" s="8">
        <v>4.1099999999999998E-2</v>
      </c>
      <c r="AR624" s="8">
        <v>-0.22220000000000001</v>
      </c>
      <c r="AS624" s="8">
        <v>-0.22220000000000001</v>
      </c>
      <c r="AT624" s="5">
        <v>102.35380000000001</v>
      </c>
      <c r="AU624" s="5">
        <v>-2.0065</v>
      </c>
      <c r="AV624" s="7" t="s">
        <v>96</v>
      </c>
    </row>
    <row r="625" spans="1:48" ht="18" customHeight="1" x14ac:dyDescent="0.25">
      <c r="A625" s="10">
        <v>312</v>
      </c>
      <c r="B625" s="10">
        <v>2</v>
      </c>
      <c r="C625" s="10">
        <v>312</v>
      </c>
      <c r="D625" s="88">
        <v>46188</v>
      </c>
      <c r="E625" s="88">
        <v>46191</v>
      </c>
      <c r="F625" s="88">
        <v>46203</v>
      </c>
      <c r="G625" s="11">
        <v>23853.9</v>
      </c>
      <c r="H625" s="10">
        <v>24168</v>
      </c>
      <c r="I625" s="12"/>
      <c r="J625" s="12"/>
      <c r="K625" s="92"/>
      <c r="L625" s="92"/>
      <c r="M625" s="12" t="s">
        <v>40</v>
      </c>
      <c r="N625" s="10">
        <v>24000</v>
      </c>
      <c r="O625" s="95">
        <f>IF(F625=F623,O623,MROUND(G625,100))</f>
        <v>24000</v>
      </c>
      <c r="P625" s="95">
        <f>O625-N625</f>
        <v>0</v>
      </c>
      <c r="Q625" s="12" t="s">
        <v>91</v>
      </c>
      <c r="R625" s="10">
        <v>65</v>
      </c>
      <c r="S625" s="11">
        <v>297.3</v>
      </c>
      <c r="T625" s="10">
        <v>111</v>
      </c>
      <c r="U625" s="13">
        <v>-0.80720000000000003</v>
      </c>
      <c r="V625" s="13">
        <v>-8.2400000000000001E-2</v>
      </c>
      <c r="W625" s="10">
        <v>0</v>
      </c>
      <c r="X625" s="14">
        <v>0</v>
      </c>
      <c r="Y625" s="11">
        <v>-186.3</v>
      </c>
      <c r="Z625" s="14">
        <v>-7.8100436406625326E-3</v>
      </c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 t="s">
        <v>96</v>
      </c>
    </row>
    <row r="626" spans="1:48" ht="18" hidden="1" customHeight="1" x14ac:dyDescent="0.25">
      <c r="A626" s="4">
        <v>313</v>
      </c>
      <c r="B626" s="4">
        <v>1</v>
      </c>
      <c r="C626" s="4">
        <v>313</v>
      </c>
      <c r="D626" s="87">
        <v>46191</v>
      </c>
      <c r="E626" s="87">
        <v>46195</v>
      </c>
      <c r="F626" s="87">
        <v>46196</v>
      </c>
      <c r="G626" s="4">
        <v>24168</v>
      </c>
      <c r="H626" s="5">
        <v>24102.9</v>
      </c>
      <c r="I626" s="5">
        <v>-65.099999999999994</v>
      </c>
      <c r="J626" s="6">
        <v>-2.6936444885799402E-3</v>
      </c>
      <c r="K626" s="90"/>
      <c r="L626" s="90"/>
      <c r="M626" s="7" t="s">
        <v>28</v>
      </c>
      <c r="N626" s="4">
        <v>24200</v>
      </c>
      <c r="O626" s="94"/>
      <c r="P626" s="94"/>
      <c r="Q626" s="7" t="s">
        <v>89</v>
      </c>
      <c r="R626" s="4">
        <v>65</v>
      </c>
      <c r="S626" s="5">
        <v>100.9</v>
      </c>
      <c r="T626" s="5">
        <v>30.65</v>
      </c>
      <c r="U626" s="8">
        <v>0.161</v>
      </c>
      <c r="V626" s="8">
        <v>0.32029999999999997</v>
      </c>
      <c r="W626" s="5">
        <v>70.25</v>
      </c>
      <c r="X626" s="6">
        <v>2.906736180072823E-3</v>
      </c>
      <c r="Y626" s="4">
        <v>0</v>
      </c>
      <c r="Z626" s="6">
        <v>0</v>
      </c>
      <c r="AA626" s="5">
        <v>62379.25</v>
      </c>
      <c r="AB626" s="5">
        <v>62729.1</v>
      </c>
      <c r="AC626" s="5">
        <v>349.85</v>
      </c>
      <c r="AD626" s="5">
        <v>0.56079999999999997</v>
      </c>
      <c r="AE626" s="4">
        <v>4</v>
      </c>
      <c r="AF626" s="5">
        <v>-6.6667000000000004E-2</v>
      </c>
      <c r="AG626" s="5">
        <v>308.2638</v>
      </c>
      <c r="AH626" s="5">
        <v>0.49419999999999997</v>
      </c>
      <c r="AI626" s="8">
        <v>-0.70909999999999995</v>
      </c>
      <c r="AJ626" s="8">
        <v>0.72850000000000004</v>
      </c>
      <c r="AK626" s="15">
        <v>370.41379999999998</v>
      </c>
      <c r="AL626" s="15">
        <v>0.75139999999999996</v>
      </c>
      <c r="AM626" s="5">
        <v>103.4444</v>
      </c>
      <c r="AN626" s="5">
        <v>104.4496</v>
      </c>
      <c r="AO626" s="5">
        <v>-1.0052000000000001</v>
      </c>
      <c r="AP626" s="5">
        <v>-0.96240000000000003</v>
      </c>
      <c r="AQ626" s="8">
        <v>0.80379999999999996</v>
      </c>
      <c r="AR626" s="8">
        <v>9.9400000000000002E-2</v>
      </c>
      <c r="AS626" s="8">
        <v>9.9400000000000002E-2</v>
      </c>
      <c r="AT626" s="5">
        <v>102.77500000000001</v>
      </c>
      <c r="AU626" s="5">
        <v>-1.6032999999999999</v>
      </c>
      <c r="AV626" s="7" t="s">
        <v>90</v>
      </c>
    </row>
    <row r="627" spans="1:48" ht="18" customHeight="1" x14ac:dyDescent="0.25">
      <c r="A627" s="10">
        <v>313</v>
      </c>
      <c r="B627" s="10">
        <v>2</v>
      </c>
      <c r="C627" s="10">
        <v>313</v>
      </c>
      <c r="D627" s="88">
        <v>46191</v>
      </c>
      <c r="E627" s="88">
        <v>46195</v>
      </c>
      <c r="F627" s="88">
        <v>46203</v>
      </c>
      <c r="G627" s="10">
        <v>24168</v>
      </c>
      <c r="H627" s="11">
        <v>24102.9</v>
      </c>
      <c r="I627" s="12"/>
      <c r="J627" s="12"/>
      <c r="K627" s="92"/>
      <c r="L627" s="92"/>
      <c r="M627" s="12" t="s">
        <v>40</v>
      </c>
      <c r="N627" s="10">
        <v>24000</v>
      </c>
      <c r="O627" s="95">
        <f>IF(F627=F625,O625,MROUND(G627,100))</f>
        <v>24000</v>
      </c>
      <c r="P627" s="95">
        <f>O627-N627</f>
        <v>0</v>
      </c>
      <c r="Q627" s="12" t="s">
        <v>91</v>
      </c>
      <c r="R627" s="10">
        <v>65</v>
      </c>
      <c r="S627" s="10">
        <v>111</v>
      </c>
      <c r="T627" s="11">
        <v>102.9</v>
      </c>
      <c r="U627" s="13">
        <v>-8.5699999999999998E-2</v>
      </c>
      <c r="V627" s="13">
        <v>0.48820000000000002</v>
      </c>
      <c r="W627" s="10">
        <v>0</v>
      </c>
      <c r="X627" s="14">
        <v>0</v>
      </c>
      <c r="Y627" s="11">
        <v>-8.1</v>
      </c>
      <c r="Z627" s="14">
        <v>-3.3515392254220461E-4</v>
      </c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 t="s">
        <v>90</v>
      </c>
    </row>
    <row r="628" spans="1:48" ht="18" hidden="1" customHeight="1" x14ac:dyDescent="0.25">
      <c r="A628" s="4">
        <v>314</v>
      </c>
      <c r="B628" s="4">
        <v>1</v>
      </c>
      <c r="C628" s="4">
        <v>314</v>
      </c>
      <c r="D628" s="87">
        <v>46195</v>
      </c>
      <c r="E628" s="87">
        <v>46196</v>
      </c>
      <c r="F628" s="87">
        <v>46203</v>
      </c>
      <c r="G628" s="5">
        <v>24102.9</v>
      </c>
      <c r="H628" s="5">
        <v>23824.1</v>
      </c>
      <c r="I628" s="5">
        <v>-278.8</v>
      </c>
      <c r="J628" s="6">
        <v>-1.15670728418572E-2</v>
      </c>
      <c r="K628" s="90"/>
      <c r="L628" s="90"/>
      <c r="M628" s="7" t="s">
        <v>28</v>
      </c>
      <c r="N628" s="4">
        <v>24100</v>
      </c>
      <c r="O628" s="94"/>
      <c r="P628" s="94"/>
      <c r="Q628" s="7" t="s">
        <v>89</v>
      </c>
      <c r="R628" s="4">
        <v>65</v>
      </c>
      <c r="S628" s="5">
        <v>171.35</v>
      </c>
      <c r="T628" s="5">
        <v>68.5</v>
      </c>
      <c r="U628" s="8">
        <v>2.7199999999999998E-2</v>
      </c>
      <c r="V628" s="8">
        <v>0.46139999999999998</v>
      </c>
      <c r="W628" s="5">
        <v>102.85</v>
      </c>
      <c r="X628" s="6">
        <v>4.2671213837339071E-3</v>
      </c>
      <c r="Y628" s="4">
        <v>0</v>
      </c>
      <c r="Z628" s="6">
        <v>0</v>
      </c>
      <c r="AA628" s="5">
        <v>62729.1</v>
      </c>
      <c r="AB628" s="5">
        <v>62070.35</v>
      </c>
      <c r="AC628" s="5">
        <v>-658.75</v>
      </c>
      <c r="AD628" s="5">
        <v>-1.0502</v>
      </c>
      <c r="AE628" s="4">
        <v>1</v>
      </c>
      <c r="AF628" s="5">
        <v>-1.6667000000000001E-2</v>
      </c>
      <c r="AG628" s="5">
        <v>-669.20489999999995</v>
      </c>
      <c r="AH628" s="5">
        <v>-1.0668</v>
      </c>
      <c r="AI628" s="8">
        <v>-1.1997</v>
      </c>
      <c r="AJ628" s="8">
        <v>0.27100000000000002</v>
      </c>
      <c r="AK628" s="9">
        <v>-424.60480000000001</v>
      </c>
      <c r="AL628" s="9">
        <v>-5.1999999999999998E-2</v>
      </c>
      <c r="AM628" s="5">
        <v>103.39060000000001</v>
      </c>
      <c r="AN628" s="5">
        <v>104.4496</v>
      </c>
      <c r="AO628" s="5">
        <v>-1.0589999999999999</v>
      </c>
      <c r="AP628" s="5">
        <v>-1.0139</v>
      </c>
      <c r="AQ628" s="8">
        <v>0.19919999999999999</v>
      </c>
      <c r="AR628" s="8">
        <v>-1.04E-2</v>
      </c>
      <c r="AS628" s="8">
        <v>-5.1999999999999998E-2</v>
      </c>
      <c r="AT628" s="5">
        <v>103.39060000000001</v>
      </c>
      <c r="AU628" s="5">
        <v>-1.0139</v>
      </c>
      <c r="AV628" s="7" t="s">
        <v>93</v>
      </c>
    </row>
    <row r="629" spans="1:48" ht="18" customHeight="1" x14ac:dyDescent="0.25">
      <c r="A629" s="10">
        <v>314</v>
      </c>
      <c r="B629" s="10">
        <v>2</v>
      </c>
      <c r="C629" s="10">
        <v>314</v>
      </c>
      <c r="D629" s="88">
        <v>46195</v>
      </c>
      <c r="E629" s="88">
        <v>46196</v>
      </c>
      <c r="F629" s="88">
        <v>46203</v>
      </c>
      <c r="G629" s="11">
        <v>24102.9</v>
      </c>
      <c r="H629" s="11">
        <v>23824.1</v>
      </c>
      <c r="I629" s="12"/>
      <c r="J629" s="12"/>
      <c r="K629" s="92"/>
      <c r="L629" s="92"/>
      <c r="M629" s="12" t="s">
        <v>40</v>
      </c>
      <c r="N629" s="10">
        <v>24000</v>
      </c>
      <c r="O629" s="95">
        <f>IF(F629=F627,O627,MROUND(G629,100))</f>
        <v>24000</v>
      </c>
      <c r="P629" s="95">
        <f>O629-N629</f>
        <v>0</v>
      </c>
      <c r="Q629" s="12" t="s">
        <v>91</v>
      </c>
      <c r="R629" s="10">
        <v>65</v>
      </c>
      <c r="S629" s="11">
        <v>102.9</v>
      </c>
      <c r="T629" s="11">
        <v>244.65</v>
      </c>
      <c r="U629" s="13">
        <v>-9.9000000000000005E-2</v>
      </c>
      <c r="V629" s="13">
        <v>0.72789999999999999</v>
      </c>
      <c r="W629" s="10">
        <v>0</v>
      </c>
      <c r="X629" s="14">
        <v>0</v>
      </c>
      <c r="Y629" s="11">
        <v>141.75</v>
      </c>
      <c r="Z629" s="14">
        <v>5.8810350621709417E-3</v>
      </c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 t="s">
        <v>93</v>
      </c>
    </row>
    <row r="630" spans="1:48" ht="18" hidden="1" customHeight="1" x14ac:dyDescent="0.25">
      <c r="A630" s="4">
        <v>315</v>
      </c>
      <c r="B630" s="4">
        <v>1</v>
      </c>
      <c r="C630" s="4">
        <v>315</v>
      </c>
      <c r="D630" s="87">
        <v>46196</v>
      </c>
      <c r="E630" s="87">
        <v>46202</v>
      </c>
      <c r="F630" s="87">
        <v>46203</v>
      </c>
      <c r="G630" s="5">
        <v>23824.1</v>
      </c>
      <c r="H630" s="5">
        <v>23946.25</v>
      </c>
      <c r="I630" s="5">
        <v>122.15</v>
      </c>
      <c r="J630" s="6">
        <v>5.1271611519427811E-3</v>
      </c>
      <c r="K630" s="90"/>
      <c r="L630" s="90"/>
      <c r="M630" s="7" t="s">
        <v>28</v>
      </c>
      <c r="N630" s="4">
        <v>23800</v>
      </c>
      <c r="O630" s="94"/>
      <c r="P630" s="94"/>
      <c r="Q630" s="7" t="s">
        <v>89</v>
      </c>
      <c r="R630" s="4">
        <v>65</v>
      </c>
      <c r="S630" s="5">
        <v>189.4</v>
      </c>
      <c r="T630" s="5">
        <v>192.35</v>
      </c>
      <c r="U630" s="8">
        <v>-1.2910999999999999</v>
      </c>
      <c r="V630" s="8">
        <v>0.1444</v>
      </c>
      <c r="W630" s="5">
        <v>-2.95</v>
      </c>
      <c r="X630" s="6">
        <v>-1.2382419482792639E-4</v>
      </c>
      <c r="Y630" s="4">
        <v>0</v>
      </c>
      <c r="Z630" s="6">
        <v>0</v>
      </c>
      <c r="AA630" s="5">
        <v>62070.35</v>
      </c>
      <c r="AB630" s="5">
        <v>61567.3</v>
      </c>
      <c r="AC630" s="5">
        <v>-503.05</v>
      </c>
      <c r="AD630" s="5">
        <v>-0.8105</v>
      </c>
      <c r="AE630" s="4">
        <v>6</v>
      </c>
      <c r="AF630" s="5">
        <v>-0.1</v>
      </c>
      <c r="AG630" s="5">
        <v>-565.12030000000004</v>
      </c>
      <c r="AH630" s="5">
        <v>-0.91049999999999998</v>
      </c>
      <c r="AI630" s="8">
        <v>-1.5027999999999999</v>
      </c>
      <c r="AJ630" s="8">
        <v>0.71719999999999995</v>
      </c>
      <c r="AK630" s="9">
        <v>-716.27030000000002</v>
      </c>
      <c r="AL630" s="9">
        <v>-1.5448999999999999</v>
      </c>
      <c r="AM630" s="5">
        <v>101.7933</v>
      </c>
      <c r="AN630" s="5">
        <v>104.4496</v>
      </c>
      <c r="AO630" s="5">
        <v>-2.6562000000000001</v>
      </c>
      <c r="AP630" s="5">
        <v>-2.5430999999999999</v>
      </c>
      <c r="AQ630" s="8">
        <v>-1.4455</v>
      </c>
      <c r="AR630" s="8">
        <v>-1.1991000000000001</v>
      </c>
      <c r="AS630" s="8">
        <v>-1.5448999999999999</v>
      </c>
      <c r="AT630" s="5">
        <v>101.7933</v>
      </c>
      <c r="AU630" s="5">
        <v>-2.5430999999999999</v>
      </c>
      <c r="AV630" s="7" t="s">
        <v>94</v>
      </c>
    </row>
    <row r="631" spans="1:48" ht="18" customHeight="1" x14ac:dyDescent="0.25">
      <c r="A631" s="10">
        <v>315</v>
      </c>
      <c r="B631" s="10">
        <v>2</v>
      </c>
      <c r="C631" s="10">
        <v>315</v>
      </c>
      <c r="D631" s="88">
        <v>46196</v>
      </c>
      <c r="E631" s="88">
        <v>46202</v>
      </c>
      <c r="F631" s="88">
        <v>46203</v>
      </c>
      <c r="G631" s="11">
        <v>23824.1</v>
      </c>
      <c r="H631" s="11">
        <v>23946.25</v>
      </c>
      <c r="I631" s="12"/>
      <c r="J631" s="12"/>
      <c r="K631" s="92"/>
      <c r="L631" s="92"/>
      <c r="M631" s="12" t="s">
        <v>40</v>
      </c>
      <c r="N631" s="10">
        <v>24000</v>
      </c>
      <c r="O631" s="95">
        <f>IF(F631=F629,O629,MROUND(G631,100))</f>
        <v>24000</v>
      </c>
      <c r="P631" s="95">
        <f>O631-N631</f>
        <v>0</v>
      </c>
      <c r="Q631" s="12" t="s">
        <v>91</v>
      </c>
      <c r="R631" s="10">
        <v>65</v>
      </c>
      <c r="S631" s="11">
        <v>244.65</v>
      </c>
      <c r="T631" s="11">
        <v>96.45</v>
      </c>
      <c r="U631" s="13">
        <v>-0.87160000000000004</v>
      </c>
      <c r="V631" s="13">
        <v>0.1593</v>
      </c>
      <c r="W631" s="10">
        <v>0</v>
      </c>
      <c r="X631" s="14">
        <v>0</v>
      </c>
      <c r="Y631" s="11">
        <v>-148.19999999999999</v>
      </c>
      <c r="Z631" s="14">
        <v>-6.2205917537283672E-3</v>
      </c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 t="s">
        <v>94</v>
      </c>
    </row>
  </sheetData>
  <autoFilter ref="A1:AV631">
    <filterColumn colId="1">
      <filters>
        <filter val="2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workbookViewId="0"/>
  </sheetViews>
  <sheetFormatPr defaultRowHeight="15" x14ac:dyDescent="0.25"/>
  <cols>
    <col min="1" max="1" width="8" customWidth="1"/>
    <col min="2" max="13" width="9" customWidth="1"/>
    <col min="14" max="14" width="10" customWidth="1"/>
    <col min="15" max="15" width="18" customWidth="1"/>
    <col min="16" max="16" width="10" customWidth="1"/>
  </cols>
  <sheetData>
    <row r="1" spans="1:5" ht="26.1" customHeight="1" x14ac:dyDescent="0.25">
      <c r="A1" s="77" t="s">
        <v>105</v>
      </c>
      <c r="B1" s="70"/>
      <c r="C1" s="70"/>
      <c r="D1" s="70"/>
      <c r="E1" s="70"/>
    </row>
    <row r="2" spans="1:5" ht="15.95" customHeight="1" x14ac:dyDescent="0.25">
      <c r="A2" s="73" t="s">
        <v>106</v>
      </c>
      <c r="B2" s="70"/>
      <c r="C2" s="70"/>
      <c r="D2" s="70"/>
      <c r="E2" s="70"/>
    </row>
    <row r="4" spans="1:5" ht="20.100000000000001" customHeight="1" x14ac:dyDescent="0.25">
      <c r="A4" s="69" t="s">
        <v>107</v>
      </c>
      <c r="B4" s="70"/>
      <c r="C4" s="70"/>
      <c r="D4" s="70"/>
      <c r="E4" s="70"/>
    </row>
    <row r="5" spans="1:5" ht="18" customHeight="1" x14ac:dyDescent="0.25">
      <c r="A5" s="1" t="s">
        <v>108</v>
      </c>
      <c r="B5" s="17" t="s">
        <v>109</v>
      </c>
      <c r="D5" s="1" t="s">
        <v>110</v>
      </c>
      <c r="E5" s="18">
        <v>315</v>
      </c>
    </row>
    <row r="6" spans="1:5" ht="18" customHeight="1" x14ac:dyDescent="0.25">
      <c r="A6" s="19" t="s">
        <v>111</v>
      </c>
      <c r="B6" s="20" t="s">
        <v>112</v>
      </c>
      <c r="D6" s="19" t="s">
        <v>113</v>
      </c>
      <c r="E6" s="21" t="s">
        <v>114</v>
      </c>
    </row>
    <row r="7" spans="1:5" ht="18" customHeight="1" x14ac:dyDescent="0.25">
      <c r="A7" s="1" t="s">
        <v>115</v>
      </c>
      <c r="B7" s="17" t="s">
        <v>116</v>
      </c>
      <c r="D7" s="1" t="s">
        <v>117</v>
      </c>
      <c r="E7" s="22" t="s">
        <v>118</v>
      </c>
    </row>
    <row r="8" spans="1:5" ht="18" customHeight="1" x14ac:dyDescent="0.25">
      <c r="A8" s="19" t="s">
        <v>119</v>
      </c>
      <c r="B8" s="20" t="s">
        <v>120</v>
      </c>
      <c r="D8" s="19" t="s">
        <v>121</v>
      </c>
      <c r="E8" s="20" t="s">
        <v>122</v>
      </c>
    </row>
    <row r="9" spans="1:5" ht="18" customHeight="1" x14ac:dyDescent="0.25">
      <c r="A9" s="1" t="s">
        <v>123</v>
      </c>
      <c r="B9" s="17" t="s">
        <v>124</v>
      </c>
    </row>
    <row r="10" spans="1:5" ht="18" customHeight="1" x14ac:dyDescent="0.25">
      <c r="A10" s="1" t="s">
        <v>125</v>
      </c>
      <c r="B10" s="17" t="s">
        <v>126</v>
      </c>
      <c r="D10" s="1" t="s">
        <v>127</v>
      </c>
      <c r="E10" s="22" t="s">
        <v>128</v>
      </c>
    </row>
    <row r="11" spans="1:5" ht="18" customHeight="1" x14ac:dyDescent="0.25">
      <c r="A11" s="19" t="s">
        <v>129</v>
      </c>
      <c r="B11" s="20" t="s">
        <v>130</v>
      </c>
      <c r="D11" s="19" t="s">
        <v>131</v>
      </c>
      <c r="E11" s="20" t="s">
        <v>132</v>
      </c>
    </row>
    <row r="13" spans="1:5" ht="20.100000000000001" customHeight="1" x14ac:dyDescent="0.25">
      <c r="A13" s="3" t="s">
        <v>55</v>
      </c>
      <c r="B13" s="3" t="s">
        <v>133</v>
      </c>
      <c r="C13" s="3" t="s">
        <v>134</v>
      </c>
      <c r="D13" s="74" t="s">
        <v>135</v>
      </c>
      <c r="E13" s="70"/>
    </row>
    <row r="14" spans="1:5" ht="18" customHeight="1" x14ac:dyDescent="0.25">
      <c r="A14" s="1" t="s">
        <v>53</v>
      </c>
      <c r="B14" s="17" t="s">
        <v>136</v>
      </c>
      <c r="C14" s="17" t="s">
        <v>137</v>
      </c>
      <c r="D14" s="76">
        <v>0.87607230216240428</v>
      </c>
      <c r="E14" s="70"/>
    </row>
    <row r="15" spans="1:5" ht="18" customHeight="1" x14ac:dyDescent="0.25">
      <c r="A15" s="1" t="s">
        <v>63</v>
      </c>
      <c r="B15" s="22" t="s">
        <v>138</v>
      </c>
      <c r="C15" s="22" t="s">
        <v>139</v>
      </c>
    </row>
    <row r="16" spans="1:5" ht="18" customHeight="1" x14ac:dyDescent="0.25">
      <c r="A16" s="1" t="s">
        <v>65</v>
      </c>
      <c r="B16" s="22" t="s">
        <v>140</v>
      </c>
      <c r="C16" s="22" t="s">
        <v>141</v>
      </c>
    </row>
    <row r="17" spans="1:16" ht="18" customHeight="1" x14ac:dyDescent="0.25">
      <c r="A17" s="1" t="s">
        <v>142</v>
      </c>
      <c r="B17" s="22" t="s">
        <v>143</v>
      </c>
      <c r="C17" s="22" t="s">
        <v>144</v>
      </c>
    </row>
    <row r="18" spans="1:16" ht="18" customHeight="1" x14ac:dyDescent="0.25">
      <c r="A18" s="1" t="s">
        <v>145</v>
      </c>
      <c r="B18" s="17" t="s">
        <v>146</v>
      </c>
      <c r="C18" s="17" t="s">
        <v>147</v>
      </c>
    </row>
    <row r="19" spans="1:16" ht="18" customHeight="1" x14ac:dyDescent="0.25">
      <c r="A19" s="1" t="s">
        <v>148</v>
      </c>
      <c r="B19" s="17" t="s">
        <v>149</v>
      </c>
      <c r="C19" s="17" t="s">
        <v>150</v>
      </c>
    </row>
    <row r="20" spans="1:16" ht="18" customHeight="1" x14ac:dyDescent="0.25">
      <c r="A20" s="1" t="s">
        <v>151</v>
      </c>
      <c r="B20" s="17" t="s">
        <v>149</v>
      </c>
      <c r="C20" s="17" t="s">
        <v>109</v>
      </c>
    </row>
    <row r="22" spans="1:16" ht="20.100000000000001" customHeight="1" x14ac:dyDescent="0.25">
      <c r="A22" s="69" t="s">
        <v>152</v>
      </c>
      <c r="B22" s="70"/>
      <c r="C22" s="70"/>
      <c r="D22" s="70"/>
      <c r="E22" s="70"/>
    </row>
    <row r="23" spans="1:16" ht="18" customHeight="1" x14ac:dyDescent="0.25">
      <c r="A23" s="1" t="s">
        <v>153</v>
      </c>
      <c r="B23" s="22" t="s">
        <v>154</v>
      </c>
      <c r="D23" s="1" t="s">
        <v>155</v>
      </c>
      <c r="E23" s="22" t="s">
        <v>156</v>
      </c>
    </row>
    <row r="24" spans="1:16" ht="18" customHeight="1" x14ac:dyDescent="0.25">
      <c r="A24" s="72" t="s">
        <v>157</v>
      </c>
      <c r="B24" s="70"/>
      <c r="C24" s="70"/>
      <c r="D24" s="70"/>
      <c r="E24" s="70"/>
    </row>
    <row r="25" spans="1:16" ht="18" customHeight="1" x14ac:dyDescent="0.25">
      <c r="A25" s="19" t="s">
        <v>158</v>
      </c>
      <c r="B25" s="20" t="s">
        <v>159</v>
      </c>
    </row>
    <row r="27" spans="1:16" ht="20.100000000000001" customHeight="1" x14ac:dyDescent="0.25">
      <c r="A27" s="69" t="s">
        <v>160</v>
      </c>
      <c r="B27" s="70"/>
      <c r="C27" s="70"/>
      <c r="D27" s="70"/>
      <c r="E27" s="70"/>
    </row>
    <row r="28" spans="1:16" ht="18" customHeight="1" x14ac:dyDescent="0.25">
      <c r="A28" s="1" t="s">
        <v>161</v>
      </c>
      <c r="B28" s="17" t="s">
        <v>162</v>
      </c>
      <c r="D28" s="1" t="s">
        <v>163</v>
      </c>
      <c r="E28" s="22" t="s">
        <v>164</v>
      </c>
    </row>
    <row r="30" spans="1:16" ht="20.100000000000001" customHeight="1" x14ac:dyDescent="0.25">
      <c r="A30" s="69" t="s">
        <v>165</v>
      </c>
      <c r="B30" s="70"/>
      <c r="C30" s="70"/>
      <c r="D30" s="70"/>
      <c r="E30" s="70"/>
    </row>
    <row r="31" spans="1:16" ht="20.100000000000001" customHeight="1" x14ac:dyDescent="0.25">
      <c r="A31" s="3" t="s">
        <v>166</v>
      </c>
      <c r="B31" s="3" t="s">
        <v>167</v>
      </c>
      <c r="C31" s="3" t="s">
        <v>168</v>
      </c>
      <c r="D31" s="3" t="s">
        <v>169</v>
      </c>
      <c r="E31" s="3" t="s">
        <v>170</v>
      </c>
      <c r="F31" s="3" t="s">
        <v>171</v>
      </c>
      <c r="G31" s="3" t="s">
        <v>172</v>
      </c>
      <c r="H31" s="3" t="s">
        <v>173</v>
      </c>
      <c r="I31" s="3" t="s">
        <v>174</v>
      </c>
      <c r="J31" s="3" t="s">
        <v>175</v>
      </c>
      <c r="K31" s="3" t="s">
        <v>176</v>
      </c>
      <c r="L31" s="3" t="s">
        <v>177</v>
      </c>
      <c r="M31" s="3" t="s">
        <v>178</v>
      </c>
      <c r="N31" s="3" t="s">
        <v>179</v>
      </c>
      <c r="O31" s="3" t="s">
        <v>180</v>
      </c>
      <c r="P31" s="3" t="s">
        <v>181</v>
      </c>
    </row>
    <row r="32" spans="1:16" ht="18" customHeight="1" x14ac:dyDescent="0.25">
      <c r="A32" s="24" t="s">
        <v>182</v>
      </c>
      <c r="B32" s="25">
        <v>0</v>
      </c>
      <c r="C32" s="25">
        <v>0</v>
      </c>
      <c r="D32" s="25">
        <v>0</v>
      </c>
      <c r="E32" s="23">
        <v>-890.56</v>
      </c>
      <c r="F32" s="23">
        <v>-98.5</v>
      </c>
      <c r="G32" s="25">
        <v>0</v>
      </c>
      <c r="H32" s="25">
        <v>0</v>
      </c>
      <c r="I32" s="25">
        <v>0</v>
      </c>
      <c r="J32" s="25">
        <v>0</v>
      </c>
      <c r="K32" s="26">
        <v>443.45</v>
      </c>
      <c r="L32" s="26">
        <v>152.47999999999999</v>
      </c>
      <c r="M32" s="23">
        <v>-354.5</v>
      </c>
      <c r="N32" s="23">
        <v>-747.63</v>
      </c>
      <c r="O32" s="27">
        <v>-5.5994999999999999</v>
      </c>
      <c r="P32" s="25">
        <v>-0.56000000000000005</v>
      </c>
    </row>
    <row r="33" spans="1:16" ht="18" customHeight="1" x14ac:dyDescent="0.25">
      <c r="A33" s="24" t="s">
        <v>183</v>
      </c>
      <c r="B33" s="26">
        <v>1261.17</v>
      </c>
      <c r="C33" s="23">
        <v>-718.32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6">
        <v>542.85</v>
      </c>
      <c r="O33" s="29">
        <v>-2.6421000000000001</v>
      </c>
      <c r="P33" s="28">
        <v>0.64</v>
      </c>
    </row>
    <row r="34" spans="1:16" ht="18" customHeight="1" x14ac:dyDescent="0.25">
      <c r="A34" s="24" t="s">
        <v>184</v>
      </c>
      <c r="B34" s="25">
        <v>0</v>
      </c>
      <c r="C34" s="25">
        <v>0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6">
        <v>1019.7</v>
      </c>
      <c r="J34" s="23">
        <v>-351.95</v>
      </c>
      <c r="K34" s="23">
        <v>-384.97</v>
      </c>
      <c r="L34" s="23">
        <v>-111.09</v>
      </c>
      <c r="M34" s="23">
        <v>-1097.92</v>
      </c>
      <c r="N34" s="23">
        <v>-926.22</v>
      </c>
      <c r="O34" s="27">
        <v>-8.0993999999999993</v>
      </c>
      <c r="P34" s="25">
        <v>-0.36</v>
      </c>
    </row>
    <row r="35" spans="1:16" ht="18" customHeight="1" x14ac:dyDescent="0.25">
      <c r="A35" s="24" t="s">
        <v>185</v>
      </c>
      <c r="B35" s="28">
        <v>0</v>
      </c>
      <c r="C35" s="28">
        <v>0</v>
      </c>
      <c r="D35" s="28">
        <v>0</v>
      </c>
      <c r="E35" s="28">
        <v>0</v>
      </c>
      <c r="F35" s="26">
        <v>1429.99</v>
      </c>
      <c r="G35" s="26">
        <v>1402.93</v>
      </c>
      <c r="H35" s="26">
        <v>779.56</v>
      </c>
      <c r="I35" s="26">
        <v>2485.5300000000002</v>
      </c>
      <c r="J35" s="26">
        <v>1265.6199999999999</v>
      </c>
      <c r="K35" s="23">
        <v>-1457.33</v>
      </c>
      <c r="L35" s="26">
        <v>2853.04</v>
      </c>
      <c r="M35" s="26">
        <v>1413.85</v>
      </c>
      <c r="N35" s="26">
        <v>10173.19</v>
      </c>
      <c r="O35" s="29">
        <v>-3.7109999999999999</v>
      </c>
      <c r="P35" s="28">
        <v>4.3099999999999996</v>
      </c>
    </row>
    <row r="36" spans="1:16" ht="18" customHeight="1" x14ac:dyDescent="0.25">
      <c r="A36" s="24" t="s">
        <v>186</v>
      </c>
      <c r="B36" s="26">
        <v>2746.14</v>
      </c>
      <c r="C36" s="23">
        <v>-718.08</v>
      </c>
      <c r="D36" s="23">
        <v>-645.92999999999995</v>
      </c>
      <c r="E36" s="25">
        <v>0</v>
      </c>
      <c r="F36" s="26">
        <v>849.22</v>
      </c>
      <c r="G36" s="26">
        <v>1855.18</v>
      </c>
      <c r="H36" s="26">
        <v>2682.19</v>
      </c>
      <c r="I36" s="23">
        <v>-424.72</v>
      </c>
      <c r="J36" s="26">
        <v>344.13</v>
      </c>
      <c r="K36" s="23">
        <v>-3262.66</v>
      </c>
      <c r="L36" s="25">
        <v>0</v>
      </c>
      <c r="M36" s="25">
        <v>0</v>
      </c>
      <c r="N36" s="26">
        <v>3425.47</v>
      </c>
      <c r="O36" s="27">
        <v>-7.7683999999999997</v>
      </c>
      <c r="P36" s="25">
        <v>0.91</v>
      </c>
    </row>
    <row r="37" spans="1:16" ht="18" customHeight="1" x14ac:dyDescent="0.25">
      <c r="A37" s="24" t="s">
        <v>187</v>
      </c>
      <c r="B37" s="28">
        <v>0</v>
      </c>
      <c r="C37" s="28">
        <v>0</v>
      </c>
      <c r="D37" s="28">
        <v>0</v>
      </c>
      <c r="E37" s="26">
        <v>2292.33</v>
      </c>
      <c r="F37" s="26">
        <v>1860.03</v>
      </c>
      <c r="G37" s="26">
        <v>1211.3499999999999</v>
      </c>
      <c r="H37" s="23">
        <v>-827.31</v>
      </c>
      <c r="I37" s="23">
        <v>-2136.71</v>
      </c>
      <c r="J37" s="26">
        <v>154.13</v>
      </c>
      <c r="K37" s="26">
        <v>1967</v>
      </c>
      <c r="L37" s="26">
        <v>131.87</v>
      </c>
      <c r="M37" s="23">
        <v>-253.61</v>
      </c>
      <c r="N37" s="26">
        <v>4399.09</v>
      </c>
      <c r="O37" s="29">
        <v>-4.6376999999999997</v>
      </c>
      <c r="P37" s="28">
        <v>0.86</v>
      </c>
    </row>
    <row r="38" spans="1:16" ht="18" customHeight="1" x14ac:dyDescent="0.25">
      <c r="A38" s="24" t="s">
        <v>188</v>
      </c>
      <c r="B38" s="23">
        <v>-2136.85</v>
      </c>
      <c r="C38" s="25">
        <v>0</v>
      </c>
      <c r="D38" s="25">
        <v>0</v>
      </c>
      <c r="E38" s="25">
        <v>0</v>
      </c>
      <c r="F38" s="26">
        <v>1950.02</v>
      </c>
      <c r="G38" s="23">
        <v>-800.38</v>
      </c>
      <c r="H38" s="25">
        <v>0</v>
      </c>
      <c r="I38" s="25">
        <v>0</v>
      </c>
      <c r="J38" s="25">
        <v>0</v>
      </c>
      <c r="K38" s="25">
        <v>0</v>
      </c>
      <c r="L38" s="25">
        <v>0</v>
      </c>
      <c r="M38" s="25">
        <v>0</v>
      </c>
      <c r="N38" s="23">
        <v>-987.21</v>
      </c>
      <c r="O38" s="27">
        <v>-4.5156999999999998</v>
      </c>
      <c r="P38" s="25">
        <v>-0.27</v>
      </c>
    </row>
    <row r="40" spans="1:16" ht="20.100000000000001" customHeight="1" x14ac:dyDescent="0.25">
      <c r="A40" s="69" t="s">
        <v>189</v>
      </c>
      <c r="B40" s="70"/>
      <c r="C40" s="70"/>
      <c r="D40" s="70"/>
      <c r="E40" s="70"/>
    </row>
    <row r="41" spans="1:16" ht="20.100000000000001" customHeight="1" x14ac:dyDescent="0.25">
      <c r="A41" s="3" t="s">
        <v>166</v>
      </c>
      <c r="B41" s="3" t="s">
        <v>167</v>
      </c>
      <c r="C41" s="3" t="s">
        <v>168</v>
      </c>
      <c r="D41" s="3" t="s">
        <v>169</v>
      </c>
      <c r="E41" s="3" t="s">
        <v>170</v>
      </c>
      <c r="F41" s="3" t="s">
        <v>171</v>
      </c>
      <c r="G41" s="3" t="s">
        <v>172</v>
      </c>
      <c r="H41" s="3" t="s">
        <v>173</v>
      </c>
      <c r="I41" s="3" t="s">
        <v>174</v>
      </c>
      <c r="J41" s="3" t="s">
        <v>175</v>
      </c>
      <c r="K41" s="3" t="s">
        <v>176</v>
      </c>
      <c r="L41" s="3" t="s">
        <v>177</v>
      </c>
      <c r="M41" s="3" t="s">
        <v>178</v>
      </c>
      <c r="N41" s="3" t="s">
        <v>179</v>
      </c>
      <c r="O41" s="3" t="s">
        <v>180</v>
      </c>
      <c r="P41" s="3" t="s">
        <v>181</v>
      </c>
    </row>
    <row r="42" spans="1:16" ht="18" customHeight="1" x14ac:dyDescent="0.25">
      <c r="A42" s="24" t="s">
        <v>182</v>
      </c>
      <c r="B42" s="27">
        <v>0</v>
      </c>
      <c r="C42" s="27">
        <v>0</v>
      </c>
      <c r="D42" s="27">
        <v>0</v>
      </c>
      <c r="E42" s="30">
        <v>-5.2400000000000002E-2</v>
      </c>
      <c r="F42" s="31">
        <v>7.9000000000000008E-3</v>
      </c>
      <c r="G42" s="27">
        <v>0</v>
      </c>
      <c r="H42" s="27">
        <v>0</v>
      </c>
      <c r="I42" s="27">
        <v>0</v>
      </c>
      <c r="J42" s="27">
        <v>0</v>
      </c>
      <c r="K42" s="31">
        <v>2.69E-2</v>
      </c>
      <c r="L42" s="31">
        <v>3.5000000000000001E-3</v>
      </c>
      <c r="M42" s="30">
        <v>-2.3E-2</v>
      </c>
      <c r="N42" s="30">
        <v>-3.7100000000000001E-2</v>
      </c>
      <c r="O42" s="27">
        <v>-5.5994999999999999</v>
      </c>
      <c r="P42" s="25">
        <v>-0.01</v>
      </c>
    </row>
    <row r="43" spans="1:16" ht="18" customHeight="1" x14ac:dyDescent="0.25">
      <c r="A43" s="24" t="s">
        <v>183</v>
      </c>
      <c r="B43" s="31">
        <v>7.8200000000000006E-2</v>
      </c>
      <c r="C43" s="30">
        <v>-2.3599999999999999E-2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29">
        <v>0</v>
      </c>
      <c r="J43" s="29">
        <v>0</v>
      </c>
      <c r="K43" s="29">
        <v>0</v>
      </c>
      <c r="L43" s="29">
        <v>0</v>
      </c>
      <c r="M43" s="29">
        <v>0</v>
      </c>
      <c r="N43" s="31">
        <v>5.4699999999999999E-2</v>
      </c>
      <c r="O43" s="29">
        <v>-2.6421000000000001</v>
      </c>
      <c r="P43" s="28">
        <v>0.02</v>
      </c>
    </row>
    <row r="44" spans="1:16" ht="18" customHeight="1" x14ac:dyDescent="0.25">
      <c r="A44" s="24" t="s">
        <v>184</v>
      </c>
      <c r="B44" s="27">
        <v>0</v>
      </c>
      <c r="C44" s="27">
        <v>0</v>
      </c>
      <c r="D44" s="27">
        <v>0</v>
      </c>
      <c r="E44" s="27">
        <v>0</v>
      </c>
      <c r="F44" s="27">
        <v>0</v>
      </c>
      <c r="G44" s="27">
        <v>0</v>
      </c>
      <c r="H44" s="27">
        <v>0</v>
      </c>
      <c r="I44" s="31">
        <v>1.7399999999999999E-2</v>
      </c>
      <c r="J44" s="31">
        <v>5.0000000000000001E-3</v>
      </c>
      <c r="K44" s="30">
        <v>-3.7100000000000001E-2</v>
      </c>
      <c r="L44" s="30">
        <v>-1.61E-2</v>
      </c>
      <c r="M44" s="30">
        <v>-1.3299999999999999E-2</v>
      </c>
      <c r="N44" s="30">
        <v>-4.41E-2</v>
      </c>
      <c r="O44" s="27">
        <v>-8.0993999999999993</v>
      </c>
      <c r="P44" s="25">
        <v>-0.01</v>
      </c>
    </row>
    <row r="45" spans="1:16" ht="18" customHeight="1" x14ac:dyDescent="0.25">
      <c r="A45" s="24" t="s">
        <v>185</v>
      </c>
      <c r="B45" s="29">
        <v>0</v>
      </c>
      <c r="C45" s="29">
        <v>0</v>
      </c>
      <c r="D45" s="29">
        <v>0</v>
      </c>
      <c r="E45" s="29">
        <v>0</v>
      </c>
      <c r="F45" s="31">
        <v>3.5099999999999999E-2</v>
      </c>
      <c r="G45" s="31">
        <v>3.1E-2</v>
      </c>
      <c r="H45" s="31">
        <v>1.2699999999999999E-2</v>
      </c>
      <c r="I45" s="31">
        <v>8.2599999999999993E-2</v>
      </c>
      <c r="J45" s="31">
        <v>2.98E-2</v>
      </c>
      <c r="K45" s="30">
        <v>-1.8200000000000001E-2</v>
      </c>
      <c r="L45" s="31">
        <v>4.8499999999999988E-2</v>
      </c>
      <c r="M45" s="30">
        <v>-2.0000000000000001E-4</v>
      </c>
      <c r="N45" s="31">
        <v>0.2213</v>
      </c>
      <c r="O45" s="29">
        <v>-3.7109999999999999</v>
      </c>
      <c r="P45" s="28">
        <v>0.06</v>
      </c>
    </row>
    <row r="46" spans="1:16" ht="18" customHeight="1" x14ac:dyDescent="0.25">
      <c r="A46" s="24" t="s">
        <v>186</v>
      </c>
      <c r="B46" s="31">
        <v>5.8700000000000002E-2</v>
      </c>
      <c r="C46" s="30">
        <v>-1.43E-2</v>
      </c>
      <c r="D46" s="30">
        <v>-2.1299999999999999E-2</v>
      </c>
      <c r="E46" s="27">
        <v>0</v>
      </c>
      <c r="F46" s="31">
        <v>1.2999999999999999E-2</v>
      </c>
      <c r="G46" s="31">
        <v>1.21E-2</v>
      </c>
      <c r="H46" s="31">
        <v>3.0200000000000001E-2</v>
      </c>
      <c r="I46" s="30">
        <v>-1.37E-2</v>
      </c>
      <c r="J46" s="30">
        <v>-0.01</v>
      </c>
      <c r="K46" s="30">
        <v>-4.0999999999999986E-3</v>
      </c>
      <c r="L46" s="27">
        <v>0</v>
      </c>
      <c r="M46" s="27">
        <v>0</v>
      </c>
      <c r="N46" s="31">
        <v>5.0599999999999999E-2</v>
      </c>
      <c r="O46" s="27">
        <v>-7.7683999999999997</v>
      </c>
      <c r="P46" s="25">
        <v>0.01</v>
      </c>
    </row>
    <row r="47" spans="1:16" ht="18" customHeight="1" x14ac:dyDescent="0.25">
      <c r="A47" s="24" t="s">
        <v>187</v>
      </c>
      <c r="B47" s="29">
        <v>0</v>
      </c>
      <c r="C47" s="29">
        <v>0</v>
      </c>
      <c r="D47" s="29">
        <v>0</v>
      </c>
      <c r="E47" s="31">
        <v>3.6900000000000002E-2</v>
      </c>
      <c r="F47" s="31">
        <v>2.35E-2</v>
      </c>
      <c r="G47" s="31">
        <v>7.7000000000000002E-3</v>
      </c>
      <c r="H47" s="31">
        <v>4.1999999999999997E-3</v>
      </c>
      <c r="I47" s="30">
        <v>-2.87E-2</v>
      </c>
      <c r="J47" s="30">
        <v>-4.6999999999999993E-3</v>
      </c>
      <c r="K47" s="31">
        <v>1.15E-2</v>
      </c>
      <c r="L47" s="31">
        <v>4.7999999999999996E-3</v>
      </c>
      <c r="M47" s="31">
        <v>2.9999999999999997E-4</v>
      </c>
      <c r="N47" s="31">
        <v>5.5399999999999998E-2</v>
      </c>
      <c r="O47" s="29">
        <v>-4.6376999999999997</v>
      </c>
      <c r="P47" s="28">
        <v>0.01</v>
      </c>
    </row>
    <row r="48" spans="1:16" ht="18" customHeight="1" x14ac:dyDescent="0.25">
      <c r="A48" s="24" t="s">
        <v>188</v>
      </c>
      <c r="B48" s="30">
        <v>-1.43E-2</v>
      </c>
      <c r="C48" s="27">
        <v>0</v>
      </c>
      <c r="D48" s="27">
        <v>0</v>
      </c>
      <c r="E48" s="27">
        <v>0</v>
      </c>
      <c r="F48" s="31">
        <v>4.0099999999999997E-2</v>
      </c>
      <c r="G48" s="30">
        <v>-2.1499999999999998E-2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31">
        <v>4.4000000000000003E-3</v>
      </c>
      <c r="O48" s="27">
        <v>-4.5156999999999998</v>
      </c>
      <c r="P48" s="25">
        <v>0</v>
      </c>
    </row>
    <row r="50" spans="1:5" ht="20.100000000000001" customHeight="1" x14ac:dyDescent="0.25">
      <c r="A50" s="69" t="s">
        <v>190</v>
      </c>
      <c r="B50" s="70"/>
      <c r="C50" s="70"/>
      <c r="D50" s="70"/>
      <c r="E50" s="70"/>
    </row>
    <row r="51" spans="1:5" ht="18" customHeight="1" x14ac:dyDescent="0.25">
      <c r="A51" s="1" t="s">
        <v>191</v>
      </c>
      <c r="B51" s="22" t="s">
        <v>192</v>
      </c>
      <c r="D51" s="1" t="s">
        <v>193</v>
      </c>
      <c r="E51" s="22" t="s">
        <v>194</v>
      </c>
    </row>
    <row r="52" spans="1:5" ht="18" customHeight="1" x14ac:dyDescent="0.25">
      <c r="A52" s="1" t="s">
        <v>195</v>
      </c>
      <c r="B52" s="22" t="s">
        <v>196</v>
      </c>
    </row>
    <row r="53" spans="1:5" ht="18" customHeight="1" x14ac:dyDescent="0.25">
      <c r="A53" s="19" t="s">
        <v>197</v>
      </c>
      <c r="B53" s="20" t="s">
        <v>159</v>
      </c>
      <c r="D53" s="19" t="s">
        <v>198</v>
      </c>
      <c r="E53" s="20" t="s">
        <v>159</v>
      </c>
    </row>
    <row r="55" spans="1:5" ht="18" customHeight="1" x14ac:dyDescent="0.25">
      <c r="A55" s="1" t="s">
        <v>199</v>
      </c>
      <c r="B55" s="17" t="s">
        <v>200</v>
      </c>
      <c r="D55" s="1" t="s">
        <v>201</v>
      </c>
      <c r="E55" s="22" t="s">
        <v>202</v>
      </c>
    </row>
    <row r="56" spans="1:5" ht="18" customHeight="1" x14ac:dyDescent="0.25">
      <c r="A56" s="19" t="s">
        <v>203</v>
      </c>
      <c r="B56" s="21" t="s">
        <v>154</v>
      </c>
      <c r="D56" s="19" t="s">
        <v>204</v>
      </c>
      <c r="E56" s="21" t="s">
        <v>205</v>
      </c>
    </row>
    <row r="57" spans="1:5" ht="18" customHeight="1" x14ac:dyDescent="0.25">
      <c r="A57" s="1" t="s">
        <v>206</v>
      </c>
      <c r="B57" s="17" t="s">
        <v>207</v>
      </c>
      <c r="D57" s="1" t="s">
        <v>208</v>
      </c>
      <c r="E57" s="22" t="s">
        <v>209</v>
      </c>
    </row>
    <row r="58" spans="1:5" ht="18" customHeight="1" x14ac:dyDescent="0.25">
      <c r="A58" s="19" t="s">
        <v>210</v>
      </c>
      <c r="B58" s="21" t="s">
        <v>154</v>
      </c>
      <c r="D58" s="19" t="s">
        <v>211</v>
      </c>
      <c r="E58" s="21" t="s">
        <v>205</v>
      </c>
    </row>
    <row r="59" spans="1:5" ht="18" customHeight="1" x14ac:dyDescent="0.25">
      <c r="A59" s="1" t="s">
        <v>212</v>
      </c>
      <c r="B59" s="17" t="s">
        <v>213</v>
      </c>
      <c r="D59" s="1" t="s">
        <v>214</v>
      </c>
      <c r="E59" s="22" t="s">
        <v>215</v>
      </c>
    </row>
    <row r="60" spans="1:5" ht="18" customHeight="1" x14ac:dyDescent="0.25">
      <c r="A60" s="19" t="s">
        <v>216</v>
      </c>
      <c r="B60" s="21" t="s">
        <v>154</v>
      </c>
      <c r="D60" s="19" t="s">
        <v>217</v>
      </c>
      <c r="E60" s="21" t="s">
        <v>218</v>
      </c>
    </row>
    <row r="62" spans="1:5" ht="18" customHeight="1" x14ac:dyDescent="0.25">
      <c r="A62" s="75" t="s">
        <v>219</v>
      </c>
      <c r="B62" s="70"/>
      <c r="C62" s="70"/>
      <c r="D62" s="70"/>
      <c r="E62" s="32" t="s">
        <v>220</v>
      </c>
    </row>
    <row r="63" spans="1:5" ht="18" customHeight="1" x14ac:dyDescent="0.25">
      <c r="A63" s="78" t="s">
        <v>221</v>
      </c>
      <c r="B63" s="70"/>
      <c r="C63" s="70"/>
      <c r="D63" s="70"/>
      <c r="E63" s="33" t="s">
        <v>222</v>
      </c>
    </row>
    <row r="64" spans="1:5" ht="18" customHeight="1" x14ac:dyDescent="0.25">
      <c r="A64" s="75" t="s">
        <v>223</v>
      </c>
      <c r="B64" s="70"/>
      <c r="C64" s="70"/>
      <c r="D64" s="70"/>
      <c r="E64" s="32" t="s">
        <v>224</v>
      </c>
    </row>
  </sheetData>
  <mergeCells count="14">
    <mergeCell ref="A62:D62"/>
    <mergeCell ref="A64:D64"/>
    <mergeCell ref="D14:E14"/>
    <mergeCell ref="A1:E1"/>
    <mergeCell ref="A63:D63"/>
    <mergeCell ref="A22:E22"/>
    <mergeCell ref="A40:E40"/>
    <mergeCell ref="A27:E27"/>
    <mergeCell ref="A30:E30"/>
    <mergeCell ref="A50:E50"/>
    <mergeCell ref="A4:E4"/>
    <mergeCell ref="A24:E24"/>
    <mergeCell ref="A2:E2"/>
    <mergeCell ref="D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19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9" width="12" customWidth="1"/>
    <col min="11" max="15" width="12" customWidth="1"/>
    <col min="17" max="24" width="12" customWidth="1"/>
    <col min="26" max="30" width="12" customWidth="1"/>
    <col min="32" max="39" width="12" customWidth="1"/>
    <col min="41" max="45" width="12" customWidth="1"/>
  </cols>
  <sheetData>
    <row r="1" spans="1:45" x14ac:dyDescent="0.25">
      <c r="A1" s="80" t="s">
        <v>225</v>
      </c>
      <c r="B1" s="70"/>
      <c r="C1" s="70"/>
      <c r="D1" s="70"/>
      <c r="E1" s="70"/>
      <c r="F1" s="70"/>
      <c r="G1" s="70"/>
      <c r="H1" s="70"/>
      <c r="I1" s="70"/>
      <c r="Q1" s="80" t="s">
        <v>226</v>
      </c>
      <c r="R1" s="70"/>
      <c r="S1" s="70"/>
      <c r="T1" s="70"/>
      <c r="U1" s="70"/>
      <c r="V1" s="70"/>
      <c r="W1" s="70"/>
      <c r="X1" s="70"/>
      <c r="AF1" s="80" t="s">
        <v>227</v>
      </c>
      <c r="AG1" s="70"/>
      <c r="AH1" s="70"/>
      <c r="AI1" s="70"/>
      <c r="AJ1" s="70"/>
      <c r="AK1" s="70"/>
      <c r="AL1" s="70"/>
      <c r="AM1" s="70"/>
    </row>
    <row r="2" spans="1:45" x14ac:dyDescent="0.25">
      <c r="A2" s="79" t="s">
        <v>228</v>
      </c>
      <c r="B2" s="70"/>
      <c r="C2" s="70"/>
      <c r="D2" s="70"/>
      <c r="E2" s="70"/>
      <c r="F2" s="70"/>
      <c r="G2" s="70"/>
      <c r="H2" s="70"/>
      <c r="I2" s="70"/>
      <c r="Q2" s="79" t="s">
        <v>228</v>
      </c>
      <c r="R2" s="70"/>
      <c r="S2" s="70"/>
      <c r="T2" s="70"/>
      <c r="U2" s="70"/>
      <c r="V2" s="70"/>
      <c r="W2" s="70"/>
      <c r="X2" s="70"/>
      <c r="AF2" s="79" t="s">
        <v>228</v>
      </c>
      <c r="AG2" s="70"/>
      <c r="AH2" s="70"/>
      <c r="AI2" s="70"/>
      <c r="AJ2" s="70"/>
      <c r="AK2" s="70"/>
      <c r="AL2" s="70"/>
      <c r="AM2" s="70"/>
    </row>
    <row r="4" spans="1:45" x14ac:dyDescent="0.25">
      <c r="A4" s="3" t="s">
        <v>49</v>
      </c>
      <c r="B4" s="3" t="s">
        <v>50</v>
      </c>
      <c r="C4" s="3" t="s">
        <v>74</v>
      </c>
      <c r="D4" s="3" t="s">
        <v>229</v>
      </c>
      <c r="E4" s="3" t="s">
        <v>230</v>
      </c>
      <c r="F4" s="3" t="s">
        <v>231</v>
      </c>
      <c r="G4" s="3" t="s">
        <v>232</v>
      </c>
      <c r="H4" s="3" t="s">
        <v>233</v>
      </c>
      <c r="I4" s="3" t="s">
        <v>234</v>
      </c>
      <c r="K4" s="34" t="s">
        <v>235</v>
      </c>
      <c r="L4" s="34" t="s">
        <v>236</v>
      </c>
      <c r="M4" s="34" t="s">
        <v>237</v>
      </c>
      <c r="N4" s="34" t="s">
        <v>238</v>
      </c>
      <c r="O4" s="34" t="s">
        <v>234</v>
      </c>
      <c r="Q4" s="3" t="s">
        <v>239</v>
      </c>
      <c r="R4" s="3" t="s">
        <v>240</v>
      </c>
      <c r="S4" s="3" t="s">
        <v>230</v>
      </c>
      <c r="T4" s="3" t="s">
        <v>241</v>
      </c>
      <c r="U4" s="3" t="s">
        <v>242</v>
      </c>
      <c r="V4" s="3" t="s">
        <v>61</v>
      </c>
      <c r="W4" s="3" t="s">
        <v>233</v>
      </c>
      <c r="X4" s="3" t="s">
        <v>243</v>
      </c>
      <c r="Z4" s="34" t="s">
        <v>235</v>
      </c>
      <c r="AA4" s="34" t="s">
        <v>236</v>
      </c>
      <c r="AB4" s="34" t="s">
        <v>237</v>
      </c>
      <c r="AC4" s="34" t="s">
        <v>239</v>
      </c>
      <c r="AD4" s="34" t="s">
        <v>234</v>
      </c>
      <c r="AF4" s="3" t="s">
        <v>239</v>
      </c>
      <c r="AG4" s="3" t="s">
        <v>240</v>
      </c>
      <c r="AH4" s="3" t="s">
        <v>230</v>
      </c>
      <c r="AI4" s="3" t="s">
        <v>241</v>
      </c>
      <c r="AJ4" s="3" t="s">
        <v>242</v>
      </c>
      <c r="AK4" s="3" t="s">
        <v>61</v>
      </c>
      <c r="AL4" s="3" t="s">
        <v>233</v>
      </c>
      <c r="AM4" s="3" t="s">
        <v>243</v>
      </c>
      <c r="AO4" s="34" t="s">
        <v>235</v>
      </c>
      <c r="AP4" s="34" t="s">
        <v>236</v>
      </c>
      <c r="AQ4" s="34" t="s">
        <v>237</v>
      </c>
      <c r="AR4" s="34" t="s">
        <v>239</v>
      </c>
      <c r="AS4" s="34" t="s">
        <v>234</v>
      </c>
    </row>
    <row r="5" spans="1:45" x14ac:dyDescent="0.25">
      <c r="A5" s="35" t="s">
        <v>244</v>
      </c>
      <c r="B5" s="35" t="s">
        <v>245</v>
      </c>
      <c r="C5" s="35">
        <v>-0.75319999999999998</v>
      </c>
      <c r="D5" s="35">
        <v>99.246800000000007</v>
      </c>
      <c r="E5" s="35">
        <v>100</v>
      </c>
      <c r="F5" s="35">
        <v>18258.5</v>
      </c>
      <c r="G5" s="36">
        <v>-0.90410000000000001</v>
      </c>
      <c r="H5" s="35">
        <v>99.0959</v>
      </c>
      <c r="I5" s="36">
        <v>-0.90409999999999657</v>
      </c>
      <c r="K5" s="35" t="s">
        <v>244</v>
      </c>
      <c r="L5" s="35" t="s">
        <v>246</v>
      </c>
      <c r="M5" s="36">
        <v>-48.675188619697693</v>
      </c>
      <c r="N5" s="35">
        <v>-7.5790000000000006</v>
      </c>
      <c r="O5" s="35">
        <v>-8.4250767136794469</v>
      </c>
      <c r="Q5" s="35">
        <v>-0.17593062569361401</v>
      </c>
      <c r="R5" s="35">
        <v>99.82406937430639</v>
      </c>
      <c r="S5" s="35">
        <v>100</v>
      </c>
      <c r="T5" s="35">
        <v>-0.17593062569361001</v>
      </c>
      <c r="U5" s="35">
        <v>-1.7593062569361E-3</v>
      </c>
      <c r="V5" s="35">
        <v>-1.2604</v>
      </c>
      <c r="W5" s="35">
        <v>98.73960000000001</v>
      </c>
      <c r="X5" s="35">
        <v>-1.2603999999999951</v>
      </c>
      <c r="Z5" s="35" t="s">
        <v>244</v>
      </c>
      <c r="AA5" s="35" t="s">
        <v>246</v>
      </c>
      <c r="AB5" s="36">
        <v>30.68467450943135</v>
      </c>
      <c r="AC5" s="35">
        <v>3.131280048880035</v>
      </c>
      <c r="AD5" s="35">
        <v>-2.3300674328495252</v>
      </c>
      <c r="AF5" s="35">
        <v>-0.92910000000000004</v>
      </c>
      <c r="AG5" s="35">
        <v>99.070899999999995</v>
      </c>
      <c r="AH5" s="35">
        <v>100</v>
      </c>
      <c r="AI5" s="35">
        <v>-0.92910000000000537</v>
      </c>
      <c r="AJ5" s="35">
        <v>-9.2910000000000544E-3</v>
      </c>
      <c r="AK5" s="35">
        <v>-0.92910000000000004</v>
      </c>
      <c r="AL5" s="35">
        <v>99.070899999999995</v>
      </c>
      <c r="AM5" s="35">
        <v>-0.92910000000000492</v>
      </c>
      <c r="AO5" s="35" t="s">
        <v>244</v>
      </c>
      <c r="AP5" s="35" t="s">
        <v>246</v>
      </c>
      <c r="AQ5" s="36">
        <v>-32.3548907491123</v>
      </c>
      <c r="AR5" s="35">
        <v>-4.4477000000000002</v>
      </c>
      <c r="AS5" s="35">
        <v>-5.6400004003674731</v>
      </c>
    </row>
    <row r="6" spans="1:45" x14ac:dyDescent="0.25">
      <c r="A6" s="35" t="s">
        <v>245</v>
      </c>
      <c r="B6" s="35" t="s">
        <v>247</v>
      </c>
      <c r="C6" s="35">
        <v>-0.45050000000000001</v>
      </c>
      <c r="D6" s="35">
        <v>98.799693166000012</v>
      </c>
      <c r="E6" s="35">
        <v>100</v>
      </c>
      <c r="F6" s="35">
        <v>18136.2</v>
      </c>
      <c r="G6" s="36">
        <v>-1.1991000000000001</v>
      </c>
      <c r="H6" s="35">
        <v>98.056731621200015</v>
      </c>
      <c r="I6" s="36">
        <v>-1.9432683787999889</v>
      </c>
      <c r="K6" s="35" t="s">
        <v>248</v>
      </c>
      <c r="L6" s="35" t="s">
        <v>249</v>
      </c>
      <c r="M6" s="36">
        <v>5.267144941059132</v>
      </c>
      <c r="N6" s="35">
        <v>2.5570000000000022</v>
      </c>
      <c r="O6" s="35">
        <v>-9.7725794940072159</v>
      </c>
      <c r="Q6" s="35">
        <v>0.85580923999158365</v>
      </c>
      <c r="R6" s="35">
        <v>100.67837298374729</v>
      </c>
      <c r="S6" s="35">
        <v>100.67837298374729</v>
      </c>
      <c r="T6" s="35"/>
      <c r="U6" s="35">
        <v>0</v>
      </c>
      <c r="V6" s="35">
        <v>-0.52090000000000003</v>
      </c>
      <c r="W6" s="35">
        <v>99.304085796935624</v>
      </c>
      <c r="X6" s="35">
        <v>-0.6959142030643739</v>
      </c>
      <c r="Z6" s="35" t="s">
        <v>248</v>
      </c>
      <c r="AA6" s="35" t="s">
        <v>249</v>
      </c>
      <c r="AB6" s="36">
        <v>8.2547640487659724</v>
      </c>
      <c r="AC6" s="35">
        <v>3.6468899419574639</v>
      </c>
      <c r="AD6" s="35">
        <v>-7.8758519011950074</v>
      </c>
      <c r="AF6" s="35">
        <v>0.40529999999999999</v>
      </c>
      <c r="AG6" s="35">
        <v>99.47243435770001</v>
      </c>
      <c r="AH6" s="35">
        <v>100</v>
      </c>
      <c r="AI6" s="35">
        <v>-0.52756564229999015</v>
      </c>
      <c r="AJ6" s="35">
        <v>-5.2756564229999017E-3</v>
      </c>
      <c r="AK6" s="35">
        <v>-1.1299999999999999E-2</v>
      </c>
      <c r="AL6" s="35">
        <v>99.059704988299998</v>
      </c>
      <c r="AM6" s="35">
        <v>-0.94029501169999863</v>
      </c>
      <c r="AO6" s="35" t="s">
        <v>248</v>
      </c>
      <c r="AP6" s="35" t="s">
        <v>249</v>
      </c>
      <c r="AQ6" s="36">
        <v>15.749820398899089</v>
      </c>
      <c r="AR6" s="35">
        <v>6.203800000000002</v>
      </c>
      <c r="AS6" s="35">
        <v>-3.0267555740400081</v>
      </c>
    </row>
    <row r="7" spans="1:45" x14ac:dyDescent="0.25">
      <c r="A7" s="35" t="s">
        <v>247</v>
      </c>
      <c r="B7" s="35" t="s">
        <v>250</v>
      </c>
      <c r="C7" s="35">
        <v>0.85599999999999998</v>
      </c>
      <c r="D7" s="35">
        <v>99.645418539500966</v>
      </c>
      <c r="E7" s="35">
        <v>100</v>
      </c>
      <c r="F7" s="35">
        <v>18075.650000000001</v>
      </c>
      <c r="G7" s="36">
        <v>-0.49790000000000001</v>
      </c>
      <c r="H7" s="35">
        <v>98.307769493726497</v>
      </c>
      <c r="I7" s="36">
        <v>-1.692230506273507</v>
      </c>
      <c r="K7" s="35" t="s">
        <v>251</v>
      </c>
      <c r="L7" s="35" t="s">
        <v>252</v>
      </c>
      <c r="M7" s="36">
        <v>-1.718041800602377</v>
      </c>
      <c r="N7" s="35">
        <v>-0.12530000000000019</v>
      </c>
      <c r="O7" s="35">
        <v>-8.6442915282445636</v>
      </c>
      <c r="Q7" s="35">
        <v>-1.510233678340513</v>
      </c>
      <c r="R7" s="35">
        <v>99.157894288141478</v>
      </c>
      <c r="S7" s="35">
        <v>100.67837298374729</v>
      </c>
      <c r="T7" s="35">
        <v>-1.5204786956058309</v>
      </c>
      <c r="U7" s="35">
        <v>-1.5102336783405159E-2</v>
      </c>
      <c r="V7" s="35">
        <v>-1.7321</v>
      </c>
      <c r="W7" s="35">
        <v>98.93452288529582</v>
      </c>
      <c r="X7" s="35">
        <v>-1.7321000000000031</v>
      </c>
      <c r="Z7" s="35" t="s">
        <v>251</v>
      </c>
      <c r="AA7" s="35" t="s">
        <v>252</v>
      </c>
      <c r="AB7" s="36">
        <v>-10.94883753818449</v>
      </c>
      <c r="AC7" s="35">
        <v>-4.286188799787336</v>
      </c>
      <c r="AD7" s="35">
        <v>-10.18888661342068</v>
      </c>
      <c r="AF7" s="35">
        <v>-0.6542</v>
      </c>
      <c r="AG7" s="35">
        <v>98.821685692131936</v>
      </c>
      <c r="AH7" s="35">
        <v>100</v>
      </c>
      <c r="AI7" s="35">
        <v>-1.178314307868064</v>
      </c>
      <c r="AJ7" s="35">
        <v>-1.178314307868064E-2</v>
      </c>
      <c r="AK7" s="35">
        <v>-0.6542</v>
      </c>
      <c r="AL7" s="35">
        <v>98.821685692131936</v>
      </c>
      <c r="AM7" s="35">
        <v>-1.1783143078680669</v>
      </c>
      <c r="AO7" s="35" t="s">
        <v>251</v>
      </c>
      <c r="AP7" s="35" t="s">
        <v>252</v>
      </c>
      <c r="AQ7" s="36">
        <v>-10.827902885064001</v>
      </c>
      <c r="AR7" s="35">
        <v>-4.4114000000000004</v>
      </c>
      <c r="AS7" s="35">
        <v>-8.0993561036748929</v>
      </c>
    </row>
    <row r="8" spans="1:45" x14ac:dyDescent="0.25">
      <c r="A8" s="35" t="s">
        <v>250</v>
      </c>
      <c r="B8" s="35" t="s">
        <v>253</v>
      </c>
      <c r="C8" s="35">
        <v>-2.7698</v>
      </c>
      <c r="D8" s="35">
        <v>96.88543973679387</v>
      </c>
      <c r="E8" s="35">
        <v>100</v>
      </c>
      <c r="F8" s="35">
        <v>18248.45</v>
      </c>
      <c r="G8" s="36">
        <v>-2.9142999999999999</v>
      </c>
      <c r="H8" s="35">
        <v>96.741452107004292</v>
      </c>
      <c r="I8" s="36">
        <v>-3.2585478929957108</v>
      </c>
      <c r="K8" s="35" t="s">
        <v>254</v>
      </c>
      <c r="L8" s="35" t="s">
        <v>255</v>
      </c>
      <c r="M8" s="36">
        <v>47.69739960554007</v>
      </c>
      <c r="N8" s="35">
        <v>36.899199999999993</v>
      </c>
      <c r="O8" s="35">
        <v>-9.823931244833318</v>
      </c>
      <c r="Q8" s="35">
        <v>0.88613447695159542</v>
      </c>
      <c r="R8" s="35">
        <v>100.0365665760479</v>
      </c>
      <c r="S8" s="35">
        <v>100.67837298374729</v>
      </c>
      <c r="T8" s="35">
        <v>-0.64180640769937725</v>
      </c>
      <c r="U8" s="35">
        <v>-6.3748190269521457E-3</v>
      </c>
      <c r="V8" s="35">
        <v>-0.29310000000000003</v>
      </c>
      <c r="W8" s="35">
        <v>98.867262499982928</v>
      </c>
      <c r="X8" s="35">
        <v>-1.79890718342931</v>
      </c>
      <c r="Z8" s="35" t="s">
        <v>254</v>
      </c>
      <c r="AA8" s="35" t="s">
        <v>255</v>
      </c>
      <c r="AB8" s="36">
        <v>-13.06063024115954</v>
      </c>
      <c r="AC8" s="35">
        <v>-12.450866206191931</v>
      </c>
      <c r="AD8" s="35">
        <v>-13.51722252273114</v>
      </c>
      <c r="AF8" s="35">
        <v>-1.8836999999999999</v>
      </c>
      <c r="AG8" s="35">
        <v>96.960181598749244</v>
      </c>
      <c r="AH8" s="35">
        <v>100</v>
      </c>
      <c r="AI8" s="35">
        <v>-3.0398184012507561</v>
      </c>
      <c r="AJ8" s="35">
        <v>-3.0398184012507559E-2</v>
      </c>
      <c r="AK8" s="35">
        <v>-1.9781</v>
      </c>
      <c r="AL8" s="35">
        <v>96.866893927455877</v>
      </c>
      <c r="AM8" s="35">
        <v>-3.1331060725441229</v>
      </c>
      <c r="AO8" s="35" t="s">
        <v>254</v>
      </c>
      <c r="AP8" s="35" t="s">
        <v>255</v>
      </c>
      <c r="AQ8" s="36">
        <v>29.595702272387239</v>
      </c>
      <c r="AR8" s="35">
        <v>24.44860000000001</v>
      </c>
      <c r="AS8" s="35">
        <v>-8.1709627528639306</v>
      </c>
    </row>
    <row r="9" spans="1:45" x14ac:dyDescent="0.25">
      <c r="A9" s="35" t="s">
        <v>253</v>
      </c>
      <c r="B9" s="35" t="s">
        <v>256</v>
      </c>
      <c r="C9" s="35">
        <v>0.43509999999999999</v>
      </c>
      <c r="D9" s="35">
        <v>97.306988285088664</v>
      </c>
      <c r="E9" s="35">
        <v>100</v>
      </c>
      <c r="F9" s="35">
        <v>17761.25</v>
      </c>
      <c r="G9" s="36">
        <v>-0.37830000000000003</v>
      </c>
      <c r="H9" s="35">
        <v>96.518922118269586</v>
      </c>
      <c r="I9" s="36">
        <v>-3.48107788173041</v>
      </c>
      <c r="K9" s="35" t="s">
        <v>257</v>
      </c>
      <c r="L9" s="35" t="s">
        <v>258</v>
      </c>
      <c r="M9" s="36">
        <v>11.597703970044069</v>
      </c>
      <c r="N9" s="35">
        <v>6.5254999999999974</v>
      </c>
      <c r="O9" s="35">
        <v>-11.46060000000001</v>
      </c>
      <c r="Q9" s="35">
        <v>-0.94527985372311751</v>
      </c>
      <c r="R9" s="35">
        <v>99.090941065848241</v>
      </c>
      <c r="S9" s="35">
        <v>100.67837298374729</v>
      </c>
      <c r="T9" s="35">
        <v>-1.587431917899067</v>
      </c>
      <c r="U9" s="35">
        <v>-1.5767357684210191E-2</v>
      </c>
      <c r="V9" s="35">
        <v>-1.1176999999999999</v>
      </c>
      <c r="W9" s="35">
        <v>98.918457871427449</v>
      </c>
      <c r="X9" s="35">
        <v>-1.7480567674687859</v>
      </c>
      <c r="Z9" s="35" t="s">
        <v>257</v>
      </c>
      <c r="AA9" s="35" t="s">
        <v>258</v>
      </c>
      <c r="AB9" s="36">
        <v>-8.3918907162612086</v>
      </c>
      <c r="AC9" s="35">
        <v>-3.7820879868037069</v>
      </c>
      <c r="AD9" s="35">
        <v>-15.88395014492334</v>
      </c>
      <c r="AF9" s="35">
        <v>-0.51019999999999999</v>
      </c>
      <c r="AG9" s="35">
        <v>96.465490752232427</v>
      </c>
      <c r="AH9" s="35">
        <v>100</v>
      </c>
      <c r="AI9" s="35">
        <v>-3.534509247767573</v>
      </c>
      <c r="AJ9" s="35">
        <v>-3.5345092477675727E-2</v>
      </c>
      <c r="AK9" s="35">
        <v>-0.56499999999999995</v>
      </c>
      <c r="AL9" s="35">
        <v>96.412356572716305</v>
      </c>
      <c r="AM9" s="35">
        <v>-3.5876434272836928</v>
      </c>
      <c r="AO9" s="35" t="s">
        <v>257</v>
      </c>
      <c r="AP9" s="35" t="s">
        <v>258</v>
      </c>
      <c r="AQ9" s="36">
        <v>5.0679513487871466</v>
      </c>
      <c r="AR9" s="35">
        <v>2.7432999999999979</v>
      </c>
      <c r="AS9" s="35">
        <v>-5.2285092378888454</v>
      </c>
    </row>
    <row r="10" spans="1:45" x14ac:dyDescent="0.25">
      <c r="A10" s="35" t="s">
        <v>256</v>
      </c>
      <c r="B10" s="35" t="s">
        <v>259</v>
      </c>
      <c r="C10" s="35">
        <v>-1.6581999999999999</v>
      </c>
      <c r="D10" s="35">
        <v>95.693443805345325</v>
      </c>
      <c r="E10" s="35">
        <v>100</v>
      </c>
      <c r="F10" s="35">
        <v>17844.45</v>
      </c>
      <c r="G10" s="36">
        <v>-2.4403000000000001</v>
      </c>
      <c r="H10" s="35">
        <v>94.932405849967651</v>
      </c>
      <c r="I10" s="36">
        <v>-5.0675941500323507</v>
      </c>
      <c r="K10" s="35" t="s">
        <v>260</v>
      </c>
      <c r="L10" s="35" t="s">
        <v>261</v>
      </c>
      <c r="M10" s="36">
        <v>6.3258582531680707</v>
      </c>
      <c r="N10" s="35">
        <v>5.9569999999999927</v>
      </c>
      <c r="O10" s="35">
        <v>-9.8479070784000093</v>
      </c>
      <c r="Q10" s="35">
        <v>-9.3807430401282726E-3</v>
      </c>
      <c r="R10" s="35">
        <v>99.081645599290809</v>
      </c>
      <c r="S10" s="35">
        <v>100.67837298374729</v>
      </c>
      <c r="T10" s="35">
        <v>-1.5967273844565</v>
      </c>
      <c r="U10" s="35">
        <v>-1.5859686019302901E-2</v>
      </c>
      <c r="V10" s="35">
        <v>-0.76539999999999997</v>
      </c>
      <c r="W10" s="35">
        <v>98.332499002930234</v>
      </c>
      <c r="X10" s="35">
        <v>-2.3300674328495252</v>
      </c>
      <c r="Z10" s="35" t="s">
        <v>260</v>
      </c>
      <c r="AA10" s="35" t="s">
        <v>261</v>
      </c>
      <c r="AB10" s="36">
        <v>-2.7964222301766761</v>
      </c>
      <c r="AC10" s="35">
        <v>-1.845875825225761</v>
      </c>
      <c r="AD10" s="35">
        <v>-13.14912247151473</v>
      </c>
      <c r="AF10" s="35">
        <v>-1.6676</v>
      </c>
      <c r="AG10" s="35">
        <v>94.856832228448198</v>
      </c>
      <c r="AH10" s="35">
        <v>100</v>
      </c>
      <c r="AI10" s="35">
        <v>-5.143167771551802</v>
      </c>
      <c r="AJ10" s="35">
        <v>-5.1431677715518022E-2</v>
      </c>
      <c r="AK10" s="35">
        <v>-1.6676</v>
      </c>
      <c r="AL10" s="35">
        <v>94.856832228448198</v>
      </c>
      <c r="AM10" s="35">
        <v>-5.1431677715518038</v>
      </c>
      <c r="AO10" s="35" t="s">
        <v>260</v>
      </c>
      <c r="AP10" s="35" t="s">
        <v>261</v>
      </c>
      <c r="AQ10" s="36">
        <v>4.7388803901621479</v>
      </c>
      <c r="AR10" s="35">
        <v>4.1112999999999991</v>
      </c>
      <c r="AS10" s="35">
        <v>-4.7721021164970567</v>
      </c>
    </row>
    <row r="11" spans="1:45" x14ac:dyDescent="0.25">
      <c r="A11" s="35" t="s">
        <v>259</v>
      </c>
      <c r="B11" s="35" t="s">
        <v>262</v>
      </c>
      <c r="C11" s="35">
        <v>-1.413</v>
      </c>
      <c r="D11" s="35">
        <v>94.341295444375803</v>
      </c>
      <c r="E11" s="35">
        <v>100</v>
      </c>
      <c r="F11" s="35">
        <v>17566.400000000001</v>
      </c>
      <c r="G11" s="36">
        <v>-1.6438999999999999</v>
      </c>
      <c r="H11" s="35">
        <v>94.12033928262926</v>
      </c>
      <c r="I11" s="36">
        <v>-5.8796607173707383</v>
      </c>
      <c r="K11" s="35" t="s">
        <v>263</v>
      </c>
      <c r="L11" s="35" t="s">
        <v>264</v>
      </c>
      <c r="M11" s="36">
        <v>12.53535398786909</v>
      </c>
      <c r="N11" s="35">
        <v>2.0995000000000008</v>
      </c>
      <c r="O11" s="35">
        <v>-4.710123180365045</v>
      </c>
      <c r="Q11" s="35">
        <v>1.491298629997063</v>
      </c>
      <c r="R11" s="35">
        <v>100.5592488226916</v>
      </c>
      <c r="S11" s="35">
        <v>100.67837298374729</v>
      </c>
      <c r="T11" s="35">
        <v>-0.119124161055737</v>
      </c>
      <c r="U11" s="35">
        <v>-1.18321499966003E-3</v>
      </c>
      <c r="V11" s="35">
        <v>-0.17449999999999999</v>
      </c>
      <c r="W11" s="35">
        <v>98.908748127720045</v>
      </c>
      <c r="X11" s="35">
        <v>-1.757701086719921</v>
      </c>
      <c r="Z11" s="35" t="s">
        <v>263</v>
      </c>
      <c r="AA11" s="35" t="s">
        <v>264</v>
      </c>
      <c r="AB11" s="36">
        <v>-2.5212976814612991</v>
      </c>
      <c r="AC11" s="35">
        <v>-0.23250988878487069</v>
      </c>
      <c r="AD11" s="35">
        <v>-6.3799195814895571</v>
      </c>
      <c r="AF11" s="35">
        <v>7.8299999999999995E-2</v>
      </c>
      <c r="AG11" s="35">
        <v>94.931105128083075</v>
      </c>
      <c r="AH11" s="35">
        <v>100</v>
      </c>
      <c r="AI11" s="35">
        <v>-5.0688948719169247</v>
      </c>
      <c r="AJ11" s="35">
        <v>-5.0688948719169249E-2</v>
      </c>
      <c r="AK11" s="35">
        <v>5.8999999999999999E-3</v>
      </c>
      <c r="AL11" s="35">
        <v>94.862428781549681</v>
      </c>
      <c r="AM11" s="35">
        <v>-5.1375712184503204</v>
      </c>
      <c r="AO11" s="35" t="s">
        <v>263</v>
      </c>
      <c r="AP11" s="35" t="s">
        <v>264</v>
      </c>
      <c r="AQ11" s="36">
        <v>11.41900999564751</v>
      </c>
      <c r="AR11" s="35">
        <v>1.8671</v>
      </c>
      <c r="AS11" s="35">
        <v>-2.5430870953720541</v>
      </c>
    </row>
    <row r="12" spans="1:45" x14ac:dyDescent="0.25">
      <c r="A12" s="35" t="s">
        <v>262</v>
      </c>
      <c r="B12" s="35" t="s">
        <v>265</v>
      </c>
      <c r="C12" s="35">
        <v>-2.1707999999999998</v>
      </c>
      <c r="D12" s="35">
        <v>92.293334602869294</v>
      </c>
      <c r="E12" s="35">
        <v>100</v>
      </c>
      <c r="F12" s="35">
        <v>17335.75</v>
      </c>
      <c r="G12" s="36">
        <v>-2.3121999999999998</v>
      </c>
      <c r="H12" s="35">
        <v>92.159936011110943</v>
      </c>
      <c r="I12" s="36">
        <v>-7.8400639888890566</v>
      </c>
      <c r="Q12" s="35">
        <v>1.6118811027525699</v>
      </c>
      <c r="R12" s="35">
        <v>102.18014435153449</v>
      </c>
      <c r="S12" s="35">
        <v>102.18014435153449</v>
      </c>
      <c r="T12" s="35"/>
      <c r="U12" s="35">
        <v>0</v>
      </c>
      <c r="V12" s="35">
        <v>-0.4501</v>
      </c>
      <c r="W12" s="35">
        <v>100.1066316437406</v>
      </c>
      <c r="X12" s="35">
        <v>-0.56788893489465586</v>
      </c>
      <c r="AF12" s="35">
        <v>-0.55889999999999995</v>
      </c>
      <c r="AG12" s="35">
        <v>94.40053518152223</v>
      </c>
      <c r="AH12" s="35">
        <v>100</v>
      </c>
      <c r="AI12" s="35">
        <v>-5.5994648184777702</v>
      </c>
      <c r="AJ12" s="35">
        <v>-5.5994648184777701E-2</v>
      </c>
      <c r="AK12" s="35">
        <v>-0.60160000000000002</v>
      </c>
      <c r="AL12" s="35">
        <v>94.35999959963253</v>
      </c>
      <c r="AM12" s="35">
        <v>-5.6400004003674731</v>
      </c>
    </row>
    <row r="13" spans="1:45" x14ac:dyDescent="0.25">
      <c r="A13" s="35" t="s">
        <v>265</v>
      </c>
      <c r="B13" s="35" t="s">
        <v>246</v>
      </c>
      <c r="C13" s="35">
        <v>0.34539999999999998</v>
      </c>
      <c r="D13" s="35">
        <v>92.612115780587615</v>
      </c>
      <c r="E13" s="35">
        <v>100</v>
      </c>
      <c r="F13" s="35">
        <v>16965.2</v>
      </c>
      <c r="G13" s="36">
        <v>-0.77839999999999998</v>
      </c>
      <c r="H13" s="35">
        <v>91.574923286320555</v>
      </c>
      <c r="I13" s="36">
        <v>-8.4250767136794469</v>
      </c>
      <c r="Q13" s="35">
        <v>0.92698149998459434</v>
      </c>
      <c r="R13" s="35">
        <v>103.1273353863308</v>
      </c>
      <c r="S13" s="35">
        <v>103.1273353863308</v>
      </c>
      <c r="T13" s="35"/>
      <c r="U13" s="35">
        <v>0</v>
      </c>
      <c r="V13" s="35">
        <v>8.8099999999999998E-2</v>
      </c>
      <c r="W13" s="35">
        <v>102.2701650587082</v>
      </c>
      <c r="X13" s="35">
        <v>8.8099999999990963E-2</v>
      </c>
      <c r="AF13" s="35">
        <v>1.2724</v>
      </c>
      <c r="AG13" s="35">
        <v>95.60168759117191</v>
      </c>
      <c r="AH13" s="35">
        <v>100</v>
      </c>
      <c r="AI13" s="35">
        <v>-4.3983124088280903</v>
      </c>
      <c r="AJ13" s="35">
        <v>-4.3983124088280902E-2</v>
      </c>
      <c r="AK13" s="35">
        <v>0.39200000000000002</v>
      </c>
      <c r="AL13" s="35">
        <v>94.770585279433789</v>
      </c>
      <c r="AM13" s="35">
        <v>-5.2294147205662167</v>
      </c>
    </row>
    <row r="14" spans="1:45" x14ac:dyDescent="0.25">
      <c r="A14" s="35" t="s">
        <v>248</v>
      </c>
      <c r="B14" s="35" t="s">
        <v>266</v>
      </c>
      <c r="C14" s="35">
        <v>-1.8927</v>
      </c>
      <c r="D14" s="35">
        <v>98.107299999999995</v>
      </c>
      <c r="E14" s="35">
        <v>100</v>
      </c>
      <c r="F14" s="35">
        <v>16026</v>
      </c>
      <c r="G14" s="36">
        <v>-3.2715000000000001</v>
      </c>
      <c r="H14" s="35">
        <v>96.728499999999997</v>
      </c>
      <c r="I14" s="36">
        <v>-3.271500000000005</v>
      </c>
      <c r="Q14" s="35">
        <v>0.85102118184313857</v>
      </c>
      <c r="R14" s="35">
        <v>100.85102118184319</v>
      </c>
      <c r="S14" s="35">
        <v>100.85102118184319</v>
      </c>
      <c r="T14" s="35"/>
      <c r="U14" s="35">
        <v>0</v>
      </c>
      <c r="V14" s="35">
        <v>-0.6584000000000001</v>
      </c>
      <c r="W14" s="35">
        <v>99.3416</v>
      </c>
      <c r="X14" s="35">
        <v>-0.65840000000000343</v>
      </c>
      <c r="AF14" s="35">
        <v>-1.0417000000000001</v>
      </c>
      <c r="AG14" s="35">
        <v>98.958299999999994</v>
      </c>
      <c r="AH14" s="35">
        <v>100</v>
      </c>
      <c r="AI14" s="35">
        <v>-1.0417000000000061</v>
      </c>
      <c r="AJ14" s="35">
        <v>-1.041700000000006E-2</v>
      </c>
      <c r="AK14" s="35">
        <v>-1.6033999999999999</v>
      </c>
      <c r="AL14" s="35">
        <v>98.396600000000007</v>
      </c>
      <c r="AM14" s="35">
        <v>-1.6033999999999879</v>
      </c>
    </row>
    <row r="15" spans="1:45" x14ac:dyDescent="0.25">
      <c r="A15" s="35" t="s">
        <v>266</v>
      </c>
      <c r="B15" s="35" t="s">
        <v>267</v>
      </c>
      <c r="C15" s="35">
        <v>-1.0144</v>
      </c>
      <c r="D15" s="35">
        <v>97.112099548799989</v>
      </c>
      <c r="E15" s="35">
        <v>100</v>
      </c>
      <c r="F15" s="35">
        <v>15725.35</v>
      </c>
      <c r="G15" s="36">
        <v>-1.1998</v>
      </c>
      <c r="H15" s="35">
        <v>96.930208614600005</v>
      </c>
      <c r="I15" s="36">
        <v>-3.0697913853999999</v>
      </c>
      <c r="Q15" s="35">
        <v>2.0431517883079962</v>
      </c>
      <c r="R15" s="35">
        <v>102.9115606246469</v>
      </c>
      <c r="S15" s="35">
        <v>102.9115606246469</v>
      </c>
      <c r="T15" s="35"/>
      <c r="U15" s="35">
        <v>0</v>
      </c>
      <c r="V15" s="35">
        <v>5.9800000000000013E-2</v>
      </c>
      <c r="W15" s="35">
        <v>100.9113300925099</v>
      </c>
      <c r="X15" s="35">
        <v>5.9800000000009852E-2</v>
      </c>
      <c r="AF15" s="35">
        <v>1.0287999999999999</v>
      </c>
      <c r="AG15" s="35">
        <v>99.976382990399998</v>
      </c>
      <c r="AH15" s="35">
        <v>100</v>
      </c>
      <c r="AI15" s="35">
        <v>-2.3617009600002351E-2</v>
      </c>
      <c r="AJ15" s="35">
        <v>-2.3617009600002351E-4</v>
      </c>
      <c r="AK15" s="35">
        <v>0.65500000000000003</v>
      </c>
      <c r="AL15" s="35">
        <v>99.606476865000005</v>
      </c>
      <c r="AM15" s="35">
        <v>-0.39352313499999569</v>
      </c>
    </row>
    <row r="16" spans="1:45" x14ac:dyDescent="0.25">
      <c r="A16" s="35" t="s">
        <v>267</v>
      </c>
      <c r="B16" s="35" t="s">
        <v>268</v>
      </c>
      <c r="C16" s="35">
        <v>-0.3669</v>
      </c>
      <c r="D16" s="35">
        <v>96.755795255555441</v>
      </c>
      <c r="E16" s="35">
        <v>100</v>
      </c>
      <c r="F16" s="35">
        <v>15573.7</v>
      </c>
      <c r="G16" s="36">
        <v>-1.0995999999999999</v>
      </c>
      <c r="H16" s="35">
        <v>96.044254902161384</v>
      </c>
      <c r="I16" s="36">
        <v>-3.9557450978386139</v>
      </c>
      <c r="Q16" s="35">
        <v>0.74856260766460103</v>
      </c>
      <c r="R16" s="35">
        <v>103.6819180864471</v>
      </c>
      <c r="S16" s="35">
        <v>103.6819180864471</v>
      </c>
      <c r="T16" s="35"/>
      <c r="U16" s="35">
        <v>0</v>
      </c>
      <c r="V16" s="35">
        <v>-0.4335</v>
      </c>
      <c r="W16" s="35">
        <v>102.46543900933899</v>
      </c>
      <c r="X16" s="35">
        <v>-0.43349999999999778</v>
      </c>
      <c r="AF16" s="35">
        <v>0.38169999999999998</v>
      </c>
      <c r="AG16" s="35">
        <v>100.35799284427431</v>
      </c>
      <c r="AH16" s="35">
        <v>100.35799284427431</v>
      </c>
      <c r="AI16" s="35"/>
      <c r="AJ16" s="35">
        <v>0</v>
      </c>
      <c r="AK16" s="35">
        <v>-0.35639999999999999</v>
      </c>
      <c r="AL16" s="35">
        <v>99.620067161422213</v>
      </c>
      <c r="AM16" s="35">
        <v>-0.37993283857778998</v>
      </c>
    </row>
    <row r="17" spans="1:39" x14ac:dyDescent="0.25">
      <c r="A17" s="35" t="s">
        <v>268</v>
      </c>
      <c r="B17" s="35" t="s">
        <v>269</v>
      </c>
      <c r="C17" s="35">
        <v>1.2434000000000001</v>
      </c>
      <c r="D17" s="35">
        <v>97.95885681376302</v>
      </c>
      <c r="E17" s="35">
        <v>100</v>
      </c>
      <c r="F17" s="35">
        <v>15524.35</v>
      </c>
      <c r="G17" s="36">
        <v>-0.62090000000000001</v>
      </c>
      <c r="H17" s="35">
        <v>96.155038522813697</v>
      </c>
      <c r="I17" s="36">
        <v>-3.8449614771863039</v>
      </c>
      <c r="Q17" s="35">
        <v>-1.940429968363532</v>
      </c>
      <c r="R17" s="35">
        <v>101.67004307612351</v>
      </c>
      <c r="S17" s="35">
        <v>103.6819180864471</v>
      </c>
      <c r="T17" s="35">
        <v>-2.0118750103235499</v>
      </c>
      <c r="U17" s="35">
        <v>-1.9404299683635339E-2</v>
      </c>
      <c r="V17" s="35">
        <v>-2.0901000000000001</v>
      </c>
      <c r="W17" s="35">
        <v>101.5148623165222</v>
      </c>
      <c r="X17" s="35">
        <v>-2.0900999999999952</v>
      </c>
      <c r="AF17" s="35">
        <v>-0.69699999999999995</v>
      </c>
      <c r="AG17" s="35">
        <v>99.658497634149754</v>
      </c>
      <c r="AH17" s="35">
        <v>100.35799284427431</v>
      </c>
      <c r="AI17" s="35">
        <v>-0.6994952101245957</v>
      </c>
      <c r="AJ17" s="35">
        <v>-6.9700000000000343E-3</v>
      </c>
      <c r="AK17" s="35">
        <v>-0.76919999999999999</v>
      </c>
      <c r="AL17" s="35">
        <v>99.586039163316187</v>
      </c>
      <c r="AM17" s="35">
        <v>-0.76920000000000321</v>
      </c>
    </row>
    <row r="18" spans="1:39" x14ac:dyDescent="0.25">
      <c r="A18" s="35" t="s">
        <v>269</v>
      </c>
      <c r="B18" s="35" t="s">
        <v>270</v>
      </c>
      <c r="C18" s="35">
        <v>-0.69410000000000005</v>
      </c>
      <c r="D18" s="35">
        <v>97.278924388618691</v>
      </c>
      <c r="E18" s="35">
        <v>100</v>
      </c>
      <c r="F18" s="35">
        <v>15722.55</v>
      </c>
      <c r="G18" s="36">
        <v>-1.7430000000000001</v>
      </c>
      <c r="H18" s="35">
        <v>96.251433939499123</v>
      </c>
      <c r="I18" s="36">
        <v>-3.7485660605008801</v>
      </c>
      <c r="Q18" s="35">
        <v>-0.57984849690187645</v>
      </c>
      <c r="R18" s="35">
        <v>101.0805108595471</v>
      </c>
      <c r="S18" s="35">
        <v>103.6819180864471</v>
      </c>
      <c r="T18" s="35">
        <v>-2.6014072268999509</v>
      </c>
      <c r="U18" s="35">
        <v>-2.5090269112604289E-2</v>
      </c>
      <c r="V18" s="35">
        <v>-0.89139999999999997</v>
      </c>
      <c r="W18" s="35">
        <v>100.763756312143</v>
      </c>
      <c r="X18" s="35">
        <v>-2.8145329756255388</v>
      </c>
      <c r="AF18" s="35">
        <v>-1.2739</v>
      </c>
      <c r="AG18" s="35">
        <v>98.388948032788321</v>
      </c>
      <c r="AH18" s="35">
        <v>100.35799284427431</v>
      </c>
      <c r="AI18" s="35">
        <v>-1.9690448114860291</v>
      </c>
      <c r="AJ18" s="35">
        <v>-1.9620209170000031E-2</v>
      </c>
      <c r="AK18" s="35">
        <v>-1.2739</v>
      </c>
      <c r="AL18" s="35">
        <v>98.388948032788321</v>
      </c>
      <c r="AM18" s="35">
        <v>-1.9620209170000069</v>
      </c>
    </row>
    <row r="19" spans="1:39" x14ac:dyDescent="0.25">
      <c r="A19" s="35" t="s">
        <v>270</v>
      </c>
      <c r="B19" s="35" t="s">
        <v>271</v>
      </c>
      <c r="C19" s="35">
        <v>-0.16889999999999999</v>
      </c>
      <c r="D19" s="35">
        <v>97.114620285326311</v>
      </c>
      <c r="E19" s="35">
        <v>100</v>
      </c>
      <c r="F19" s="35">
        <v>15629.15</v>
      </c>
      <c r="G19" s="36">
        <v>-0.46029999999999999</v>
      </c>
      <c r="H19" s="35">
        <v>96.831149499657883</v>
      </c>
      <c r="I19" s="36">
        <v>-3.168850500342113</v>
      </c>
      <c r="Q19" s="35">
        <v>-0.13256564843415031</v>
      </c>
      <c r="R19" s="35">
        <v>100.9465128248856</v>
      </c>
      <c r="S19" s="35">
        <v>103.6819180864471</v>
      </c>
      <c r="T19" s="35">
        <v>-2.735405261561453</v>
      </c>
      <c r="U19" s="35">
        <v>-2.6382664519002719E-2</v>
      </c>
      <c r="V19" s="35">
        <v>-0.33989999999999998</v>
      </c>
      <c r="W19" s="35">
        <v>100.73693820313549</v>
      </c>
      <c r="X19" s="35">
        <v>-2.840398728789062</v>
      </c>
      <c r="AF19" s="35">
        <v>-0.30149999999999999</v>
      </c>
      <c r="AG19" s="35">
        <v>98.09230535446946</v>
      </c>
      <c r="AH19" s="35">
        <v>100.35799284427431</v>
      </c>
      <c r="AI19" s="35">
        <v>-2.2656874898048902</v>
      </c>
      <c r="AJ19" s="35">
        <v>-2.2576054239352519E-2</v>
      </c>
      <c r="AK19" s="35">
        <v>-0.30149999999999999</v>
      </c>
      <c r="AL19" s="35">
        <v>98.09230535446946</v>
      </c>
      <c r="AM19" s="35">
        <v>-2.257605423935249</v>
      </c>
    </row>
    <row r="20" spans="1:39" x14ac:dyDescent="0.25">
      <c r="A20" s="35" t="s">
        <v>271</v>
      </c>
      <c r="B20" s="35" t="s">
        <v>272</v>
      </c>
      <c r="C20" s="35">
        <v>1.7871999999999999</v>
      </c>
      <c r="D20" s="35">
        <v>98.85025277906567</v>
      </c>
      <c r="E20" s="35">
        <v>100</v>
      </c>
      <c r="F20" s="35">
        <v>15605.35</v>
      </c>
      <c r="G20" s="36">
        <v>-0.1547</v>
      </c>
      <c r="H20" s="35">
        <v>96.964383967744908</v>
      </c>
      <c r="I20" s="36">
        <v>-3.0356160322550951</v>
      </c>
      <c r="Q20" s="35">
        <v>-0.60493719469644103</v>
      </c>
      <c r="R20" s="35">
        <v>100.3358498220589</v>
      </c>
      <c r="S20" s="35">
        <v>103.6819180864471</v>
      </c>
      <c r="T20" s="35">
        <v>-3.3460682643881938</v>
      </c>
      <c r="U20" s="35">
        <v>-3.2272437915339652E-2</v>
      </c>
      <c r="V20" s="35">
        <v>-0.76319999999999999</v>
      </c>
      <c r="W20" s="35">
        <v>100.1760890390061</v>
      </c>
      <c r="X20" s="35">
        <v>-3.381331202339366</v>
      </c>
      <c r="AF20" s="35">
        <v>1.1822999999999999</v>
      </c>
      <c r="AG20" s="35">
        <v>99.252050680675339</v>
      </c>
      <c r="AH20" s="35">
        <v>100.35799284427431</v>
      </c>
      <c r="AI20" s="35">
        <v>-1.105942163599011</v>
      </c>
      <c r="AJ20" s="35">
        <v>-1.101997092862452E-2</v>
      </c>
      <c r="AK20" s="35">
        <v>-2.7799999999999998E-2</v>
      </c>
      <c r="AL20" s="35">
        <v>98.06503569358091</v>
      </c>
      <c r="AM20" s="35">
        <v>-2.284777809627403</v>
      </c>
    </row>
    <row r="21" spans="1:39" x14ac:dyDescent="0.25">
      <c r="A21" s="35" t="s">
        <v>272</v>
      </c>
      <c r="B21" s="35" t="s">
        <v>273</v>
      </c>
      <c r="C21" s="35">
        <v>2.1714000000000002</v>
      </c>
      <c r="D21" s="35">
        <v>100.9966871679103</v>
      </c>
      <c r="E21" s="35">
        <v>100.9966871679103</v>
      </c>
      <c r="F21" s="35">
        <v>15886.85</v>
      </c>
      <c r="G21" s="36">
        <v>1.7299999999999999E-2</v>
      </c>
      <c r="H21" s="35">
        <v>98.867353872796443</v>
      </c>
      <c r="I21" s="36">
        <v>-1.1326461272035631</v>
      </c>
      <c r="Q21" s="35">
        <v>0.1890155225761348</v>
      </c>
      <c r="R21" s="35">
        <v>100.5255001529312</v>
      </c>
      <c r="S21" s="35">
        <v>103.6819180864471</v>
      </c>
      <c r="T21" s="35">
        <v>-3.1564179335158258</v>
      </c>
      <c r="U21" s="35">
        <v>-3.044328260675206E-2</v>
      </c>
      <c r="V21" s="35">
        <v>-0.59419999999999995</v>
      </c>
      <c r="W21" s="35">
        <v>99.739654202416204</v>
      </c>
      <c r="X21" s="35">
        <v>-3.8022675089246731</v>
      </c>
      <c r="AF21" s="35">
        <v>2.3603999999999998</v>
      </c>
      <c r="AG21" s="35">
        <v>101.594796084942</v>
      </c>
      <c r="AH21" s="35">
        <v>101.594796084942</v>
      </c>
      <c r="AI21" s="35"/>
      <c r="AJ21" s="35">
        <v>0</v>
      </c>
      <c r="AK21" s="35">
        <v>0.47339999999999999</v>
      </c>
      <c r="AL21" s="35">
        <v>99.721909888597651</v>
      </c>
      <c r="AM21" s="35">
        <v>-0.63381394710007033</v>
      </c>
    </row>
    <row r="22" spans="1:39" x14ac:dyDescent="0.25">
      <c r="A22" s="35" t="s">
        <v>273</v>
      </c>
      <c r="B22" s="35" t="s">
        <v>274</v>
      </c>
      <c r="C22" s="35">
        <v>1.3199000000000001</v>
      </c>
      <c r="D22" s="35">
        <v>102.3297424418396</v>
      </c>
      <c r="E22" s="35">
        <v>102.3297424418396</v>
      </c>
      <c r="F22" s="35">
        <v>16247.7</v>
      </c>
      <c r="G22" s="36">
        <v>-0.98970000000000002</v>
      </c>
      <c r="H22" s="35">
        <v>99.997122955009502</v>
      </c>
      <c r="I22" s="36">
        <v>-0.98970000000000447</v>
      </c>
      <c r="Q22" s="35">
        <v>-0.80014822347273806</v>
      </c>
      <c r="R22" s="35">
        <v>99.721147149320473</v>
      </c>
      <c r="S22" s="35">
        <v>103.6819180864471</v>
      </c>
      <c r="T22" s="35">
        <v>-3.9607709371265969</v>
      </c>
      <c r="U22" s="35">
        <v>-3.8201173456534787E-2</v>
      </c>
      <c r="V22" s="35">
        <v>-1.0608</v>
      </c>
      <c r="W22" s="35">
        <v>99.459125647308952</v>
      </c>
      <c r="X22" s="35">
        <v>-4.0728340264859604</v>
      </c>
      <c r="AF22" s="35">
        <v>0.51980000000000004</v>
      </c>
      <c r="AG22" s="35">
        <v>102.12288583499149</v>
      </c>
      <c r="AH22" s="35">
        <v>102.12288583499149</v>
      </c>
      <c r="AI22" s="35"/>
      <c r="AJ22" s="35">
        <v>0</v>
      </c>
      <c r="AK22" s="35">
        <v>-0.33860000000000001</v>
      </c>
      <c r="AL22" s="35">
        <v>101.25079610539839</v>
      </c>
      <c r="AM22" s="35">
        <v>-0.33860000000000001</v>
      </c>
    </row>
    <row r="23" spans="1:39" x14ac:dyDescent="0.25">
      <c r="A23" s="35" t="s">
        <v>274</v>
      </c>
      <c r="B23" s="35" t="s">
        <v>275</v>
      </c>
      <c r="C23" s="35">
        <v>0.62080000000000002</v>
      </c>
      <c r="D23" s="35">
        <v>102.9650054829185</v>
      </c>
      <c r="E23" s="35">
        <v>102.9650054829185</v>
      </c>
      <c r="F23" s="35">
        <v>16478.400000000001</v>
      </c>
      <c r="G23" s="36">
        <v>3.5499999999999997E-2</v>
      </c>
      <c r="H23" s="35">
        <v>102.3660695004064</v>
      </c>
      <c r="I23" s="36">
        <v>3.5500000000010523E-2</v>
      </c>
      <c r="Q23" s="35">
        <v>-9.4596944900461083E-2</v>
      </c>
      <c r="R23" s="35">
        <v>99.626813990697528</v>
      </c>
      <c r="S23" s="35">
        <v>103.6819180864471</v>
      </c>
      <c r="T23" s="35">
        <v>-4.0551040957495417</v>
      </c>
      <c r="U23" s="35">
        <v>-3.9111005762533353E-2</v>
      </c>
      <c r="V23" s="35">
        <v>-0.3851</v>
      </c>
      <c r="W23" s="35">
        <v>99.337121011648435</v>
      </c>
      <c r="X23" s="35">
        <v>-4.1905060737553734</v>
      </c>
      <c r="AF23" s="35">
        <v>0.5262</v>
      </c>
      <c r="AG23" s="35">
        <v>102.6602564602553</v>
      </c>
      <c r="AH23" s="35">
        <v>102.6602564602553</v>
      </c>
      <c r="AI23" s="35"/>
      <c r="AJ23" s="35">
        <v>0</v>
      </c>
      <c r="AK23" s="35">
        <v>0.11609999999999999</v>
      </c>
      <c r="AL23" s="35">
        <v>102.2414505054459</v>
      </c>
      <c r="AM23" s="35">
        <v>0.1160999999999968</v>
      </c>
    </row>
    <row r="24" spans="1:39" x14ac:dyDescent="0.25">
      <c r="A24" s="35" t="s">
        <v>275</v>
      </c>
      <c r="B24" s="35" t="s">
        <v>276</v>
      </c>
      <c r="C24" s="35">
        <v>0.47520000000000001</v>
      </c>
      <c r="D24" s="35">
        <v>103.4542951889733</v>
      </c>
      <c r="E24" s="35">
        <v>103.4542951889733</v>
      </c>
      <c r="F24" s="35">
        <v>16583.45</v>
      </c>
      <c r="G24" s="36">
        <v>0.1163</v>
      </c>
      <c r="H24" s="35">
        <v>103.0847537842951</v>
      </c>
      <c r="I24" s="36">
        <v>0.1163000000000025</v>
      </c>
      <c r="Q24" s="35">
        <v>-1.018228485068515</v>
      </c>
      <c r="R24" s="35">
        <v>98.612385391878021</v>
      </c>
      <c r="S24" s="35">
        <v>103.6819180864471</v>
      </c>
      <c r="T24" s="35">
        <v>-5.0695326945690482</v>
      </c>
      <c r="U24" s="35">
        <v>-4.8895051211747587E-2</v>
      </c>
      <c r="V24" s="35">
        <v>-1.4361999999999999</v>
      </c>
      <c r="W24" s="35">
        <v>98.195973688163136</v>
      </c>
      <c r="X24" s="35">
        <v>-5.2911293497771794</v>
      </c>
      <c r="AF24" s="35">
        <v>-0.54300000000000004</v>
      </c>
      <c r="AG24" s="35">
        <v>102.1028112676761</v>
      </c>
      <c r="AH24" s="35">
        <v>102.6602564602553</v>
      </c>
      <c r="AI24" s="35">
        <v>-0.55744519257919478</v>
      </c>
      <c r="AJ24" s="35">
        <v>-5.4300000000000849E-3</v>
      </c>
      <c r="AK24" s="35">
        <v>-0.54300000000000004</v>
      </c>
      <c r="AL24" s="35">
        <v>102.1028112676761</v>
      </c>
      <c r="AM24" s="35">
        <v>-0.54300000000000459</v>
      </c>
    </row>
    <row r="25" spans="1:39" x14ac:dyDescent="0.25">
      <c r="A25" s="35" t="s">
        <v>276</v>
      </c>
      <c r="B25" s="35" t="s">
        <v>277</v>
      </c>
      <c r="C25" s="35">
        <v>-1.4800000000000001E-2</v>
      </c>
      <c r="D25" s="35">
        <v>103.4389839532854</v>
      </c>
      <c r="E25" s="35">
        <v>103.4542951889733</v>
      </c>
      <c r="F25" s="35">
        <v>16681.599999999999</v>
      </c>
      <c r="G25" s="36">
        <v>-0.22520000000000001</v>
      </c>
      <c r="H25" s="35">
        <v>103.2213161162078</v>
      </c>
      <c r="I25" s="36">
        <v>-0.2252000000000032</v>
      </c>
      <c r="Q25" s="35">
        <v>0.86870771892144871</v>
      </c>
      <c r="R25" s="35">
        <v>99.469038795589825</v>
      </c>
      <c r="S25" s="35">
        <v>103.6819180864471</v>
      </c>
      <c r="T25" s="35">
        <v>-4.212879290857245</v>
      </c>
      <c r="U25" s="35">
        <v>-4.063272910658023E-2</v>
      </c>
      <c r="V25" s="35">
        <v>-0.34350000000000003</v>
      </c>
      <c r="W25" s="35">
        <v>98.273651848056929</v>
      </c>
      <c r="X25" s="35">
        <v>-5.216209671083516</v>
      </c>
      <c r="AF25" s="35">
        <v>0.85389999999999999</v>
      </c>
      <c r="AG25" s="35">
        <v>102.97466717309079</v>
      </c>
      <c r="AH25" s="35">
        <v>102.97466717309079</v>
      </c>
      <c r="AI25" s="35"/>
      <c r="AJ25" s="35">
        <v>0</v>
      </c>
      <c r="AK25" s="35">
        <v>0.76100000000000001</v>
      </c>
      <c r="AL25" s="35">
        <v>102.8798136614231</v>
      </c>
      <c r="AM25" s="35">
        <v>0.21386776999996471</v>
      </c>
    </row>
    <row r="26" spans="1:39" x14ac:dyDescent="0.25">
      <c r="A26" s="35" t="s">
        <v>277</v>
      </c>
      <c r="B26" s="35" t="s">
        <v>278</v>
      </c>
      <c r="C26" s="35">
        <v>1.6529</v>
      </c>
      <c r="D26" s="35">
        <v>105.1487269190492</v>
      </c>
      <c r="E26" s="35">
        <v>105.1487269190492</v>
      </c>
      <c r="F26" s="35">
        <v>16698.599999999999</v>
      </c>
      <c r="G26" s="36">
        <v>-0.56120000000000003</v>
      </c>
      <c r="H26" s="35">
        <v>102.8584843753395</v>
      </c>
      <c r="I26" s="36">
        <v>-0.57591694240000102</v>
      </c>
      <c r="Q26" s="35">
        <v>-1.4112639300026599</v>
      </c>
      <c r="R26" s="35">
        <v>98.06526812954732</v>
      </c>
      <c r="S26" s="35">
        <v>103.6819180864471</v>
      </c>
      <c r="T26" s="35">
        <v>-5.6166499568997494</v>
      </c>
      <c r="U26" s="35">
        <v>-5.4171933356949913E-2</v>
      </c>
      <c r="V26" s="35">
        <v>-1.8280000000000001</v>
      </c>
      <c r="W26" s="35">
        <v>97.650744766406447</v>
      </c>
      <c r="X26" s="35">
        <v>-5.8169962818511944</v>
      </c>
      <c r="AF26" s="35">
        <v>0.24160000000000001</v>
      </c>
      <c r="AG26" s="35">
        <v>103.22345396898091</v>
      </c>
      <c r="AH26" s="35">
        <v>103.22345396898091</v>
      </c>
      <c r="AI26" s="35"/>
      <c r="AJ26" s="35">
        <v>0</v>
      </c>
      <c r="AK26" s="35">
        <v>-0.24490000000000001</v>
      </c>
      <c r="AL26" s="35">
        <v>102.72248221318389</v>
      </c>
      <c r="AM26" s="35">
        <v>-0.24490000000000339</v>
      </c>
    </row>
    <row r="27" spans="1:39" x14ac:dyDescent="0.25">
      <c r="A27" s="35" t="s">
        <v>278</v>
      </c>
      <c r="B27" s="35" t="s">
        <v>279</v>
      </c>
      <c r="C27" s="35">
        <v>0.17080000000000001</v>
      </c>
      <c r="D27" s="35">
        <v>105.328320944627</v>
      </c>
      <c r="E27" s="35">
        <v>105.328320944627</v>
      </c>
      <c r="F27" s="35">
        <v>16994.099999999999</v>
      </c>
      <c r="G27" s="36">
        <v>-1.4095</v>
      </c>
      <c r="H27" s="35">
        <v>103.6666556131252</v>
      </c>
      <c r="I27" s="36">
        <v>-1.4094999999999971</v>
      </c>
      <c r="Q27" s="35">
        <v>-0.37627822086656498</v>
      </c>
      <c r="R27" s="35">
        <v>97.696269883341429</v>
      </c>
      <c r="S27" s="35">
        <v>103.6819180864471</v>
      </c>
      <c r="T27" s="35">
        <v>-5.9856482031056402</v>
      </c>
      <c r="U27" s="35">
        <v>-5.7730878378571028E-2</v>
      </c>
      <c r="V27" s="35">
        <v>-0.70840000000000003</v>
      </c>
      <c r="W27" s="35">
        <v>97.370573770117602</v>
      </c>
      <c r="X27" s="35">
        <v>-6.0872179381049278</v>
      </c>
      <c r="AF27" s="35">
        <v>-0.20549999999999999</v>
      </c>
      <c r="AG27" s="35">
        <v>103.0113297710747</v>
      </c>
      <c r="AH27" s="35">
        <v>103.22345396898091</v>
      </c>
      <c r="AI27" s="35">
        <v>-0.21212419790626311</v>
      </c>
      <c r="AJ27" s="35">
        <v>-2.0550000000000711E-3</v>
      </c>
      <c r="AK27" s="35">
        <v>-0.72650000000000003</v>
      </c>
      <c r="AL27" s="35">
        <v>102.47353557589631</v>
      </c>
      <c r="AM27" s="35">
        <v>-0.72649999999999659</v>
      </c>
    </row>
    <row r="28" spans="1:39" x14ac:dyDescent="0.25">
      <c r="A28" s="35" t="s">
        <v>279</v>
      </c>
      <c r="B28" s="35" t="s">
        <v>280</v>
      </c>
      <c r="C28" s="35">
        <v>-0.30620000000000003</v>
      </c>
      <c r="D28" s="35">
        <v>105.0058056258945</v>
      </c>
      <c r="E28" s="35">
        <v>105.328320944627</v>
      </c>
      <c r="F28" s="35">
        <v>17042.95</v>
      </c>
      <c r="G28" s="36">
        <v>-1.3818999999999999</v>
      </c>
      <c r="H28" s="35">
        <v>103.87278887749321</v>
      </c>
      <c r="I28" s="36">
        <v>-1.381900000000003</v>
      </c>
      <c r="Q28" s="35">
        <v>0.61814605766608532</v>
      </c>
      <c r="R28" s="35">
        <v>98.30017552411212</v>
      </c>
      <c r="S28" s="35">
        <v>103.6819180864471</v>
      </c>
      <c r="T28" s="35">
        <v>-5.3817425623349493</v>
      </c>
      <c r="U28" s="35">
        <v>-5.1906278950663347E-2</v>
      </c>
      <c r="V28" s="35">
        <v>-0.31240000000000001</v>
      </c>
      <c r="W28" s="35">
        <v>97.391066736225866</v>
      </c>
      <c r="X28" s="35">
        <v>-6.0674527114516366</v>
      </c>
      <c r="AF28" s="35">
        <v>0.31190000000000001</v>
      </c>
      <c r="AG28" s="35">
        <v>103.3326221086307</v>
      </c>
      <c r="AH28" s="35">
        <v>103.3326221086307</v>
      </c>
      <c r="AI28" s="35"/>
      <c r="AJ28" s="35">
        <v>0</v>
      </c>
      <c r="AK28" s="35">
        <v>-0.11459999999999999</v>
      </c>
      <c r="AL28" s="35">
        <v>102.893278787157</v>
      </c>
      <c r="AM28" s="35">
        <v>-0.31986449700001091</v>
      </c>
    </row>
    <row r="29" spans="1:39" x14ac:dyDescent="0.25">
      <c r="A29" s="35" t="s">
        <v>280</v>
      </c>
      <c r="B29" s="35" t="s">
        <v>281</v>
      </c>
      <c r="C29" s="35">
        <v>-1.6714</v>
      </c>
      <c r="D29" s="35">
        <v>103.2507385906633</v>
      </c>
      <c r="E29" s="35">
        <v>105.328320944627</v>
      </c>
      <c r="F29" s="35">
        <v>17010.650000000001</v>
      </c>
      <c r="G29" s="36">
        <v>-2.0287999999999999</v>
      </c>
      <c r="H29" s="35">
        <v>102.8754478413564</v>
      </c>
      <c r="I29" s="36">
        <v>-2.3287878143999912</v>
      </c>
      <c r="Q29" s="35">
        <v>1.2081506576325229</v>
      </c>
      <c r="R29" s="35">
        <v>99.487789741160597</v>
      </c>
      <c r="S29" s="35">
        <v>103.6819180864471</v>
      </c>
      <c r="T29" s="35">
        <v>-4.1941283452864724</v>
      </c>
      <c r="U29" s="35">
        <v>-4.0451878424833207E-2</v>
      </c>
      <c r="V29" s="35">
        <v>-0.2666</v>
      </c>
      <c r="W29" s="35">
        <v>98.038107256164849</v>
      </c>
      <c r="X29" s="35">
        <v>-5.4433896810980764</v>
      </c>
      <c r="AF29" s="35">
        <v>-0.4632</v>
      </c>
      <c r="AG29" s="35">
        <v>102.8539854030235</v>
      </c>
      <c r="AH29" s="35">
        <v>103.3326221086307</v>
      </c>
      <c r="AI29" s="35">
        <v>-0.47863670560717247</v>
      </c>
      <c r="AJ29" s="35">
        <v>-4.6319999999999547E-3</v>
      </c>
      <c r="AK29" s="35">
        <v>-0.62760000000000005</v>
      </c>
      <c r="AL29" s="35">
        <v>102.6841065722769</v>
      </c>
      <c r="AM29" s="35">
        <v>-0.62759999999999483</v>
      </c>
    </row>
    <row r="30" spans="1:39" x14ac:dyDescent="0.25">
      <c r="A30" s="35" t="s">
        <v>281</v>
      </c>
      <c r="B30" s="35" t="s">
        <v>282</v>
      </c>
      <c r="C30" s="35">
        <v>-0.6583</v>
      </c>
      <c r="D30" s="35">
        <v>102.571038978521</v>
      </c>
      <c r="E30" s="35">
        <v>105.328320944627</v>
      </c>
      <c r="F30" s="35">
        <v>16732</v>
      </c>
      <c r="G30" s="36">
        <v>-1.5720000000000001</v>
      </c>
      <c r="H30" s="35">
        <v>101.6276369800181</v>
      </c>
      <c r="I30" s="36">
        <v>-3.5134747534372961</v>
      </c>
      <c r="Q30" s="35">
        <v>0.37704986788575262</v>
      </c>
      <c r="R30" s="35">
        <v>99.862908320942111</v>
      </c>
      <c r="S30" s="35">
        <v>103.6819180864471</v>
      </c>
      <c r="T30" s="35">
        <v>-3.819009765504958</v>
      </c>
      <c r="U30" s="35">
        <v>-3.68339035001337E-2</v>
      </c>
      <c r="V30" s="35">
        <v>-0.5524</v>
      </c>
      <c r="W30" s="35">
        <v>98.938219190630434</v>
      </c>
      <c r="X30" s="35">
        <v>-4.5752422248414364</v>
      </c>
      <c r="AF30" s="35">
        <v>-0.28129999999999999</v>
      </c>
      <c r="AG30" s="35">
        <v>102.5646571420848</v>
      </c>
      <c r="AH30" s="35">
        <v>103.3326221086307</v>
      </c>
      <c r="AI30" s="35">
        <v>-0.76796496654587543</v>
      </c>
      <c r="AJ30" s="35">
        <v>-7.4319701839999338E-3</v>
      </c>
      <c r="AK30" s="35">
        <v>-0.59099999999999997</v>
      </c>
      <c r="AL30" s="35">
        <v>102.24611834929161</v>
      </c>
      <c r="AM30" s="35">
        <v>-1.0514624879999881</v>
      </c>
    </row>
    <row r="31" spans="1:39" x14ac:dyDescent="0.25">
      <c r="A31" s="35" t="s">
        <v>282</v>
      </c>
      <c r="B31" s="35" t="s">
        <v>283</v>
      </c>
      <c r="C31" s="35">
        <v>1.7496</v>
      </c>
      <c r="D31" s="35">
        <v>104.3656218764892</v>
      </c>
      <c r="E31" s="35">
        <v>105.328320944627</v>
      </c>
      <c r="F31" s="35">
        <v>16635.8</v>
      </c>
      <c r="G31" s="36">
        <v>0.221</v>
      </c>
      <c r="H31" s="35">
        <v>102.79772097466351</v>
      </c>
      <c r="I31" s="36">
        <v>-2.4025826551377749</v>
      </c>
      <c r="Q31" s="35">
        <v>-2.2720116875102332</v>
      </c>
      <c r="R31" s="35">
        <v>97.594011372402676</v>
      </c>
      <c r="S31" s="35">
        <v>103.6819180864471</v>
      </c>
      <c r="T31" s="35">
        <v>-6.0879067140443937</v>
      </c>
      <c r="U31" s="35">
        <v>-5.8717149782746773E-2</v>
      </c>
      <c r="V31" s="35">
        <v>-2.3732000000000002</v>
      </c>
      <c r="W31" s="35">
        <v>97.492961780669518</v>
      </c>
      <c r="X31" s="35">
        <v>-5.9691761302268498</v>
      </c>
      <c r="AF31" s="35">
        <v>-0.52239999999999998</v>
      </c>
      <c r="AG31" s="35">
        <v>102.0288593731745</v>
      </c>
      <c r="AH31" s="35">
        <v>103.3326221086307</v>
      </c>
      <c r="AI31" s="35">
        <v>-1.3037627354561321</v>
      </c>
      <c r="AJ31" s="35">
        <v>-1.2617145571758781E-2</v>
      </c>
      <c r="AK31" s="35">
        <v>-0.53620000000000001</v>
      </c>
      <c r="AL31" s="35">
        <v>102.0147054504889</v>
      </c>
      <c r="AM31" s="35">
        <v>-1.27541199598733</v>
      </c>
    </row>
    <row r="32" spans="1:39" x14ac:dyDescent="0.25">
      <c r="A32" s="35" t="s">
        <v>283</v>
      </c>
      <c r="B32" s="35" t="s">
        <v>284</v>
      </c>
      <c r="C32" s="35">
        <v>-0.3175</v>
      </c>
      <c r="D32" s="35">
        <v>104.03426102703131</v>
      </c>
      <c r="E32" s="35">
        <v>105.328320944627</v>
      </c>
      <c r="F32" s="35">
        <v>16932.400000000001</v>
      </c>
      <c r="G32" s="36">
        <v>-0.70609999999999995</v>
      </c>
      <c r="H32" s="35">
        <v>103.6286962204193</v>
      </c>
      <c r="I32" s="36">
        <v>-1.613644562986249</v>
      </c>
      <c r="Q32" s="35">
        <v>-0.82280523219737389</v>
      </c>
      <c r="R32" s="35">
        <v>96.791002740519247</v>
      </c>
      <c r="S32" s="35">
        <v>103.6819180864471</v>
      </c>
      <c r="T32" s="35">
        <v>-6.890915345927823</v>
      </c>
      <c r="U32" s="35">
        <v>-6.6462074324110901E-2</v>
      </c>
      <c r="V32" s="35">
        <v>-0.93030000000000002</v>
      </c>
      <c r="W32" s="35">
        <v>96.686094284605218</v>
      </c>
      <c r="X32" s="35">
        <v>-6.7473904138317886</v>
      </c>
      <c r="AF32" s="35">
        <v>-1.1403000000000001</v>
      </c>
      <c r="AG32" s="35">
        <v>100.86542428974219</v>
      </c>
      <c r="AH32" s="35">
        <v>103.3326221086307</v>
      </c>
      <c r="AI32" s="35">
        <v>-2.4671978188884509</v>
      </c>
      <c r="AJ32" s="35">
        <v>-2.3876272260804101E-2</v>
      </c>
      <c r="AK32" s="35">
        <v>-1.1403000000000001</v>
      </c>
      <c r="AL32" s="35">
        <v>100.86542428974219</v>
      </c>
      <c r="AM32" s="35">
        <v>-2.3876272260804128</v>
      </c>
    </row>
    <row r="33" spans="1:39" x14ac:dyDescent="0.25">
      <c r="A33" s="35" t="s">
        <v>284</v>
      </c>
      <c r="B33" s="35" t="s">
        <v>285</v>
      </c>
      <c r="C33" s="35">
        <v>-0.34089999999999998</v>
      </c>
      <c r="D33" s="35">
        <v>103.6796082311902</v>
      </c>
      <c r="E33" s="35">
        <v>105.328320944627</v>
      </c>
      <c r="F33" s="35">
        <v>16892.75</v>
      </c>
      <c r="G33" s="36">
        <v>-0.45650000000000002</v>
      </c>
      <c r="H33" s="35">
        <v>103.5593446254429</v>
      </c>
      <c r="I33" s="36">
        <v>-1.679487818014336</v>
      </c>
      <c r="Q33" s="35">
        <v>0.14114297169367471</v>
      </c>
      <c r="R33" s="35">
        <v>96.927616438119315</v>
      </c>
      <c r="S33" s="35">
        <v>103.6819180864471</v>
      </c>
      <c r="T33" s="35">
        <v>-6.754301648327754</v>
      </c>
      <c r="U33" s="35">
        <v>-6.5144451153924518E-2</v>
      </c>
      <c r="V33" s="35">
        <v>-0.4365</v>
      </c>
      <c r="W33" s="35">
        <v>96.368510013556886</v>
      </c>
      <c r="X33" s="35">
        <v>-7.0536967369686074</v>
      </c>
      <c r="AF33" s="35">
        <v>-0.19980000000000001</v>
      </c>
      <c r="AG33" s="35">
        <v>100.66389517201129</v>
      </c>
      <c r="AH33" s="35">
        <v>103.3326221086307</v>
      </c>
      <c r="AI33" s="35">
        <v>-2.6687269366193651</v>
      </c>
      <c r="AJ33" s="35">
        <v>-2.58265674688271E-2</v>
      </c>
      <c r="AK33" s="35">
        <v>-0.19980000000000001</v>
      </c>
      <c r="AL33" s="35">
        <v>100.66389517201129</v>
      </c>
      <c r="AM33" s="35">
        <v>-2.582656746882706</v>
      </c>
    </row>
    <row r="34" spans="1:39" x14ac:dyDescent="0.25">
      <c r="A34" s="35" t="s">
        <v>285</v>
      </c>
      <c r="B34" s="35" t="s">
        <v>286</v>
      </c>
      <c r="C34" s="35">
        <v>1.5946</v>
      </c>
      <c r="D34" s="35">
        <v>105.3328832640447</v>
      </c>
      <c r="E34" s="35">
        <v>105.3328832640447</v>
      </c>
      <c r="F34" s="35">
        <v>16852.05</v>
      </c>
      <c r="G34" s="36">
        <v>-0.1018</v>
      </c>
      <c r="H34" s="35">
        <v>103.57406239001079</v>
      </c>
      <c r="I34" s="36">
        <v>-1.6655145917861769</v>
      </c>
      <c r="Q34" s="35">
        <v>0.48303048413572353</v>
      </c>
      <c r="R34" s="35">
        <v>97.395806373061575</v>
      </c>
      <c r="S34" s="35">
        <v>103.6819180864471</v>
      </c>
      <c r="T34" s="35">
        <v>-6.2861117133854947</v>
      </c>
      <c r="U34" s="35">
        <v>-6.0628813870363688E-2</v>
      </c>
      <c r="V34" s="35">
        <v>-0.47810000000000002</v>
      </c>
      <c r="W34" s="35">
        <v>96.464205503928667</v>
      </c>
      <c r="X34" s="35">
        <v>-6.9613995532957551</v>
      </c>
      <c r="AF34" s="35">
        <v>2.0775999999999999</v>
      </c>
      <c r="AG34" s="35">
        <v>102.755288258105</v>
      </c>
      <c r="AH34" s="35">
        <v>103.3326221086307</v>
      </c>
      <c r="AI34" s="35">
        <v>-0.57733385052566177</v>
      </c>
      <c r="AJ34" s="35">
        <v>-5.587140234559489E-3</v>
      </c>
      <c r="AK34" s="35">
        <v>0.80400000000000005</v>
      </c>
      <c r="AL34" s="35">
        <v>101.47323288919431</v>
      </c>
      <c r="AM34" s="35">
        <v>-1.799421307127647</v>
      </c>
    </row>
    <row r="35" spans="1:39" x14ac:dyDescent="0.25">
      <c r="A35" s="35" t="s">
        <v>286</v>
      </c>
      <c r="B35" s="35" t="s">
        <v>287</v>
      </c>
      <c r="C35" s="35">
        <v>-1.476</v>
      </c>
      <c r="D35" s="35">
        <v>103.77816990706739</v>
      </c>
      <c r="E35" s="35">
        <v>105.3328832640447</v>
      </c>
      <c r="F35" s="35">
        <v>17143.25</v>
      </c>
      <c r="G35" s="36">
        <v>-1.5657000000000001</v>
      </c>
      <c r="H35" s="35">
        <v>103.68368631077961</v>
      </c>
      <c r="I35" s="36">
        <v>-1.565700000000003</v>
      </c>
      <c r="Q35" s="35">
        <v>1.4656269238662021</v>
      </c>
      <c r="R35" s="35">
        <v>98.823265533981754</v>
      </c>
      <c r="S35" s="35">
        <v>103.6819180864471</v>
      </c>
      <c r="T35" s="35">
        <v>-4.8586525524653146</v>
      </c>
      <c r="U35" s="35">
        <v>-4.6861136851406512E-2</v>
      </c>
      <c r="V35" s="35">
        <v>-0.78849999999999998</v>
      </c>
      <c r="W35" s="35">
        <v>96.627840439809987</v>
      </c>
      <c r="X35" s="35">
        <v>-6.8035755672995801</v>
      </c>
      <c r="AF35" s="35">
        <v>-1.04E-2</v>
      </c>
      <c r="AG35" s="35">
        <v>102.7446017081262</v>
      </c>
      <c r="AH35" s="35">
        <v>103.3326221086307</v>
      </c>
      <c r="AI35" s="35">
        <v>-0.58802040050450444</v>
      </c>
      <c r="AJ35" s="35">
        <v>-5.6905591719750926E-3</v>
      </c>
      <c r="AK35" s="35">
        <v>-1.04E-2</v>
      </c>
      <c r="AL35" s="35">
        <v>102.7446017081262</v>
      </c>
      <c r="AM35" s="35">
        <v>-0.56905591719751403</v>
      </c>
    </row>
    <row r="36" spans="1:39" x14ac:dyDescent="0.25">
      <c r="A36" s="35" t="s">
        <v>287</v>
      </c>
      <c r="B36" s="35" t="s">
        <v>288</v>
      </c>
      <c r="C36" s="35">
        <v>0.97109999999999996</v>
      </c>
      <c r="D36" s="35">
        <v>104.78595971503501</v>
      </c>
      <c r="E36" s="35">
        <v>105.3328832640447</v>
      </c>
      <c r="F36" s="35">
        <v>16904.5</v>
      </c>
      <c r="G36" s="36">
        <v>-0.52210000000000001</v>
      </c>
      <c r="H36" s="35">
        <v>103.23634408198259</v>
      </c>
      <c r="I36" s="36">
        <v>-1.9903938040000011</v>
      </c>
      <c r="Q36" s="35">
        <v>3.2935741950546348E-2</v>
      </c>
      <c r="R36" s="35">
        <v>98.855813709705146</v>
      </c>
      <c r="S36" s="35">
        <v>103.6819180864471</v>
      </c>
      <c r="T36" s="35">
        <v>-4.8261043767419238</v>
      </c>
      <c r="U36" s="35">
        <v>-4.6547213495009357E-2</v>
      </c>
      <c r="V36" s="35">
        <v>-1.4358</v>
      </c>
      <c r="W36" s="35">
        <v>97.40436108744484</v>
      </c>
      <c r="X36" s="35">
        <v>-6.0546304648494083</v>
      </c>
      <c r="AF36" s="35">
        <v>1.004</v>
      </c>
      <c r="AG36" s="35">
        <v>103.77615750927571</v>
      </c>
      <c r="AH36" s="35">
        <v>103.77615750927571</v>
      </c>
      <c r="AI36" s="35"/>
      <c r="AJ36" s="35">
        <v>0</v>
      </c>
      <c r="AK36" s="35">
        <v>5.6599999999999998E-2</v>
      </c>
      <c r="AL36" s="35">
        <v>102.802755152693</v>
      </c>
      <c r="AM36" s="35">
        <v>-0.51277800284662556</v>
      </c>
    </row>
    <row r="37" spans="1:39" x14ac:dyDescent="0.25">
      <c r="A37" s="35" t="s">
        <v>288</v>
      </c>
      <c r="B37" s="35" t="s">
        <v>289</v>
      </c>
      <c r="C37" s="35">
        <v>1.4202999999999999</v>
      </c>
      <c r="D37" s="35">
        <v>106.27423470086759</v>
      </c>
      <c r="E37" s="35">
        <v>106.27423470086759</v>
      </c>
      <c r="F37" s="35">
        <v>17074.3</v>
      </c>
      <c r="G37" s="36">
        <v>0.88419999999999999</v>
      </c>
      <c r="H37" s="35">
        <v>105.7124771708353</v>
      </c>
      <c r="I37" s="36">
        <v>0.36037550195888718</v>
      </c>
      <c r="Q37" s="35">
        <v>-2.0560732120063032</v>
      </c>
      <c r="R37" s="35">
        <v>96.823265805509038</v>
      </c>
      <c r="S37" s="35">
        <v>103.6819180864471</v>
      </c>
      <c r="T37" s="35">
        <v>-6.8586522809380313</v>
      </c>
      <c r="U37" s="35">
        <v>-6.6150900827466178E-2</v>
      </c>
      <c r="V37" s="35">
        <v>-2.1492</v>
      </c>
      <c r="W37" s="35">
        <v>96.731204561456167</v>
      </c>
      <c r="X37" s="35">
        <v>-6.7038820782574611</v>
      </c>
      <c r="AF37" s="35">
        <v>-0.63580000000000003</v>
      </c>
      <c r="AG37" s="35">
        <v>103.1163486998318</v>
      </c>
      <c r="AH37" s="35">
        <v>103.77615750927571</v>
      </c>
      <c r="AI37" s="35">
        <v>-0.65980880944397313</v>
      </c>
      <c r="AJ37" s="35">
        <v>-6.35799999999998E-3</v>
      </c>
      <c r="AK37" s="35">
        <v>-0.63580000000000003</v>
      </c>
      <c r="AL37" s="35">
        <v>103.1163486998318</v>
      </c>
      <c r="AM37" s="35">
        <v>-0.63579999999999748</v>
      </c>
    </row>
    <row r="38" spans="1:39" x14ac:dyDescent="0.25">
      <c r="A38" s="35" t="s">
        <v>289</v>
      </c>
      <c r="B38" s="35" t="s">
        <v>290</v>
      </c>
      <c r="C38" s="35">
        <v>1.8335999999999999</v>
      </c>
      <c r="D38" s="35">
        <v>108.22287906834271</v>
      </c>
      <c r="E38" s="35">
        <v>108.22287906834271</v>
      </c>
      <c r="F38" s="35">
        <v>17319.650000000001</v>
      </c>
      <c r="G38" s="36">
        <v>0.192</v>
      </c>
      <c r="H38" s="35">
        <v>106.4782812314933</v>
      </c>
      <c r="I38" s="36">
        <v>0.1919999999999922</v>
      </c>
      <c r="Q38" s="35">
        <v>-1.123535719840536</v>
      </c>
      <c r="R38" s="35">
        <v>95.735421829067988</v>
      </c>
      <c r="S38" s="35">
        <v>103.6819180864471</v>
      </c>
      <c r="T38" s="35">
        <v>-7.9464962573790814</v>
      </c>
      <c r="U38" s="35">
        <v>-7.6643029026078738E-2</v>
      </c>
      <c r="V38" s="35">
        <v>-1.2292000000000001</v>
      </c>
      <c r="W38" s="35">
        <v>95.633114222227718</v>
      </c>
      <c r="X38" s="35">
        <v>-7.7629773954495001</v>
      </c>
      <c r="AF38" s="35">
        <v>0.71009999999999995</v>
      </c>
      <c r="AG38" s="35">
        <v>103.8485778919493</v>
      </c>
      <c r="AH38" s="35">
        <v>103.8485778919493</v>
      </c>
      <c r="AI38" s="35"/>
      <c r="AJ38" s="35">
        <v>0</v>
      </c>
      <c r="AK38" s="35">
        <v>0.30209999999999998</v>
      </c>
      <c r="AL38" s="35">
        <v>103.427863189254</v>
      </c>
      <c r="AM38" s="35">
        <v>-0.33562075180001433</v>
      </c>
    </row>
    <row r="39" spans="1:39" x14ac:dyDescent="0.25">
      <c r="A39" s="35" t="s">
        <v>290</v>
      </c>
      <c r="B39" s="35" t="s">
        <v>291</v>
      </c>
      <c r="C39" s="35">
        <v>1.0283</v>
      </c>
      <c r="D39" s="35">
        <v>109.3357349338025</v>
      </c>
      <c r="E39" s="35">
        <v>109.3357349338025</v>
      </c>
      <c r="F39" s="35">
        <v>17651.650000000001</v>
      </c>
      <c r="G39" s="36">
        <v>-0.17530000000000001</v>
      </c>
      <c r="H39" s="35">
        <v>108.03316436133591</v>
      </c>
      <c r="I39" s="36">
        <v>-0.17530000000000051</v>
      </c>
      <c r="Q39" s="35">
        <v>0.1181010006228615</v>
      </c>
      <c r="R39" s="35">
        <v>95.848486320198631</v>
      </c>
      <c r="S39" s="35">
        <v>103.6819180864471</v>
      </c>
      <c r="T39" s="35">
        <v>-7.8334317662484381</v>
      </c>
      <c r="U39" s="35">
        <v>-7.5552535204037624E-2</v>
      </c>
      <c r="V39" s="35">
        <v>1.4200000000000001E-2</v>
      </c>
      <c r="W39" s="35">
        <v>95.749016258967728</v>
      </c>
      <c r="X39" s="35">
        <v>-7.6511912336200361</v>
      </c>
      <c r="AF39" s="35">
        <v>1.1464000000000001</v>
      </c>
      <c r="AG39" s="35">
        <v>105.0390979889026</v>
      </c>
      <c r="AH39" s="35">
        <v>105.0390979889026</v>
      </c>
      <c r="AI39" s="35"/>
      <c r="AJ39" s="35">
        <v>0</v>
      </c>
      <c r="AK39" s="35">
        <v>0.1628</v>
      </c>
      <c r="AL39" s="35">
        <v>104.01764337675741</v>
      </c>
      <c r="AM39" s="35">
        <v>0.16279999999999631</v>
      </c>
    </row>
    <row r="40" spans="1:39" x14ac:dyDescent="0.25">
      <c r="A40" s="35" t="s">
        <v>291</v>
      </c>
      <c r="B40" s="35" t="s">
        <v>292</v>
      </c>
      <c r="C40" s="35">
        <v>0.55010000000000003</v>
      </c>
      <c r="D40" s="35">
        <v>109.9371908116733</v>
      </c>
      <c r="E40" s="35">
        <v>109.9371908116733</v>
      </c>
      <c r="F40" s="35">
        <v>17836.099999999999</v>
      </c>
      <c r="G40" s="36">
        <v>0.2054</v>
      </c>
      <c r="H40" s="35">
        <v>109.5603105333565</v>
      </c>
      <c r="I40" s="36">
        <v>0.2054</v>
      </c>
      <c r="Q40" s="35">
        <v>1.0722416209603589</v>
      </c>
      <c r="R40" s="35">
        <v>96.876213683584297</v>
      </c>
      <c r="S40" s="35">
        <v>103.6819180864471</v>
      </c>
      <c r="T40" s="35">
        <v>-6.8057044028627729</v>
      </c>
      <c r="U40" s="35">
        <v>-6.5640224722582463E-2</v>
      </c>
      <c r="V40" s="35">
        <v>-0.3468</v>
      </c>
      <c r="W40" s="35">
        <v>95.516083769640176</v>
      </c>
      <c r="X40" s="35">
        <v>-7.8758519011950074</v>
      </c>
      <c r="AF40" s="35">
        <v>1.6223000000000001</v>
      </c>
      <c r="AG40" s="35">
        <v>106.7431472755765</v>
      </c>
      <c r="AH40" s="35">
        <v>106.7431472755765</v>
      </c>
      <c r="AI40" s="35"/>
      <c r="AJ40" s="35">
        <v>0</v>
      </c>
      <c r="AK40" s="35">
        <v>1.2539</v>
      </c>
      <c r="AL40" s="35">
        <v>106.3561832385854</v>
      </c>
      <c r="AM40" s="35">
        <v>1.253900000000008</v>
      </c>
    </row>
    <row r="41" spans="1:39" x14ac:dyDescent="0.25">
      <c r="A41" s="35" t="s">
        <v>292</v>
      </c>
      <c r="B41" s="35" t="s">
        <v>293</v>
      </c>
      <c r="C41" s="35">
        <v>-0.13389999999999999</v>
      </c>
      <c r="D41" s="35">
        <v>109.7899849131765</v>
      </c>
      <c r="E41" s="35">
        <v>109.9371908116733</v>
      </c>
      <c r="F41" s="35">
        <v>17952.05</v>
      </c>
      <c r="G41" s="36">
        <v>-0.31269999999999998</v>
      </c>
      <c r="H41" s="35">
        <v>109.59341721600519</v>
      </c>
      <c r="I41" s="36">
        <v>-0.31269999999999909</v>
      </c>
      <c r="Q41" s="35">
        <v>0.47001401003299143</v>
      </c>
      <c r="R41" s="35">
        <v>97.331545460286648</v>
      </c>
      <c r="S41" s="35">
        <v>103.6819180864471</v>
      </c>
      <c r="T41" s="35">
        <v>-6.3503726261604214</v>
      </c>
      <c r="U41" s="35">
        <v>-6.1248602874665763E-2</v>
      </c>
      <c r="V41" s="35">
        <v>-0.43590000000000001</v>
      </c>
      <c r="W41" s="35">
        <v>96.453930268137555</v>
      </c>
      <c r="X41" s="35">
        <v>-6.9713098983016693</v>
      </c>
      <c r="AF41" s="35">
        <v>0.33610000000000001</v>
      </c>
      <c r="AG41" s="35">
        <v>107.1019109935698</v>
      </c>
      <c r="AH41" s="35">
        <v>107.1019109935698</v>
      </c>
      <c r="AI41" s="35"/>
      <c r="AJ41" s="35">
        <v>0</v>
      </c>
      <c r="AK41" s="35">
        <v>8.0699999999999994E-2</v>
      </c>
      <c r="AL41" s="35">
        <v>106.8292889954279</v>
      </c>
      <c r="AM41" s="35">
        <v>8.0700000000000216E-2</v>
      </c>
    </row>
    <row r="42" spans="1:39" x14ac:dyDescent="0.25">
      <c r="A42" s="35" t="s">
        <v>293</v>
      </c>
      <c r="B42" s="35" t="s">
        <v>294</v>
      </c>
      <c r="C42" s="35">
        <v>2.3435999999999999</v>
      </c>
      <c r="D42" s="35">
        <v>112.3630229996017</v>
      </c>
      <c r="E42" s="35">
        <v>112.3630229996017</v>
      </c>
      <c r="F42" s="35">
        <v>17931</v>
      </c>
      <c r="G42" s="36">
        <v>6.9500000000000006E-2</v>
      </c>
      <c r="H42" s="35">
        <v>109.86628895269109</v>
      </c>
      <c r="I42" s="36">
        <v>-6.4493060500003807E-2</v>
      </c>
      <c r="Q42" s="35">
        <v>-1.293890260925588</v>
      </c>
      <c r="R42" s="35">
        <v>96.072182072767632</v>
      </c>
      <c r="S42" s="35">
        <v>103.6819180864471</v>
      </c>
      <c r="T42" s="35">
        <v>-7.6097360136794379</v>
      </c>
      <c r="U42" s="35">
        <v>-7.3395015776373404E-2</v>
      </c>
      <c r="V42" s="35">
        <v>-1.4863</v>
      </c>
      <c r="W42" s="35">
        <v>95.884906700110406</v>
      </c>
      <c r="X42" s="35">
        <v>-7.5201264890139559</v>
      </c>
      <c r="AF42" s="35">
        <v>1.0497000000000001</v>
      </c>
      <c r="AG42" s="35">
        <v>108.2261597532693</v>
      </c>
      <c r="AH42" s="35">
        <v>108.2261597532693</v>
      </c>
      <c r="AI42" s="35"/>
      <c r="AJ42" s="35">
        <v>0</v>
      </c>
      <c r="AK42" s="35">
        <v>0.51600000000000001</v>
      </c>
      <c r="AL42" s="35">
        <v>107.6545568542966</v>
      </c>
      <c r="AM42" s="35">
        <v>0.51600000000000534</v>
      </c>
    </row>
    <row r="43" spans="1:39" x14ac:dyDescent="0.25">
      <c r="A43" s="35" t="s">
        <v>294</v>
      </c>
      <c r="B43" s="35" t="s">
        <v>295</v>
      </c>
      <c r="C43" s="35">
        <v>-0.40870000000000001</v>
      </c>
      <c r="D43" s="35">
        <v>111.9037953246023</v>
      </c>
      <c r="E43" s="35">
        <v>112.3630229996017</v>
      </c>
      <c r="F43" s="35">
        <v>18357.2</v>
      </c>
      <c r="G43" s="36">
        <v>-0.5716</v>
      </c>
      <c r="H43" s="35">
        <v>111.720755960136</v>
      </c>
      <c r="I43" s="36">
        <v>-0.57160000000001654</v>
      </c>
      <c r="Q43" s="35">
        <v>1.162206845875942</v>
      </c>
      <c r="R43" s="35">
        <v>97.188739549799735</v>
      </c>
      <c r="S43" s="35">
        <v>103.6819180864471</v>
      </c>
      <c r="T43" s="35">
        <v>-6.4931785366473349</v>
      </c>
      <c r="U43" s="35">
        <v>-6.2625949215498744E-2</v>
      </c>
      <c r="V43" s="35">
        <v>0.47029999999999988</v>
      </c>
      <c r="W43" s="35">
        <v>96.524009545055847</v>
      </c>
      <c r="X43" s="35">
        <v>-6.903719253556984</v>
      </c>
      <c r="AF43" s="35">
        <v>0.75349999999999995</v>
      </c>
      <c r="AG43" s="35">
        <v>109.04164386701019</v>
      </c>
      <c r="AH43" s="35">
        <v>109.04164386701019</v>
      </c>
      <c r="AI43" s="35"/>
      <c r="AJ43" s="35">
        <v>0</v>
      </c>
      <c r="AK43" s="35">
        <v>0.66900000000000004</v>
      </c>
      <c r="AL43" s="35">
        <v>108.9501927620186</v>
      </c>
      <c r="AM43" s="35">
        <v>0.66900000000000848</v>
      </c>
    </row>
    <row r="44" spans="1:39" x14ac:dyDescent="0.25">
      <c r="A44" s="35" t="s">
        <v>295</v>
      </c>
      <c r="B44" s="35" t="s">
        <v>296</v>
      </c>
      <c r="C44" s="35">
        <v>-0.1331</v>
      </c>
      <c r="D44" s="35">
        <v>111.7548513730253</v>
      </c>
      <c r="E44" s="35">
        <v>112.3630229996017</v>
      </c>
      <c r="F44" s="35">
        <v>18291.349999999999</v>
      </c>
      <c r="G44" s="36">
        <v>-0.6472</v>
      </c>
      <c r="H44" s="35">
        <v>111.1795539612615</v>
      </c>
      <c r="I44" s="36">
        <v>-1.053254893599997</v>
      </c>
      <c r="Q44" s="35">
        <v>0.1444013532469676</v>
      </c>
      <c r="R44" s="35">
        <v>97.32908140491331</v>
      </c>
      <c r="S44" s="35">
        <v>103.6819180864471</v>
      </c>
      <c r="T44" s="35">
        <v>-6.3528366815337591</v>
      </c>
      <c r="U44" s="35">
        <v>-6.1272368401180062E-2</v>
      </c>
      <c r="V44" s="35">
        <v>-0.59870000000000001</v>
      </c>
      <c r="W44" s="35">
        <v>96.606870566115091</v>
      </c>
      <c r="X44" s="35">
        <v>-6.8238007657545507</v>
      </c>
      <c r="AF44" s="35">
        <v>1.1299999999999999E-2</v>
      </c>
      <c r="AG44" s="35">
        <v>109.0539655727671</v>
      </c>
      <c r="AH44" s="35">
        <v>109.0539655727671</v>
      </c>
      <c r="AI44" s="35"/>
      <c r="AJ44" s="35">
        <v>0</v>
      </c>
      <c r="AK44" s="35">
        <v>1.1299999999999999E-2</v>
      </c>
      <c r="AL44" s="35">
        <v>109.0539655727671</v>
      </c>
      <c r="AM44" s="35">
        <v>1.1300000000002971E-2</v>
      </c>
    </row>
    <row r="45" spans="1:39" x14ac:dyDescent="0.25">
      <c r="A45" s="35" t="s">
        <v>296</v>
      </c>
      <c r="B45" s="35" t="s">
        <v>297</v>
      </c>
      <c r="C45" s="35">
        <v>-1.4721</v>
      </c>
      <c r="D45" s="35">
        <v>110.109708205963</v>
      </c>
      <c r="E45" s="35">
        <v>112.3630229996017</v>
      </c>
      <c r="F45" s="35">
        <v>18273.099999999999</v>
      </c>
      <c r="G45" s="36">
        <v>-1.5564</v>
      </c>
      <c r="H45" s="35">
        <v>110.0154988662555</v>
      </c>
      <c r="I45" s="36">
        <v>-2.089231911600042</v>
      </c>
      <c r="Q45" s="35">
        <v>1.2321200379240691</v>
      </c>
      <c r="R45" s="35">
        <v>98.528292519630682</v>
      </c>
      <c r="S45" s="35">
        <v>103.6819180864471</v>
      </c>
      <c r="T45" s="35">
        <v>-5.1536255668163884</v>
      </c>
      <c r="U45" s="35">
        <v>-4.9706117150720923E-2</v>
      </c>
      <c r="V45" s="35">
        <v>-1.2999999999999991E-3</v>
      </c>
      <c r="W45" s="35">
        <v>97.327816126855041</v>
      </c>
      <c r="X45" s="35">
        <v>-6.1284571860390944</v>
      </c>
      <c r="AF45" s="35">
        <v>-0.24</v>
      </c>
      <c r="AG45" s="35">
        <v>108.79223605539249</v>
      </c>
      <c r="AH45" s="35">
        <v>109.0539655727671</v>
      </c>
      <c r="AI45" s="35">
        <v>-0.26172951737463279</v>
      </c>
      <c r="AJ45" s="35">
        <v>-2.3999999999999239E-3</v>
      </c>
      <c r="AK45" s="35">
        <v>-0.24</v>
      </c>
      <c r="AL45" s="35">
        <v>108.79223605539249</v>
      </c>
      <c r="AM45" s="35">
        <v>-0.2399999999999958</v>
      </c>
    </row>
    <row r="46" spans="1:39" x14ac:dyDescent="0.25">
      <c r="A46" s="35" t="s">
        <v>297</v>
      </c>
      <c r="B46" s="35" t="s">
        <v>298</v>
      </c>
      <c r="C46" s="35">
        <v>-2.7353999999999998</v>
      </c>
      <c r="D46" s="35">
        <v>107.09776724769711</v>
      </c>
      <c r="E46" s="35">
        <v>112.3630229996017</v>
      </c>
      <c r="F46" s="35">
        <v>18010.2</v>
      </c>
      <c r="G46" s="36">
        <v>-2.9897999999999998</v>
      </c>
      <c r="H46" s="35">
        <v>106.8176481500211</v>
      </c>
      <c r="I46" s="36">
        <v>-4.935231094307813</v>
      </c>
      <c r="Q46" s="35">
        <v>2.795495774153367</v>
      </c>
      <c r="R46" s="35">
        <v>101.2826467733624</v>
      </c>
      <c r="S46" s="35">
        <v>103.6819180864471</v>
      </c>
      <c r="T46" s="35">
        <v>-2.3992713130846401</v>
      </c>
      <c r="U46" s="35">
        <v>-2.314069181363133E-2</v>
      </c>
      <c r="V46" s="35">
        <v>-0.22950000000000001</v>
      </c>
      <c r="W46" s="35">
        <v>98.302170088298126</v>
      </c>
      <c r="X46" s="35">
        <v>-5.1887041611860081</v>
      </c>
      <c r="AF46" s="35">
        <v>6.0100000000000001E-2</v>
      </c>
      <c r="AG46" s="35">
        <v>108.85762018926179</v>
      </c>
      <c r="AH46" s="35">
        <v>109.0539655727671</v>
      </c>
      <c r="AI46" s="35">
        <v>-0.19634538350533151</v>
      </c>
      <c r="AJ46" s="35">
        <v>-1.8004423999998279E-3</v>
      </c>
      <c r="AK46" s="35">
        <v>6.0100000000000001E-2</v>
      </c>
      <c r="AL46" s="35">
        <v>108.85762018926179</v>
      </c>
      <c r="AM46" s="35">
        <v>-0.180044239999988</v>
      </c>
    </row>
    <row r="47" spans="1:39" x14ac:dyDescent="0.25">
      <c r="A47" s="35" t="s">
        <v>298</v>
      </c>
      <c r="B47" s="35" t="s">
        <v>299</v>
      </c>
      <c r="C47" s="35">
        <v>2.1734</v>
      </c>
      <c r="D47" s="35">
        <v>109.4254301210585</v>
      </c>
      <c r="E47" s="35">
        <v>112.3630229996017</v>
      </c>
      <c r="F47" s="35">
        <v>17520.55</v>
      </c>
      <c r="G47" s="36">
        <v>-0.6966</v>
      </c>
      <c r="H47" s="35">
        <v>106.35172420104961</v>
      </c>
      <c r="I47" s="36">
        <v>-5.349890593966478</v>
      </c>
      <c r="Q47" s="35">
        <v>-2.8803320227922669</v>
      </c>
      <c r="R47" s="35">
        <v>98.365370264817699</v>
      </c>
      <c r="S47" s="35">
        <v>103.6819180864471</v>
      </c>
      <c r="T47" s="35">
        <v>-5.3165478216293707</v>
      </c>
      <c r="U47" s="35">
        <v>-5.127748328495025E-2</v>
      </c>
      <c r="V47" s="35">
        <v>-2.9990999999999999</v>
      </c>
      <c r="W47" s="35">
        <v>98.245078913982525</v>
      </c>
      <c r="X47" s="35">
        <v>-5.2437679325448627</v>
      </c>
      <c r="AF47" s="35">
        <v>-0.70689999999999997</v>
      </c>
      <c r="AG47" s="35">
        <v>108.0881056721439</v>
      </c>
      <c r="AH47" s="35">
        <v>109.0539655727671</v>
      </c>
      <c r="AI47" s="35">
        <v>-0.96585990062321514</v>
      </c>
      <c r="AJ47" s="35">
        <v>-8.856715072674156E-3</v>
      </c>
      <c r="AK47" s="35">
        <v>-0.70689999999999997</v>
      </c>
      <c r="AL47" s="35">
        <v>108.0881056721439</v>
      </c>
      <c r="AM47" s="35">
        <v>-0.88567150726741595</v>
      </c>
    </row>
    <row r="48" spans="1:39" x14ac:dyDescent="0.25">
      <c r="A48" s="35" t="s">
        <v>299</v>
      </c>
      <c r="B48" s="35" t="s">
        <v>300</v>
      </c>
      <c r="C48" s="35">
        <v>1.1313</v>
      </c>
      <c r="D48" s="35">
        <v>110.663360012018</v>
      </c>
      <c r="E48" s="35">
        <v>112.3630229996017</v>
      </c>
      <c r="F48" s="35">
        <v>17910.099999999999</v>
      </c>
      <c r="G48" s="36">
        <v>0.33639999999999998</v>
      </c>
      <c r="H48" s="35">
        <v>109.7935372679857</v>
      </c>
      <c r="I48" s="36">
        <v>-2.2867716291551381</v>
      </c>
      <c r="Q48" s="35">
        <v>-0.72915318894959369</v>
      </c>
      <c r="R48" s="35">
        <v>97.648136030709708</v>
      </c>
      <c r="S48" s="35">
        <v>103.6819180864471</v>
      </c>
      <c r="T48" s="35">
        <v>-6.0337820557373618</v>
      </c>
      <c r="U48" s="35">
        <v>-5.8195123769860857E-2</v>
      </c>
      <c r="V48" s="35">
        <v>-0.85980000000000001</v>
      </c>
      <c r="W48" s="35">
        <v>97.519624811280792</v>
      </c>
      <c r="X48" s="35">
        <v>-5.9434599483666251</v>
      </c>
      <c r="AF48" s="35">
        <v>0.40210000000000001</v>
      </c>
      <c r="AG48" s="35">
        <v>108.5227279450516</v>
      </c>
      <c r="AH48" s="35">
        <v>109.0539655727671</v>
      </c>
      <c r="AI48" s="35">
        <v>-0.53123762771551242</v>
      </c>
      <c r="AJ48" s="35">
        <v>-4.8713279239812682E-3</v>
      </c>
      <c r="AK48" s="35">
        <v>0.40210000000000001</v>
      </c>
      <c r="AL48" s="35">
        <v>108.5227279450516</v>
      </c>
      <c r="AM48" s="35">
        <v>-0.48713279239812612</v>
      </c>
    </row>
    <row r="49" spans="1:39" x14ac:dyDescent="0.25">
      <c r="A49" s="35" t="s">
        <v>300</v>
      </c>
      <c r="B49" s="35" t="s">
        <v>301</v>
      </c>
      <c r="C49" s="35">
        <v>0.17949999999999999</v>
      </c>
      <c r="D49" s="35">
        <v>110.86200074323961</v>
      </c>
      <c r="E49" s="35">
        <v>112.3630229996017</v>
      </c>
      <c r="F49" s="35">
        <v>18115.7</v>
      </c>
      <c r="G49" s="36">
        <v>-0.1497</v>
      </c>
      <c r="H49" s="35">
        <v>110.49769696208</v>
      </c>
      <c r="I49" s="36">
        <v>-1.660088868851695</v>
      </c>
      <c r="Q49" s="35">
        <v>-0.6112919436023212</v>
      </c>
      <c r="R49" s="35">
        <v>97.051220842076148</v>
      </c>
      <c r="S49" s="35">
        <v>103.6819180864471</v>
      </c>
      <c r="T49" s="35">
        <v>-6.6306972443709213</v>
      </c>
      <c r="U49" s="35">
        <v>-6.3952301102709469E-2</v>
      </c>
      <c r="V49" s="35">
        <v>-0.78170000000000006</v>
      </c>
      <c r="W49" s="35">
        <v>96.884820551357649</v>
      </c>
      <c r="X49" s="35">
        <v>-6.5557212487351908</v>
      </c>
      <c r="AF49" s="35">
        <v>-0.43180000000000002</v>
      </c>
      <c r="AG49" s="35">
        <v>108.0541268057849</v>
      </c>
      <c r="AH49" s="35">
        <v>109.0539655727671</v>
      </c>
      <c r="AI49" s="35">
        <v>-0.9998387669822506</v>
      </c>
      <c r="AJ49" s="35">
        <v>-9.1682935300055664E-3</v>
      </c>
      <c r="AK49" s="35">
        <v>-0.43180000000000002</v>
      </c>
      <c r="AL49" s="35">
        <v>108.0541268057849</v>
      </c>
      <c r="AM49" s="35">
        <v>-0.9168293530005589</v>
      </c>
    </row>
    <row r="50" spans="1:39" x14ac:dyDescent="0.25">
      <c r="A50" s="35" t="s">
        <v>301</v>
      </c>
      <c r="B50" s="35" t="s">
        <v>302</v>
      </c>
      <c r="C50" s="35">
        <v>-1.9791000000000001</v>
      </c>
      <c r="D50" s="35">
        <v>108.6679308865301</v>
      </c>
      <c r="E50" s="35">
        <v>112.3630229996017</v>
      </c>
      <c r="F50" s="35">
        <v>18169.349999999999</v>
      </c>
      <c r="G50" s="36">
        <v>-2.1602999999999999</v>
      </c>
      <c r="H50" s="35">
        <v>108.46704894118341</v>
      </c>
      <c r="I50" s="36">
        <v>-3.4673097558367671</v>
      </c>
      <c r="Q50" s="35">
        <v>0.56346916696718352</v>
      </c>
      <c r="R50" s="35">
        <v>97.59807454768648</v>
      </c>
      <c r="S50" s="35">
        <v>103.6819180864471</v>
      </c>
      <c r="T50" s="35">
        <v>-6.0838435387605898</v>
      </c>
      <c r="U50" s="35">
        <v>-5.8677960931317379E-2</v>
      </c>
      <c r="V50" s="35">
        <v>-0.13320000000000001</v>
      </c>
      <c r="W50" s="35">
        <v>96.921948615914502</v>
      </c>
      <c r="X50" s="35">
        <v>-6.5199116637640664</v>
      </c>
      <c r="AF50" s="35">
        <v>-1.4156</v>
      </c>
      <c r="AG50" s="35">
        <v>106.5245125867222</v>
      </c>
      <c r="AH50" s="35">
        <v>109.0539655727671</v>
      </c>
      <c r="AI50" s="35">
        <v>-2.5294529860449302</v>
      </c>
      <c r="AJ50" s="35">
        <v>-2.319450716679471E-2</v>
      </c>
      <c r="AK50" s="35">
        <v>-1.5337000000000001</v>
      </c>
      <c r="AL50" s="35">
        <v>106.3969006629646</v>
      </c>
      <c r="AM50" s="35">
        <v>-2.436467941213583</v>
      </c>
    </row>
    <row r="51" spans="1:39" x14ac:dyDescent="0.25">
      <c r="A51" s="35" t="s">
        <v>302</v>
      </c>
      <c r="B51" s="35" t="s">
        <v>303</v>
      </c>
      <c r="C51" s="35">
        <v>0.89349999999999996</v>
      </c>
      <c r="D51" s="35">
        <v>109.6388788490013</v>
      </c>
      <c r="E51" s="35">
        <v>112.3630229996017</v>
      </c>
      <c r="F51" s="35">
        <v>17824.900000000001</v>
      </c>
      <c r="G51" s="36">
        <v>-1.4983</v>
      </c>
      <c r="H51" s="35">
        <v>107.0397592780573</v>
      </c>
      <c r="I51" s="36">
        <v>-4.7375582993733678</v>
      </c>
      <c r="Q51" s="35">
        <v>-0.33372627803881849</v>
      </c>
      <c r="R51" s="35">
        <v>97.272364126060936</v>
      </c>
      <c r="S51" s="35">
        <v>103.6819180864471</v>
      </c>
      <c r="T51" s="35">
        <v>-6.409553960386134</v>
      </c>
      <c r="U51" s="35">
        <v>-6.1819399936660392E-2</v>
      </c>
      <c r="V51" s="35">
        <v>-0.40639999999999998</v>
      </c>
      <c r="W51" s="35">
        <v>97.201435972724681</v>
      </c>
      <c r="X51" s="35">
        <v>-6.2503493698092498</v>
      </c>
      <c r="AF51" s="35">
        <v>0.55979999999999996</v>
      </c>
      <c r="AG51" s="35">
        <v>107.1208368081827</v>
      </c>
      <c r="AH51" s="35">
        <v>109.0539655727671</v>
      </c>
      <c r="AI51" s="35">
        <v>-1.933128764584467</v>
      </c>
      <c r="AJ51" s="35">
        <v>-1.7726350017914491E-2</v>
      </c>
      <c r="AK51" s="35">
        <v>-0.72409999999999997</v>
      </c>
      <c r="AL51" s="35">
        <v>105.7531685910817</v>
      </c>
      <c r="AM51" s="35">
        <v>-3.0267555740400081</v>
      </c>
    </row>
    <row r="52" spans="1:39" x14ac:dyDescent="0.25">
      <c r="A52" s="35" t="s">
        <v>303</v>
      </c>
      <c r="B52" s="35" t="s">
        <v>304</v>
      </c>
      <c r="C52" s="35">
        <v>-1.3395999999999999</v>
      </c>
      <c r="D52" s="35">
        <v>108.1701564279401</v>
      </c>
      <c r="E52" s="35">
        <v>112.3630229996017</v>
      </c>
      <c r="F52" s="35">
        <v>17990.099999999999</v>
      </c>
      <c r="G52" s="36">
        <v>-1.4612000000000001</v>
      </c>
      <c r="H52" s="35">
        <v>108.0368355512597</v>
      </c>
      <c r="I52" s="36">
        <v>-3.8501878401378971</v>
      </c>
      <c r="Q52" s="35">
        <v>1.0522930256723211</v>
      </c>
      <c r="R52" s="35">
        <v>98.295954429666054</v>
      </c>
      <c r="S52" s="35">
        <v>103.6819180864471</v>
      </c>
      <c r="T52" s="35">
        <v>-5.3859636567810156</v>
      </c>
      <c r="U52" s="35">
        <v>-5.1946990913983193E-2</v>
      </c>
      <c r="V52" s="35">
        <v>-8.3299999999999999E-2</v>
      </c>
      <c r="W52" s="35">
        <v>97.19133624674393</v>
      </c>
      <c r="X52" s="35">
        <v>-6.2600904376513107</v>
      </c>
      <c r="AF52" s="35">
        <v>-0.2873</v>
      </c>
      <c r="AG52" s="35">
        <v>106.8130786440327</v>
      </c>
      <c r="AH52" s="35">
        <v>109.0539655727671</v>
      </c>
      <c r="AI52" s="35">
        <v>-2.2408869287343829</v>
      </c>
      <c r="AJ52" s="35">
        <v>-2.0548422214313088E-2</v>
      </c>
      <c r="AK52" s="35">
        <v>-0.36349999999999999</v>
      </c>
      <c r="AL52" s="35">
        <v>106.7314525663849</v>
      </c>
      <c r="AM52" s="35">
        <v>-2.129691473559947</v>
      </c>
    </row>
    <row r="53" spans="1:39" x14ac:dyDescent="0.25">
      <c r="A53" s="35" t="s">
        <v>304</v>
      </c>
      <c r="B53" s="35" t="s">
        <v>305</v>
      </c>
      <c r="C53" s="35">
        <v>-1.45</v>
      </c>
      <c r="D53" s="35">
        <v>106.6016891597349</v>
      </c>
      <c r="E53" s="35">
        <v>112.3630229996017</v>
      </c>
      <c r="F53" s="35">
        <v>17764.099999999999</v>
      </c>
      <c r="G53" s="36">
        <v>-1.7406999999999999</v>
      </c>
      <c r="H53" s="35">
        <v>106.2872385149989</v>
      </c>
      <c r="I53" s="36">
        <v>-5.4072810809160146</v>
      </c>
      <c r="Q53" s="35">
        <v>0.85042352105770369</v>
      </c>
      <c r="R53" s="35">
        <v>99.131886346384107</v>
      </c>
      <c r="S53" s="35">
        <v>103.6819180864471</v>
      </c>
      <c r="T53" s="35">
        <v>-4.5500317400629626</v>
      </c>
      <c r="U53" s="35">
        <v>-4.388452513262027E-2</v>
      </c>
      <c r="V53" s="35">
        <v>-0.60319999999999996</v>
      </c>
      <c r="W53" s="35">
        <v>97.703033232546304</v>
      </c>
      <c r="X53" s="35">
        <v>-5.7665646664790131</v>
      </c>
      <c r="AF53" s="35">
        <v>-0.59960000000000002</v>
      </c>
      <c r="AG53" s="35">
        <v>106.1726274244831</v>
      </c>
      <c r="AH53" s="35">
        <v>109.0539655727671</v>
      </c>
      <c r="AI53" s="35">
        <v>-2.881338148284001</v>
      </c>
      <c r="AJ53" s="35">
        <v>-2.6421213874716049E-2</v>
      </c>
      <c r="AK53" s="35">
        <v>-0.59960000000000002</v>
      </c>
      <c r="AL53" s="35">
        <v>106.1726274244831</v>
      </c>
      <c r="AM53" s="35">
        <v>-2.6421213874716081</v>
      </c>
    </row>
    <row r="54" spans="1:39" x14ac:dyDescent="0.25">
      <c r="A54" s="35" t="s">
        <v>305</v>
      </c>
      <c r="B54" s="35" t="s">
        <v>249</v>
      </c>
      <c r="C54" s="35">
        <v>-4.1795</v>
      </c>
      <c r="D54" s="35">
        <v>102.14627156130381</v>
      </c>
      <c r="E54" s="35">
        <v>112.3630229996017</v>
      </c>
      <c r="F54" s="35">
        <v>17512.45</v>
      </c>
      <c r="G54" s="36">
        <v>-4.8962000000000003</v>
      </c>
      <c r="H54" s="35">
        <v>101.38225725509599</v>
      </c>
      <c r="I54" s="36">
        <v>-9.7725794940072159</v>
      </c>
      <c r="Q54" s="35">
        <v>4.2406987198698456</v>
      </c>
      <c r="R54" s="35">
        <v>103.3357709816581</v>
      </c>
      <c r="S54" s="35">
        <v>103.6819180864471</v>
      </c>
      <c r="T54" s="35">
        <v>-0.34614710478901151</v>
      </c>
      <c r="U54" s="35">
        <v>-3.3385484294417059E-3</v>
      </c>
      <c r="V54" s="35">
        <v>0.28129999999999999</v>
      </c>
      <c r="W54" s="35">
        <v>99.41074434267648</v>
      </c>
      <c r="X54" s="35">
        <v>-4.1194972301818336</v>
      </c>
      <c r="AF54" s="35">
        <v>6.1199999999999997E-2</v>
      </c>
      <c r="AG54" s="35">
        <v>106.23760507246691</v>
      </c>
      <c r="AH54" s="35">
        <v>109.0539655727671</v>
      </c>
      <c r="AI54" s="35">
        <v>-2.8163605003002061</v>
      </c>
      <c r="AJ54" s="35">
        <v>-2.5825383657607271E-2</v>
      </c>
      <c r="AK54" s="35">
        <v>-0.34379999999999999</v>
      </c>
      <c r="AL54" s="35">
        <v>105.8076059313977</v>
      </c>
      <c r="AM54" s="35">
        <v>-2.9768377741414831</v>
      </c>
    </row>
    <row r="55" spans="1:39" x14ac:dyDescent="0.25">
      <c r="A55" s="35" t="s">
        <v>251</v>
      </c>
      <c r="B55" s="35" t="s">
        <v>306</v>
      </c>
      <c r="C55" s="35">
        <v>1.6161000000000001</v>
      </c>
      <c r="D55" s="35">
        <v>101.6161</v>
      </c>
      <c r="E55" s="35">
        <v>101.6161</v>
      </c>
      <c r="F55" s="35">
        <v>29634.25</v>
      </c>
      <c r="G55" s="36">
        <v>-2.7199999999999998E-2</v>
      </c>
      <c r="H55" s="35">
        <v>99.972799999999992</v>
      </c>
      <c r="I55" s="36">
        <v>-2.7200000000005001E-2</v>
      </c>
      <c r="Q55" s="35">
        <v>-0.92025701921816028</v>
      </c>
      <c r="R55" s="35">
        <v>99.079742980781845</v>
      </c>
      <c r="S55" s="35">
        <v>100</v>
      </c>
      <c r="T55" s="35">
        <v>-0.92025701921815539</v>
      </c>
      <c r="U55" s="35">
        <v>-9.2025701921815539E-3</v>
      </c>
      <c r="V55" s="35">
        <v>-1.0306999999999999</v>
      </c>
      <c r="W55" s="35">
        <v>98.969300000000004</v>
      </c>
      <c r="X55" s="35">
        <v>-1.030699999999996</v>
      </c>
      <c r="AF55" s="35">
        <v>0.69579999999999997</v>
      </c>
      <c r="AG55" s="35">
        <v>100.69580000000001</v>
      </c>
      <c r="AH55" s="35">
        <v>100.69580000000001</v>
      </c>
      <c r="AI55" s="35"/>
      <c r="AJ55" s="35">
        <v>0</v>
      </c>
      <c r="AK55" s="35">
        <v>5.9400000000000001E-2</v>
      </c>
      <c r="AL55" s="35">
        <v>100.0594</v>
      </c>
      <c r="AM55" s="35">
        <v>5.9399999999998343E-2</v>
      </c>
    </row>
    <row r="56" spans="1:39" x14ac:dyDescent="0.25">
      <c r="A56" s="35" t="s">
        <v>306</v>
      </c>
      <c r="B56" s="35" t="s">
        <v>307</v>
      </c>
      <c r="C56" s="35">
        <v>-0.39960000000000001</v>
      </c>
      <c r="D56" s="35">
        <v>101.2100420644</v>
      </c>
      <c r="E56" s="35">
        <v>101.6161</v>
      </c>
      <c r="F56" s="35">
        <v>30128</v>
      </c>
      <c r="G56" s="36">
        <v>-1.258</v>
      </c>
      <c r="H56" s="35">
        <v>100.337769462</v>
      </c>
      <c r="I56" s="36">
        <v>-1.258000000000004</v>
      </c>
      <c r="Q56" s="35">
        <v>1.960778659807785E-2</v>
      </c>
      <c r="R56" s="35">
        <v>99.099170325347444</v>
      </c>
      <c r="S56" s="35">
        <v>100</v>
      </c>
      <c r="T56" s="35">
        <v>-0.90082967465255592</v>
      </c>
      <c r="U56" s="35">
        <v>-9.0082967465255591E-3</v>
      </c>
      <c r="V56" s="35">
        <v>-0.49220000000000003</v>
      </c>
      <c r="W56" s="35">
        <v>98.592072485830442</v>
      </c>
      <c r="X56" s="35">
        <v>-1.40792751416956</v>
      </c>
      <c r="AF56" s="35">
        <v>-0.38</v>
      </c>
      <c r="AG56" s="35">
        <v>100.31315596</v>
      </c>
      <c r="AH56" s="35">
        <v>100.69580000000001</v>
      </c>
      <c r="AI56" s="35">
        <v>-0.38264404000000241</v>
      </c>
      <c r="AJ56" s="35">
        <v>-3.8000000000000238E-3</v>
      </c>
      <c r="AK56" s="35">
        <v>-0.38</v>
      </c>
      <c r="AL56" s="35">
        <v>100.31315596</v>
      </c>
      <c r="AM56" s="35">
        <v>-0.38000000000000261</v>
      </c>
    </row>
    <row r="57" spans="1:39" x14ac:dyDescent="0.25">
      <c r="A57" s="35" t="s">
        <v>307</v>
      </c>
      <c r="B57" s="35" t="s">
        <v>308</v>
      </c>
      <c r="C57" s="35">
        <v>0.88690000000000002</v>
      </c>
      <c r="D57" s="35">
        <v>102.10767392746919</v>
      </c>
      <c r="E57" s="35">
        <v>102.10767392746919</v>
      </c>
      <c r="F57" s="35">
        <v>30017.65</v>
      </c>
      <c r="G57" s="36">
        <v>-1.2114</v>
      </c>
      <c r="H57" s="35">
        <v>99.983983614831857</v>
      </c>
      <c r="I57" s="36">
        <v>-1.6061592456000029</v>
      </c>
      <c r="Q57" s="35">
        <v>-0.45260709161124091</v>
      </c>
      <c r="R57" s="35">
        <v>98.650640452727018</v>
      </c>
      <c r="S57" s="35">
        <v>100</v>
      </c>
      <c r="T57" s="35">
        <v>-1.349359547272982</v>
      </c>
      <c r="U57" s="35">
        <v>-1.3493595472729819E-2</v>
      </c>
      <c r="V57" s="35">
        <v>-0.89629999999999987</v>
      </c>
      <c r="W57" s="35">
        <v>98.210944461721354</v>
      </c>
      <c r="X57" s="35">
        <v>-1.7890555382786499</v>
      </c>
      <c r="AF57" s="35">
        <v>0.43430000000000002</v>
      </c>
      <c r="AG57" s="35">
        <v>100.7488159963343</v>
      </c>
      <c r="AH57" s="35">
        <v>100.7488159963343</v>
      </c>
      <c r="AI57" s="35"/>
      <c r="AJ57" s="35">
        <v>0</v>
      </c>
      <c r="AK57" s="35">
        <v>-9.2200000000000004E-2</v>
      </c>
      <c r="AL57" s="35">
        <v>100.2206672302049</v>
      </c>
      <c r="AM57" s="35">
        <v>-0.4718496399999994</v>
      </c>
    </row>
    <row r="58" spans="1:39" x14ac:dyDescent="0.25">
      <c r="A58" s="35" t="s">
        <v>308</v>
      </c>
      <c r="B58" s="35" t="s">
        <v>309</v>
      </c>
      <c r="C58" s="35">
        <v>1.5744</v>
      </c>
      <c r="D58" s="35">
        <v>103.7152571457832</v>
      </c>
      <c r="E58" s="35">
        <v>103.7152571457832</v>
      </c>
      <c r="F58" s="35">
        <v>30318.9</v>
      </c>
      <c r="G58" s="36">
        <v>0.64419999999999999</v>
      </c>
      <c r="H58" s="35">
        <v>102.7654515629099</v>
      </c>
      <c r="I58" s="36">
        <v>0.64420000000000588</v>
      </c>
      <c r="Q58" s="35">
        <v>-0.64814154749853858</v>
      </c>
      <c r="R58" s="35">
        <v>98.011244665079488</v>
      </c>
      <c r="S58" s="35">
        <v>100</v>
      </c>
      <c r="T58" s="35">
        <v>-1.988755334920512</v>
      </c>
      <c r="U58" s="35">
        <v>-1.9887553349205118E-2</v>
      </c>
      <c r="V58" s="35">
        <v>-1.0938000000000001</v>
      </c>
      <c r="W58" s="35">
        <v>97.571599747455096</v>
      </c>
      <c r="X58" s="35">
        <v>-2.428400252544904</v>
      </c>
      <c r="AF58" s="35">
        <v>0.92630000000000001</v>
      </c>
      <c r="AG58" s="35">
        <v>101.6820522789083</v>
      </c>
      <c r="AH58" s="35">
        <v>101.6820522789083</v>
      </c>
      <c r="AI58" s="35"/>
      <c r="AJ58" s="35">
        <v>0</v>
      </c>
      <c r="AK58" s="35">
        <v>0.49</v>
      </c>
      <c r="AL58" s="35">
        <v>101.24248519471629</v>
      </c>
      <c r="AM58" s="35">
        <v>0.48999999999999039</v>
      </c>
    </row>
    <row r="59" spans="1:39" x14ac:dyDescent="0.25">
      <c r="A59" s="35" t="s">
        <v>309</v>
      </c>
      <c r="B59" s="35" t="s">
        <v>310</v>
      </c>
      <c r="C59" s="35">
        <v>1.8482000000000001</v>
      </c>
      <c r="D59" s="35">
        <v>105.6321225283516</v>
      </c>
      <c r="E59" s="35">
        <v>105.6321225283516</v>
      </c>
      <c r="F59" s="35">
        <v>30806.35</v>
      </c>
      <c r="G59" s="36">
        <v>0.32100000000000001</v>
      </c>
      <c r="H59" s="35">
        <v>104.0481831212212</v>
      </c>
      <c r="I59" s="36">
        <v>0.32099999999999351</v>
      </c>
      <c r="Q59" s="35">
        <v>-1.5877365713365521</v>
      </c>
      <c r="R59" s="35">
        <v>96.45508428950987</v>
      </c>
      <c r="S59" s="35">
        <v>100</v>
      </c>
      <c r="T59" s="35">
        <v>-3.5449157104901299</v>
      </c>
      <c r="U59" s="35">
        <v>-3.5449157104901298E-2</v>
      </c>
      <c r="V59" s="35">
        <v>-1.6976</v>
      </c>
      <c r="W59" s="35">
        <v>96.3474057756451</v>
      </c>
      <c r="X59" s="35">
        <v>-3.6525942243548992</v>
      </c>
      <c r="AF59" s="35">
        <v>0.26050000000000001</v>
      </c>
      <c r="AG59" s="35">
        <v>101.9469340250949</v>
      </c>
      <c r="AH59" s="35">
        <v>101.9469340250949</v>
      </c>
      <c r="AI59" s="35"/>
      <c r="AJ59" s="35">
        <v>0</v>
      </c>
      <c r="AK59" s="35">
        <v>-1.0200000000000001E-2</v>
      </c>
      <c r="AL59" s="35">
        <v>101.6716807095759</v>
      </c>
      <c r="AM59" s="35">
        <v>-1.020000000000465E-2</v>
      </c>
    </row>
    <row r="60" spans="1:39" x14ac:dyDescent="0.25">
      <c r="A60" s="35" t="s">
        <v>310</v>
      </c>
      <c r="B60" s="35" t="s">
        <v>311</v>
      </c>
      <c r="C60" s="35">
        <v>-1.2957000000000001</v>
      </c>
      <c r="D60" s="35">
        <v>104.26344711675181</v>
      </c>
      <c r="E60" s="35">
        <v>105.6321225283516</v>
      </c>
      <c r="F60" s="35">
        <v>31401.4</v>
      </c>
      <c r="G60" s="36">
        <v>-1.5920000000000001</v>
      </c>
      <c r="H60" s="35">
        <v>103.95045913770019</v>
      </c>
      <c r="I60" s="36">
        <v>-1.592000000000005</v>
      </c>
      <c r="Q60" s="35">
        <v>0.91477771430959787</v>
      </c>
      <c r="R60" s="35">
        <v>97.337433904908835</v>
      </c>
      <c r="S60" s="35">
        <v>100</v>
      </c>
      <c r="T60" s="35">
        <v>-2.6625660950911652</v>
      </c>
      <c r="U60" s="35">
        <v>-2.662566095091165E-2</v>
      </c>
      <c r="V60" s="35">
        <v>-0.1245</v>
      </c>
      <c r="W60" s="35">
        <v>96.334997709569421</v>
      </c>
      <c r="X60" s="35">
        <v>-3.665002290430575</v>
      </c>
      <c r="AF60" s="35">
        <v>-0.38090000000000002</v>
      </c>
      <c r="AG60" s="35">
        <v>101.5586181533933</v>
      </c>
      <c r="AH60" s="35">
        <v>101.9469340250949</v>
      </c>
      <c r="AI60" s="35">
        <v>-0.38831587170157889</v>
      </c>
      <c r="AJ60" s="35">
        <v>-3.808999999999927E-3</v>
      </c>
      <c r="AK60" s="35">
        <v>-0.45340000000000003</v>
      </c>
      <c r="AL60" s="35">
        <v>101.4847066262251</v>
      </c>
      <c r="AM60" s="35">
        <v>-0.4534000000000038</v>
      </c>
    </row>
    <row r="61" spans="1:39" x14ac:dyDescent="0.25">
      <c r="A61" s="35" t="s">
        <v>311</v>
      </c>
      <c r="B61" s="35" t="s">
        <v>312</v>
      </c>
      <c r="C61" s="35">
        <v>-2.0674000000000001</v>
      </c>
      <c r="D61" s="35">
        <v>102.10790461105999</v>
      </c>
      <c r="E61" s="35">
        <v>105.6321225283516</v>
      </c>
      <c r="F61" s="35">
        <v>31005</v>
      </c>
      <c r="G61" s="36">
        <v>-2.2685</v>
      </c>
      <c r="H61" s="35">
        <v>101.8982308189083</v>
      </c>
      <c r="I61" s="36">
        <v>-3.534807045499988</v>
      </c>
      <c r="Q61" s="35">
        <v>1.3221874656853501</v>
      </c>
      <c r="R61" s="35">
        <v>98.624417255419303</v>
      </c>
      <c r="S61" s="35">
        <v>100</v>
      </c>
      <c r="T61" s="35">
        <v>-1.375582744580697</v>
      </c>
      <c r="U61" s="35">
        <v>-1.3755827445806969E-2</v>
      </c>
      <c r="V61" s="35">
        <v>0.30890000000000001</v>
      </c>
      <c r="W61" s="35">
        <v>97.638109238241086</v>
      </c>
      <c r="X61" s="35">
        <v>-2.3618907617589109</v>
      </c>
      <c r="AF61" s="35">
        <v>-0.74519999999999997</v>
      </c>
      <c r="AG61" s="35">
        <v>100.8018033309142</v>
      </c>
      <c r="AH61" s="35">
        <v>101.9469340250949</v>
      </c>
      <c r="AI61" s="35">
        <v>-1.1451306941806649</v>
      </c>
      <c r="AJ61" s="35">
        <v>-1.123261533199992E-2</v>
      </c>
      <c r="AK61" s="35">
        <v>-0.84099999999999997</v>
      </c>
      <c r="AL61" s="35">
        <v>100.7045101747233</v>
      </c>
      <c r="AM61" s="35">
        <v>-1.218696630999994</v>
      </c>
    </row>
    <row r="62" spans="1:39" x14ac:dyDescent="0.25">
      <c r="A62" s="35" t="s">
        <v>312</v>
      </c>
      <c r="B62" s="35" t="s">
        <v>313</v>
      </c>
      <c r="C62" s="35">
        <v>1.8805000000000001</v>
      </c>
      <c r="D62" s="35">
        <v>104.02804375727101</v>
      </c>
      <c r="E62" s="35">
        <v>105.6321225283516</v>
      </c>
      <c r="F62" s="35">
        <v>30379.5</v>
      </c>
      <c r="G62" s="36">
        <v>-0.9415</v>
      </c>
      <c r="H62" s="35">
        <v>101.1465586891469</v>
      </c>
      <c r="I62" s="36">
        <v>-4.2464013141464418</v>
      </c>
      <c r="Q62" s="35">
        <v>-0.92191850526279673</v>
      </c>
      <c r="R62" s="35">
        <v>97.715180502034002</v>
      </c>
      <c r="S62" s="35">
        <v>100</v>
      </c>
      <c r="T62" s="35">
        <v>-2.2848194979659979</v>
      </c>
      <c r="U62" s="35">
        <v>-2.284819497965998E-2</v>
      </c>
      <c r="V62" s="35">
        <v>-1.2047000000000001</v>
      </c>
      <c r="W62" s="35">
        <v>97.436288900743264</v>
      </c>
      <c r="X62" s="35">
        <v>-2.563711099256738</v>
      </c>
      <c r="AF62" s="35">
        <v>0.95860000000000001</v>
      </c>
      <c r="AG62" s="35">
        <v>101.7680894176444</v>
      </c>
      <c r="AH62" s="35">
        <v>101.9469340250949</v>
      </c>
      <c r="AI62" s="35">
        <v>-0.17884460745051459</v>
      </c>
      <c r="AJ62" s="35">
        <v>-1.7542911825724041E-3</v>
      </c>
      <c r="AK62" s="35">
        <v>-0.11360000000000001</v>
      </c>
      <c r="AL62" s="35">
        <v>100.68729248233031</v>
      </c>
      <c r="AM62" s="35">
        <v>-1.23558550809828</v>
      </c>
    </row>
    <row r="63" spans="1:39" x14ac:dyDescent="0.25">
      <c r="A63" s="35" t="s">
        <v>313</v>
      </c>
      <c r="B63" s="35" t="s">
        <v>314</v>
      </c>
      <c r="C63" s="35">
        <v>-0.42909999999999998</v>
      </c>
      <c r="D63" s="35">
        <v>103.5816594215086</v>
      </c>
      <c r="E63" s="35">
        <v>105.6321225283516</v>
      </c>
      <c r="F63" s="35">
        <v>30960.9</v>
      </c>
      <c r="G63" s="36">
        <v>-2.3875000000000002</v>
      </c>
      <c r="H63" s="35">
        <v>101.5443742125662</v>
      </c>
      <c r="I63" s="36">
        <v>-3.8697966280932028</v>
      </c>
      <c r="Q63" s="35">
        <v>1.7404195978971819</v>
      </c>
      <c r="R63" s="35">
        <v>99.415834653612023</v>
      </c>
      <c r="S63" s="35">
        <v>100</v>
      </c>
      <c r="T63" s="35">
        <v>-0.58416534638797657</v>
      </c>
      <c r="U63" s="35">
        <v>-5.8416534638797658E-3</v>
      </c>
      <c r="V63" s="35">
        <v>-0.69359999999999999</v>
      </c>
      <c r="W63" s="35">
        <v>97.037428010071892</v>
      </c>
      <c r="X63" s="35">
        <v>-2.9625719899281089</v>
      </c>
      <c r="AF63" s="35">
        <v>1.3112999999999999</v>
      </c>
      <c r="AG63" s="35">
        <v>103.10257437417791</v>
      </c>
      <c r="AH63" s="35">
        <v>103.10257437417791</v>
      </c>
      <c r="AI63" s="35"/>
      <c r="AJ63" s="35">
        <v>0</v>
      </c>
      <c r="AK63" s="35">
        <v>-0.1222</v>
      </c>
      <c r="AL63" s="35">
        <v>101.643728812376</v>
      </c>
      <c r="AM63" s="35">
        <v>-0.29741474387472427</v>
      </c>
    </row>
    <row r="64" spans="1:39" x14ac:dyDescent="0.25">
      <c r="A64" s="35" t="s">
        <v>314</v>
      </c>
      <c r="B64" s="35" t="s">
        <v>315</v>
      </c>
      <c r="C64" s="35">
        <v>2.0182000000000002</v>
      </c>
      <c r="D64" s="35">
        <v>105.6721444719534</v>
      </c>
      <c r="E64" s="35">
        <v>105.6721444719534</v>
      </c>
      <c r="F64" s="35">
        <v>30853.85</v>
      </c>
      <c r="G64" s="36">
        <v>0.70630000000000004</v>
      </c>
      <c r="H64" s="35">
        <v>104.3132566820027</v>
      </c>
      <c r="I64" s="36">
        <v>-1.248546194832878</v>
      </c>
      <c r="Q64" s="35">
        <v>-3.3576119540920351</v>
      </c>
      <c r="R64" s="35">
        <v>96.07783670502198</v>
      </c>
      <c r="S64" s="35">
        <v>100</v>
      </c>
      <c r="T64" s="35">
        <v>-3.9221632949780201</v>
      </c>
      <c r="U64" s="35">
        <v>-3.9221632949780198E-2</v>
      </c>
      <c r="V64" s="35">
        <v>-3.5112000000000001</v>
      </c>
      <c r="W64" s="35">
        <v>95.9251458672544</v>
      </c>
      <c r="X64" s="35">
        <v>-4.0748541327455978</v>
      </c>
      <c r="AF64" s="35">
        <v>-1.3393999999999999</v>
      </c>
      <c r="AG64" s="35">
        <v>101.7216184930102</v>
      </c>
      <c r="AH64" s="35">
        <v>103.10257437417791</v>
      </c>
      <c r="AI64" s="35">
        <v>-1.380955881167736</v>
      </c>
      <c r="AJ64" s="35">
        <v>-1.339399999999997E-2</v>
      </c>
      <c r="AK64" s="35">
        <v>-1.3711</v>
      </c>
      <c r="AL64" s="35">
        <v>101.6889349769336</v>
      </c>
      <c r="AM64" s="35">
        <v>-1.3711000000000031</v>
      </c>
    </row>
    <row r="65" spans="1:39" x14ac:dyDescent="0.25">
      <c r="A65" s="35" t="s">
        <v>315</v>
      </c>
      <c r="B65" s="35" t="s">
        <v>316</v>
      </c>
      <c r="C65" s="35">
        <v>7.6600000000000001E-2</v>
      </c>
      <c r="D65" s="35">
        <v>105.75308933461901</v>
      </c>
      <c r="E65" s="35">
        <v>105.75308933461901</v>
      </c>
      <c r="F65" s="35">
        <v>31481.7</v>
      </c>
      <c r="G65" s="36">
        <v>-0.85670000000000002</v>
      </c>
      <c r="H65" s="35">
        <v>104.7668512102622</v>
      </c>
      <c r="I65" s="36">
        <v>-0.85669999999999913</v>
      </c>
      <c r="Q65" s="35">
        <v>1.137995303868959</v>
      </c>
      <c r="R65" s="35">
        <v>97.171197974784008</v>
      </c>
      <c r="S65" s="35">
        <v>100</v>
      </c>
      <c r="T65" s="35">
        <v>-2.828802025215992</v>
      </c>
      <c r="U65" s="35">
        <v>-2.8288020252159929E-2</v>
      </c>
      <c r="V65" s="35">
        <v>0.44090000000000001</v>
      </c>
      <c r="W65" s="35">
        <v>96.501443887054435</v>
      </c>
      <c r="X65" s="35">
        <v>-3.4985561129455611</v>
      </c>
      <c r="AF65" s="35">
        <v>1.2145999999999999</v>
      </c>
      <c r="AG65" s="35">
        <v>102.95712927122629</v>
      </c>
      <c r="AH65" s="35">
        <v>103.10257437417791</v>
      </c>
      <c r="AI65" s="35">
        <v>-0.14544510295164059</v>
      </c>
      <c r="AJ65" s="35">
        <v>-1.4106835240000309E-3</v>
      </c>
      <c r="AK65" s="35">
        <v>0.74729999999999996</v>
      </c>
      <c r="AL65" s="35">
        <v>102.4817841480085</v>
      </c>
      <c r="AM65" s="35">
        <v>-0.60210933619998519</v>
      </c>
    </row>
    <row r="66" spans="1:39" x14ac:dyDescent="0.25">
      <c r="A66" s="35" t="s">
        <v>316</v>
      </c>
      <c r="B66" s="35" t="s">
        <v>317</v>
      </c>
      <c r="C66" s="35">
        <v>1.0082</v>
      </c>
      <c r="D66" s="35">
        <v>106.8192919812906</v>
      </c>
      <c r="E66" s="35">
        <v>106.8192919812906</v>
      </c>
      <c r="F66" s="35">
        <v>31516.3</v>
      </c>
      <c r="G66" s="36">
        <v>-0.53410000000000002</v>
      </c>
      <c r="H66" s="35">
        <v>105.1882620844828</v>
      </c>
      <c r="I66" s="36">
        <v>-0.53410000000000402</v>
      </c>
      <c r="Q66" s="35">
        <v>-8.7500285017215004E-2</v>
      </c>
      <c r="R66" s="35">
        <v>97.086172899601422</v>
      </c>
      <c r="S66" s="35">
        <v>100</v>
      </c>
      <c r="T66" s="35">
        <v>-2.9138271003985778</v>
      </c>
      <c r="U66" s="35">
        <v>-2.9138271003985781E-2</v>
      </c>
      <c r="V66" s="35">
        <v>-1.0981000000000001</v>
      </c>
      <c r="W66" s="35">
        <v>96.104161049822906</v>
      </c>
      <c r="X66" s="35">
        <v>-3.895838950177088</v>
      </c>
      <c r="AF66" s="35">
        <v>0.92069999999999996</v>
      </c>
      <c r="AG66" s="35">
        <v>103.9050555604265</v>
      </c>
      <c r="AH66" s="35">
        <v>103.9050555604265</v>
      </c>
      <c r="AI66" s="35"/>
      <c r="AJ66" s="35">
        <v>0</v>
      </c>
      <c r="AK66" s="35">
        <v>-1.6000000000000001E-3</v>
      </c>
      <c r="AL66" s="35">
        <v>102.9554819571579</v>
      </c>
      <c r="AM66" s="35">
        <v>-0.1426660953063652</v>
      </c>
    </row>
    <row r="67" spans="1:39" x14ac:dyDescent="0.25">
      <c r="A67" s="35" t="s">
        <v>317</v>
      </c>
      <c r="B67" s="35" t="s">
        <v>318</v>
      </c>
      <c r="C67" s="35">
        <v>0.50129999999999997</v>
      </c>
      <c r="D67" s="35">
        <v>107.3547770919928</v>
      </c>
      <c r="E67" s="35">
        <v>107.3547770919928</v>
      </c>
      <c r="F67" s="35">
        <v>31865.55</v>
      </c>
      <c r="G67" s="36">
        <v>-4.82E-2</v>
      </c>
      <c r="H67" s="35">
        <v>106.7678050825556</v>
      </c>
      <c r="I67" s="36">
        <v>-4.8199999999998237E-2</v>
      </c>
      <c r="Q67" s="35">
        <v>-1.225573636549329</v>
      </c>
      <c r="R67" s="35">
        <v>95.896310359809206</v>
      </c>
      <c r="S67" s="35">
        <v>100</v>
      </c>
      <c r="T67" s="35">
        <v>-4.1036896401907939</v>
      </c>
      <c r="U67" s="35">
        <v>-4.1036896401907941E-2</v>
      </c>
      <c r="V67" s="35">
        <v>-1.7612000000000001</v>
      </c>
      <c r="W67" s="35">
        <v>95.376291222493649</v>
      </c>
      <c r="X67" s="35">
        <v>-4.6237087775063523</v>
      </c>
      <c r="AF67" s="35">
        <v>-0.72430000000000005</v>
      </c>
      <c r="AG67" s="35">
        <v>103.1524712430023</v>
      </c>
      <c r="AH67" s="35">
        <v>103.9050555604265</v>
      </c>
      <c r="AI67" s="35">
        <v>-0.75258431742416576</v>
      </c>
      <c r="AJ67" s="35">
        <v>-7.2429999999999699E-3</v>
      </c>
      <c r="AK67" s="35">
        <v>-0.72430000000000005</v>
      </c>
      <c r="AL67" s="35">
        <v>103.1524712430023</v>
      </c>
      <c r="AM67" s="35">
        <v>-0.72429999999999994</v>
      </c>
    </row>
    <row r="68" spans="1:39" x14ac:dyDescent="0.25">
      <c r="A68" s="35" t="s">
        <v>318</v>
      </c>
      <c r="B68" s="35" t="s">
        <v>319</v>
      </c>
      <c r="C68" s="35">
        <v>1.0660000000000001</v>
      </c>
      <c r="D68" s="35">
        <v>108.4991790157934</v>
      </c>
      <c r="E68" s="35">
        <v>108.4991790157934</v>
      </c>
      <c r="F68" s="35">
        <v>32035.9</v>
      </c>
      <c r="G68" s="36">
        <v>0.30270000000000002</v>
      </c>
      <c r="H68" s="35">
        <v>107.6797400022502</v>
      </c>
      <c r="I68" s="36">
        <v>0.30269999999998909</v>
      </c>
      <c r="Q68" s="35">
        <v>-1.2316810918868299</v>
      </c>
      <c r="R68" s="35">
        <v>94.715173637290334</v>
      </c>
      <c r="S68" s="35">
        <v>100</v>
      </c>
      <c r="T68" s="35">
        <v>-5.2848263627096657</v>
      </c>
      <c r="U68" s="35">
        <v>-5.2848263627096659E-2</v>
      </c>
      <c r="V68" s="35">
        <v>-1.3068</v>
      </c>
      <c r="W68" s="35">
        <v>94.643137376027227</v>
      </c>
      <c r="X68" s="35">
        <v>-5.356862623972769</v>
      </c>
      <c r="AF68" s="35">
        <v>-0.16569999999999999</v>
      </c>
      <c r="AG68" s="35">
        <v>102.9815475981526</v>
      </c>
      <c r="AH68" s="35">
        <v>103.9050555604265</v>
      </c>
      <c r="AI68" s="35">
        <v>-0.92350796227381693</v>
      </c>
      <c r="AJ68" s="35">
        <v>-8.887998348999936E-3</v>
      </c>
      <c r="AK68" s="35">
        <v>-0.16569999999999999</v>
      </c>
      <c r="AL68" s="35">
        <v>102.9815475981526</v>
      </c>
      <c r="AM68" s="35">
        <v>-0.88879983489998926</v>
      </c>
    </row>
    <row r="69" spans="1:39" x14ac:dyDescent="0.25">
      <c r="A69" s="35" t="s">
        <v>319</v>
      </c>
      <c r="B69" s="35" t="s">
        <v>320</v>
      </c>
      <c r="C69" s="35">
        <v>-0.34689999999999999</v>
      </c>
      <c r="D69" s="35">
        <v>108.1227953637876</v>
      </c>
      <c r="E69" s="35">
        <v>108.4991790157934</v>
      </c>
      <c r="F69" s="35">
        <v>32398.75</v>
      </c>
      <c r="G69" s="36">
        <v>-1.4676</v>
      </c>
      <c r="H69" s="35">
        <v>106.9068450645576</v>
      </c>
      <c r="I69" s="36">
        <v>-1.467600000000002</v>
      </c>
      <c r="Q69" s="35">
        <v>0.37188607668490131</v>
      </c>
      <c r="R69" s="35">
        <v>95.067406180555352</v>
      </c>
      <c r="S69" s="35">
        <v>100</v>
      </c>
      <c r="T69" s="35">
        <v>-4.9325938194446479</v>
      </c>
      <c r="U69" s="35">
        <v>-4.9325938194446479E-2</v>
      </c>
      <c r="V69" s="35">
        <v>8.8599999999999998E-2</v>
      </c>
      <c r="W69" s="35">
        <v>94.799091281132974</v>
      </c>
      <c r="X69" s="35">
        <v>-5.2009087188670264</v>
      </c>
      <c r="AF69" s="35">
        <v>2.5000000000000001E-2</v>
      </c>
      <c r="AG69" s="35">
        <v>103.0072929850522</v>
      </c>
      <c r="AH69" s="35">
        <v>103.9050555604265</v>
      </c>
      <c r="AI69" s="35">
        <v>-0.89776257537427284</v>
      </c>
      <c r="AJ69" s="35">
        <v>-8.6402203485871285E-3</v>
      </c>
      <c r="AK69" s="35">
        <v>-0.57969999999999999</v>
      </c>
      <c r="AL69" s="35">
        <v>102.3845635667261</v>
      </c>
      <c r="AM69" s="35">
        <v>-1.4633474622570919</v>
      </c>
    </row>
    <row r="70" spans="1:39" x14ac:dyDescent="0.25">
      <c r="A70" s="35" t="s">
        <v>320</v>
      </c>
      <c r="B70" s="35" t="s">
        <v>321</v>
      </c>
      <c r="C70" s="35">
        <v>-2.5009999999999999</v>
      </c>
      <c r="D70" s="35">
        <v>105.41864425173929</v>
      </c>
      <c r="E70" s="35">
        <v>108.4991790157934</v>
      </c>
      <c r="F70" s="35">
        <v>32291.75</v>
      </c>
      <c r="G70" s="36">
        <v>-3.1398999999999999</v>
      </c>
      <c r="H70" s="35">
        <v>104.7278477121601</v>
      </c>
      <c r="I70" s="36">
        <v>-3.4759076868999932</v>
      </c>
      <c r="Q70" s="35">
        <v>1.840727626188988</v>
      </c>
      <c r="R70" s="35">
        <v>96.817338189622134</v>
      </c>
      <c r="S70" s="35">
        <v>100</v>
      </c>
      <c r="T70" s="35">
        <v>-3.1826618103778661</v>
      </c>
      <c r="U70" s="35">
        <v>-3.1826618103778653E-2</v>
      </c>
      <c r="V70" s="35">
        <v>-0.29720000000000002</v>
      </c>
      <c r="W70" s="35">
        <v>94.784865849386748</v>
      </c>
      <c r="X70" s="35">
        <v>-5.2151341506132542</v>
      </c>
      <c r="AF70" s="35">
        <v>-0.6603</v>
      </c>
      <c r="AG70" s="35">
        <v>102.3271358294719</v>
      </c>
      <c r="AH70" s="35">
        <v>103.9050555604265</v>
      </c>
      <c r="AI70" s="35">
        <v>-1.577919730954576</v>
      </c>
      <c r="AJ70" s="35">
        <v>-1.5186168973625449E-2</v>
      </c>
      <c r="AK70" s="35">
        <v>-1.1194</v>
      </c>
      <c r="AL70" s="35">
        <v>101.8542293473775</v>
      </c>
      <c r="AM70" s="35">
        <v>-1.973750172200506</v>
      </c>
    </row>
    <row r="71" spans="1:39" x14ac:dyDescent="0.25">
      <c r="A71" s="35" t="s">
        <v>321</v>
      </c>
      <c r="B71" s="35" t="s">
        <v>322</v>
      </c>
      <c r="C71" s="35">
        <v>1.3957999999999999</v>
      </c>
      <c r="D71" s="35">
        <v>106.8900776882051</v>
      </c>
      <c r="E71" s="35">
        <v>108.4991790157934</v>
      </c>
      <c r="F71" s="35">
        <v>31494.9</v>
      </c>
      <c r="G71" s="36">
        <v>-1.0348999999999999</v>
      </c>
      <c r="H71" s="35">
        <v>104.3276667023781</v>
      </c>
      <c r="I71" s="36">
        <v>-3.8447409015031742</v>
      </c>
      <c r="Q71" s="35">
        <v>-1.713550683509357</v>
      </c>
      <c r="R71" s="35">
        <v>95.158324029318294</v>
      </c>
      <c r="S71" s="35">
        <v>100</v>
      </c>
      <c r="T71" s="35">
        <v>-4.8416759706817061</v>
      </c>
      <c r="U71" s="35">
        <v>-4.841675970681706E-2</v>
      </c>
      <c r="V71" s="35">
        <v>-2.4519000000000002</v>
      </c>
      <c r="W71" s="35">
        <v>94.44347387455079</v>
      </c>
      <c r="X71" s="35">
        <v>-5.5565261254492126</v>
      </c>
      <c r="AF71" s="35">
        <v>-0.31780000000000003</v>
      </c>
      <c r="AG71" s="35">
        <v>102.0019401918058</v>
      </c>
      <c r="AH71" s="35">
        <v>103.9050555604265</v>
      </c>
      <c r="AI71" s="35">
        <v>-1.903115368620647</v>
      </c>
      <c r="AJ71" s="35">
        <v>-1.831590732862735E-2</v>
      </c>
      <c r="AK71" s="35">
        <v>-0.36770000000000003</v>
      </c>
      <c r="AL71" s="35">
        <v>101.95087895102689</v>
      </c>
      <c r="AM71" s="35">
        <v>-1.880732943030949</v>
      </c>
    </row>
    <row r="72" spans="1:39" x14ac:dyDescent="0.25">
      <c r="A72" s="35" t="s">
        <v>322</v>
      </c>
      <c r="B72" s="35" t="s">
        <v>323</v>
      </c>
      <c r="C72" s="35">
        <v>-0.75770000000000004</v>
      </c>
      <c r="D72" s="35">
        <v>106.0801715695616</v>
      </c>
      <c r="E72" s="35">
        <v>108.4991790157934</v>
      </c>
      <c r="F72" s="35">
        <v>31955.5</v>
      </c>
      <c r="G72" s="36">
        <v>-0.97909999999999997</v>
      </c>
      <c r="H72" s="35">
        <v>105.8435169375599</v>
      </c>
      <c r="I72" s="36">
        <v>-2.4476333390937239</v>
      </c>
      <c r="Q72" s="35">
        <v>0.41029958605205918</v>
      </c>
      <c r="R72" s="35">
        <v>95.548758238904654</v>
      </c>
      <c r="S72" s="35">
        <v>100</v>
      </c>
      <c r="T72" s="35">
        <v>-4.4512417610953463</v>
      </c>
      <c r="U72" s="35">
        <v>-4.451241761095346E-2</v>
      </c>
      <c r="V72" s="35">
        <v>-8.8999999999999996E-2</v>
      </c>
      <c r="W72" s="35">
        <v>95.0736331209322</v>
      </c>
      <c r="X72" s="35">
        <v>-4.9263668790678006</v>
      </c>
      <c r="AF72" s="35">
        <v>-0.34739999999999999</v>
      </c>
      <c r="AG72" s="35">
        <v>101.6475854515795</v>
      </c>
      <c r="AH72" s="35">
        <v>103.9050555604265</v>
      </c>
      <c r="AI72" s="35">
        <v>-2.2574701088469742</v>
      </c>
      <c r="AJ72" s="35">
        <v>-2.1726277866567639E-2</v>
      </c>
      <c r="AK72" s="35">
        <v>-0.34739999999999999</v>
      </c>
      <c r="AL72" s="35">
        <v>101.6475854515795</v>
      </c>
      <c r="AM72" s="35">
        <v>-2.1726277866567671</v>
      </c>
    </row>
    <row r="73" spans="1:39" x14ac:dyDescent="0.25">
      <c r="A73" s="35" t="s">
        <v>323</v>
      </c>
      <c r="B73" s="35" t="s">
        <v>324</v>
      </c>
      <c r="C73" s="35">
        <v>-2.0510999999999999</v>
      </c>
      <c r="D73" s="35">
        <v>103.90436117049831</v>
      </c>
      <c r="E73" s="35">
        <v>108.4991790157934</v>
      </c>
      <c r="F73" s="35">
        <v>31718.7</v>
      </c>
      <c r="G73" s="36">
        <v>-2.2033999999999998</v>
      </c>
      <c r="H73" s="35">
        <v>103.7428010691978</v>
      </c>
      <c r="I73" s="36">
        <v>-4.3837916468503657</v>
      </c>
      <c r="Q73" s="35">
        <v>2.0360247991489051</v>
      </c>
      <c r="R73" s="35">
        <v>97.494154651927587</v>
      </c>
      <c r="S73" s="35">
        <v>100</v>
      </c>
      <c r="T73" s="35">
        <v>-2.505845348072413</v>
      </c>
      <c r="U73" s="35">
        <v>-2.5058453480724129E-2</v>
      </c>
      <c r="V73" s="35">
        <v>-8.8599999999999984E-2</v>
      </c>
      <c r="W73" s="35">
        <v>95.464102039104972</v>
      </c>
      <c r="X73" s="35">
        <v>-4.5358979608950296</v>
      </c>
      <c r="AF73" s="35">
        <v>-1.5100000000000001E-2</v>
      </c>
      <c r="AG73" s="35">
        <v>101.6322366661763</v>
      </c>
      <c r="AH73" s="35">
        <v>103.9050555604265</v>
      </c>
      <c r="AI73" s="35">
        <v>-2.272818894250165</v>
      </c>
      <c r="AJ73" s="35">
        <v>-2.1873997198609801E-2</v>
      </c>
      <c r="AK73" s="35">
        <v>-1.5100000000000001E-2</v>
      </c>
      <c r="AL73" s="35">
        <v>101.6322366661763</v>
      </c>
      <c r="AM73" s="35">
        <v>-2.1873997198609829</v>
      </c>
    </row>
    <row r="74" spans="1:39" x14ac:dyDescent="0.25">
      <c r="A74" s="35" t="s">
        <v>324</v>
      </c>
      <c r="B74" s="35" t="s">
        <v>325</v>
      </c>
      <c r="C74" s="35">
        <v>-3.1610999999999998</v>
      </c>
      <c r="D74" s="35">
        <v>100.6198404095377</v>
      </c>
      <c r="E74" s="35">
        <v>108.4991790157934</v>
      </c>
      <c r="F74" s="35">
        <v>31078.7</v>
      </c>
      <c r="G74" s="36">
        <v>-3.8597999999999999</v>
      </c>
      <c r="H74" s="35">
        <v>99.893860638039399</v>
      </c>
      <c r="I74" s="36">
        <v>-7.9312290247849804</v>
      </c>
      <c r="Q74" s="35">
        <v>2.282518677120275</v>
      </c>
      <c r="R74" s="35">
        <v>99.719476940958373</v>
      </c>
      <c r="S74" s="35">
        <v>100</v>
      </c>
      <c r="T74" s="35">
        <v>-0.28052305904162722</v>
      </c>
      <c r="U74" s="35">
        <v>-2.805230590416272E-3</v>
      </c>
      <c r="V74" s="35">
        <v>0.85909999999999997</v>
      </c>
      <c r="W74" s="35">
        <v>98.331726934542303</v>
      </c>
      <c r="X74" s="35">
        <v>-1.6682730654576929</v>
      </c>
      <c r="AF74" s="35">
        <v>-0.87860000000000005</v>
      </c>
      <c r="AG74" s="35">
        <v>100.7392958348273</v>
      </c>
      <c r="AH74" s="35">
        <v>103.9050555604265</v>
      </c>
      <c r="AI74" s="35">
        <v>-3.1657597255991869</v>
      </c>
      <c r="AJ74" s="35">
        <v>-3.04678122592228E-2</v>
      </c>
      <c r="AK74" s="35">
        <v>-1.2485999999999999</v>
      </c>
      <c r="AL74" s="35">
        <v>100.36325655916239</v>
      </c>
      <c r="AM74" s="35">
        <v>-3.4086878469587911</v>
      </c>
    </row>
    <row r="75" spans="1:39" x14ac:dyDescent="0.25">
      <c r="A75" s="35" t="s">
        <v>325</v>
      </c>
      <c r="B75" s="35" t="s">
        <v>326</v>
      </c>
      <c r="C75" s="35">
        <v>-0.18490000000000001</v>
      </c>
      <c r="D75" s="35">
        <v>100.43379432462039</v>
      </c>
      <c r="E75" s="35">
        <v>108.4991790157934</v>
      </c>
      <c r="F75" s="35">
        <v>30111.8</v>
      </c>
      <c r="G75" s="36">
        <v>-0.78810000000000002</v>
      </c>
      <c r="H75" s="35">
        <v>99.826855447270091</v>
      </c>
      <c r="I75" s="36">
        <v>-7.992985428268506</v>
      </c>
      <c r="Q75" s="35">
        <v>0.96583863707151385</v>
      </c>
      <c r="R75" s="35">
        <v>100.6826061779398</v>
      </c>
      <c r="S75" s="35">
        <v>100.6826061779398</v>
      </c>
      <c r="T75" s="35"/>
      <c r="U75" s="35">
        <v>0</v>
      </c>
      <c r="V75" s="35">
        <v>-0.8659</v>
      </c>
      <c r="W75" s="35">
        <v>98.856005990126619</v>
      </c>
      <c r="X75" s="35">
        <v>-1.1439940098733841</v>
      </c>
      <c r="AF75" s="35">
        <v>0.78090000000000004</v>
      </c>
      <c r="AG75" s="35">
        <v>101.5259689960014</v>
      </c>
      <c r="AH75" s="35">
        <v>103.9050555604265</v>
      </c>
      <c r="AI75" s="35">
        <v>-2.3790865644250232</v>
      </c>
      <c r="AJ75" s="35">
        <v>-2.2896735405155091E-2</v>
      </c>
      <c r="AK75" s="35">
        <v>0.19739999999999999</v>
      </c>
      <c r="AL75" s="35">
        <v>100.9381552048052</v>
      </c>
      <c r="AM75" s="35">
        <v>-2.8553955720622581</v>
      </c>
    </row>
    <row r="76" spans="1:39" x14ac:dyDescent="0.25">
      <c r="A76" s="35" t="s">
        <v>326</v>
      </c>
      <c r="B76" s="35" t="s">
        <v>327</v>
      </c>
      <c r="C76" s="35">
        <v>1.9694</v>
      </c>
      <c r="D76" s="35">
        <v>102.4117374700495</v>
      </c>
      <c r="E76" s="35">
        <v>108.4991790157934</v>
      </c>
      <c r="F76" s="35">
        <v>30066.15</v>
      </c>
      <c r="G76" s="36">
        <v>-0.65569999999999995</v>
      </c>
      <c r="H76" s="35">
        <v>99.775249935233887</v>
      </c>
      <c r="I76" s="36">
        <v>-8.0405484720669218</v>
      </c>
      <c r="Q76" s="35">
        <v>-1.2984470833877071</v>
      </c>
      <c r="R76" s="35">
        <v>99.375295814543577</v>
      </c>
      <c r="S76" s="35">
        <v>100.6826061779398</v>
      </c>
      <c r="T76" s="35">
        <v>-1.307310363396198</v>
      </c>
      <c r="U76" s="35">
        <v>-1.2984470833877141E-2</v>
      </c>
      <c r="V76" s="35">
        <v>-1.988</v>
      </c>
      <c r="W76" s="35">
        <v>98.681035967122327</v>
      </c>
      <c r="X76" s="35">
        <v>-1.9880000000000011</v>
      </c>
      <c r="AF76" s="35">
        <v>0.67100000000000004</v>
      </c>
      <c r="AG76" s="35">
        <v>102.2072082479646</v>
      </c>
      <c r="AH76" s="35">
        <v>103.9050555604265</v>
      </c>
      <c r="AI76" s="35">
        <v>-1.69784731246186</v>
      </c>
      <c r="AJ76" s="35">
        <v>-1.634037249972374E-2</v>
      </c>
      <c r="AK76" s="35">
        <v>0.1638</v>
      </c>
      <c r="AL76" s="35">
        <v>101.6922685332169</v>
      </c>
      <c r="AM76" s="35">
        <v>-2.1296240257748682</v>
      </c>
    </row>
    <row r="77" spans="1:39" x14ac:dyDescent="0.25">
      <c r="A77" s="35" t="s">
        <v>327</v>
      </c>
      <c r="B77" s="35" t="s">
        <v>328</v>
      </c>
      <c r="C77" s="35">
        <v>-1.3009999999999999</v>
      </c>
      <c r="D77" s="35">
        <v>101.0793607655642</v>
      </c>
      <c r="E77" s="35">
        <v>108.4991790157934</v>
      </c>
      <c r="F77" s="35">
        <v>30668.3</v>
      </c>
      <c r="G77" s="36">
        <v>-1.6811</v>
      </c>
      <c r="H77" s="35">
        <v>100.6900937514405</v>
      </c>
      <c r="I77" s="36">
        <v>-7.1973680678415146</v>
      </c>
      <c r="Q77" s="35">
        <v>1.119960688765586</v>
      </c>
      <c r="R77" s="35">
        <v>100.48826006201099</v>
      </c>
      <c r="S77" s="35">
        <v>100.6826061779398</v>
      </c>
      <c r="T77" s="35">
        <v>-0.19434611592879489</v>
      </c>
      <c r="U77" s="35">
        <v>-1.930284915204921E-3</v>
      </c>
      <c r="V77" s="35">
        <v>3.49E-2</v>
      </c>
      <c r="W77" s="35">
        <v>99.40997779278284</v>
      </c>
      <c r="X77" s="35">
        <v>-1.264000241419827</v>
      </c>
      <c r="AF77" s="35">
        <v>-0.18099999999999999</v>
      </c>
      <c r="AG77" s="35">
        <v>102.0222132010358</v>
      </c>
      <c r="AH77" s="35">
        <v>103.9050555604265</v>
      </c>
      <c r="AI77" s="35">
        <v>-1.8828423593906789</v>
      </c>
      <c r="AJ77" s="35">
        <v>-1.8120796425499269E-2</v>
      </c>
      <c r="AK77" s="35">
        <v>-0.40579999999999999</v>
      </c>
      <c r="AL77" s="35">
        <v>101.79245139689441</v>
      </c>
      <c r="AM77" s="35">
        <v>-2.0332063268119871</v>
      </c>
    </row>
    <row r="78" spans="1:39" x14ac:dyDescent="0.25">
      <c r="A78" s="35" t="s">
        <v>328</v>
      </c>
      <c r="B78" s="35" t="s">
        <v>329</v>
      </c>
      <c r="C78" s="35">
        <v>2.6446000000000001</v>
      </c>
      <c r="D78" s="35">
        <v>103.75250554037029</v>
      </c>
      <c r="E78" s="35">
        <v>108.4991790157934</v>
      </c>
      <c r="F78" s="35">
        <v>30284.65</v>
      </c>
      <c r="G78" s="36">
        <v>1.2536</v>
      </c>
      <c r="H78" s="35">
        <v>102.3464916321213</v>
      </c>
      <c r="I78" s="36">
        <v>-5.6707225248004196</v>
      </c>
      <c r="Q78" s="35">
        <v>-2.610829999970393</v>
      </c>
      <c r="R78" s="35">
        <v>97.864682421863733</v>
      </c>
      <c r="S78" s="35">
        <v>100.6826061779398</v>
      </c>
      <c r="T78" s="35">
        <v>-2.8179237560760408</v>
      </c>
      <c r="U78" s="35">
        <v>-2.798818845725775E-2</v>
      </c>
      <c r="V78" s="35">
        <v>-2.7402000000000002</v>
      </c>
      <c r="W78" s="35">
        <v>97.734680759791758</v>
      </c>
      <c r="X78" s="35">
        <v>-2.927939124795842</v>
      </c>
      <c r="AF78" s="35">
        <v>3.3799999999999997E-2</v>
      </c>
      <c r="AG78" s="35">
        <v>102.05669670909769</v>
      </c>
      <c r="AH78" s="35">
        <v>103.9050555604265</v>
      </c>
      <c r="AI78" s="35">
        <v>-1.8483588513287399</v>
      </c>
      <c r="AJ78" s="35">
        <v>-1.7788921254691201E-2</v>
      </c>
      <c r="AK78" s="35">
        <v>-5.9999999999999995E-4</v>
      </c>
      <c r="AL78" s="35">
        <v>102.02160106775661</v>
      </c>
      <c r="AM78" s="35">
        <v>-1.8126687700720681</v>
      </c>
    </row>
    <row r="79" spans="1:39" x14ac:dyDescent="0.25">
      <c r="A79" s="35" t="s">
        <v>329</v>
      </c>
      <c r="B79" s="35" t="s">
        <v>330</v>
      </c>
      <c r="C79" s="35">
        <v>-1.7985</v>
      </c>
      <c r="D79" s="35">
        <v>101.8865167282267</v>
      </c>
      <c r="E79" s="35">
        <v>108.4991790157934</v>
      </c>
      <c r="F79" s="35">
        <v>31090.6</v>
      </c>
      <c r="G79" s="36">
        <v>-2.0322</v>
      </c>
      <c r="H79" s="35">
        <v>101.6440471227789</v>
      </c>
      <c r="I79" s="36">
        <v>-6.3181417179356654</v>
      </c>
      <c r="Q79" s="35">
        <v>1.3685069727861621</v>
      </c>
      <c r="R79" s="35">
        <v>99.203967424701972</v>
      </c>
      <c r="S79" s="35">
        <v>100.6826061779398</v>
      </c>
      <c r="T79" s="35">
        <v>-1.4786387532378029</v>
      </c>
      <c r="U79" s="35">
        <v>-1.4686139039990231E-2</v>
      </c>
      <c r="V79" s="35">
        <v>-0.66949999999999998</v>
      </c>
      <c r="W79" s="35">
        <v>97.20947837304935</v>
      </c>
      <c r="X79" s="35">
        <v>-3.4495807535536489</v>
      </c>
      <c r="AF79" s="35">
        <v>-0.43</v>
      </c>
      <c r="AG79" s="35">
        <v>101.6178529132486</v>
      </c>
      <c r="AH79" s="35">
        <v>103.9050555604265</v>
      </c>
      <c r="AI79" s="35">
        <v>-2.2872026471778639</v>
      </c>
      <c r="AJ79" s="35">
        <v>-2.2012428893296059E-2</v>
      </c>
      <c r="AK79" s="35">
        <v>-0.53949999999999998</v>
      </c>
      <c r="AL79" s="35">
        <v>101.5061008303521</v>
      </c>
      <c r="AM79" s="35">
        <v>-2.308795002452213</v>
      </c>
    </row>
    <row r="80" spans="1:39" x14ac:dyDescent="0.25">
      <c r="A80" s="35" t="s">
        <v>330</v>
      </c>
      <c r="B80" s="35" t="s">
        <v>331</v>
      </c>
      <c r="C80" s="35">
        <v>0.60109999999999997</v>
      </c>
      <c r="D80" s="35">
        <v>102.49895658028009</v>
      </c>
      <c r="E80" s="35">
        <v>108.4991790157934</v>
      </c>
      <c r="F80" s="35">
        <v>30567.7</v>
      </c>
      <c r="G80" s="36">
        <v>-0.74080000000000001</v>
      </c>
      <c r="H80" s="35">
        <v>101.131741412304</v>
      </c>
      <c r="I80" s="36">
        <v>-6.7903164524562794</v>
      </c>
      <c r="Q80" s="35">
        <v>-0.75278725590350659</v>
      </c>
      <c r="R80" s="35">
        <v>98.457172600578147</v>
      </c>
      <c r="S80" s="35">
        <v>100.6826061779398</v>
      </c>
      <c r="T80" s="35">
        <v>-2.2254335773616281</v>
      </c>
      <c r="U80" s="35">
        <v>-2.2103456215948E-2</v>
      </c>
      <c r="V80" s="35">
        <v>-0.8659</v>
      </c>
      <c r="W80" s="35">
        <v>98.34496027077148</v>
      </c>
      <c r="X80" s="35">
        <v>-2.3217971762042882</v>
      </c>
      <c r="AF80" s="35">
        <v>-0.1517</v>
      </c>
      <c r="AG80" s="35">
        <v>101.4636986303792</v>
      </c>
      <c r="AH80" s="35">
        <v>103.9050555604265</v>
      </c>
      <c r="AI80" s="35">
        <v>-2.4413569300472631</v>
      </c>
      <c r="AJ80" s="35">
        <v>-2.3496036038664941E-2</v>
      </c>
      <c r="AK80" s="35">
        <v>-0.54120000000000001</v>
      </c>
      <c r="AL80" s="35">
        <v>101.0678970932821</v>
      </c>
      <c r="AM80" s="35">
        <v>-2.7305297628125502</v>
      </c>
    </row>
    <row r="81" spans="1:39" x14ac:dyDescent="0.25">
      <c r="A81" s="35" t="s">
        <v>331</v>
      </c>
      <c r="B81" s="35" t="s">
        <v>332</v>
      </c>
      <c r="C81" s="35">
        <v>-0.68130000000000002</v>
      </c>
      <c r="D81" s="35">
        <v>101.8006311890986</v>
      </c>
      <c r="E81" s="35">
        <v>108.4991790157934</v>
      </c>
      <c r="F81" s="35">
        <v>30756.55</v>
      </c>
      <c r="G81" s="36">
        <v>-1.9683999999999999</v>
      </c>
      <c r="H81" s="35">
        <v>100.4813671189538</v>
      </c>
      <c r="I81" s="36">
        <v>-7.3897442999752876</v>
      </c>
      <c r="Q81" s="35">
        <v>-0.91715527108785555</v>
      </c>
      <c r="R81" s="35">
        <v>97.55416745230788</v>
      </c>
      <c r="S81" s="35">
        <v>100.6826061779398</v>
      </c>
      <c r="T81" s="35">
        <v>-3.1284387256318951</v>
      </c>
      <c r="U81" s="35">
        <v>-3.107228591304937E-2</v>
      </c>
      <c r="V81" s="35">
        <v>-1.2850999999999999</v>
      </c>
      <c r="W81" s="35">
        <v>97.191899475488128</v>
      </c>
      <c r="X81" s="35">
        <v>-3.467040470011673</v>
      </c>
      <c r="AF81" s="35">
        <v>-1.5985</v>
      </c>
      <c r="AG81" s="35">
        <v>99.841801407772579</v>
      </c>
      <c r="AH81" s="35">
        <v>103.9050555604265</v>
      </c>
      <c r="AI81" s="35">
        <v>-4.063254152653883</v>
      </c>
      <c r="AJ81" s="35">
        <v>-3.9105451902586963E-2</v>
      </c>
      <c r="AK81" s="35">
        <v>-1.5985</v>
      </c>
      <c r="AL81" s="35">
        <v>99.841801407772579</v>
      </c>
      <c r="AM81" s="35">
        <v>-3.9105451902586958</v>
      </c>
    </row>
    <row r="82" spans="1:39" x14ac:dyDescent="0.25">
      <c r="A82" s="35" t="s">
        <v>332</v>
      </c>
      <c r="B82" s="35" t="s">
        <v>333</v>
      </c>
      <c r="C82" s="35">
        <v>1.0802</v>
      </c>
      <c r="D82" s="35">
        <v>102.9002816072033</v>
      </c>
      <c r="E82" s="35">
        <v>108.4991790157934</v>
      </c>
      <c r="F82" s="35">
        <v>30572.65</v>
      </c>
      <c r="G82" s="36">
        <v>0.28079999999999999</v>
      </c>
      <c r="H82" s="35">
        <v>102.08648736147759</v>
      </c>
      <c r="I82" s="36">
        <v>-5.91035961053894</v>
      </c>
      <c r="Q82" s="35">
        <v>-0.84682124331380904</v>
      </c>
      <c r="R82" s="35">
        <v>96.728058038583811</v>
      </c>
      <c r="S82" s="35">
        <v>100.6826061779398</v>
      </c>
      <c r="T82" s="35">
        <v>-3.9545481393559641</v>
      </c>
      <c r="U82" s="35">
        <v>-3.9277371628292548E-2</v>
      </c>
      <c r="V82" s="35">
        <v>-1.0940000000000001</v>
      </c>
      <c r="W82" s="35">
        <v>96.486924860379631</v>
      </c>
      <c r="X82" s="35">
        <v>-4.1672355105160648</v>
      </c>
      <c r="AF82" s="35">
        <v>0.2334</v>
      </c>
      <c r="AG82" s="35">
        <v>100.0748321722583</v>
      </c>
      <c r="AH82" s="35">
        <v>103.9050555604265</v>
      </c>
      <c r="AI82" s="35">
        <v>-3.830223388168136</v>
      </c>
      <c r="AJ82" s="35">
        <v>-3.6862724027327542E-2</v>
      </c>
      <c r="AK82" s="35">
        <v>-0.17580000000000001</v>
      </c>
      <c r="AL82" s="35">
        <v>99.666279520897717</v>
      </c>
      <c r="AM82" s="35">
        <v>-4.0794704518142151</v>
      </c>
    </row>
    <row r="83" spans="1:39" x14ac:dyDescent="0.25">
      <c r="A83" s="35" t="s">
        <v>333</v>
      </c>
      <c r="B83" s="35" t="s">
        <v>334</v>
      </c>
      <c r="C83" s="35">
        <v>0.23069999999999999</v>
      </c>
      <c r="D83" s="35">
        <v>103.1376725568711</v>
      </c>
      <c r="E83" s="35">
        <v>108.4991790157934</v>
      </c>
      <c r="F83" s="35">
        <v>30908</v>
      </c>
      <c r="G83" s="36">
        <v>-3.6200000000000003E-2</v>
      </c>
      <c r="H83" s="35">
        <v>102.86303170526151</v>
      </c>
      <c r="I83" s="36">
        <v>-5.1946451223483736</v>
      </c>
      <c r="Q83" s="35">
        <v>5.0895096057345622E-2</v>
      </c>
      <c r="R83" s="35">
        <v>96.777287876636947</v>
      </c>
      <c r="S83" s="35">
        <v>100.6826061779398</v>
      </c>
      <c r="T83" s="35">
        <v>-3.905318301302827</v>
      </c>
      <c r="U83" s="35">
        <v>-3.8788410923738172E-2</v>
      </c>
      <c r="V83" s="35">
        <v>-0.58560000000000001</v>
      </c>
      <c r="W83" s="35">
        <v>96.161618530709873</v>
      </c>
      <c r="X83" s="35">
        <v>-4.4903363340037199</v>
      </c>
      <c r="AF83" s="35">
        <v>0.28160000000000002</v>
      </c>
      <c r="AG83" s="35">
        <v>100.3566428996554</v>
      </c>
      <c r="AH83" s="35">
        <v>103.9050555604265</v>
      </c>
      <c r="AI83" s="35">
        <v>-3.548412660771064</v>
      </c>
      <c r="AJ83" s="35">
        <v>-3.4150529458188569E-2</v>
      </c>
      <c r="AK83" s="35">
        <v>-2.6800000000000001E-2</v>
      </c>
      <c r="AL83" s="35">
        <v>100.0480121172362</v>
      </c>
      <c r="AM83" s="35">
        <v>-3.7120844817288279</v>
      </c>
    </row>
    <row r="84" spans="1:39" x14ac:dyDescent="0.25">
      <c r="A84" s="35" t="s">
        <v>334</v>
      </c>
      <c r="B84" s="35" t="s">
        <v>335</v>
      </c>
      <c r="C84" s="35">
        <v>-0.53280000000000005</v>
      </c>
      <c r="D84" s="35">
        <v>102.58815503748809</v>
      </c>
      <c r="E84" s="35">
        <v>108.4991790157934</v>
      </c>
      <c r="F84" s="35">
        <v>30984.45</v>
      </c>
      <c r="G84" s="36">
        <v>-1.2666999999999999</v>
      </c>
      <c r="H84" s="35">
        <v>101.83122765859321</v>
      </c>
      <c r="I84" s="36">
        <v>-6.1456237896782557</v>
      </c>
      <c r="Q84" s="35">
        <v>-1.3787491613013749</v>
      </c>
      <c r="R84" s="35">
        <v>95.442971831707595</v>
      </c>
      <c r="S84" s="35">
        <v>100.6826061779398</v>
      </c>
      <c r="T84" s="35">
        <v>-5.2396343462321786</v>
      </c>
      <c r="U84" s="35">
        <v>-5.2041107646458779E-2</v>
      </c>
      <c r="V84" s="35">
        <v>-1.8753</v>
      </c>
      <c r="W84" s="35">
        <v>94.962423397086368</v>
      </c>
      <c r="X84" s="35">
        <v>-5.6814011853685393</v>
      </c>
      <c r="AF84" s="35">
        <v>-1.9115</v>
      </c>
      <c r="AG84" s="35">
        <v>98.438325670628487</v>
      </c>
      <c r="AH84" s="35">
        <v>103.9050555604265</v>
      </c>
      <c r="AI84" s="35">
        <v>-5.4667298897979748</v>
      </c>
      <c r="AJ84" s="35">
        <v>-5.2612742087595282E-2</v>
      </c>
      <c r="AK84" s="35">
        <v>-1.9115</v>
      </c>
      <c r="AL84" s="35">
        <v>98.438325670628487</v>
      </c>
      <c r="AM84" s="35">
        <v>-5.2612742087595246</v>
      </c>
    </row>
    <row r="85" spans="1:39" x14ac:dyDescent="0.25">
      <c r="A85" s="35" t="s">
        <v>335</v>
      </c>
      <c r="B85" s="35" t="s">
        <v>336</v>
      </c>
      <c r="C85" s="35">
        <v>0.42909999999999998</v>
      </c>
      <c r="D85" s="35">
        <v>103.02836081075399</v>
      </c>
      <c r="E85" s="35">
        <v>108.4991790157934</v>
      </c>
      <c r="F85" s="35">
        <v>30845.200000000001</v>
      </c>
      <c r="G85" s="36">
        <v>-0.56879999999999997</v>
      </c>
      <c r="H85" s="35">
        <v>102.0046336116349</v>
      </c>
      <c r="I85" s="36">
        <v>-5.9858014254773106</v>
      </c>
      <c r="Q85" s="35">
        <v>0.31075955613834721</v>
      </c>
      <c r="R85" s="35">
        <v>95.739569987337063</v>
      </c>
      <c r="S85" s="35">
        <v>100.6826061779398</v>
      </c>
      <c r="T85" s="35">
        <v>-4.9430361906027116</v>
      </c>
      <c r="U85" s="35">
        <v>-4.9095234800206868E-2</v>
      </c>
      <c r="V85" s="35">
        <v>-0.2341</v>
      </c>
      <c r="W85" s="35">
        <v>95.219539834649567</v>
      </c>
      <c r="X85" s="35">
        <v>-5.4260279413458452</v>
      </c>
      <c r="AF85" s="35">
        <v>0.7399</v>
      </c>
      <c r="AG85" s="35">
        <v>99.166670842265461</v>
      </c>
      <c r="AH85" s="35">
        <v>103.9050555604265</v>
      </c>
      <c r="AI85" s="35">
        <v>-4.7383847181610008</v>
      </c>
      <c r="AJ85" s="35">
        <v>-4.5603023766301452E-2</v>
      </c>
      <c r="AK85" s="35">
        <v>-0.21290000000000001</v>
      </c>
      <c r="AL85" s="35">
        <v>98.228750475275717</v>
      </c>
      <c r="AM85" s="35">
        <v>-5.4629729559690814</v>
      </c>
    </row>
    <row r="86" spans="1:39" x14ac:dyDescent="0.25">
      <c r="A86" s="35" t="s">
        <v>336</v>
      </c>
      <c r="B86" s="35" t="s">
        <v>337</v>
      </c>
      <c r="C86" s="35">
        <v>1.3511</v>
      </c>
      <c r="D86" s="35">
        <v>104.4203769936681</v>
      </c>
      <c r="E86" s="35">
        <v>108.4991790157934</v>
      </c>
      <c r="F86" s="35">
        <v>30982.7</v>
      </c>
      <c r="G86" s="36">
        <v>-0.22900000000000001</v>
      </c>
      <c r="H86" s="35">
        <v>102.7924258644973</v>
      </c>
      <c r="I86" s="36">
        <v>-5.2597201223664509</v>
      </c>
      <c r="Q86" s="35">
        <v>-2.0808377722462459</v>
      </c>
      <c r="R86" s="35">
        <v>93.747384852054424</v>
      </c>
      <c r="S86" s="35">
        <v>100.6826061779398</v>
      </c>
      <c r="T86" s="35">
        <v>-6.935221325885351</v>
      </c>
      <c r="U86" s="35">
        <v>-6.8882020332573637E-2</v>
      </c>
      <c r="V86" s="35">
        <v>-2.1615000000000002</v>
      </c>
      <c r="W86" s="35">
        <v>93.670159182060772</v>
      </c>
      <c r="X86" s="35">
        <v>-6.9649041300000381</v>
      </c>
      <c r="AF86" s="35">
        <v>-0.72970000000000002</v>
      </c>
      <c r="AG86" s="35">
        <v>98.443051645129444</v>
      </c>
      <c r="AH86" s="35">
        <v>103.9050555604265</v>
      </c>
      <c r="AI86" s="35">
        <v>-5.4620039152970179</v>
      </c>
      <c r="AJ86" s="35">
        <v>-5.2567258501878808E-2</v>
      </c>
      <c r="AK86" s="35">
        <v>-0.73880000000000001</v>
      </c>
      <c r="AL86" s="35">
        <v>98.434027478082811</v>
      </c>
      <c r="AM86" s="35">
        <v>-5.2654108626715939</v>
      </c>
    </row>
    <row r="87" spans="1:39" x14ac:dyDescent="0.25">
      <c r="A87" s="35" t="s">
        <v>337</v>
      </c>
      <c r="B87" s="35" t="s">
        <v>338</v>
      </c>
      <c r="C87" s="35">
        <v>0.75470000000000004</v>
      </c>
      <c r="D87" s="35">
        <v>105.20843757883929</v>
      </c>
      <c r="E87" s="35">
        <v>108.4991790157934</v>
      </c>
      <c r="F87" s="35">
        <v>31432.3</v>
      </c>
      <c r="G87" s="36">
        <v>0.2329</v>
      </c>
      <c r="H87" s="35">
        <v>104.6635720516863</v>
      </c>
      <c r="I87" s="36">
        <v>-3.535148375222974</v>
      </c>
      <c r="Q87" s="35">
        <v>-0.30423823852722037</v>
      </c>
      <c r="R87" s="35">
        <v>93.462169459715199</v>
      </c>
      <c r="S87" s="35">
        <v>100.6826061779398</v>
      </c>
      <c r="T87" s="35">
        <v>-7.2204367182245761</v>
      </c>
      <c r="U87" s="35">
        <v>-7.1714837272524062E-2</v>
      </c>
      <c r="V87" s="35">
        <v>-0.90349999999999997</v>
      </c>
      <c r="W87" s="35">
        <v>92.900377229916117</v>
      </c>
      <c r="X87" s="35">
        <v>-7.7294671278868794</v>
      </c>
      <c r="AF87" s="35">
        <v>0.45050000000000001</v>
      </c>
      <c r="AG87" s="35">
        <v>98.886537592790745</v>
      </c>
      <c r="AH87" s="35">
        <v>103.9050555604265</v>
      </c>
      <c r="AI87" s="35">
        <v>-5.0185179676357166</v>
      </c>
      <c r="AJ87" s="35">
        <v>-4.829907400142984E-2</v>
      </c>
      <c r="AK87" s="35">
        <v>8.2400000000000001E-2</v>
      </c>
      <c r="AL87" s="35">
        <v>98.524168719685022</v>
      </c>
      <c r="AM87" s="35">
        <v>-5.1786573922884438</v>
      </c>
    </row>
    <row r="88" spans="1:39" x14ac:dyDescent="0.25">
      <c r="A88" s="35" t="s">
        <v>338</v>
      </c>
      <c r="B88" s="35" t="s">
        <v>339</v>
      </c>
      <c r="C88" s="35">
        <v>0.81189999999999996</v>
      </c>
      <c r="D88" s="35">
        <v>106.0626248835419</v>
      </c>
      <c r="E88" s="35">
        <v>108.4991790157934</v>
      </c>
      <c r="F88" s="35">
        <v>31680</v>
      </c>
      <c r="G88" s="36">
        <v>-0.50690000000000002</v>
      </c>
      <c r="H88" s="35">
        <v>104.6751360087521</v>
      </c>
      <c r="I88" s="36">
        <v>-3.524490269631098</v>
      </c>
      <c r="Q88" s="35">
        <v>-0.20571978421543069</v>
      </c>
      <c r="R88" s="35">
        <v>93.269899286379612</v>
      </c>
      <c r="S88" s="35">
        <v>100.6826061779398</v>
      </c>
      <c r="T88" s="35">
        <v>-7.4127068915601626</v>
      </c>
      <c r="U88" s="35">
        <v>-7.3624503506190875E-2</v>
      </c>
      <c r="V88" s="35">
        <v>-0.52839999999999998</v>
      </c>
      <c r="W88" s="35">
        <v>92.968315356290063</v>
      </c>
      <c r="X88" s="35">
        <v>-7.661989607237607</v>
      </c>
      <c r="AF88" s="35">
        <v>0.60619999999999996</v>
      </c>
      <c r="AG88" s="35">
        <v>99.48598778367824</v>
      </c>
      <c r="AH88" s="35">
        <v>103.9050555604265</v>
      </c>
      <c r="AI88" s="35">
        <v>-4.4190677767482214</v>
      </c>
      <c r="AJ88" s="35">
        <v>-4.252986298802653E-2</v>
      </c>
      <c r="AK88" s="35">
        <v>0.12379999999999999</v>
      </c>
      <c r="AL88" s="35">
        <v>99.008959126330623</v>
      </c>
      <c r="AM88" s="35">
        <v>-4.7120868255043584</v>
      </c>
    </row>
    <row r="89" spans="1:39" x14ac:dyDescent="0.25">
      <c r="A89" s="35" t="s">
        <v>339</v>
      </c>
      <c r="B89" s="35" t="s">
        <v>340</v>
      </c>
      <c r="C89" s="35">
        <v>-0.77569999999999995</v>
      </c>
      <c r="D89" s="35">
        <v>105.2398971023202</v>
      </c>
      <c r="E89" s="35">
        <v>108.4991790157934</v>
      </c>
      <c r="F89" s="35">
        <v>31963.599999999999</v>
      </c>
      <c r="G89" s="36">
        <v>-0.94410000000000005</v>
      </c>
      <c r="H89" s="35">
        <v>105.0612876420164</v>
      </c>
      <c r="I89" s="36">
        <v>-3.168587453806115</v>
      </c>
      <c r="Q89" s="35">
        <v>0.33840947546531308</v>
      </c>
      <c r="R89" s="35">
        <v>93.585533463321667</v>
      </c>
      <c r="S89" s="35">
        <v>100.6826061779398</v>
      </c>
      <c r="T89" s="35">
        <v>-7.0970727146181076</v>
      </c>
      <c r="U89" s="35">
        <v>-7.0489561047667071E-2</v>
      </c>
      <c r="V89" s="35">
        <v>-0.47570000000000001</v>
      </c>
      <c r="W89" s="35">
        <v>92.826214375474308</v>
      </c>
      <c r="X89" s="35">
        <v>-7.8031271743011938</v>
      </c>
      <c r="AF89" s="35">
        <v>-0.43730000000000002</v>
      </c>
      <c r="AG89" s="35">
        <v>99.050935559100225</v>
      </c>
      <c r="AH89" s="35">
        <v>103.9050555604265</v>
      </c>
      <c r="AI89" s="35">
        <v>-4.8541200013262369</v>
      </c>
      <c r="AJ89" s="35">
        <v>-4.6716879897179799E-2</v>
      </c>
      <c r="AK89" s="35">
        <v>-0.43730000000000002</v>
      </c>
      <c r="AL89" s="35">
        <v>99.050935559100225</v>
      </c>
      <c r="AM89" s="35">
        <v>-4.6716879897179764</v>
      </c>
    </row>
    <row r="90" spans="1:39" x14ac:dyDescent="0.25">
      <c r="A90" s="35" t="s">
        <v>340</v>
      </c>
      <c r="B90" s="35" t="s">
        <v>341</v>
      </c>
      <c r="C90" s="35">
        <v>-1.1194999999999999</v>
      </c>
      <c r="D90" s="35">
        <v>104.0617364542598</v>
      </c>
      <c r="E90" s="35">
        <v>108.4991790157934</v>
      </c>
      <c r="F90" s="35">
        <v>31726.3</v>
      </c>
      <c r="G90" s="36">
        <v>-1.5535000000000001</v>
      </c>
      <c r="H90" s="35">
        <v>103.6049953008357</v>
      </c>
      <c r="I90" s="36">
        <v>-4.5108025326581647</v>
      </c>
      <c r="Q90" s="35">
        <v>-1.063777055681004</v>
      </c>
      <c r="R90" s="35">
        <v>92.589992030902181</v>
      </c>
      <c r="S90" s="35">
        <v>100.6826061779398</v>
      </c>
      <c r="T90" s="35">
        <v>-8.0926141470375939</v>
      </c>
      <c r="U90" s="35">
        <v>-8.0377479827401802E-2</v>
      </c>
      <c r="V90" s="35">
        <v>-1.2139</v>
      </c>
      <c r="W90" s="35">
        <v>92.449498672610403</v>
      </c>
      <c r="X90" s="35">
        <v>-8.1772888266109511</v>
      </c>
      <c r="AF90" s="35">
        <v>-2.1833</v>
      </c>
      <c r="AG90" s="35">
        <v>96.888356483038393</v>
      </c>
      <c r="AH90" s="35">
        <v>103.9050555604265</v>
      </c>
      <c r="AI90" s="35">
        <v>-7.0166990773880684</v>
      </c>
      <c r="AJ90" s="35">
        <v>-6.7529910258384632E-2</v>
      </c>
      <c r="AK90" s="35">
        <v>-2.1833</v>
      </c>
      <c r="AL90" s="35">
        <v>96.888356483038393</v>
      </c>
      <c r="AM90" s="35">
        <v>-6.7529910258384618</v>
      </c>
    </row>
    <row r="91" spans="1:39" x14ac:dyDescent="0.25">
      <c r="A91" s="35" t="s">
        <v>341</v>
      </c>
      <c r="B91" s="35" t="s">
        <v>342</v>
      </c>
      <c r="C91" s="35">
        <v>-0.66900000000000004</v>
      </c>
      <c r="D91" s="35">
        <v>103.3655634373808</v>
      </c>
      <c r="E91" s="35">
        <v>108.4991790157934</v>
      </c>
      <c r="F91" s="35">
        <v>31381.7</v>
      </c>
      <c r="G91" s="36">
        <v>-1.0636000000000001</v>
      </c>
      <c r="H91" s="35">
        <v>102.9549358253323</v>
      </c>
      <c r="I91" s="36">
        <v>-5.1099402232841928</v>
      </c>
      <c r="Q91" s="35">
        <v>-6.294380834564052E-2</v>
      </c>
      <c r="R91" s="35">
        <v>92.531712363771007</v>
      </c>
      <c r="S91" s="35">
        <v>100.6826061779398</v>
      </c>
      <c r="T91" s="35">
        <v>-8.1508938141687679</v>
      </c>
      <c r="U91" s="35">
        <v>-8.0956325264002579E-2</v>
      </c>
      <c r="V91" s="35">
        <v>-0.29680000000000001</v>
      </c>
      <c r="W91" s="35">
        <v>92.315184934554466</v>
      </c>
      <c r="X91" s="35">
        <v>-8.310691946727399</v>
      </c>
      <c r="AF91" s="35">
        <v>-0.7319</v>
      </c>
      <c r="AG91" s="35">
        <v>96.17923060193904</v>
      </c>
      <c r="AH91" s="35">
        <v>103.9050555604265</v>
      </c>
      <c r="AI91" s="35">
        <v>-7.7258249584874221</v>
      </c>
      <c r="AJ91" s="35">
        <v>-7.4354658845203481E-2</v>
      </c>
      <c r="AK91" s="35">
        <v>-0.7319</v>
      </c>
      <c r="AL91" s="35">
        <v>96.17923060193904</v>
      </c>
      <c r="AM91" s="35">
        <v>-7.4354658845203421</v>
      </c>
    </row>
    <row r="92" spans="1:39" x14ac:dyDescent="0.25">
      <c r="A92" s="35" t="s">
        <v>342</v>
      </c>
      <c r="B92" s="35" t="s">
        <v>343</v>
      </c>
      <c r="C92" s="35">
        <v>-1.0334000000000001</v>
      </c>
      <c r="D92" s="35">
        <v>102.2973837048189</v>
      </c>
      <c r="E92" s="35">
        <v>108.4991790157934</v>
      </c>
      <c r="F92" s="35">
        <v>31197.9</v>
      </c>
      <c r="G92" s="36">
        <v>-1.4662999999999999</v>
      </c>
      <c r="H92" s="35">
        <v>101.84991418069851</v>
      </c>
      <c r="I92" s="36">
        <v>-6.1284010583407937</v>
      </c>
      <c r="Q92" s="35">
        <v>0.97367413285966864</v>
      </c>
      <c r="R92" s="35">
        <v>93.432669711749156</v>
      </c>
      <c r="S92" s="35">
        <v>100.6826061779398</v>
      </c>
      <c r="T92" s="35">
        <v>-7.2499364661906176</v>
      </c>
      <c r="U92" s="35">
        <v>-7.2007834733415224E-2</v>
      </c>
      <c r="V92" s="35">
        <v>-8.2600000000000007E-2</v>
      </c>
      <c r="W92" s="35">
        <v>92.455281169358528</v>
      </c>
      <c r="X92" s="35">
        <v>-8.1715455339334557</v>
      </c>
      <c r="AF92" s="35">
        <v>-5.9700000000000003E-2</v>
      </c>
      <c r="AG92" s="35">
        <v>96.121811601269684</v>
      </c>
      <c r="AH92" s="35">
        <v>103.9050555604265</v>
      </c>
      <c r="AI92" s="35">
        <v>-7.7832439591567777</v>
      </c>
      <c r="AJ92" s="35">
        <v>-7.4907269113872868E-2</v>
      </c>
      <c r="AK92" s="35">
        <v>-0.3533</v>
      </c>
      <c r="AL92" s="35">
        <v>95.839429380222384</v>
      </c>
      <c r="AM92" s="35">
        <v>-7.762496383550344</v>
      </c>
    </row>
    <row r="93" spans="1:39" x14ac:dyDescent="0.25">
      <c r="A93" s="35" t="s">
        <v>343</v>
      </c>
      <c r="B93" s="35" t="s">
        <v>344</v>
      </c>
      <c r="C93" s="35">
        <v>0.77290000000000003</v>
      </c>
      <c r="D93" s="35">
        <v>103.0880401834734</v>
      </c>
      <c r="E93" s="35">
        <v>108.4991790157934</v>
      </c>
      <c r="F93" s="35">
        <v>30901.5</v>
      </c>
      <c r="G93" s="36">
        <v>8.3199999999999996E-2</v>
      </c>
      <c r="H93" s="35">
        <v>102.38249512806129</v>
      </c>
      <c r="I93" s="36">
        <v>-5.6375393281471347</v>
      </c>
      <c r="Q93" s="35">
        <v>-0.52836048557402415</v>
      </c>
      <c r="R93" s="35">
        <v>92.939008404375386</v>
      </c>
      <c r="S93" s="35">
        <v>100.6826061779398</v>
      </c>
      <c r="T93" s="35">
        <v>-7.7435977735643888</v>
      </c>
      <c r="U93" s="35">
        <v>-7.6910978643906641E-2</v>
      </c>
      <c r="V93" s="35">
        <v>-0.8355999999999999</v>
      </c>
      <c r="W93" s="35">
        <v>92.651946323637773</v>
      </c>
      <c r="X93" s="35">
        <v>-7.9762137266382922</v>
      </c>
      <c r="AF93" s="35">
        <v>0.2445</v>
      </c>
      <c r="AG93" s="35">
        <v>96.356829430634789</v>
      </c>
      <c r="AH93" s="35">
        <v>103.9050555604265</v>
      </c>
      <c r="AI93" s="35">
        <v>-7.5482261297916722</v>
      </c>
      <c r="AJ93" s="35">
        <v>-7.2645417386856273E-2</v>
      </c>
      <c r="AK93" s="35">
        <v>0.1983</v>
      </c>
      <c r="AL93" s="35">
        <v>96.312421153675004</v>
      </c>
      <c r="AM93" s="35">
        <v>-7.3072810228525631</v>
      </c>
    </row>
    <row r="94" spans="1:39" x14ac:dyDescent="0.25">
      <c r="A94" s="35" t="s">
        <v>344</v>
      </c>
      <c r="B94" s="35" t="s">
        <v>345</v>
      </c>
      <c r="C94" s="35">
        <v>0.42830000000000001</v>
      </c>
      <c r="D94" s="35">
        <v>103.5295662595793</v>
      </c>
      <c r="E94" s="35">
        <v>108.4991790157934</v>
      </c>
      <c r="F94" s="35">
        <v>31150.65</v>
      </c>
      <c r="G94" s="36">
        <v>0.1178</v>
      </c>
      <c r="H94" s="35">
        <v>103.20947789480959</v>
      </c>
      <c r="I94" s="36">
        <v>-4.8753374624280532</v>
      </c>
      <c r="Q94" s="35">
        <v>-1.1151103751248821</v>
      </c>
      <c r="R94" s="35">
        <v>91.902635879120012</v>
      </c>
      <c r="S94" s="35">
        <v>100.6826061779398</v>
      </c>
      <c r="T94" s="35">
        <v>-8.7799702988197623</v>
      </c>
      <c r="U94" s="35">
        <v>-8.7204440092687158E-2</v>
      </c>
      <c r="V94" s="35">
        <v>-1.3511</v>
      </c>
      <c r="W94" s="35">
        <v>91.683309461823868</v>
      </c>
      <c r="X94" s="35">
        <v>-8.9382834411448897</v>
      </c>
      <c r="AF94" s="35">
        <v>-0.68679999999999997</v>
      </c>
      <c r="AG94" s="35">
        <v>95.695050726105194</v>
      </c>
      <c r="AH94" s="35">
        <v>103.9050555604265</v>
      </c>
      <c r="AI94" s="35">
        <v>-8.2100048343212677</v>
      </c>
      <c r="AJ94" s="35">
        <v>-7.9014488660243312E-2</v>
      </c>
      <c r="AK94" s="35">
        <v>-0.8508</v>
      </c>
      <c r="AL94" s="35">
        <v>95.537025525838956</v>
      </c>
      <c r="AM94" s="35">
        <v>-8.0535350175728873</v>
      </c>
    </row>
    <row r="95" spans="1:39" x14ac:dyDescent="0.25">
      <c r="A95" s="35" t="s">
        <v>345</v>
      </c>
      <c r="B95" s="35" t="s">
        <v>346</v>
      </c>
      <c r="C95" s="35">
        <v>2.2927</v>
      </c>
      <c r="D95" s="35">
        <v>105.90318862521259</v>
      </c>
      <c r="E95" s="35">
        <v>108.4991790157934</v>
      </c>
      <c r="F95" s="35">
        <v>31289.25</v>
      </c>
      <c r="G95" s="36">
        <v>0.1978</v>
      </c>
      <c r="H95" s="35">
        <v>103.7343477416407</v>
      </c>
      <c r="I95" s="36">
        <v>-4.3915827911095384</v>
      </c>
      <c r="Q95" s="35">
        <v>-1.1044627544754679</v>
      </c>
      <c r="R95" s="35">
        <v>90.887605495453926</v>
      </c>
      <c r="S95" s="35">
        <v>100.6826061779398</v>
      </c>
      <c r="T95" s="35">
        <v>-9.7950006824858491</v>
      </c>
      <c r="U95" s="35">
        <v>-9.7285927076369211E-2</v>
      </c>
      <c r="V95" s="35">
        <v>-1.3893</v>
      </c>
      <c r="W95" s="35">
        <v>90.6258325588514</v>
      </c>
      <c r="X95" s="35">
        <v>-9.9885908806479407</v>
      </c>
      <c r="AF95" s="35">
        <v>1.1881999999999999</v>
      </c>
      <c r="AG95" s="35">
        <v>96.832099318832775</v>
      </c>
      <c r="AH95" s="35">
        <v>103.9050555604265</v>
      </c>
      <c r="AI95" s="35">
        <v>-7.0729562415936869</v>
      </c>
      <c r="AJ95" s="35">
        <v>-6.8071338814504334E-2</v>
      </c>
      <c r="AK95" s="35">
        <v>0.49530000000000002</v>
      </c>
      <c r="AL95" s="35">
        <v>96.169028312351585</v>
      </c>
      <c r="AM95" s="35">
        <v>-7.4452847422577513</v>
      </c>
    </row>
    <row r="96" spans="1:39" x14ac:dyDescent="0.25">
      <c r="A96" s="35" t="s">
        <v>346</v>
      </c>
      <c r="B96" s="35" t="s">
        <v>347</v>
      </c>
      <c r="C96" s="35">
        <v>0.72729999999999995</v>
      </c>
      <c r="D96" s="35">
        <v>106.6734225160838</v>
      </c>
      <c r="E96" s="35">
        <v>108.4991790157934</v>
      </c>
      <c r="F96" s="35">
        <v>32037.9</v>
      </c>
      <c r="G96" s="36">
        <v>0.12690000000000001</v>
      </c>
      <c r="H96" s="35">
        <v>106.037579771578</v>
      </c>
      <c r="I96" s="36">
        <v>-2.2687722308544771</v>
      </c>
      <c r="Q96" s="35">
        <v>0.65091012802298709</v>
      </c>
      <c r="R96" s="35">
        <v>91.479202124741406</v>
      </c>
      <c r="S96" s="35">
        <v>100.6826061779398</v>
      </c>
      <c r="T96" s="35">
        <v>-9.2034040531983692</v>
      </c>
      <c r="U96" s="35">
        <v>-9.1410069748620551E-2</v>
      </c>
      <c r="V96" s="35">
        <v>-0.50990000000000002</v>
      </c>
      <c r="W96" s="35">
        <v>90.424169595032609</v>
      </c>
      <c r="X96" s="35">
        <v>-10.18888661342068</v>
      </c>
      <c r="AF96" s="35">
        <v>1.3782000000000001</v>
      </c>
      <c r="AG96" s="35">
        <v>98.166639311644929</v>
      </c>
      <c r="AH96" s="35">
        <v>103.9050555604265</v>
      </c>
      <c r="AI96" s="35">
        <v>-5.7384162487815331</v>
      </c>
      <c r="AJ96" s="35">
        <v>-5.5227498006045823E-2</v>
      </c>
      <c r="AK96" s="35">
        <v>0.82740000000000002</v>
      </c>
      <c r="AL96" s="35">
        <v>97.633288108596787</v>
      </c>
      <c r="AM96" s="35">
        <v>-6.0360561071855612</v>
      </c>
    </row>
    <row r="97" spans="1:39" x14ac:dyDescent="0.25">
      <c r="A97" s="35" t="s">
        <v>347</v>
      </c>
      <c r="B97" s="35" t="s">
        <v>348</v>
      </c>
      <c r="C97" s="35">
        <v>1.6008</v>
      </c>
      <c r="D97" s="35">
        <v>108.3810506637213</v>
      </c>
      <c r="E97" s="35">
        <v>108.4991790157934</v>
      </c>
      <c r="F97" s="35">
        <v>32308.3</v>
      </c>
      <c r="G97" s="36">
        <v>-0.7248</v>
      </c>
      <c r="H97" s="35">
        <v>105.90025354968721</v>
      </c>
      <c r="I97" s="36">
        <v>-2.395341135003326</v>
      </c>
      <c r="Q97" s="35">
        <v>-4.9298240887907109E-2</v>
      </c>
      <c r="R97" s="35">
        <v>91.434104487315608</v>
      </c>
      <c r="S97" s="35">
        <v>100.6826061779398</v>
      </c>
      <c r="T97" s="35">
        <v>-9.2485016906241668</v>
      </c>
      <c r="U97" s="35">
        <v>-9.1857988601119211E-2</v>
      </c>
      <c r="V97" s="35">
        <v>-0.43609999999999999</v>
      </c>
      <c r="W97" s="35">
        <v>91.080261324275412</v>
      </c>
      <c r="X97" s="35">
        <v>-9.5372430434446755</v>
      </c>
      <c r="AF97" s="35">
        <v>1.5515000000000001</v>
      </c>
      <c r="AG97" s="35">
        <v>99.6896947205651</v>
      </c>
      <c r="AH97" s="35">
        <v>103.9050555604265</v>
      </c>
      <c r="AI97" s="35">
        <v>-4.2153608398613613</v>
      </c>
      <c r="AJ97" s="35">
        <v>-4.0569352637609621E-2</v>
      </c>
      <c r="AK97" s="35">
        <v>0.1225</v>
      </c>
      <c r="AL97" s="35">
        <v>98.286893444801692</v>
      </c>
      <c r="AM97" s="35">
        <v>-5.4070151691103296</v>
      </c>
    </row>
    <row r="98" spans="1:39" x14ac:dyDescent="0.25">
      <c r="A98" s="35" t="s">
        <v>348</v>
      </c>
      <c r="B98" s="35" t="s">
        <v>349</v>
      </c>
      <c r="C98" s="35">
        <v>-1.0283</v>
      </c>
      <c r="D98" s="35">
        <v>107.2665683197462</v>
      </c>
      <c r="E98" s="35">
        <v>108.4991790157934</v>
      </c>
      <c r="F98" s="35">
        <v>32863.199999999997</v>
      </c>
      <c r="G98" s="36">
        <v>-1.2708999999999999</v>
      </c>
      <c r="H98" s="35">
        <v>107.00363589083609</v>
      </c>
      <c r="I98" s="36">
        <v>-1.3783911901671391</v>
      </c>
      <c r="Q98" s="35">
        <v>0.8568994067619492</v>
      </c>
      <c r="R98" s="35">
        <v>92.217602786245507</v>
      </c>
      <c r="S98" s="35">
        <v>100.6826061779398</v>
      </c>
      <c r="T98" s="35">
        <v>-8.4650033916942675</v>
      </c>
      <c r="U98" s="35">
        <v>-8.4076125092886256E-2</v>
      </c>
      <c r="V98" s="35">
        <v>9.5399999999999999E-2</v>
      </c>
      <c r="W98" s="35">
        <v>91.521332622996496</v>
      </c>
      <c r="X98" s="35">
        <v>-9.0991621122244801</v>
      </c>
      <c r="AF98" s="35">
        <v>-0.1714</v>
      </c>
      <c r="AG98" s="35">
        <v>99.518826583814047</v>
      </c>
      <c r="AH98" s="35">
        <v>103.9050555604265</v>
      </c>
      <c r="AI98" s="35">
        <v>-4.386228976612415</v>
      </c>
      <c r="AJ98" s="35">
        <v>-4.2213816767188807E-2</v>
      </c>
      <c r="AK98" s="35">
        <v>-0.33090000000000003</v>
      </c>
      <c r="AL98" s="35">
        <v>99.359821520734755</v>
      </c>
      <c r="AM98" s="35">
        <v>-4.3744108649731768</v>
      </c>
    </row>
    <row r="99" spans="1:39" x14ac:dyDescent="0.25">
      <c r="A99" s="35" t="s">
        <v>349</v>
      </c>
      <c r="B99" s="35" t="s">
        <v>350</v>
      </c>
      <c r="C99" s="35">
        <v>-2.9295</v>
      </c>
      <c r="D99" s="35">
        <v>104.1241942008193</v>
      </c>
      <c r="E99" s="35">
        <v>108.4991790157934</v>
      </c>
      <c r="F99" s="35">
        <v>32530.75</v>
      </c>
      <c r="G99" s="36">
        <v>-3.2082999999999999</v>
      </c>
      <c r="H99" s="35">
        <v>103.82513500834381</v>
      </c>
      <c r="I99" s="36">
        <v>-4.3079072577767992</v>
      </c>
      <c r="Q99" s="35">
        <v>0.93728448158827904</v>
      </c>
      <c r="R99" s="35">
        <v>93.081944066453701</v>
      </c>
      <c r="S99" s="35">
        <v>100.6826061779398</v>
      </c>
      <c r="T99" s="35">
        <v>-7.6006621114860744</v>
      </c>
      <c r="U99" s="35">
        <v>-7.5491312750219891E-2</v>
      </c>
      <c r="V99" s="35">
        <v>-0.3266</v>
      </c>
      <c r="W99" s="35">
        <v>91.916420095545632</v>
      </c>
      <c r="X99" s="35">
        <v>-8.7067532468332871</v>
      </c>
      <c r="AF99" s="35">
        <v>-1.9922</v>
      </c>
      <c r="AG99" s="35">
        <v>97.536212520611301</v>
      </c>
      <c r="AH99" s="35">
        <v>103.9050555604265</v>
      </c>
      <c r="AI99" s="35">
        <v>-6.368843039815161</v>
      </c>
      <c r="AJ99" s="35">
        <v>-6.1294833109552888E-2</v>
      </c>
      <c r="AK99" s="35">
        <v>-2.0427</v>
      </c>
      <c r="AL99" s="35">
        <v>97.485955513186482</v>
      </c>
      <c r="AM99" s="35">
        <v>-6.1778515132085428</v>
      </c>
    </row>
    <row r="100" spans="1:39" x14ac:dyDescent="0.25">
      <c r="A100" s="35" t="s">
        <v>350</v>
      </c>
      <c r="B100" s="35" t="s">
        <v>252</v>
      </c>
      <c r="C100" s="35">
        <v>-4.6288</v>
      </c>
      <c r="D100" s="35">
        <v>99.304493499651741</v>
      </c>
      <c r="E100" s="35">
        <v>108.4991790157934</v>
      </c>
      <c r="F100" s="35">
        <v>31610.3</v>
      </c>
      <c r="G100" s="36">
        <v>-4.8057999999999996</v>
      </c>
      <c r="H100" s="35">
        <v>99.120193675916283</v>
      </c>
      <c r="I100" s="36">
        <v>-8.6442915282445636</v>
      </c>
      <c r="Q100" s="35">
        <v>2.5303449071657389</v>
      </c>
      <c r="R100" s="35">
        <v>95.437238297630088</v>
      </c>
      <c r="S100" s="35">
        <v>100.6826061779398</v>
      </c>
      <c r="T100" s="35">
        <v>-5.2453678803096864</v>
      </c>
      <c r="U100" s="35">
        <v>-5.2098054266090113E-2</v>
      </c>
      <c r="V100" s="35">
        <v>-0.53220000000000001</v>
      </c>
      <c r="W100" s="35">
        <v>92.58656196013203</v>
      </c>
      <c r="X100" s="35">
        <v>-8.0411547983763256</v>
      </c>
      <c r="AF100" s="35">
        <v>-2.0985</v>
      </c>
      <c r="AG100" s="35">
        <v>95.489415100866267</v>
      </c>
      <c r="AH100" s="35">
        <v>103.9050555604265</v>
      </c>
      <c r="AI100" s="35">
        <v>-8.4156404595601941</v>
      </c>
      <c r="AJ100" s="35">
        <v>-8.0993561036748971E-2</v>
      </c>
      <c r="AK100" s="35">
        <v>-2.0985</v>
      </c>
      <c r="AL100" s="35">
        <v>95.489415100866267</v>
      </c>
      <c r="AM100" s="35">
        <v>-8.0993561036748929</v>
      </c>
    </row>
    <row r="101" spans="1:39" x14ac:dyDescent="0.25">
      <c r="A101" s="35" t="s">
        <v>254</v>
      </c>
      <c r="B101" s="35" t="s">
        <v>351</v>
      </c>
      <c r="C101" s="35">
        <v>1.1477999999999999</v>
      </c>
      <c r="D101" s="35">
        <v>101.1478</v>
      </c>
      <c r="E101" s="35">
        <v>101.1478</v>
      </c>
      <c r="F101" s="35">
        <v>31794.75</v>
      </c>
      <c r="G101" s="36">
        <v>0.34860000000000002</v>
      </c>
      <c r="H101" s="35">
        <v>100.3486</v>
      </c>
      <c r="I101" s="36">
        <v>0.34860000000001001</v>
      </c>
      <c r="Q101" s="35">
        <v>-8.6908386382507613E-2</v>
      </c>
      <c r="R101" s="35">
        <v>99.913091613617482</v>
      </c>
      <c r="S101" s="35">
        <v>100</v>
      </c>
      <c r="T101" s="35">
        <v>-8.6908386382518188E-2</v>
      </c>
      <c r="U101" s="35">
        <v>-8.6908386382518184E-4</v>
      </c>
      <c r="V101" s="35">
        <v>-0.67810000000000004</v>
      </c>
      <c r="W101" s="35">
        <v>99.321899999999999</v>
      </c>
      <c r="X101" s="35">
        <v>-0.6781000000000037</v>
      </c>
      <c r="AF101" s="35">
        <v>1.0609</v>
      </c>
      <c r="AG101" s="35">
        <v>101.0609</v>
      </c>
      <c r="AH101" s="35">
        <v>101.0609</v>
      </c>
      <c r="AI101" s="35"/>
      <c r="AJ101" s="35">
        <v>0</v>
      </c>
      <c r="AK101" s="35">
        <v>0.51029999999999998</v>
      </c>
      <c r="AL101" s="35">
        <v>100.5103</v>
      </c>
      <c r="AM101" s="35">
        <v>0.51030000000000797</v>
      </c>
    </row>
    <row r="102" spans="1:39" x14ac:dyDescent="0.25">
      <c r="A102" s="35" t="s">
        <v>351</v>
      </c>
      <c r="B102" s="35" t="s">
        <v>352</v>
      </c>
      <c r="C102" s="35">
        <v>0.87490000000000001</v>
      </c>
      <c r="D102" s="35">
        <v>102.0327421022</v>
      </c>
      <c r="E102" s="35">
        <v>102.0327421022</v>
      </c>
      <c r="F102" s="35">
        <v>32186.2</v>
      </c>
      <c r="G102" s="36">
        <v>-0.26840000000000003</v>
      </c>
      <c r="H102" s="35">
        <v>100.87631930480001</v>
      </c>
      <c r="I102" s="36">
        <v>-0.26840000000000203</v>
      </c>
      <c r="Q102" s="35">
        <v>-1.076294164959908</v>
      </c>
      <c r="R102" s="35">
        <v>98.837732838549059</v>
      </c>
      <c r="S102" s="35">
        <v>100</v>
      </c>
      <c r="T102" s="35">
        <v>-1.162267161450941</v>
      </c>
      <c r="U102" s="35">
        <v>-1.162267161450941E-2</v>
      </c>
      <c r="V102" s="35">
        <v>-1.3291999999999999</v>
      </c>
      <c r="W102" s="35">
        <v>98.585046799889284</v>
      </c>
      <c r="X102" s="35">
        <v>-1.414953200110713</v>
      </c>
      <c r="AF102" s="35">
        <v>-0.2014</v>
      </c>
      <c r="AG102" s="35">
        <v>100.8573633474</v>
      </c>
      <c r="AH102" s="35">
        <v>101.0609</v>
      </c>
      <c r="AI102" s="35">
        <v>-0.20353665259999329</v>
      </c>
      <c r="AJ102" s="35">
        <v>-2.0139999999999338E-3</v>
      </c>
      <c r="AK102" s="35">
        <v>-0.2014</v>
      </c>
      <c r="AL102" s="35">
        <v>100.8573633474</v>
      </c>
      <c r="AM102" s="35">
        <v>-0.201399999999996</v>
      </c>
    </row>
    <row r="103" spans="1:39" x14ac:dyDescent="0.25">
      <c r="A103" s="35" t="s">
        <v>352</v>
      </c>
      <c r="B103" s="35" t="s">
        <v>353</v>
      </c>
      <c r="C103" s="35">
        <v>0.67520000000000002</v>
      </c>
      <c r="D103" s="35">
        <v>102.72166717687401</v>
      </c>
      <c r="E103" s="35">
        <v>102.72166717687401</v>
      </c>
      <c r="F103" s="35">
        <v>32505.35</v>
      </c>
      <c r="G103" s="36">
        <v>-0.34039999999999998</v>
      </c>
      <c r="H103" s="35">
        <v>101.6854226480841</v>
      </c>
      <c r="I103" s="36">
        <v>-0.34039999999999632</v>
      </c>
      <c r="Q103" s="35">
        <v>0.61042527750326236</v>
      </c>
      <c r="R103" s="35">
        <v>99.441063343506698</v>
      </c>
      <c r="S103" s="35">
        <v>100</v>
      </c>
      <c r="T103" s="35">
        <v>-0.5589366564933016</v>
      </c>
      <c r="U103" s="35">
        <v>-5.5893665649330163E-3</v>
      </c>
      <c r="V103" s="35">
        <v>-0.5252</v>
      </c>
      <c r="W103" s="35">
        <v>98.318637065680988</v>
      </c>
      <c r="X103" s="35">
        <v>-1.681362934319008</v>
      </c>
      <c r="AF103" s="35">
        <v>1.2856000000000001</v>
      </c>
      <c r="AG103" s="35">
        <v>102.15398561059421</v>
      </c>
      <c r="AH103" s="35">
        <v>102.15398561059421</v>
      </c>
      <c r="AI103" s="35"/>
      <c r="AJ103" s="35">
        <v>0</v>
      </c>
      <c r="AK103" s="35">
        <v>0.4587</v>
      </c>
      <c r="AL103" s="35">
        <v>101.31999607307451</v>
      </c>
      <c r="AM103" s="35">
        <v>0.2563761782000018</v>
      </c>
    </row>
    <row r="104" spans="1:39" x14ac:dyDescent="0.25">
      <c r="A104" s="35" t="s">
        <v>353</v>
      </c>
      <c r="B104" s="35" t="s">
        <v>354</v>
      </c>
      <c r="C104" s="35">
        <v>0.70320000000000005</v>
      </c>
      <c r="D104" s="35">
        <v>103.44400594046181</v>
      </c>
      <c r="E104" s="35">
        <v>103.44400594046181</v>
      </c>
      <c r="F104" s="35">
        <v>32762.75</v>
      </c>
      <c r="G104" s="36">
        <v>-1.6515</v>
      </c>
      <c r="H104" s="35">
        <v>101.025218843448</v>
      </c>
      <c r="I104" s="36">
        <v>-1.651500000000006</v>
      </c>
      <c r="Q104" s="35">
        <v>-0.25025093844101909</v>
      </c>
      <c r="R104" s="35">
        <v>99.19221114929384</v>
      </c>
      <c r="S104" s="35">
        <v>100</v>
      </c>
      <c r="T104" s="35">
        <v>-0.80778885070616013</v>
      </c>
      <c r="U104" s="35">
        <v>-8.0778885070616011E-3</v>
      </c>
      <c r="V104" s="35">
        <v>-0.9847999999999999</v>
      </c>
      <c r="W104" s="35">
        <v>98.461767751699853</v>
      </c>
      <c r="X104" s="35">
        <v>-1.538232248300142</v>
      </c>
      <c r="AF104" s="35">
        <v>0.45290000000000002</v>
      </c>
      <c r="AG104" s="35">
        <v>102.6166410114246</v>
      </c>
      <c r="AH104" s="35">
        <v>102.6166410114246</v>
      </c>
      <c r="AI104" s="35"/>
      <c r="AJ104" s="35">
        <v>0</v>
      </c>
      <c r="AK104" s="35">
        <v>-1.0225</v>
      </c>
      <c r="AL104" s="35">
        <v>101.10946110772581</v>
      </c>
      <c r="AM104" s="35">
        <v>-1.022500000000004</v>
      </c>
    </row>
    <row r="105" spans="1:39" x14ac:dyDescent="0.25">
      <c r="A105" s="35" t="s">
        <v>354</v>
      </c>
      <c r="B105" s="35" t="s">
        <v>355</v>
      </c>
      <c r="C105" s="35">
        <v>1.1587000000000001</v>
      </c>
      <c r="D105" s="35">
        <v>104.642611637294</v>
      </c>
      <c r="E105" s="35">
        <v>104.642611637294</v>
      </c>
      <c r="F105" s="35">
        <v>33031.35</v>
      </c>
      <c r="G105" s="36">
        <v>-0.1951</v>
      </c>
      <c r="H105" s="35">
        <v>103.242186684872</v>
      </c>
      <c r="I105" s="36">
        <v>-0.1951000000000036</v>
      </c>
      <c r="Q105" s="35">
        <v>-1.060408850777123</v>
      </c>
      <c r="R105" s="35">
        <v>98.140368162985197</v>
      </c>
      <c r="S105" s="35">
        <v>100</v>
      </c>
      <c r="T105" s="35">
        <v>-1.8596318370148031</v>
      </c>
      <c r="U105" s="35">
        <v>-1.8596318370148031E-2</v>
      </c>
      <c r="V105" s="35">
        <v>-1.1676</v>
      </c>
      <c r="W105" s="35">
        <v>98.03404289191468</v>
      </c>
      <c r="X105" s="35">
        <v>-1.965957108085314</v>
      </c>
      <c r="AF105" s="35">
        <v>9.8299999999999998E-2</v>
      </c>
      <c r="AG105" s="35">
        <v>102.7175131695388</v>
      </c>
      <c r="AH105" s="35">
        <v>102.7175131695388</v>
      </c>
      <c r="AI105" s="35"/>
      <c r="AJ105" s="35">
        <v>0</v>
      </c>
      <c r="AK105" s="35">
        <v>8.0500000000000002E-2</v>
      </c>
      <c r="AL105" s="35">
        <v>102.6992474074387</v>
      </c>
      <c r="AM105" s="35">
        <v>8.0499999999994465E-2</v>
      </c>
    </row>
    <row r="106" spans="1:39" x14ac:dyDescent="0.25">
      <c r="A106" s="35" t="s">
        <v>355</v>
      </c>
      <c r="B106" s="35" t="s">
        <v>356</v>
      </c>
      <c r="C106" s="35">
        <v>0.92249999999999999</v>
      </c>
      <c r="D106" s="35">
        <v>105.607939729648</v>
      </c>
      <c r="E106" s="35">
        <v>105.607939729648</v>
      </c>
      <c r="F106" s="35">
        <v>33425.1</v>
      </c>
      <c r="G106" s="36">
        <v>-4.3999999999999997E-2</v>
      </c>
      <c r="H106" s="35">
        <v>104.59656888817361</v>
      </c>
      <c r="I106" s="36">
        <v>-4.3999999999988493E-2</v>
      </c>
      <c r="Q106" s="35">
        <v>-0.1054091089686935</v>
      </c>
      <c r="R106" s="35">
        <v>98.036919275366003</v>
      </c>
      <c r="S106" s="35">
        <v>100</v>
      </c>
      <c r="T106" s="35">
        <v>-1.963080724633997</v>
      </c>
      <c r="U106" s="35">
        <v>-1.9630807246339969E-2</v>
      </c>
      <c r="V106" s="35">
        <v>-0.81299999999999994</v>
      </c>
      <c r="W106" s="35">
        <v>97.342486969820129</v>
      </c>
      <c r="X106" s="35">
        <v>-2.65751303017987</v>
      </c>
      <c r="AF106" s="35">
        <v>0.81710000000000005</v>
      </c>
      <c r="AG106" s="35">
        <v>103.5568179696471</v>
      </c>
      <c r="AH106" s="35">
        <v>103.5568179696471</v>
      </c>
      <c r="AI106" s="35"/>
      <c r="AJ106" s="35">
        <v>0</v>
      </c>
      <c r="AK106" s="35">
        <v>0.113</v>
      </c>
      <c r="AL106" s="35">
        <v>102.83358395942039</v>
      </c>
      <c r="AM106" s="35">
        <v>0.1130000000000075</v>
      </c>
    </row>
    <row r="107" spans="1:39" x14ac:dyDescent="0.25">
      <c r="A107" s="35" t="s">
        <v>356</v>
      </c>
      <c r="B107" s="35" t="s">
        <v>357</v>
      </c>
      <c r="C107" s="35">
        <v>1.7458</v>
      </c>
      <c r="D107" s="35">
        <v>107.4516431414482</v>
      </c>
      <c r="E107" s="35">
        <v>107.4516431414482</v>
      </c>
      <c r="F107" s="35">
        <v>33761.300000000003</v>
      </c>
      <c r="G107" s="36">
        <v>2.35E-2</v>
      </c>
      <c r="H107" s="35">
        <v>105.63275759548451</v>
      </c>
      <c r="I107" s="36">
        <v>2.3499999999998519E-2</v>
      </c>
      <c r="Q107" s="35">
        <v>-0.66605878798342533</v>
      </c>
      <c r="R107" s="35">
        <v>97.383935759064215</v>
      </c>
      <c r="S107" s="35">
        <v>100</v>
      </c>
      <c r="T107" s="35">
        <v>-2.6160642409357848</v>
      </c>
      <c r="U107" s="35">
        <v>-2.6160642409357851E-2</v>
      </c>
      <c r="V107" s="35">
        <v>-0.71360000000000001</v>
      </c>
      <c r="W107" s="35">
        <v>97.337327819416984</v>
      </c>
      <c r="X107" s="35">
        <v>-2.662672180583014</v>
      </c>
      <c r="AF107" s="35">
        <v>1.0797000000000001</v>
      </c>
      <c r="AG107" s="35">
        <v>104.6749209332654</v>
      </c>
      <c r="AH107" s="35">
        <v>104.6749209332654</v>
      </c>
      <c r="AI107" s="35"/>
      <c r="AJ107" s="35">
        <v>0</v>
      </c>
      <c r="AK107" s="35">
        <v>0.51180000000000003</v>
      </c>
      <c r="AL107" s="35">
        <v>104.0868217640157</v>
      </c>
      <c r="AM107" s="35">
        <v>0.51179999999999559</v>
      </c>
    </row>
    <row r="108" spans="1:39" x14ac:dyDescent="0.25">
      <c r="A108" s="35" t="s">
        <v>357</v>
      </c>
      <c r="B108" s="35" t="s">
        <v>358</v>
      </c>
      <c r="C108" s="35">
        <v>1.1720999999999999</v>
      </c>
      <c r="D108" s="35">
        <v>108.7110838507091</v>
      </c>
      <c r="E108" s="35">
        <v>108.7110838507091</v>
      </c>
      <c r="F108" s="35">
        <v>34390.1</v>
      </c>
      <c r="G108" s="36">
        <v>-0.95240000000000002</v>
      </c>
      <c r="H108" s="35">
        <v>106.428273692169</v>
      </c>
      <c r="I108" s="36">
        <v>-0.95239999999999769</v>
      </c>
      <c r="Q108" s="35">
        <v>0.1634056732740943</v>
      </c>
      <c r="R108" s="35">
        <v>97.543066634952112</v>
      </c>
      <c r="S108" s="35">
        <v>100</v>
      </c>
      <c r="T108" s="35">
        <v>-2.4569333650478882</v>
      </c>
      <c r="U108" s="35">
        <v>-2.4569333650478881E-2</v>
      </c>
      <c r="V108" s="35">
        <v>-0.2427</v>
      </c>
      <c r="W108" s="35">
        <v>97.147584946976977</v>
      </c>
      <c r="X108" s="35">
        <v>-2.852415053023027</v>
      </c>
      <c r="AF108" s="35">
        <v>1.3354999999999999</v>
      </c>
      <c r="AG108" s="35">
        <v>106.07285450232909</v>
      </c>
      <c r="AH108" s="35">
        <v>106.07285450232909</v>
      </c>
      <c r="AI108" s="35"/>
      <c r="AJ108" s="35">
        <v>0</v>
      </c>
      <c r="AK108" s="35">
        <v>-0.30059999999999998</v>
      </c>
      <c r="AL108" s="35">
        <v>104.36026812094001</v>
      </c>
      <c r="AM108" s="35">
        <v>-0.30059999999999532</v>
      </c>
    </row>
    <row r="109" spans="1:39" x14ac:dyDescent="0.25">
      <c r="A109" s="35" t="s">
        <v>358</v>
      </c>
      <c r="B109" s="35" t="s">
        <v>359</v>
      </c>
      <c r="C109" s="35">
        <v>2.1257000000000001</v>
      </c>
      <c r="D109" s="35">
        <v>111.0219553601237</v>
      </c>
      <c r="E109" s="35">
        <v>111.0219553601237</v>
      </c>
      <c r="F109" s="35">
        <v>34833.300000000003</v>
      </c>
      <c r="G109" s="36">
        <v>-0.1396</v>
      </c>
      <c r="H109" s="35">
        <v>108.5593231776535</v>
      </c>
      <c r="I109" s="36">
        <v>-0.13960000000000641</v>
      </c>
      <c r="Q109" s="35">
        <v>-6.1314039848794346E-3</v>
      </c>
      <c r="R109" s="35">
        <v>97.537085875477487</v>
      </c>
      <c r="S109" s="35">
        <v>100</v>
      </c>
      <c r="T109" s="35">
        <v>-2.4629141245225128</v>
      </c>
      <c r="U109" s="35">
        <v>-2.4629141245225129E-2</v>
      </c>
      <c r="V109" s="35">
        <v>-0.45369999999999999</v>
      </c>
      <c r="W109" s="35">
        <v>97.100513741629328</v>
      </c>
      <c r="X109" s="35">
        <v>-2.899486258370676</v>
      </c>
      <c r="AF109" s="35">
        <v>2.1196000000000002</v>
      </c>
      <c r="AG109" s="35">
        <v>108.3211747263605</v>
      </c>
      <c r="AH109" s="35">
        <v>108.3211747263605</v>
      </c>
      <c r="AI109" s="35"/>
      <c r="AJ109" s="35">
        <v>0</v>
      </c>
      <c r="AK109" s="35">
        <v>0.2858</v>
      </c>
      <c r="AL109" s="35">
        <v>106.37601072049679</v>
      </c>
      <c r="AM109" s="35">
        <v>0.28580000000000272</v>
      </c>
    </row>
    <row r="110" spans="1:39" x14ac:dyDescent="0.25">
      <c r="A110" s="35" t="s">
        <v>359</v>
      </c>
      <c r="B110" s="35" t="s">
        <v>360</v>
      </c>
      <c r="C110" s="35">
        <v>-2.3203</v>
      </c>
      <c r="D110" s="35">
        <v>108.4459129299027</v>
      </c>
      <c r="E110" s="35">
        <v>111.0219553601237</v>
      </c>
      <c r="F110" s="35">
        <v>35614.400000000001</v>
      </c>
      <c r="G110" s="36">
        <v>-2.4110999999999998</v>
      </c>
      <c r="H110" s="35">
        <v>108.3451049944357</v>
      </c>
      <c r="I110" s="36">
        <v>-2.4110999999999989</v>
      </c>
      <c r="Q110" s="35">
        <v>0.41046092003701568</v>
      </c>
      <c r="R110" s="35">
        <v>97.937437495539271</v>
      </c>
      <c r="S110" s="35">
        <v>100</v>
      </c>
      <c r="T110" s="35">
        <v>-2.062562504460729</v>
      </c>
      <c r="U110" s="35">
        <v>-2.0625625044607292E-2</v>
      </c>
      <c r="V110" s="35">
        <v>-7.1400000000000005E-2</v>
      </c>
      <c r="W110" s="35">
        <v>97.467444396162392</v>
      </c>
      <c r="X110" s="35">
        <v>-2.5325556038376051</v>
      </c>
      <c r="AF110" s="35">
        <v>-1.9097999999999999</v>
      </c>
      <c r="AG110" s="35">
        <v>106.2524569314364</v>
      </c>
      <c r="AH110" s="35">
        <v>108.3211747263605</v>
      </c>
      <c r="AI110" s="35">
        <v>-2.068717794924027</v>
      </c>
      <c r="AJ110" s="35">
        <v>-1.9097999999999948E-2</v>
      </c>
      <c r="AK110" s="35">
        <v>-1.9672000000000001</v>
      </c>
      <c r="AL110" s="35">
        <v>106.1902805771435</v>
      </c>
      <c r="AM110" s="35">
        <v>-1.9672000000000021</v>
      </c>
    </row>
    <row r="111" spans="1:39" x14ac:dyDescent="0.25">
      <c r="A111" s="35" t="s">
        <v>360</v>
      </c>
      <c r="B111" s="35" t="s">
        <v>361</v>
      </c>
      <c r="C111" s="35">
        <v>1.3615999999999999</v>
      </c>
      <c r="D111" s="35">
        <v>109.9225124803563</v>
      </c>
      <c r="E111" s="35">
        <v>111.0219553601237</v>
      </c>
      <c r="F111" s="35">
        <v>34799.9</v>
      </c>
      <c r="G111" s="36">
        <v>-0.45250000000000001</v>
      </c>
      <c r="H111" s="35">
        <v>107.95519517389489</v>
      </c>
      <c r="I111" s="36">
        <v>-2.7623006425000041</v>
      </c>
      <c r="Q111" s="35">
        <v>-0.20813800862553911</v>
      </c>
      <c r="R111" s="35">
        <v>97.733592463437176</v>
      </c>
      <c r="S111" s="35">
        <v>100</v>
      </c>
      <c r="T111" s="35">
        <v>-2.266407536562824</v>
      </c>
      <c r="U111" s="35">
        <v>-2.2664075365628231E-2</v>
      </c>
      <c r="V111" s="35">
        <v>-0.26200000000000001</v>
      </c>
      <c r="W111" s="35">
        <v>97.680841409300967</v>
      </c>
      <c r="X111" s="35">
        <v>-2.3191585906990331</v>
      </c>
      <c r="AF111" s="35">
        <v>1.1535</v>
      </c>
      <c r="AG111" s="35">
        <v>107.47807902214061</v>
      </c>
      <c r="AH111" s="35">
        <v>108.3211747263605</v>
      </c>
      <c r="AI111" s="35">
        <v>-0.84309570421990543</v>
      </c>
      <c r="AJ111" s="35">
        <v>-7.7832954299999306E-3</v>
      </c>
      <c r="AK111" s="35">
        <v>-0.29039999999999999</v>
      </c>
      <c r="AL111" s="35">
        <v>105.94389979650759</v>
      </c>
      <c r="AM111" s="35">
        <v>-2.194653940799995</v>
      </c>
    </row>
    <row r="112" spans="1:39" x14ac:dyDescent="0.25">
      <c r="A112" s="35" t="s">
        <v>361</v>
      </c>
      <c r="B112" s="35" t="s">
        <v>362</v>
      </c>
      <c r="C112" s="35">
        <v>1.2459</v>
      </c>
      <c r="D112" s="35">
        <v>111.292037063349</v>
      </c>
      <c r="E112" s="35">
        <v>111.292037063349</v>
      </c>
      <c r="F112" s="35">
        <v>35296.949999999997</v>
      </c>
      <c r="G112" s="36">
        <v>0.18840000000000001</v>
      </c>
      <c r="H112" s="35">
        <v>110.1296064938692</v>
      </c>
      <c r="I112" s="36">
        <v>-0.80375891719784986</v>
      </c>
      <c r="Q112" s="35">
        <v>-1.9226885754673859</v>
      </c>
      <c r="R112" s="35">
        <v>95.854479846748816</v>
      </c>
      <c r="S112" s="35">
        <v>100</v>
      </c>
      <c r="T112" s="35">
        <v>-4.1455201532511836</v>
      </c>
      <c r="U112" s="35">
        <v>-4.1455201532511837E-2</v>
      </c>
      <c r="V112" s="35">
        <v>-2.0021</v>
      </c>
      <c r="W112" s="35">
        <v>95.776868208726711</v>
      </c>
      <c r="X112" s="35">
        <v>-4.2231317912732944</v>
      </c>
      <c r="AF112" s="35">
        <v>-0.67679999999999996</v>
      </c>
      <c r="AG112" s="35">
        <v>106.7506673833187</v>
      </c>
      <c r="AH112" s="35">
        <v>108.3211747263605</v>
      </c>
      <c r="AI112" s="35">
        <v>-1.570507343041754</v>
      </c>
      <c r="AJ112" s="35">
        <v>-1.44986180865297E-2</v>
      </c>
      <c r="AK112" s="35">
        <v>-0.67789999999999995</v>
      </c>
      <c r="AL112" s="35">
        <v>106.74948512444951</v>
      </c>
      <c r="AM112" s="35">
        <v>-1.450953247027986</v>
      </c>
    </row>
    <row r="113" spans="1:39" x14ac:dyDescent="0.25">
      <c r="A113" s="35" t="s">
        <v>362</v>
      </c>
      <c r="B113" s="35" t="s">
        <v>363</v>
      </c>
      <c r="C113" s="35">
        <v>-1.7899999999999999E-2</v>
      </c>
      <c r="D113" s="35">
        <v>111.2721157887147</v>
      </c>
      <c r="E113" s="35">
        <v>111.292037063349</v>
      </c>
      <c r="F113" s="35">
        <v>35754.35</v>
      </c>
      <c r="G113" s="36">
        <v>-0.2198</v>
      </c>
      <c r="H113" s="35">
        <v>111.0474171658838</v>
      </c>
      <c r="I113" s="36">
        <v>-0.2198000000000033</v>
      </c>
      <c r="Q113" s="35">
        <v>-0.78195637616244684</v>
      </c>
      <c r="R113" s="35">
        <v>95.104939629749808</v>
      </c>
      <c r="S113" s="35">
        <v>100</v>
      </c>
      <c r="T113" s="35">
        <v>-4.8950603702501922</v>
      </c>
      <c r="U113" s="35">
        <v>-4.895060370250192E-2</v>
      </c>
      <c r="V113" s="35">
        <v>-1.0241</v>
      </c>
      <c r="W113" s="35">
        <v>94.872834118638266</v>
      </c>
      <c r="X113" s="35">
        <v>-5.1271658813617282</v>
      </c>
      <c r="AF113" s="35">
        <v>-0.79990000000000006</v>
      </c>
      <c r="AG113" s="35">
        <v>105.89676879491959</v>
      </c>
      <c r="AH113" s="35">
        <v>108.3211747263605</v>
      </c>
      <c r="AI113" s="35">
        <v>-2.4244059314409161</v>
      </c>
      <c r="AJ113" s="35">
        <v>-2.2381643640455511E-2</v>
      </c>
      <c r="AK113" s="35">
        <v>-0.79990000000000006</v>
      </c>
      <c r="AL113" s="35">
        <v>105.89676879491959</v>
      </c>
      <c r="AM113" s="35">
        <v>-2.2381643640455469</v>
      </c>
    </row>
    <row r="114" spans="1:39" x14ac:dyDescent="0.25">
      <c r="A114" s="35" t="s">
        <v>363</v>
      </c>
      <c r="B114" s="35" t="s">
        <v>364</v>
      </c>
      <c r="C114" s="35">
        <v>0.69020000000000004</v>
      </c>
      <c r="D114" s="35">
        <v>112.04011593188839</v>
      </c>
      <c r="E114" s="35">
        <v>112.04011593188839</v>
      </c>
      <c r="F114" s="35">
        <v>35771.800000000003</v>
      </c>
      <c r="G114" s="36">
        <v>2.5499999999999998E-2</v>
      </c>
      <c r="H114" s="35">
        <v>111.30049017824081</v>
      </c>
      <c r="I114" s="36">
        <v>7.5954354999741014E-3</v>
      </c>
      <c r="Q114" s="35">
        <v>1.0830883490639031E-2</v>
      </c>
      <c r="R114" s="35">
        <v>95.115240334954947</v>
      </c>
      <c r="S114" s="35">
        <v>100</v>
      </c>
      <c r="T114" s="35">
        <v>-4.8847596650450527</v>
      </c>
      <c r="U114" s="35">
        <v>-4.8847596650450527E-2</v>
      </c>
      <c r="V114" s="35">
        <v>-0.15160000000000001</v>
      </c>
      <c r="W114" s="35">
        <v>94.960760541271114</v>
      </c>
      <c r="X114" s="35">
        <v>-5.0392394587288836</v>
      </c>
      <c r="AF114" s="35">
        <v>0.70099999999999996</v>
      </c>
      <c r="AG114" s="35">
        <v>106.63910514417189</v>
      </c>
      <c r="AH114" s="35">
        <v>108.3211747263605</v>
      </c>
      <c r="AI114" s="35">
        <v>-1.6820695821885321</v>
      </c>
      <c r="AJ114" s="35">
        <v>-1.5528538962375131E-2</v>
      </c>
      <c r="AK114" s="35">
        <v>0.26300000000000001</v>
      </c>
      <c r="AL114" s="35">
        <v>106.1752772968502</v>
      </c>
      <c r="AM114" s="35">
        <v>-1.9810507363229981</v>
      </c>
    </row>
    <row r="115" spans="1:39" x14ac:dyDescent="0.25">
      <c r="A115" s="35" t="s">
        <v>364</v>
      </c>
      <c r="B115" s="35" t="s">
        <v>365</v>
      </c>
      <c r="C115" s="35">
        <v>0.94789999999999996</v>
      </c>
      <c r="D115" s="35">
        <v>113.1021441908068</v>
      </c>
      <c r="E115" s="35">
        <v>113.1021441908068</v>
      </c>
      <c r="F115" s="35">
        <v>36024.65</v>
      </c>
      <c r="G115" s="36">
        <v>-0.61809999999999998</v>
      </c>
      <c r="H115" s="35">
        <v>111.3475959753134</v>
      </c>
      <c r="I115" s="36">
        <v>-0.61809999999999921</v>
      </c>
      <c r="Q115" s="35">
        <v>0.1025852514369667</v>
      </c>
      <c r="R115" s="35">
        <v>95.212814543407433</v>
      </c>
      <c r="S115" s="35">
        <v>100</v>
      </c>
      <c r="T115" s="35">
        <v>-4.7871854565925673</v>
      </c>
      <c r="U115" s="35">
        <v>-4.7871854565925673E-2</v>
      </c>
      <c r="V115" s="35">
        <v>-0.70550000000000002</v>
      </c>
      <c r="W115" s="35">
        <v>94.444202314391831</v>
      </c>
      <c r="X115" s="35">
        <v>-5.5557976856081659</v>
      </c>
      <c r="AF115" s="35">
        <v>1.0505</v>
      </c>
      <c r="AG115" s="35">
        <v>107.7593489437115</v>
      </c>
      <c r="AH115" s="35">
        <v>108.3211747263605</v>
      </c>
      <c r="AI115" s="35">
        <v>-0.5618257826490094</v>
      </c>
      <c r="AJ115" s="35">
        <v>-5.1866662641749071E-3</v>
      </c>
      <c r="AK115" s="35">
        <v>-0.11</v>
      </c>
      <c r="AL115" s="35">
        <v>106.5218021285133</v>
      </c>
      <c r="AM115" s="35">
        <v>-1.6611457569516539</v>
      </c>
    </row>
    <row r="116" spans="1:39" x14ac:dyDescent="0.25">
      <c r="A116" s="35" t="s">
        <v>365</v>
      </c>
      <c r="B116" s="35" t="s">
        <v>366</v>
      </c>
      <c r="C116" s="35">
        <v>0.55689999999999995</v>
      </c>
      <c r="D116" s="35">
        <v>113.7320100318053</v>
      </c>
      <c r="E116" s="35">
        <v>113.7320100318053</v>
      </c>
      <c r="F116" s="35">
        <v>36408.15</v>
      </c>
      <c r="G116" s="36">
        <v>-1.1231</v>
      </c>
      <c r="H116" s="35">
        <v>111.8318940093998</v>
      </c>
      <c r="I116" s="36">
        <v>-1.1230999999999991</v>
      </c>
      <c r="Q116" s="35">
        <v>-1.418673875249558</v>
      </c>
      <c r="R116" s="35">
        <v>93.86205521759031</v>
      </c>
      <c r="S116" s="35">
        <v>100</v>
      </c>
      <c r="T116" s="35">
        <v>-6.13794478240969</v>
      </c>
      <c r="U116" s="35">
        <v>-6.1379447824096899E-2</v>
      </c>
      <c r="V116" s="35">
        <v>-1.5159</v>
      </c>
      <c r="W116" s="35">
        <v>93.769483487743912</v>
      </c>
      <c r="X116" s="35">
        <v>-6.2305165122560897</v>
      </c>
      <c r="AF116" s="35">
        <v>-0.86180000000000001</v>
      </c>
      <c r="AG116" s="35">
        <v>106.8306788745145</v>
      </c>
      <c r="AH116" s="35">
        <v>108.3211747263605</v>
      </c>
      <c r="AI116" s="35">
        <v>-1.490495851845921</v>
      </c>
      <c r="AJ116" s="35">
        <v>-1.3759967574310311E-2</v>
      </c>
      <c r="AK116" s="35">
        <v>-1.0538000000000001</v>
      </c>
      <c r="AL116" s="35">
        <v>106.6237809245426</v>
      </c>
      <c r="AM116" s="35">
        <v>-1.5670009175083099</v>
      </c>
    </row>
    <row r="117" spans="1:39" x14ac:dyDescent="0.25">
      <c r="A117" s="35" t="s">
        <v>366</v>
      </c>
      <c r="B117" s="35" t="s">
        <v>367</v>
      </c>
      <c r="C117" s="35">
        <v>0.50639999999999996</v>
      </c>
      <c r="D117" s="35">
        <v>114.3079489306064</v>
      </c>
      <c r="E117" s="35">
        <v>114.3079489306064</v>
      </c>
      <c r="F117" s="35">
        <v>36641.25</v>
      </c>
      <c r="G117" s="36">
        <v>-0.64810000000000001</v>
      </c>
      <c r="H117" s="35">
        <v>112.99491287478919</v>
      </c>
      <c r="I117" s="36">
        <v>-0.6480999999999959</v>
      </c>
      <c r="Q117" s="35">
        <v>-0.44491906988070379</v>
      </c>
      <c r="R117" s="35">
        <v>93.444445034545296</v>
      </c>
      <c r="S117" s="35">
        <v>100</v>
      </c>
      <c r="T117" s="35">
        <v>-6.5555549654547036</v>
      </c>
      <c r="U117" s="35">
        <v>-6.5555549654547032E-2</v>
      </c>
      <c r="V117" s="35">
        <v>-0.56590000000000007</v>
      </c>
      <c r="W117" s="35">
        <v>93.330889847113966</v>
      </c>
      <c r="X117" s="35">
        <v>-6.6691101528860379</v>
      </c>
      <c r="AF117" s="35">
        <v>6.1499999999999999E-2</v>
      </c>
      <c r="AG117" s="35">
        <v>106.8963797420224</v>
      </c>
      <c r="AH117" s="35">
        <v>108.3211747263605</v>
      </c>
      <c r="AI117" s="35">
        <v>-1.424794984338092</v>
      </c>
      <c r="AJ117" s="35">
        <v>-1.315342995436848E-2</v>
      </c>
      <c r="AK117" s="35">
        <v>-0.63139999999999996</v>
      </c>
      <c r="AL117" s="35">
        <v>106.15614996810091</v>
      </c>
      <c r="AM117" s="35">
        <v>-1.9987087139046069</v>
      </c>
    </row>
    <row r="118" spans="1:39" x14ac:dyDescent="0.25">
      <c r="A118" s="35" t="s">
        <v>367</v>
      </c>
      <c r="B118" s="35" t="s">
        <v>368</v>
      </c>
      <c r="C118" s="35">
        <v>0.23499999999999999</v>
      </c>
      <c r="D118" s="35">
        <v>114.5765726105933</v>
      </c>
      <c r="E118" s="35">
        <v>114.5765726105933</v>
      </c>
      <c r="F118" s="35">
        <v>36839</v>
      </c>
      <c r="G118" s="36">
        <v>5.0099999999999999E-2</v>
      </c>
      <c r="H118" s="35">
        <v>114.3652172130206</v>
      </c>
      <c r="I118" s="36">
        <v>5.0100000000008471E-2</v>
      </c>
      <c r="Q118" s="35">
        <v>-0.43260904092390767</v>
      </c>
      <c r="R118" s="35">
        <v>93.040195917084688</v>
      </c>
      <c r="S118" s="35">
        <v>100</v>
      </c>
      <c r="T118" s="35">
        <v>-6.9598040829153121</v>
      </c>
      <c r="U118" s="35">
        <v>-6.9598040829153121E-2</v>
      </c>
      <c r="V118" s="35">
        <v>-0.48459999999999998</v>
      </c>
      <c r="W118" s="35">
        <v>92.991613253907886</v>
      </c>
      <c r="X118" s="35">
        <v>-7.0083867460921114</v>
      </c>
      <c r="AF118" s="35">
        <v>-0.1976</v>
      </c>
      <c r="AG118" s="35">
        <v>106.6851524956521</v>
      </c>
      <c r="AH118" s="35">
        <v>108.3211747263605</v>
      </c>
      <c r="AI118" s="35">
        <v>-1.636022230708321</v>
      </c>
      <c r="AJ118" s="35">
        <v>-1.5103438776778579E-2</v>
      </c>
      <c r="AK118" s="35">
        <v>-0.1976</v>
      </c>
      <c r="AL118" s="35">
        <v>106.6851524956521</v>
      </c>
      <c r="AM118" s="35">
        <v>-1.5103438776778551</v>
      </c>
    </row>
    <row r="119" spans="1:39" x14ac:dyDescent="0.25">
      <c r="A119" s="35" t="s">
        <v>368</v>
      </c>
      <c r="B119" s="35" t="s">
        <v>369</v>
      </c>
      <c r="C119" s="35">
        <v>-0.37459999999999999</v>
      </c>
      <c r="D119" s="35">
        <v>114.147368769594</v>
      </c>
      <c r="E119" s="35">
        <v>114.5765726105933</v>
      </c>
      <c r="F119" s="35">
        <v>36931.699999999997</v>
      </c>
      <c r="G119" s="36">
        <v>-0.503</v>
      </c>
      <c r="H119" s="35">
        <v>114.0002524503621</v>
      </c>
      <c r="I119" s="36">
        <v>-0.50299999999999789</v>
      </c>
      <c r="Q119" s="35">
        <v>0.96150236621678109</v>
      </c>
      <c r="R119" s="35">
        <v>93.93477960236018</v>
      </c>
      <c r="S119" s="35">
        <v>100</v>
      </c>
      <c r="T119" s="35">
        <v>-6.0652203976398198</v>
      </c>
      <c r="U119" s="35">
        <v>-6.06522039763982E-2</v>
      </c>
      <c r="V119" s="35">
        <v>0.24879999999999999</v>
      </c>
      <c r="W119" s="35">
        <v>93.271679924526396</v>
      </c>
      <c r="X119" s="35">
        <v>-6.7283200754736043</v>
      </c>
      <c r="AF119" s="35">
        <v>0.58689999999999998</v>
      </c>
      <c r="AG119" s="35">
        <v>107.3112876556491</v>
      </c>
      <c r="AH119" s="35">
        <v>108.3211747263605</v>
      </c>
      <c r="AI119" s="35">
        <v>-1.009887070711343</v>
      </c>
      <c r="AJ119" s="35">
        <v>-9.3230808589595416E-3</v>
      </c>
      <c r="AK119" s="35">
        <v>0.109</v>
      </c>
      <c r="AL119" s="35">
        <v>106.8014393118724</v>
      </c>
      <c r="AM119" s="35">
        <v>-1.4029901525045241</v>
      </c>
    </row>
    <row r="120" spans="1:39" x14ac:dyDescent="0.25">
      <c r="A120" s="35" t="s">
        <v>369</v>
      </c>
      <c r="B120" s="35" t="s">
        <v>370</v>
      </c>
      <c r="C120" s="35">
        <v>0.59770000000000001</v>
      </c>
      <c r="D120" s="35">
        <v>114.82962759272991</v>
      </c>
      <c r="E120" s="35">
        <v>114.82962759272991</v>
      </c>
      <c r="F120" s="35">
        <v>36799.5</v>
      </c>
      <c r="G120" s="36">
        <v>-0.45829999999999999</v>
      </c>
      <c r="H120" s="35">
        <v>113.62423137852301</v>
      </c>
      <c r="I120" s="36">
        <v>-0.83118320820000369</v>
      </c>
      <c r="Q120" s="35">
        <v>0.1296530767282856</v>
      </c>
      <c r="R120" s="35">
        <v>94.056568934232558</v>
      </c>
      <c r="S120" s="35">
        <v>100</v>
      </c>
      <c r="T120" s="35">
        <v>-5.9434310657674416</v>
      </c>
      <c r="U120" s="35">
        <v>-5.9434310657674419E-2</v>
      </c>
      <c r="V120" s="35">
        <v>-0.4662</v>
      </c>
      <c r="W120" s="35">
        <v>93.496855659853978</v>
      </c>
      <c r="X120" s="35">
        <v>-6.5031443401460276</v>
      </c>
      <c r="AF120" s="35">
        <v>0.72740000000000005</v>
      </c>
      <c r="AG120" s="35">
        <v>108.09186996205629</v>
      </c>
      <c r="AH120" s="35">
        <v>108.3211747263605</v>
      </c>
      <c r="AI120" s="35">
        <v>-0.22930476430414609</v>
      </c>
      <c r="AJ120" s="35">
        <v>-2.1168969491275631E-3</v>
      </c>
      <c r="AK120" s="35">
        <v>0.315</v>
      </c>
      <c r="AL120" s="35">
        <v>107.6493182117644</v>
      </c>
      <c r="AM120" s="35">
        <v>-0.62024485636652527</v>
      </c>
    </row>
    <row r="121" spans="1:39" x14ac:dyDescent="0.25">
      <c r="A121" s="35" t="s">
        <v>370</v>
      </c>
      <c r="B121" s="35" t="s">
        <v>371</v>
      </c>
      <c r="C121" s="35">
        <v>0.37619999999999998</v>
      </c>
      <c r="D121" s="35">
        <v>115.2616166517337</v>
      </c>
      <c r="E121" s="35">
        <v>115.2616166517337</v>
      </c>
      <c r="F121" s="35">
        <v>37050.1</v>
      </c>
      <c r="G121" s="36">
        <v>-0.59130000000000005</v>
      </c>
      <c r="H121" s="35">
        <v>114.1506400047741</v>
      </c>
      <c r="I121" s="36">
        <v>-0.59129999999999461</v>
      </c>
      <c r="Q121" s="35">
        <v>1.1909516995899549</v>
      </c>
      <c r="R121" s="35">
        <v>95.176737240530798</v>
      </c>
      <c r="S121" s="35">
        <v>100</v>
      </c>
      <c r="T121" s="35">
        <v>-4.8232627594692019</v>
      </c>
      <c r="U121" s="35">
        <v>-4.8232627594692018E-2</v>
      </c>
      <c r="V121" s="35">
        <v>-0.46850000000000003</v>
      </c>
      <c r="W121" s="35">
        <v>93.615913908775667</v>
      </c>
      <c r="X121" s="35">
        <v>-6.3840860912243276</v>
      </c>
      <c r="AF121" s="35">
        <v>1.5671999999999999</v>
      </c>
      <c r="AG121" s="35">
        <v>109.78588574810171</v>
      </c>
      <c r="AH121" s="35">
        <v>109.78588574810171</v>
      </c>
      <c r="AI121" s="35"/>
      <c r="AJ121" s="35">
        <v>0</v>
      </c>
      <c r="AK121" s="35">
        <v>0.92149999999999999</v>
      </c>
      <c r="AL121" s="35">
        <v>109.0879365437567</v>
      </c>
      <c r="AM121" s="35">
        <v>0.70785958454862019</v>
      </c>
    </row>
    <row r="122" spans="1:39" x14ac:dyDescent="0.25">
      <c r="A122" s="35" t="s">
        <v>371</v>
      </c>
      <c r="B122" s="35" t="s">
        <v>372</v>
      </c>
      <c r="C122" s="35">
        <v>2.0434999999999999</v>
      </c>
      <c r="D122" s="35">
        <v>117.6169877880119</v>
      </c>
      <c r="E122" s="35">
        <v>117.6169877880119</v>
      </c>
      <c r="F122" s="35">
        <v>37232.699999999997</v>
      </c>
      <c r="G122" s="36">
        <v>-0.37069999999999997</v>
      </c>
      <c r="H122" s="35">
        <v>114.8343418388058</v>
      </c>
      <c r="I122" s="36">
        <v>-0.37070000000000158</v>
      </c>
      <c r="Q122" s="35">
        <v>-0.52236570208254918</v>
      </c>
      <c r="R122" s="35">
        <v>94.679566608825041</v>
      </c>
      <c r="S122" s="35">
        <v>100</v>
      </c>
      <c r="T122" s="35">
        <v>-5.3204333911749586</v>
      </c>
      <c r="U122" s="35">
        <v>-5.3204333911749592E-2</v>
      </c>
      <c r="V122" s="35">
        <v>-0.64270000000000005</v>
      </c>
      <c r="W122" s="35">
        <v>94.565036350285908</v>
      </c>
      <c r="X122" s="35">
        <v>-5.4349636497140974</v>
      </c>
      <c r="AF122" s="35">
        <v>1.5210999999999999</v>
      </c>
      <c r="AG122" s="35">
        <v>111.455838856216</v>
      </c>
      <c r="AH122" s="35">
        <v>111.455838856216</v>
      </c>
      <c r="AI122" s="35"/>
      <c r="AJ122" s="35">
        <v>0</v>
      </c>
      <c r="AK122" s="35">
        <v>0.92830000000000001</v>
      </c>
      <c r="AL122" s="35">
        <v>110.80502812550129</v>
      </c>
      <c r="AM122" s="35">
        <v>0.92829999999999302</v>
      </c>
    </row>
    <row r="123" spans="1:39" x14ac:dyDescent="0.25">
      <c r="A123" s="35" t="s">
        <v>372</v>
      </c>
      <c r="B123" s="35" t="s">
        <v>373</v>
      </c>
      <c r="C123" s="35">
        <v>-0.56140000000000001</v>
      </c>
      <c r="D123" s="35">
        <v>116.95668601857</v>
      </c>
      <c r="E123" s="35">
        <v>117.6169877880119</v>
      </c>
      <c r="F123" s="35">
        <v>38037</v>
      </c>
      <c r="G123" s="36">
        <v>-0.67930000000000001</v>
      </c>
      <c r="H123" s="35">
        <v>116.818015589968</v>
      </c>
      <c r="I123" s="36">
        <v>-0.6793000000000049</v>
      </c>
      <c r="Q123" s="35">
        <v>1.0686334683981451</v>
      </c>
      <c r="R123" s="35">
        <v>95.691344145341262</v>
      </c>
      <c r="S123" s="35">
        <v>100</v>
      </c>
      <c r="T123" s="35">
        <v>-4.3086558546587383</v>
      </c>
      <c r="U123" s="35">
        <v>-4.3086558546587377E-2</v>
      </c>
      <c r="V123" s="35">
        <v>4.8599999999999997E-2</v>
      </c>
      <c r="W123" s="35">
        <v>94.725580878196922</v>
      </c>
      <c r="X123" s="35">
        <v>-5.274419121803076</v>
      </c>
      <c r="AF123" s="35">
        <v>0.50719999999999998</v>
      </c>
      <c r="AG123" s="35">
        <v>112.02114287089481</v>
      </c>
      <c r="AH123" s="35">
        <v>112.02114287089481</v>
      </c>
      <c r="AI123" s="35"/>
      <c r="AJ123" s="35">
        <v>0</v>
      </c>
      <c r="AK123" s="35">
        <v>0.36559999999999998</v>
      </c>
      <c r="AL123" s="35">
        <v>111.86332140307439</v>
      </c>
      <c r="AM123" s="35">
        <v>0.36560000000001042</v>
      </c>
    </row>
    <row r="124" spans="1:39" x14ac:dyDescent="0.25">
      <c r="A124" s="35" t="s">
        <v>373</v>
      </c>
      <c r="B124" s="35" t="s">
        <v>374</v>
      </c>
      <c r="C124" s="35">
        <v>-0.17449999999999999</v>
      </c>
      <c r="D124" s="35">
        <v>116.7525966014676</v>
      </c>
      <c r="E124" s="35">
        <v>117.6169877880119</v>
      </c>
      <c r="F124" s="35">
        <v>37836.15</v>
      </c>
      <c r="G124" s="36">
        <v>-1.5755999999999999</v>
      </c>
      <c r="H124" s="35">
        <v>115.1139164736614</v>
      </c>
      <c r="I124" s="36">
        <v>-2.1281545816000058</v>
      </c>
      <c r="Q124" s="35">
        <v>0.28566575562452712</v>
      </c>
      <c r="R124" s="35">
        <v>95.964701546661317</v>
      </c>
      <c r="S124" s="35">
        <v>100</v>
      </c>
      <c r="T124" s="35">
        <v>-4.0352984533386831</v>
      </c>
      <c r="U124" s="35">
        <v>-4.0352984533386829E-2</v>
      </c>
      <c r="V124" s="35">
        <v>3.6299999999999999E-2</v>
      </c>
      <c r="W124" s="35">
        <v>95.726080103266014</v>
      </c>
      <c r="X124" s="35">
        <v>-4.2739198967339913</v>
      </c>
      <c r="AF124" s="35">
        <v>0.11119999999999999</v>
      </c>
      <c r="AG124" s="35">
        <v>112.1457103817672</v>
      </c>
      <c r="AH124" s="35">
        <v>112.1457103817672</v>
      </c>
      <c r="AI124" s="35"/>
      <c r="AJ124" s="35">
        <v>0</v>
      </c>
      <c r="AK124" s="35">
        <v>-0.2072</v>
      </c>
      <c r="AL124" s="35">
        <v>111.7890350628663</v>
      </c>
      <c r="AM124" s="35">
        <v>-0.2071999999999963</v>
      </c>
    </row>
    <row r="125" spans="1:39" x14ac:dyDescent="0.25">
      <c r="A125" s="35" t="s">
        <v>374</v>
      </c>
      <c r="B125" s="35" t="s">
        <v>375</v>
      </c>
      <c r="C125" s="35">
        <v>2.2456999999999998</v>
      </c>
      <c r="D125" s="35">
        <v>119.3745096633468</v>
      </c>
      <c r="E125" s="35">
        <v>119.3745096633468</v>
      </c>
      <c r="F125" s="35">
        <v>37801.65</v>
      </c>
      <c r="G125" s="36">
        <v>-0.26200000000000001</v>
      </c>
      <c r="H125" s="35">
        <v>116.4467047983718</v>
      </c>
      <c r="I125" s="36">
        <v>-0.99499486566466677</v>
      </c>
      <c r="Q125" s="35">
        <v>0.48831235550988961</v>
      </c>
      <c r="R125" s="35">
        <v>96.433309041241841</v>
      </c>
      <c r="S125" s="35">
        <v>100</v>
      </c>
      <c r="T125" s="35">
        <v>-3.566690958758159</v>
      </c>
      <c r="U125" s="35">
        <v>-3.5666909587581577E-2</v>
      </c>
      <c r="V125" s="35">
        <v>5.8299999999999998E-2</v>
      </c>
      <c r="W125" s="35">
        <v>96.020648967663021</v>
      </c>
      <c r="X125" s="35">
        <v>-3.9793510323369752</v>
      </c>
      <c r="AF125" s="35">
        <v>2.734</v>
      </c>
      <c r="AG125" s="35">
        <v>115.2117741036047</v>
      </c>
      <c r="AH125" s="35">
        <v>115.2117741036047</v>
      </c>
      <c r="AI125" s="35"/>
      <c r="AJ125" s="35">
        <v>0</v>
      </c>
      <c r="AK125" s="35">
        <v>1.0982000000000001</v>
      </c>
      <c r="AL125" s="35">
        <v>113.3772945731798</v>
      </c>
      <c r="AM125" s="35">
        <v>1.0982000000000049</v>
      </c>
    </row>
    <row r="126" spans="1:39" x14ac:dyDescent="0.25">
      <c r="A126" s="35" t="s">
        <v>375</v>
      </c>
      <c r="B126" s="35" t="s">
        <v>376</v>
      </c>
      <c r="C126" s="35">
        <v>0.87290000000000001</v>
      </c>
      <c r="D126" s="35">
        <v>120.4165297581981</v>
      </c>
      <c r="E126" s="35">
        <v>120.4165297581981</v>
      </c>
      <c r="F126" s="35">
        <v>38694.65</v>
      </c>
      <c r="G126" s="36">
        <v>-0.83289999999999997</v>
      </c>
      <c r="H126" s="35">
        <v>118.38023937236071</v>
      </c>
      <c r="I126" s="36">
        <v>-0.83290000000000308</v>
      </c>
      <c r="Q126" s="35">
        <v>0.9478502365768362</v>
      </c>
      <c r="R126" s="35">
        <v>97.347352389128133</v>
      </c>
      <c r="S126" s="35">
        <v>100</v>
      </c>
      <c r="T126" s="35">
        <v>-2.6526476108718668</v>
      </c>
      <c r="U126" s="35">
        <v>-2.652647610871867E-2</v>
      </c>
      <c r="V126" s="35">
        <v>-1.1242000000000001</v>
      </c>
      <c r="W126" s="35">
        <v>95.349205781000208</v>
      </c>
      <c r="X126" s="35">
        <v>-4.6507942189997884</v>
      </c>
      <c r="AF126" s="35">
        <v>1.8208</v>
      </c>
      <c r="AG126" s="35">
        <v>117.3095500864832</v>
      </c>
      <c r="AH126" s="35">
        <v>117.3095500864832</v>
      </c>
      <c r="AI126" s="35"/>
      <c r="AJ126" s="35">
        <v>0</v>
      </c>
      <c r="AK126" s="35">
        <v>-6.0400000000000002E-2</v>
      </c>
      <c r="AL126" s="35">
        <v>115.1421861920461</v>
      </c>
      <c r="AM126" s="35">
        <v>-6.0400000000004887E-2</v>
      </c>
    </row>
    <row r="127" spans="1:39" x14ac:dyDescent="0.25">
      <c r="A127" s="35" t="s">
        <v>376</v>
      </c>
      <c r="B127" s="35" t="s">
        <v>377</v>
      </c>
      <c r="C127" s="35">
        <v>2.9095</v>
      </c>
      <c r="D127" s="35">
        <v>123.9200486915129</v>
      </c>
      <c r="E127" s="35">
        <v>123.9200486915129</v>
      </c>
      <c r="F127" s="35">
        <v>39077.550000000003</v>
      </c>
      <c r="G127" s="36">
        <v>-0.30230000000000001</v>
      </c>
      <c r="H127" s="35">
        <v>120.0525105887391</v>
      </c>
      <c r="I127" s="36">
        <v>-0.30229999999999979</v>
      </c>
      <c r="Q127" s="35">
        <v>-1.151056082326094</v>
      </c>
      <c r="R127" s="35">
        <v>96.226829768469656</v>
      </c>
      <c r="S127" s="35">
        <v>100</v>
      </c>
      <c r="T127" s="35">
        <v>-3.7731702315303441</v>
      </c>
      <c r="U127" s="35">
        <v>-3.7731702315303442E-2</v>
      </c>
      <c r="V127" s="35">
        <v>-1.2154</v>
      </c>
      <c r="W127" s="35">
        <v>96.164192668190665</v>
      </c>
      <c r="X127" s="35">
        <v>-3.8358073318093382</v>
      </c>
      <c r="AF127" s="35">
        <v>1.7584</v>
      </c>
      <c r="AG127" s="35">
        <v>119.3723212152039</v>
      </c>
      <c r="AH127" s="35">
        <v>119.3723212152039</v>
      </c>
      <c r="AI127" s="35"/>
      <c r="AJ127" s="35">
        <v>0</v>
      </c>
      <c r="AK127" s="35">
        <v>0.14810000000000001</v>
      </c>
      <c r="AL127" s="35">
        <v>117.4832855301612</v>
      </c>
      <c r="AM127" s="35">
        <v>0.14810000000000659</v>
      </c>
    </row>
    <row r="128" spans="1:39" x14ac:dyDescent="0.25">
      <c r="A128" s="35" t="s">
        <v>377</v>
      </c>
      <c r="B128" s="35" t="s">
        <v>378</v>
      </c>
      <c r="C128" s="35">
        <v>5.91E-2</v>
      </c>
      <c r="D128" s="35">
        <v>123.9932854402896</v>
      </c>
      <c r="E128" s="35">
        <v>123.9932854402896</v>
      </c>
      <c r="F128" s="35">
        <v>40253.599999999999</v>
      </c>
      <c r="G128" s="36">
        <v>-0.2621</v>
      </c>
      <c r="H128" s="35">
        <v>123.5952542438925</v>
      </c>
      <c r="I128" s="36">
        <v>-0.26209999999999839</v>
      </c>
      <c r="Q128" s="35">
        <v>2.0178902574214931E-2</v>
      </c>
      <c r="R128" s="35">
        <v>96.246247286698889</v>
      </c>
      <c r="S128" s="35">
        <v>100</v>
      </c>
      <c r="T128" s="35">
        <v>-3.753752713301111</v>
      </c>
      <c r="U128" s="35">
        <v>-3.753752713301111E-2</v>
      </c>
      <c r="V128" s="35">
        <v>-4.9799999999999997E-2</v>
      </c>
      <c r="W128" s="35">
        <v>96.178908807244952</v>
      </c>
      <c r="X128" s="35">
        <v>-3.8210911927550439</v>
      </c>
      <c r="AF128" s="35">
        <v>7.9299999999999995E-2</v>
      </c>
      <c r="AG128" s="35">
        <v>119.4669834659275</v>
      </c>
      <c r="AH128" s="35">
        <v>119.4669834659275</v>
      </c>
      <c r="AI128" s="35"/>
      <c r="AJ128" s="35">
        <v>0</v>
      </c>
      <c r="AK128" s="35">
        <v>1.66E-2</v>
      </c>
      <c r="AL128" s="35">
        <v>119.3921370205256</v>
      </c>
      <c r="AM128" s="35">
        <v>1.660000000001105E-2</v>
      </c>
    </row>
    <row r="129" spans="1:39" x14ac:dyDescent="0.25">
      <c r="A129" s="35" t="s">
        <v>378</v>
      </c>
      <c r="B129" s="35" t="s">
        <v>379</v>
      </c>
      <c r="C129" s="35">
        <v>1.6886000000000001</v>
      </c>
      <c r="D129" s="35">
        <v>126.0870360582343</v>
      </c>
      <c r="E129" s="35">
        <v>126.0870360582343</v>
      </c>
      <c r="F129" s="35">
        <v>40284.1</v>
      </c>
      <c r="G129" s="36">
        <v>-1.67E-2</v>
      </c>
      <c r="H129" s="35">
        <v>123.97257856162101</v>
      </c>
      <c r="I129" s="36">
        <v>-1.670000000000282E-2</v>
      </c>
      <c r="Q129" s="35">
        <v>-0.90051272114445702</v>
      </c>
      <c r="R129" s="35">
        <v>95.379537586258024</v>
      </c>
      <c r="S129" s="35">
        <v>100</v>
      </c>
      <c r="T129" s="35">
        <v>-4.6204624137419756</v>
      </c>
      <c r="U129" s="35">
        <v>-4.6204624137419763E-2</v>
      </c>
      <c r="V129" s="35">
        <v>-1.1182000000000001</v>
      </c>
      <c r="W129" s="35">
        <v>95.170021749539018</v>
      </c>
      <c r="X129" s="35">
        <v>-4.8299782504609867</v>
      </c>
      <c r="AF129" s="35">
        <v>0.78810000000000002</v>
      </c>
      <c r="AG129" s="35">
        <v>120.4085027626225</v>
      </c>
      <c r="AH129" s="35">
        <v>120.4085027626225</v>
      </c>
      <c r="AI129" s="35"/>
      <c r="AJ129" s="35">
        <v>0</v>
      </c>
      <c r="AK129" s="35">
        <v>0.19159999999999999</v>
      </c>
      <c r="AL129" s="35">
        <v>119.6958822062483</v>
      </c>
      <c r="AM129" s="35">
        <v>0.19160000000000291</v>
      </c>
    </row>
    <row r="130" spans="1:39" x14ac:dyDescent="0.25">
      <c r="A130" s="35" t="s">
        <v>379</v>
      </c>
      <c r="B130" s="35" t="s">
        <v>380</v>
      </c>
      <c r="C130" s="35">
        <v>1.0883</v>
      </c>
      <c r="D130" s="35">
        <v>127.4592412716561</v>
      </c>
      <c r="E130" s="35">
        <v>127.4592412716561</v>
      </c>
      <c r="F130" s="35">
        <v>40977.75</v>
      </c>
      <c r="G130" s="36">
        <v>0.36699999999999999</v>
      </c>
      <c r="H130" s="35">
        <v>126.549775480568</v>
      </c>
      <c r="I130" s="36">
        <v>0.36700000000000621</v>
      </c>
      <c r="Q130" s="35">
        <v>-0.60267558697171275</v>
      </c>
      <c r="R130" s="35">
        <v>94.804708398259137</v>
      </c>
      <c r="S130" s="35">
        <v>100</v>
      </c>
      <c r="T130" s="35">
        <v>-5.1952916017408626</v>
      </c>
      <c r="U130" s="35">
        <v>-5.1952916017408618E-2</v>
      </c>
      <c r="V130" s="35">
        <v>-0.69420000000000004</v>
      </c>
      <c r="W130" s="35">
        <v>94.717412836334219</v>
      </c>
      <c r="X130" s="35">
        <v>-5.2825871636657862</v>
      </c>
      <c r="AF130" s="35">
        <v>0.48559999999999998</v>
      </c>
      <c r="AG130" s="35">
        <v>120.9932064520378</v>
      </c>
      <c r="AH130" s="35">
        <v>120.9932064520378</v>
      </c>
      <c r="AI130" s="35"/>
      <c r="AJ130" s="35">
        <v>0</v>
      </c>
      <c r="AK130" s="35">
        <v>0.26179999999999998</v>
      </c>
      <c r="AL130" s="35">
        <v>120.72373222285511</v>
      </c>
      <c r="AM130" s="35">
        <v>0.26180000000000092</v>
      </c>
    </row>
    <row r="131" spans="1:39" x14ac:dyDescent="0.25">
      <c r="A131" s="35" t="s">
        <v>380</v>
      </c>
      <c r="B131" s="35" t="s">
        <v>381</v>
      </c>
      <c r="C131" s="35">
        <v>-2.9266000000000001</v>
      </c>
      <c r="D131" s="35">
        <v>123.7290191165998</v>
      </c>
      <c r="E131" s="35">
        <v>127.4592412716561</v>
      </c>
      <c r="F131" s="35">
        <v>41444.199999999997</v>
      </c>
      <c r="G131" s="36">
        <v>-4.4729000000000001</v>
      </c>
      <c r="H131" s="35">
        <v>121.7581168688162</v>
      </c>
      <c r="I131" s="36">
        <v>-4.4729000000000019</v>
      </c>
      <c r="Q131" s="35">
        <v>-0.28930279776059131</v>
      </c>
      <c r="R131" s="35">
        <v>94.530435724454208</v>
      </c>
      <c r="S131" s="35">
        <v>100</v>
      </c>
      <c r="T131" s="35">
        <v>-5.4695642755457916</v>
      </c>
      <c r="U131" s="35">
        <v>-5.4695642755457928E-2</v>
      </c>
      <c r="V131" s="35">
        <v>-0.5504</v>
      </c>
      <c r="W131" s="35">
        <v>94.282903283235129</v>
      </c>
      <c r="X131" s="35">
        <v>-5.7170967167648694</v>
      </c>
      <c r="AF131" s="35">
        <v>-3.2159</v>
      </c>
      <c r="AG131" s="35">
        <v>117.1021859257467</v>
      </c>
      <c r="AH131" s="35">
        <v>120.9932064520378</v>
      </c>
      <c r="AI131" s="35">
        <v>-3.891020526291086</v>
      </c>
      <c r="AJ131" s="35">
        <v>-3.2159000000000021E-2</v>
      </c>
      <c r="AK131" s="35">
        <v>-4.1581000000000001</v>
      </c>
      <c r="AL131" s="35">
        <v>115.9621879345556</v>
      </c>
      <c r="AM131" s="35">
        <v>-4.1580999999999966</v>
      </c>
    </row>
    <row r="132" spans="1:39" x14ac:dyDescent="0.25">
      <c r="A132" s="35" t="s">
        <v>381</v>
      </c>
      <c r="B132" s="35" t="s">
        <v>382</v>
      </c>
      <c r="C132" s="35">
        <v>0.62570000000000003</v>
      </c>
      <c r="D132" s="35">
        <v>124.50319158921231</v>
      </c>
      <c r="E132" s="35">
        <v>127.4592412716561</v>
      </c>
      <c r="F132" s="35">
        <v>40245.1</v>
      </c>
      <c r="G132" s="36">
        <v>4.8599999999999997E-2</v>
      </c>
      <c r="H132" s="35">
        <v>123.7891514198905</v>
      </c>
      <c r="I132" s="36">
        <v>-2.8794223275999902</v>
      </c>
      <c r="Q132" s="35">
        <v>0.63403089187842554</v>
      </c>
      <c r="R132" s="35">
        <v>95.129787889174537</v>
      </c>
      <c r="S132" s="35">
        <v>100</v>
      </c>
      <c r="T132" s="35">
        <v>-4.870212110825463</v>
      </c>
      <c r="U132" s="35">
        <v>-4.8702121108254628E-2</v>
      </c>
      <c r="V132" s="35">
        <v>-0.63100000000000001</v>
      </c>
      <c r="W132" s="35">
        <v>93.933948675032894</v>
      </c>
      <c r="X132" s="35">
        <v>-6.0660513249671038</v>
      </c>
      <c r="AF132" s="35">
        <v>1.2597</v>
      </c>
      <c r="AG132" s="35">
        <v>118.5773221618533</v>
      </c>
      <c r="AH132" s="35">
        <v>120.9932064520378</v>
      </c>
      <c r="AI132" s="35">
        <v>-2.415884290184465</v>
      </c>
      <c r="AJ132" s="35">
        <v>-1.9967106923000109E-2</v>
      </c>
      <c r="AK132" s="35">
        <v>0.84040000000000004</v>
      </c>
      <c r="AL132" s="35">
        <v>118.0863126962667</v>
      </c>
      <c r="AM132" s="35">
        <v>-2.4025264236000039</v>
      </c>
    </row>
    <row r="133" spans="1:39" x14ac:dyDescent="0.25">
      <c r="A133" s="35" t="s">
        <v>382</v>
      </c>
      <c r="B133" s="35" t="s">
        <v>383</v>
      </c>
      <c r="C133" s="35">
        <v>-1.0315000000000001</v>
      </c>
      <c r="D133" s="35">
        <v>123.2189411679696</v>
      </c>
      <c r="E133" s="35">
        <v>127.4592412716561</v>
      </c>
      <c r="F133" s="35">
        <v>40543.85</v>
      </c>
      <c r="G133" s="36">
        <v>-1.5980000000000001</v>
      </c>
      <c r="H133" s="35">
        <v>122.5136305876167</v>
      </c>
      <c r="I133" s="36">
        <v>-3.88015073265553</v>
      </c>
      <c r="Q133" s="35">
        <v>1.562955369973972</v>
      </c>
      <c r="R133" s="35">
        <v>96.616624017433239</v>
      </c>
      <c r="S133" s="35">
        <v>100</v>
      </c>
      <c r="T133" s="35">
        <v>-3.3833759825667609</v>
      </c>
      <c r="U133" s="35">
        <v>-3.3833759825667623E-2</v>
      </c>
      <c r="V133" s="35">
        <v>0.248</v>
      </c>
      <c r="W133" s="35">
        <v>95.365709763139691</v>
      </c>
      <c r="X133" s="35">
        <v>-4.6342902368603056</v>
      </c>
      <c r="AF133" s="35">
        <v>0.53149999999999997</v>
      </c>
      <c r="AG133" s="35">
        <v>119.2075606291436</v>
      </c>
      <c r="AH133" s="35">
        <v>120.9932064520378</v>
      </c>
      <c r="AI133" s="35">
        <v>-1.785645822894224</v>
      </c>
      <c r="AJ133" s="35">
        <v>-1.4758232096295929E-2</v>
      </c>
      <c r="AK133" s="35">
        <v>9.0800000000000006E-2</v>
      </c>
      <c r="AL133" s="35">
        <v>118.6849903703763</v>
      </c>
      <c r="AM133" s="35">
        <v>-1.9077237056086329</v>
      </c>
    </row>
    <row r="134" spans="1:39" x14ac:dyDescent="0.25">
      <c r="A134" s="35" t="s">
        <v>383</v>
      </c>
      <c r="B134" s="35" t="s">
        <v>384</v>
      </c>
      <c r="C134" s="35">
        <v>1.1664000000000001</v>
      </c>
      <c r="D134" s="35">
        <v>124.6561668977528</v>
      </c>
      <c r="E134" s="35">
        <v>127.4592412716561</v>
      </c>
      <c r="F134" s="35">
        <v>40139.15</v>
      </c>
      <c r="G134" s="36">
        <v>-0.62090000000000001</v>
      </c>
      <c r="H134" s="35">
        <v>122.4538747622577</v>
      </c>
      <c r="I134" s="36">
        <v>-3.9270330338232018</v>
      </c>
      <c r="Q134" s="35">
        <v>0.122749278879754</v>
      </c>
      <c r="R134" s="35">
        <v>96.735220226692604</v>
      </c>
      <c r="S134" s="35">
        <v>100</v>
      </c>
      <c r="T134" s="35">
        <v>-3.2647797733073962</v>
      </c>
      <c r="U134" s="35">
        <v>-3.2647797733073948E-2</v>
      </c>
      <c r="V134" s="35">
        <v>-0.37530000000000002</v>
      </c>
      <c r="W134" s="35">
        <v>96.254021827495805</v>
      </c>
      <c r="X134" s="35">
        <v>-3.7459781725041941</v>
      </c>
      <c r="AF134" s="35">
        <v>1.2890999999999999</v>
      </c>
      <c r="AG134" s="35">
        <v>120.7442652932139</v>
      </c>
      <c r="AH134" s="35">
        <v>120.9932064520378</v>
      </c>
      <c r="AI134" s="35">
        <v>-0.24894115882393919</v>
      </c>
      <c r="AJ134" s="35">
        <v>-2.0574804662493221E-3</v>
      </c>
      <c r="AK134" s="35">
        <v>0.59440000000000004</v>
      </c>
      <c r="AL134" s="35">
        <v>119.9161303695232</v>
      </c>
      <c r="AM134" s="35">
        <v>-0.89019550278762738</v>
      </c>
    </row>
    <row r="135" spans="1:39" x14ac:dyDescent="0.25">
      <c r="A135" s="35" t="s">
        <v>384</v>
      </c>
      <c r="B135" s="35" t="s">
        <v>385</v>
      </c>
      <c r="C135" s="35">
        <v>-1.5765</v>
      </c>
      <c r="D135" s="35">
        <v>122.6909624266097</v>
      </c>
      <c r="E135" s="35">
        <v>127.4592412716561</v>
      </c>
      <c r="F135" s="35">
        <v>40640.800000000003</v>
      </c>
      <c r="G135" s="36">
        <v>-2.3136000000000001</v>
      </c>
      <c r="H135" s="35">
        <v>121.7721218204064</v>
      </c>
      <c r="I135" s="36">
        <v>-4.4619122117074417</v>
      </c>
      <c r="Q135" s="35">
        <v>1.483279190726525</v>
      </c>
      <c r="R135" s="35">
        <v>98.170073618418613</v>
      </c>
      <c r="S135" s="35">
        <v>100</v>
      </c>
      <c r="T135" s="35">
        <v>-1.8299263815813871</v>
      </c>
      <c r="U135" s="35">
        <v>-1.8299263815813871E-2</v>
      </c>
      <c r="V135" s="35">
        <v>-0.1295</v>
      </c>
      <c r="W135" s="35">
        <v>96.609948116499027</v>
      </c>
      <c r="X135" s="35">
        <v>-3.390051883500977</v>
      </c>
      <c r="AF135" s="35">
        <v>-9.3200000000000005E-2</v>
      </c>
      <c r="AG135" s="35">
        <v>120.6317316379606</v>
      </c>
      <c r="AH135" s="35">
        <v>120.9932064520378</v>
      </c>
      <c r="AI135" s="35">
        <v>-0.36147481407722643</v>
      </c>
      <c r="AJ135" s="35">
        <v>-2.9875628944548752E-3</v>
      </c>
      <c r="AK135" s="35">
        <v>-0.41849999999999998</v>
      </c>
      <c r="AL135" s="35">
        <v>120.2389505429618</v>
      </c>
      <c r="AM135" s="35">
        <v>-0.62338699104980133</v>
      </c>
    </row>
    <row r="136" spans="1:39" x14ac:dyDescent="0.25">
      <c r="A136" s="35" t="s">
        <v>385</v>
      </c>
      <c r="B136" s="35" t="s">
        <v>386</v>
      </c>
      <c r="C136" s="35">
        <v>0.55900000000000005</v>
      </c>
      <c r="D136" s="35">
        <v>123.37680490657451</v>
      </c>
      <c r="E136" s="35">
        <v>127.4592412716561</v>
      </c>
      <c r="F136" s="35">
        <v>40047.5</v>
      </c>
      <c r="G136" s="36">
        <v>-0.1002</v>
      </c>
      <c r="H136" s="35">
        <v>122.5680260822583</v>
      </c>
      <c r="I136" s="36">
        <v>-3.8374739568495242</v>
      </c>
      <c r="Q136" s="35">
        <v>-1.5041597851420809</v>
      </c>
      <c r="R136" s="35">
        <v>96.69343885000599</v>
      </c>
      <c r="S136" s="35">
        <v>100</v>
      </c>
      <c r="T136" s="35">
        <v>-3.30656114999401</v>
      </c>
      <c r="U136" s="35">
        <v>-3.3065611499940098E-2</v>
      </c>
      <c r="V136" s="35">
        <v>-1.6248</v>
      </c>
      <c r="W136" s="35">
        <v>96.575006262266541</v>
      </c>
      <c r="X136" s="35">
        <v>-3.4249937377334621</v>
      </c>
      <c r="AF136" s="35">
        <v>-0.94520000000000004</v>
      </c>
      <c r="AG136" s="35">
        <v>119.4915205105186</v>
      </c>
      <c r="AH136" s="35">
        <v>120.9932064520378</v>
      </c>
      <c r="AI136" s="35">
        <v>-1.501685941519227</v>
      </c>
      <c r="AJ136" s="35">
        <v>-1.2411324449976471E-2</v>
      </c>
      <c r="AK136" s="35">
        <v>-0.94520000000000004</v>
      </c>
      <c r="AL136" s="35">
        <v>119.4915205105186</v>
      </c>
      <c r="AM136" s="35">
        <v>-1.24113244499765</v>
      </c>
    </row>
    <row r="137" spans="1:39" x14ac:dyDescent="0.25">
      <c r="A137" s="35" t="s">
        <v>386</v>
      </c>
      <c r="B137" s="35" t="s">
        <v>387</v>
      </c>
      <c r="C137" s="35">
        <v>0.41699999999999998</v>
      </c>
      <c r="D137" s="35">
        <v>123.89128618303489</v>
      </c>
      <c r="E137" s="35">
        <v>127.4592412716561</v>
      </c>
      <c r="F137" s="35">
        <v>40284.699999999997</v>
      </c>
      <c r="G137" s="36">
        <v>-1.6627000000000001</v>
      </c>
      <c r="H137" s="35">
        <v>121.3254187713929</v>
      </c>
      <c r="I137" s="36">
        <v>-4.8123795803790106</v>
      </c>
      <c r="Q137" s="35">
        <v>-0.72964103085964316</v>
      </c>
      <c r="R137" s="35">
        <v>95.987923846007163</v>
      </c>
      <c r="S137" s="35">
        <v>100</v>
      </c>
      <c r="T137" s="35">
        <v>-4.0120761539928367</v>
      </c>
      <c r="U137" s="35">
        <v>-4.0120761539928357E-2</v>
      </c>
      <c r="V137" s="35">
        <v>-0.90669999999999995</v>
      </c>
      <c r="W137" s="35">
        <v>95.816719439952976</v>
      </c>
      <c r="X137" s="35">
        <v>-4.1832805600470202</v>
      </c>
      <c r="AF137" s="35">
        <v>-0.31259999999999999</v>
      </c>
      <c r="AG137" s="35">
        <v>119.1179900174027</v>
      </c>
      <c r="AH137" s="35">
        <v>120.9932064520378</v>
      </c>
      <c r="AI137" s="35">
        <v>-1.875216434635107</v>
      </c>
      <c r="AJ137" s="35">
        <v>-1.549852664974583E-2</v>
      </c>
      <c r="AK137" s="35">
        <v>-0.8427</v>
      </c>
      <c r="AL137" s="35">
        <v>118.48456546717649</v>
      </c>
      <c r="AM137" s="35">
        <v>-2.0733734218836402</v>
      </c>
    </row>
    <row r="138" spans="1:39" x14ac:dyDescent="0.25">
      <c r="A138" s="35" t="s">
        <v>387</v>
      </c>
      <c r="B138" s="35" t="s">
        <v>388</v>
      </c>
      <c r="C138" s="35">
        <v>-0.4108</v>
      </c>
      <c r="D138" s="35">
        <v>123.38234077939499</v>
      </c>
      <c r="E138" s="35">
        <v>127.4592412716561</v>
      </c>
      <c r="F138" s="35">
        <v>40486.25</v>
      </c>
      <c r="G138" s="36">
        <v>-0.52949999999999997</v>
      </c>
      <c r="H138" s="35">
        <v>123.2352818226957</v>
      </c>
      <c r="I138" s="36">
        <v>-3.3139687690104451</v>
      </c>
      <c r="Q138" s="35">
        <v>0.75916078409598553</v>
      </c>
      <c r="R138" s="35">
        <v>96.71662652131397</v>
      </c>
      <c r="S138" s="35">
        <v>100</v>
      </c>
      <c r="T138" s="35">
        <v>-3.28337347868603</v>
      </c>
      <c r="U138" s="35">
        <v>-3.2833734786860302E-2</v>
      </c>
      <c r="V138" s="35">
        <v>-0.29759999999999998</v>
      </c>
      <c r="W138" s="35">
        <v>95.702263784641445</v>
      </c>
      <c r="X138" s="35">
        <v>-4.2977362153585492</v>
      </c>
      <c r="AF138" s="35">
        <v>0.34839999999999999</v>
      </c>
      <c r="AG138" s="35">
        <v>119.5329970946233</v>
      </c>
      <c r="AH138" s="35">
        <v>120.9932064520378</v>
      </c>
      <c r="AI138" s="35">
        <v>-1.4602093574144701</v>
      </c>
      <c r="AJ138" s="35">
        <v>-1.20685235165935E-2</v>
      </c>
      <c r="AK138" s="35">
        <v>0.34839999999999999</v>
      </c>
      <c r="AL138" s="35">
        <v>119.5329970946233</v>
      </c>
      <c r="AM138" s="35">
        <v>-1.206852351659349</v>
      </c>
    </row>
    <row r="139" spans="1:39" x14ac:dyDescent="0.25">
      <c r="A139" s="35" t="s">
        <v>388</v>
      </c>
      <c r="B139" s="35" t="s">
        <v>389</v>
      </c>
      <c r="C139" s="35">
        <v>-3.9226000000000001</v>
      </c>
      <c r="D139" s="35">
        <v>118.5425450799824</v>
      </c>
      <c r="E139" s="35">
        <v>127.4592412716561</v>
      </c>
      <c r="F139" s="35">
        <v>40367.15</v>
      </c>
      <c r="G139" s="36">
        <v>-4.1947000000000001</v>
      </c>
      <c r="H139" s="35">
        <v>118.2068217307217</v>
      </c>
      <c r="I139" s="36">
        <v>-7.2591202086434219</v>
      </c>
      <c r="Q139" s="35">
        <v>2.0875802573318221</v>
      </c>
      <c r="R139" s="35">
        <v>98.735663722130269</v>
      </c>
      <c r="S139" s="35">
        <v>100</v>
      </c>
      <c r="T139" s="35">
        <v>-1.2643362778697309</v>
      </c>
      <c r="U139" s="35">
        <v>-1.264336277869731E-2</v>
      </c>
      <c r="V139" s="35">
        <v>8.4400000000000003E-2</v>
      </c>
      <c r="W139" s="35">
        <v>96.798255354097961</v>
      </c>
      <c r="X139" s="35">
        <v>-3.2017446459020378</v>
      </c>
      <c r="AF139" s="35">
        <v>-1.835</v>
      </c>
      <c r="AG139" s="35">
        <v>117.33956659793699</v>
      </c>
      <c r="AH139" s="35">
        <v>120.9932064520378</v>
      </c>
      <c r="AI139" s="35">
        <v>-3.6536398541008031</v>
      </c>
      <c r="AJ139" s="35">
        <v>-3.019706611006396E-2</v>
      </c>
      <c r="AK139" s="35">
        <v>-1.9111</v>
      </c>
      <c r="AL139" s="35">
        <v>117.24860198714801</v>
      </c>
      <c r="AM139" s="35">
        <v>-3.0948881963667851</v>
      </c>
    </row>
    <row r="140" spans="1:39" x14ac:dyDescent="0.25">
      <c r="A140" s="35" t="s">
        <v>389</v>
      </c>
      <c r="B140" s="35" t="s">
        <v>390</v>
      </c>
      <c r="C140" s="35">
        <v>-0.68540000000000001</v>
      </c>
      <c r="D140" s="35">
        <v>117.7300544760042</v>
      </c>
      <c r="E140" s="35">
        <v>127.4592412716561</v>
      </c>
      <c r="F140" s="35">
        <v>38817.35</v>
      </c>
      <c r="G140" s="36">
        <v>-1.655</v>
      </c>
      <c r="H140" s="35">
        <v>116.5806659589087</v>
      </c>
      <c r="I140" s="36">
        <v>-8.53494435100367</v>
      </c>
      <c r="Q140" s="35">
        <v>1.0862603238813899</v>
      </c>
      <c r="R140" s="35">
        <v>99.808190062664721</v>
      </c>
      <c r="S140" s="35">
        <v>100</v>
      </c>
      <c r="T140" s="35">
        <v>-0.19180993733527879</v>
      </c>
      <c r="U140" s="35">
        <v>-1.9180993733527889E-3</v>
      </c>
      <c r="V140" s="35">
        <v>-0.52510000000000001</v>
      </c>
      <c r="W140" s="35">
        <v>98.217202751925356</v>
      </c>
      <c r="X140" s="35">
        <v>-1.782797248074641</v>
      </c>
      <c r="AF140" s="35">
        <v>0.40089999999999998</v>
      </c>
      <c r="AG140" s="35">
        <v>117.8099809204281</v>
      </c>
      <c r="AH140" s="35">
        <v>120.9932064520378</v>
      </c>
      <c r="AI140" s="35">
        <v>-3.1832255316096791</v>
      </c>
      <c r="AJ140" s="35">
        <v>-2.630912614809925E-2</v>
      </c>
      <c r="AK140" s="35">
        <v>-0.24779999999999999</v>
      </c>
      <c r="AL140" s="35">
        <v>117.0487991519073</v>
      </c>
      <c r="AM140" s="35">
        <v>-3.260023778024324</v>
      </c>
    </row>
    <row r="141" spans="1:39" x14ac:dyDescent="0.25">
      <c r="A141" s="35" t="s">
        <v>390</v>
      </c>
      <c r="B141" s="35" t="s">
        <v>391</v>
      </c>
      <c r="C141" s="35">
        <v>-1.1771</v>
      </c>
      <c r="D141" s="35">
        <v>116.34425400476719</v>
      </c>
      <c r="E141" s="35">
        <v>127.4592412716561</v>
      </c>
      <c r="F141" s="35">
        <v>38564.25</v>
      </c>
      <c r="G141" s="36">
        <v>-2.3717999999999999</v>
      </c>
      <c r="H141" s="35">
        <v>114.9377330439424</v>
      </c>
      <c r="I141" s="36">
        <v>-9.823931244833318</v>
      </c>
      <c r="Q141" s="35">
        <v>1.252212748043499</v>
      </c>
      <c r="R141" s="35">
        <v>101.0580009422209</v>
      </c>
      <c r="S141" s="35">
        <v>101.0580009422209</v>
      </c>
      <c r="T141" s="35"/>
      <c r="U141" s="35">
        <v>0</v>
      </c>
      <c r="V141" s="35">
        <v>0.28610000000000002</v>
      </c>
      <c r="W141" s="35">
        <v>100.093741294434</v>
      </c>
      <c r="X141" s="35">
        <v>9.3741294434002143E-2</v>
      </c>
      <c r="AF141" s="35">
        <v>7.51E-2</v>
      </c>
      <c r="AG141" s="35">
        <v>117.8984562160994</v>
      </c>
      <c r="AH141" s="35">
        <v>120.9932064520378</v>
      </c>
      <c r="AI141" s="35">
        <v>-3.0947502359384491</v>
      </c>
      <c r="AJ141" s="35">
        <v>-2.5577884301836561E-2</v>
      </c>
      <c r="AK141" s="35">
        <v>-0.94169999999999998</v>
      </c>
      <c r="AL141" s="35">
        <v>116.70056433010051</v>
      </c>
      <c r="AM141" s="35">
        <v>-3.547837310716262</v>
      </c>
    </row>
    <row r="142" spans="1:39" x14ac:dyDescent="0.25">
      <c r="A142" s="35" t="s">
        <v>391</v>
      </c>
      <c r="B142" s="35" t="s">
        <v>392</v>
      </c>
      <c r="C142" s="35">
        <v>1.5184</v>
      </c>
      <c r="D142" s="35">
        <v>118.1108251575756</v>
      </c>
      <c r="E142" s="35">
        <v>127.4592412716561</v>
      </c>
      <c r="F142" s="35">
        <v>38116.75</v>
      </c>
      <c r="G142" s="36">
        <v>0.68169999999999997</v>
      </c>
      <c r="H142" s="35">
        <v>117.13737278431771</v>
      </c>
      <c r="I142" s="36">
        <v>-8.0981719209666458</v>
      </c>
      <c r="Q142" s="35">
        <v>-0.97628233172917589</v>
      </c>
      <c r="R142" s="35">
        <v>100.0713895342233</v>
      </c>
      <c r="S142" s="35">
        <v>101.0580009422209</v>
      </c>
      <c r="T142" s="35">
        <v>-0.98661140799760005</v>
      </c>
      <c r="U142" s="35">
        <v>-9.7628233172916933E-3</v>
      </c>
      <c r="V142" s="35">
        <v>-1.1951000000000001</v>
      </c>
      <c r="W142" s="35">
        <v>99.850256772960407</v>
      </c>
      <c r="X142" s="35">
        <v>-1.195100000000016</v>
      </c>
      <c r="AF142" s="35">
        <v>0.54210000000000003</v>
      </c>
      <c r="AG142" s="35">
        <v>118.5375837472468</v>
      </c>
      <c r="AH142" s="35">
        <v>120.9932064520378</v>
      </c>
      <c r="AI142" s="35">
        <v>-2.4556227047909829</v>
      </c>
      <c r="AJ142" s="35">
        <v>-2.0295542012636891E-2</v>
      </c>
      <c r="AK142" s="35">
        <v>0.4728</v>
      </c>
      <c r="AL142" s="35">
        <v>118.45588011708909</v>
      </c>
      <c r="AM142" s="35">
        <v>-2.09708165388155</v>
      </c>
    </row>
    <row r="143" spans="1:39" x14ac:dyDescent="0.25">
      <c r="A143" s="35" t="s">
        <v>392</v>
      </c>
      <c r="B143" s="35" t="s">
        <v>393</v>
      </c>
      <c r="C143" s="35">
        <v>0.10589999999999999</v>
      </c>
      <c r="D143" s="35">
        <v>118.2359045214174</v>
      </c>
      <c r="E143" s="35">
        <v>127.4592412716561</v>
      </c>
      <c r="F143" s="35">
        <v>38701.85</v>
      </c>
      <c r="G143" s="36">
        <v>-0.92449999999999999</v>
      </c>
      <c r="H143" s="35">
        <v>117.0188905789938</v>
      </c>
      <c r="I143" s="36">
        <v>-8.1911288569579526</v>
      </c>
      <c r="Q143" s="35">
        <v>0.58853640289280607</v>
      </c>
      <c r="R143" s="35">
        <v>100.6603460905129</v>
      </c>
      <c r="S143" s="35">
        <v>101.0580009422209</v>
      </c>
      <c r="T143" s="35">
        <v>-0.39765485170804032</v>
      </c>
      <c r="U143" s="35">
        <v>-3.9349170575360606E-3</v>
      </c>
      <c r="V143" s="35">
        <v>-0.92300000000000004</v>
      </c>
      <c r="W143" s="35">
        <v>99.147730608822428</v>
      </c>
      <c r="X143" s="35">
        <v>-1.8902712458072961</v>
      </c>
      <c r="AF143" s="35">
        <v>0.69440000000000002</v>
      </c>
      <c r="AG143" s="35">
        <v>119.3607087287877</v>
      </c>
      <c r="AH143" s="35">
        <v>120.9932064520378</v>
      </c>
      <c r="AI143" s="35">
        <v>-1.632497723250097</v>
      </c>
      <c r="AJ143" s="35">
        <v>-1.349247425637261E-2</v>
      </c>
      <c r="AK143" s="35">
        <v>-0.1065</v>
      </c>
      <c r="AL143" s="35">
        <v>118.411341220556</v>
      </c>
      <c r="AM143" s="35">
        <v>-2.1338927260393441</v>
      </c>
    </row>
    <row r="144" spans="1:39" x14ac:dyDescent="0.25">
      <c r="A144" s="35" t="s">
        <v>393</v>
      </c>
      <c r="B144" s="35" t="s">
        <v>394</v>
      </c>
      <c r="C144" s="35">
        <v>2.0615999999999999</v>
      </c>
      <c r="D144" s="35">
        <v>120.67345592903099</v>
      </c>
      <c r="E144" s="35">
        <v>127.4592412716561</v>
      </c>
      <c r="F144" s="35">
        <v>38775.1</v>
      </c>
      <c r="G144" s="36">
        <v>0.70620000000000005</v>
      </c>
      <c r="H144" s="35">
        <v>119.0708864791477</v>
      </c>
      <c r="I144" s="36">
        <v>-6.5812056535235026</v>
      </c>
      <c r="Q144" s="35">
        <v>-1.410279027760589</v>
      </c>
      <c r="R144" s="35">
        <v>99.240754340327129</v>
      </c>
      <c r="S144" s="35">
        <v>101.0580009422209</v>
      </c>
      <c r="T144" s="35">
        <v>-1.817246601893771</v>
      </c>
      <c r="U144" s="35">
        <v>-1.7982214025119771E-2</v>
      </c>
      <c r="V144" s="35">
        <v>-1.831</v>
      </c>
      <c r="W144" s="35">
        <v>98.817255153595568</v>
      </c>
      <c r="X144" s="35">
        <v>-2.2172868726212598</v>
      </c>
      <c r="AF144" s="35">
        <v>0.65129999999999999</v>
      </c>
      <c r="AG144" s="35">
        <v>120.13810502473829</v>
      </c>
      <c r="AH144" s="35">
        <v>120.9932064520378</v>
      </c>
      <c r="AI144" s="35">
        <v>-0.85510142729950189</v>
      </c>
      <c r="AJ144" s="35">
        <v>-7.0673507412043627E-3</v>
      </c>
      <c r="AK144" s="35">
        <v>0.29649999999999999</v>
      </c>
      <c r="AL144" s="35">
        <v>119.7146132301686</v>
      </c>
      <c r="AM144" s="35">
        <v>-1.056747944254266</v>
      </c>
    </row>
    <row r="145" spans="1:39" x14ac:dyDescent="0.25">
      <c r="A145" s="35" t="s">
        <v>394</v>
      </c>
      <c r="B145" s="35" t="s">
        <v>395</v>
      </c>
      <c r="C145" s="35">
        <v>2.0876999999999999</v>
      </c>
      <c r="D145" s="35">
        <v>123.1927556684614</v>
      </c>
      <c r="E145" s="35">
        <v>127.4592412716561</v>
      </c>
      <c r="F145" s="35">
        <v>39587.4</v>
      </c>
      <c r="G145" s="36">
        <v>0.34389999999999998</v>
      </c>
      <c r="H145" s="35">
        <v>121.0884519439709</v>
      </c>
      <c r="I145" s="36">
        <v>-4.9982953484769226</v>
      </c>
      <c r="Q145" s="35">
        <v>-0.93366821628030339</v>
      </c>
      <c r="R145" s="35">
        <v>98.314174959454675</v>
      </c>
      <c r="S145" s="35">
        <v>101.0580009422209</v>
      </c>
      <c r="T145" s="35">
        <v>-2.743825982766225</v>
      </c>
      <c r="U145" s="35">
        <v>-2.7151001970986799E-2</v>
      </c>
      <c r="V145" s="35">
        <v>-1.105</v>
      </c>
      <c r="W145" s="35">
        <v>98.144144004866519</v>
      </c>
      <c r="X145" s="35">
        <v>-2.8833510560142162</v>
      </c>
      <c r="AF145" s="35">
        <v>1.1539999999999999</v>
      </c>
      <c r="AG145" s="35">
        <v>121.5244987567238</v>
      </c>
      <c r="AH145" s="35">
        <v>121.5244987567238</v>
      </c>
      <c r="AI145" s="35"/>
      <c r="AJ145" s="35">
        <v>0</v>
      </c>
      <c r="AK145" s="35">
        <v>0.1583</v>
      </c>
      <c r="AL145" s="35">
        <v>120.3282836449925</v>
      </c>
      <c r="AM145" s="35">
        <v>-0.54955383574277761</v>
      </c>
    </row>
    <row r="146" spans="1:39" x14ac:dyDescent="0.25">
      <c r="A146" s="35" t="s">
        <v>395</v>
      </c>
      <c r="B146" s="35" t="s">
        <v>396</v>
      </c>
      <c r="C146" s="35">
        <v>2.2519</v>
      </c>
      <c r="D146" s="35">
        <v>125.96693333335941</v>
      </c>
      <c r="E146" s="35">
        <v>127.4592412716561</v>
      </c>
      <c r="F146" s="35">
        <v>40446.85</v>
      </c>
      <c r="G146" s="36">
        <v>-0.40300000000000002</v>
      </c>
      <c r="H146" s="35">
        <v>122.6962888631175</v>
      </c>
      <c r="I146" s="36">
        <v>-3.7368435281889378</v>
      </c>
      <c r="Q146" s="35">
        <v>-0.94761745570499134</v>
      </c>
      <c r="R146" s="35">
        <v>97.382532676106536</v>
      </c>
      <c r="S146" s="35">
        <v>101.0580009422209</v>
      </c>
      <c r="T146" s="35">
        <v>-3.6754682661143652</v>
      </c>
      <c r="U146" s="35">
        <v>-3.6369888893960853E-2</v>
      </c>
      <c r="V146" s="35">
        <v>-1.1492</v>
      </c>
      <c r="W146" s="35">
        <v>97.18434846082063</v>
      </c>
      <c r="X146" s="35">
        <v>-3.833098265633617</v>
      </c>
      <c r="AF146" s="35">
        <v>1.3043</v>
      </c>
      <c r="AG146" s="35">
        <v>123.10954279400769</v>
      </c>
      <c r="AH146" s="35">
        <v>123.10954279400769</v>
      </c>
      <c r="AI146" s="35"/>
      <c r="AJ146" s="35">
        <v>0</v>
      </c>
      <c r="AK146" s="35">
        <v>5.8299999999999998E-2</v>
      </c>
      <c r="AL146" s="35">
        <v>121.595347539499</v>
      </c>
      <c r="AM146" s="35">
        <v>5.8300000000000018E-2</v>
      </c>
    </row>
    <row r="147" spans="1:39" x14ac:dyDescent="0.25">
      <c r="A147" s="35" t="s">
        <v>396</v>
      </c>
      <c r="B147" s="35" t="s">
        <v>397</v>
      </c>
      <c r="C147" s="35">
        <v>0.75970000000000004</v>
      </c>
      <c r="D147" s="35">
        <v>126.923904125893</v>
      </c>
      <c r="E147" s="35">
        <v>127.4592412716561</v>
      </c>
      <c r="F147" s="35">
        <v>41404.85</v>
      </c>
      <c r="G147" s="36">
        <v>7.6E-3</v>
      </c>
      <c r="H147" s="35">
        <v>125.9765068202928</v>
      </c>
      <c r="I147" s="36">
        <v>-1.1633008611773521</v>
      </c>
      <c r="Q147" s="35">
        <v>-0.29097174397536019</v>
      </c>
      <c r="R147" s="35">
        <v>97.099177022451485</v>
      </c>
      <c r="S147" s="35">
        <v>101.0580009422209</v>
      </c>
      <c r="T147" s="35">
        <v>-3.9588239197694151</v>
      </c>
      <c r="U147" s="35">
        <v>-3.917378023371787E-2</v>
      </c>
      <c r="V147" s="35">
        <v>-0.73370000000000002</v>
      </c>
      <c r="W147" s="35">
        <v>96.668037033861935</v>
      </c>
      <c r="X147" s="35">
        <v>-4.3440043019145946</v>
      </c>
      <c r="AF147" s="35">
        <v>0.46870000000000001</v>
      </c>
      <c r="AG147" s="35">
        <v>123.68655722108331</v>
      </c>
      <c r="AH147" s="35">
        <v>123.68655722108331</v>
      </c>
      <c r="AI147" s="35"/>
      <c r="AJ147" s="35">
        <v>0</v>
      </c>
      <c r="AK147" s="35">
        <v>0.11219999999999999</v>
      </c>
      <c r="AL147" s="35">
        <v>123.2476717010226</v>
      </c>
      <c r="AM147" s="35">
        <v>0.1122000000000067</v>
      </c>
    </row>
    <row r="148" spans="1:39" x14ac:dyDescent="0.25">
      <c r="A148" s="35" t="s">
        <v>397</v>
      </c>
      <c r="B148" s="35" t="s">
        <v>398</v>
      </c>
      <c r="C148" s="35">
        <v>0.62090000000000001</v>
      </c>
      <c r="D148" s="35">
        <v>127.7119746466106</v>
      </c>
      <c r="E148" s="35">
        <v>127.7119746466106</v>
      </c>
      <c r="F148" s="35">
        <v>41726.300000000003</v>
      </c>
      <c r="G148" s="36">
        <v>-0.35730000000000001</v>
      </c>
      <c r="H148" s="35">
        <v>126.4704050164512</v>
      </c>
      <c r="I148" s="36">
        <v>-0.7758058539650281</v>
      </c>
      <c r="Q148" s="35">
        <v>-0.1052354643514864</v>
      </c>
      <c r="R148" s="35">
        <v>96.996994252630444</v>
      </c>
      <c r="S148" s="35">
        <v>101.0580009422209</v>
      </c>
      <c r="T148" s="35">
        <v>-4.0610066895904566</v>
      </c>
      <c r="U148" s="35">
        <v>-4.0184910167699678E-2</v>
      </c>
      <c r="V148" s="35">
        <v>-0.41039999999999999</v>
      </c>
      <c r="W148" s="35">
        <v>96.700681999951343</v>
      </c>
      <c r="X148" s="35">
        <v>-4.3117011039638724</v>
      </c>
      <c r="AF148" s="35">
        <v>0.51570000000000005</v>
      </c>
      <c r="AG148" s="35">
        <v>124.3244087966724</v>
      </c>
      <c r="AH148" s="35">
        <v>124.3244087966724</v>
      </c>
      <c r="AI148" s="35"/>
      <c r="AJ148" s="35">
        <v>0</v>
      </c>
      <c r="AK148" s="35">
        <v>0.32600000000000001</v>
      </c>
      <c r="AL148" s="35">
        <v>124.089775397624</v>
      </c>
      <c r="AM148" s="35">
        <v>0.32600000000000412</v>
      </c>
    </row>
    <row r="149" spans="1:39" x14ac:dyDescent="0.25">
      <c r="A149" s="35" t="s">
        <v>398</v>
      </c>
      <c r="B149" s="35" t="s">
        <v>399</v>
      </c>
      <c r="C149" s="35">
        <v>1.2909999999999999</v>
      </c>
      <c r="D149" s="35">
        <v>129.3607362392984</v>
      </c>
      <c r="E149" s="35">
        <v>129.3607362392984</v>
      </c>
      <c r="F149" s="35">
        <v>42027.1</v>
      </c>
      <c r="G149" s="36">
        <v>-0.11459999999999999</v>
      </c>
      <c r="H149" s="35">
        <v>127.5656167236656</v>
      </c>
      <c r="I149" s="36">
        <v>-0.114599999999998</v>
      </c>
      <c r="Q149" s="35">
        <v>-1.2278005335190809</v>
      </c>
      <c r="R149" s="35">
        <v>95.806064639699173</v>
      </c>
      <c r="S149" s="35">
        <v>101.0580009422209</v>
      </c>
      <c r="T149" s="35">
        <v>-5.2519363025217274</v>
      </c>
      <c r="U149" s="35">
        <v>-5.1969524961457333E-2</v>
      </c>
      <c r="V149" s="35">
        <v>-1.2951999999999999</v>
      </c>
      <c r="W149" s="35">
        <v>95.740689183070373</v>
      </c>
      <c r="X149" s="35">
        <v>-5.2616435211207619</v>
      </c>
      <c r="AF149" s="35">
        <v>6.3200000000000006E-2</v>
      </c>
      <c r="AG149" s="35">
        <v>124.40298182303189</v>
      </c>
      <c r="AH149" s="35">
        <v>124.40298182303189</v>
      </c>
      <c r="AI149" s="35"/>
      <c r="AJ149" s="35">
        <v>0</v>
      </c>
      <c r="AK149" s="35">
        <v>6.3200000000000006E-2</v>
      </c>
      <c r="AL149" s="35">
        <v>124.40298182303189</v>
      </c>
      <c r="AM149" s="35">
        <v>6.3199999999996592E-2</v>
      </c>
    </row>
    <row r="150" spans="1:39" x14ac:dyDescent="0.25">
      <c r="A150" s="35" t="s">
        <v>399</v>
      </c>
      <c r="B150" s="35" t="s">
        <v>400</v>
      </c>
      <c r="C150" s="35">
        <v>2.9666999999999999</v>
      </c>
      <c r="D150" s="35">
        <v>133.19848120130959</v>
      </c>
      <c r="E150" s="35">
        <v>133.19848120130959</v>
      </c>
      <c r="F150" s="35">
        <v>42618.7</v>
      </c>
      <c r="G150" s="36">
        <v>-0.33339999999999997</v>
      </c>
      <c r="H150" s="35">
        <v>128.92944754467649</v>
      </c>
      <c r="I150" s="36">
        <v>-0.33340000000000591</v>
      </c>
      <c r="Q150" s="35">
        <v>-2.7691251256431442</v>
      </c>
      <c r="R150" s="35">
        <v>93.153074831871351</v>
      </c>
      <c r="S150" s="35">
        <v>101.0580009422209</v>
      </c>
      <c r="T150" s="35">
        <v>-7.9049261103495496</v>
      </c>
      <c r="U150" s="35">
        <v>-7.8221675044503683E-2</v>
      </c>
      <c r="V150" s="35">
        <v>-2.9321000000000002</v>
      </c>
      <c r="W150" s="35">
        <v>92.996935018398545</v>
      </c>
      <c r="X150" s="35">
        <v>-7.9766726520062559</v>
      </c>
      <c r="AF150" s="35">
        <v>0.1976</v>
      </c>
      <c r="AG150" s="35">
        <v>124.64880211511419</v>
      </c>
      <c r="AH150" s="35">
        <v>124.64880211511419</v>
      </c>
      <c r="AI150" s="35"/>
      <c r="AJ150" s="35">
        <v>0</v>
      </c>
      <c r="AK150" s="35">
        <v>0.152</v>
      </c>
      <c r="AL150" s="35">
        <v>124.5920743554029</v>
      </c>
      <c r="AM150" s="35">
        <v>0.15199999999999661</v>
      </c>
    </row>
    <row r="151" spans="1:39" x14ac:dyDescent="0.25">
      <c r="A151" s="35" t="s">
        <v>400</v>
      </c>
      <c r="B151" s="35" t="s">
        <v>401</v>
      </c>
      <c r="C151" s="35">
        <v>0.44850000000000001</v>
      </c>
      <c r="D151" s="35">
        <v>133.79587638949749</v>
      </c>
      <c r="E151" s="35">
        <v>133.79587638949749</v>
      </c>
      <c r="F151" s="35">
        <v>43918.6</v>
      </c>
      <c r="G151" s="36">
        <v>-0.60289999999999999</v>
      </c>
      <c r="H151" s="35">
        <v>132.39542755814691</v>
      </c>
      <c r="I151" s="36">
        <v>-0.60289999999999511</v>
      </c>
      <c r="Q151" s="35">
        <v>-0.48219154243285578</v>
      </c>
      <c r="R151" s="35">
        <v>92.703898583515922</v>
      </c>
      <c r="S151" s="35">
        <v>101.0580009422209</v>
      </c>
      <c r="T151" s="35">
        <v>-8.3541023587049779</v>
      </c>
      <c r="U151" s="35">
        <v>-8.2666412167418282E-2</v>
      </c>
      <c r="V151" s="35">
        <v>-0.53680000000000005</v>
      </c>
      <c r="W151" s="35">
        <v>92.653029126173863</v>
      </c>
      <c r="X151" s="35">
        <v>-8.3169781092864774</v>
      </c>
      <c r="AF151" s="35">
        <v>-3.3700000000000001E-2</v>
      </c>
      <c r="AG151" s="35">
        <v>124.60679546880139</v>
      </c>
      <c r="AH151" s="35">
        <v>124.64880211511419</v>
      </c>
      <c r="AI151" s="35">
        <v>-4.2006646312799489E-2</v>
      </c>
      <c r="AJ151" s="35">
        <v>-3.3700000000004809E-4</v>
      </c>
      <c r="AK151" s="35">
        <v>-0.59560000000000002</v>
      </c>
      <c r="AL151" s="35">
        <v>123.90639384971659</v>
      </c>
      <c r="AM151" s="35">
        <v>-0.59559999999999613</v>
      </c>
    </row>
    <row r="152" spans="1:39" x14ac:dyDescent="0.25">
      <c r="A152" s="35" t="s">
        <v>401</v>
      </c>
      <c r="B152" s="35" t="s">
        <v>402</v>
      </c>
      <c r="C152" s="35">
        <v>0.2316</v>
      </c>
      <c r="D152" s="35">
        <v>134.10574763921559</v>
      </c>
      <c r="E152" s="35">
        <v>134.10574763921559</v>
      </c>
      <c r="F152" s="35">
        <v>44122.9</v>
      </c>
      <c r="G152" s="36">
        <v>-0.31950000000000001</v>
      </c>
      <c r="H152" s="35">
        <v>133.36839856443311</v>
      </c>
      <c r="I152" s="36">
        <v>-0.31949999999999479</v>
      </c>
      <c r="Q152" s="35">
        <v>-0.28889815920326439</v>
      </c>
      <c r="R152" s="35">
        <v>92.436078726998488</v>
      </c>
      <c r="S152" s="35">
        <v>101.0580009422209</v>
      </c>
      <c r="T152" s="35">
        <v>-8.621922215222412</v>
      </c>
      <c r="U152" s="35">
        <v>-8.5316572016419831E-2</v>
      </c>
      <c r="V152" s="35">
        <v>-0.45629999999999998</v>
      </c>
      <c r="W152" s="35">
        <v>92.280890694279336</v>
      </c>
      <c r="X152" s="35">
        <v>-8.6852205328698417</v>
      </c>
      <c r="AF152" s="35">
        <v>-5.7299999999999997E-2</v>
      </c>
      <c r="AG152" s="35">
        <v>124.5353957749978</v>
      </c>
      <c r="AH152" s="35">
        <v>124.64880211511419</v>
      </c>
      <c r="AI152" s="35">
        <v>-0.1134063401164269</v>
      </c>
      <c r="AJ152" s="35">
        <v>-9.0980689900008193E-4</v>
      </c>
      <c r="AK152" s="35">
        <v>-0.20699999999999999</v>
      </c>
      <c r="AL152" s="35">
        <v>124.34885940218101</v>
      </c>
      <c r="AM152" s="35">
        <v>-0.2406302410000061</v>
      </c>
    </row>
    <row r="153" spans="1:39" x14ac:dyDescent="0.25">
      <c r="A153" s="35" t="s">
        <v>402</v>
      </c>
      <c r="B153" s="35" t="s">
        <v>403</v>
      </c>
      <c r="C153" s="35">
        <v>1.4995000000000001</v>
      </c>
      <c r="D153" s="35">
        <v>136.11666332506559</v>
      </c>
      <c r="E153" s="35">
        <v>136.11666332506559</v>
      </c>
      <c r="F153" s="35">
        <v>44232.45</v>
      </c>
      <c r="G153" s="36">
        <v>-0.52410000000000001</v>
      </c>
      <c r="H153" s="35">
        <v>133.40289941583839</v>
      </c>
      <c r="I153" s="36">
        <v>-0.52410000000001622</v>
      </c>
      <c r="Q153" s="35">
        <v>0.32907148349627707</v>
      </c>
      <c r="R153" s="35">
        <v>92.740259502551211</v>
      </c>
      <c r="S153" s="35">
        <v>101.0580009422209</v>
      </c>
      <c r="T153" s="35">
        <v>-8.3177414396696889</v>
      </c>
      <c r="U153" s="35">
        <v>-8.230660969065963E-2</v>
      </c>
      <c r="V153" s="35">
        <v>-0.43130000000000002</v>
      </c>
      <c r="W153" s="35">
        <v>92.037401919448939</v>
      </c>
      <c r="X153" s="35">
        <v>-8.9261601641313035</v>
      </c>
      <c r="AF153" s="35">
        <v>1.8286</v>
      </c>
      <c r="AG153" s="35">
        <v>126.81265002213939</v>
      </c>
      <c r="AH153" s="35">
        <v>126.81265002213939</v>
      </c>
      <c r="AI153" s="35"/>
      <c r="AJ153" s="35">
        <v>0</v>
      </c>
      <c r="AK153" s="35">
        <v>0.42820000000000003</v>
      </c>
      <c r="AL153" s="35">
        <v>125.06865633970629</v>
      </c>
      <c r="AM153" s="35">
        <v>0.336829730785837</v>
      </c>
    </row>
    <row r="154" spans="1:39" x14ac:dyDescent="0.25">
      <c r="A154" s="35" t="s">
        <v>403</v>
      </c>
      <c r="B154" s="35" t="s">
        <v>404</v>
      </c>
      <c r="C154" s="35">
        <v>1.2892999999999999</v>
      </c>
      <c r="D154" s="35">
        <v>137.8716154653157</v>
      </c>
      <c r="E154" s="35">
        <v>137.8716154653157</v>
      </c>
      <c r="F154" s="35">
        <v>44947.3</v>
      </c>
      <c r="G154" s="36">
        <v>0.59319999999999995</v>
      </c>
      <c r="H154" s="35">
        <v>136.92410737190991</v>
      </c>
      <c r="I154" s="36">
        <v>0.59320000000000483</v>
      </c>
      <c r="Q154" s="35">
        <v>-1.353078773890334</v>
      </c>
      <c r="R154" s="35">
        <v>91.485410736371378</v>
      </c>
      <c r="S154" s="35">
        <v>101.0580009422209</v>
      </c>
      <c r="T154" s="35">
        <v>-9.5725902058495222</v>
      </c>
      <c r="U154" s="35">
        <v>-9.4723724164329892E-2</v>
      </c>
      <c r="V154" s="35">
        <v>-1.5201</v>
      </c>
      <c r="W154" s="35">
        <v>91.330514817852929</v>
      </c>
      <c r="X154" s="35">
        <v>-9.6256466916751933</v>
      </c>
      <c r="AF154" s="35">
        <v>-6.3799999999999996E-2</v>
      </c>
      <c r="AG154" s="35">
        <v>126.7317435514253</v>
      </c>
      <c r="AH154" s="35">
        <v>126.81265002213939</v>
      </c>
      <c r="AI154" s="35">
        <v>-8.0906470714126044E-2</v>
      </c>
      <c r="AJ154" s="35">
        <v>-6.3800000000000879E-4</v>
      </c>
      <c r="AK154" s="35">
        <v>-0.1138</v>
      </c>
      <c r="AL154" s="35">
        <v>126.6683372264142</v>
      </c>
      <c r="AM154" s="35">
        <v>-0.1137999999999972</v>
      </c>
    </row>
    <row r="155" spans="1:39" x14ac:dyDescent="0.25">
      <c r="A155" s="35" t="s">
        <v>404</v>
      </c>
      <c r="B155" s="35" t="s">
        <v>405</v>
      </c>
      <c r="C155" s="35">
        <v>9.8100000000000007E-2</v>
      </c>
      <c r="D155" s="35">
        <v>138.00686752008721</v>
      </c>
      <c r="E155" s="35">
        <v>138.00686752008721</v>
      </c>
      <c r="F155" s="35">
        <v>45534.3</v>
      </c>
      <c r="G155" s="36">
        <v>-6.0999999999999999E-2</v>
      </c>
      <c r="H155" s="35">
        <v>137.78751377988189</v>
      </c>
      <c r="I155" s="36">
        <v>-6.0999999999999943E-2</v>
      </c>
      <c r="Q155" s="35">
        <v>-0.90333149220826414</v>
      </c>
      <c r="R155" s="35">
        <v>90.658994210413653</v>
      </c>
      <c r="S155" s="35">
        <v>101.0580009422209</v>
      </c>
      <c r="T155" s="35">
        <v>-10.399006731807249</v>
      </c>
      <c r="U155" s="35">
        <v>-0.10290136985544369</v>
      </c>
      <c r="V155" s="35">
        <v>-1.111</v>
      </c>
      <c r="W155" s="35">
        <v>90.469007823090294</v>
      </c>
      <c r="X155" s="35">
        <v>-10.478134358886409</v>
      </c>
      <c r="AF155" s="35">
        <v>-0.80520000000000003</v>
      </c>
      <c r="AG155" s="35">
        <v>125.7112995523492</v>
      </c>
      <c r="AH155" s="35">
        <v>126.81265002213939</v>
      </c>
      <c r="AI155" s="35">
        <v>-1.101350469790191</v>
      </c>
      <c r="AJ155" s="35">
        <v>-8.6848628239999184E-3</v>
      </c>
      <c r="AK155" s="35">
        <v>-0.80520000000000003</v>
      </c>
      <c r="AL155" s="35">
        <v>125.7112995523492</v>
      </c>
      <c r="AM155" s="35">
        <v>-0.86848628239999393</v>
      </c>
    </row>
    <row r="156" spans="1:39" x14ac:dyDescent="0.25">
      <c r="A156" s="35" t="s">
        <v>405</v>
      </c>
      <c r="B156" s="35" t="s">
        <v>406</v>
      </c>
      <c r="C156" s="35">
        <v>-3.5089000000000001</v>
      </c>
      <c r="D156" s="35">
        <v>133.16434454567479</v>
      </c>
      <c r="E156" s="35">
        <v>138.00686752008721</v>
      </c>
      <c r="F156" s="35">
        <v>45586.55</v>
      </c>
      <c r="G156" s="36">
        <v>-3.8996</v>
      </c>
      <c r="H156" s="35">
        <v>132.62515171427381</v>
      </c>
      <c r="I156" s="36">
        <v>-3.899599999999992</v>
      </c>
      <c r="Q156" s="35">
        <v>0.64152605369430926</v>
      </c>
      <c r="R156" s="35">
        <v>91.240595278290684</v>
      </c>
      <c r="S156" s="35">
        <v>101.0580009422209</v>
      </c>
      <c r="T156" s="35">
        <v>-9.8174056639302165</v>
      </c>
      <c r="U156" s="35">
        <v>-9.7146248415731468E-2</v>
      </c>
      <c r="V156" s="35">
        <v>-0.1125</v>
      </c>
      <c r="W156" s="35">
        <v>90.557002841926931</v>
      </c>
      <c r="X156" s="35">
        <v>-10.39106058143564</v>
      </c>
      <c r="AF156" s="35">
        <v>-2.8673999999999999</v>
      </c>
      <c r="AG156" s="35">
        <v>122.1066537489851</v>
      </c>
      <c r="AH156" s="35">
        <v>126.81265002213939</v>
      </c>
      <c r="AI156" s="35">
        <v>-4.7059962731542564</v>
      </c>
      <c r="AJ156" s="35">
        <v>-3.7109833067384572E-2</v>
      </c>
      <c r="AK156" s="35">
        <v>-3.1938</v>
      </c>
      <c r="AL156" s="35">
        <v>121.6963320672463</v>
      </c>
      <c r="AM156" s="35">
        <v>-4.0345485675126973</v>
      </c>
    </row>
    <row r="157" spans="1:39" x14ac:dyDescent="0.25">
      <c r="A157" s="35" t="s">
        <v>406</v>
      </c>
      <c r="B157" s="35" t="s">
        <v>407</v>
      </c>
      <c r="C157" s="35">
        <v>2.9963000000000002</v>
      </c>
      <c r="D157" s="35">
        <v>137.15434780129689</v>
      </c>
      <c r="E157" s="35">
        <v>138.00686752008721</v>
      </c>
      <c r="F157" s="35">
        <v>44024.95</v>
      </c>
      <c r="G157" s="36">
        <v>-1.7055</v>
      </c>
      <c r="H157" s="35">
        <v>130.89322664944831</v>
      </c>
      <c r="I157" s="36">
        <v>-5.1545557104999968</v>
      </c>
      <c r="Q157" s="35">
        <v>-0.85223981863012788</v>
      </c>
      <c r="R157" s="35">
        <v>90.463006594573926</v>
      </c>
      <c r="S157" s="35">
        <v>101.0580009422209</v>
      </c>
      <c r="T157" s="35">
        <v>-10.594994347646971</v>
      </c>
      <c r="U157" s="35">
        <v>-0.1048407275907286</v>
      </c>
      <c r="V157" s="35">
        <v>-1.1593</v>
      </c>
      <c r="W157" s="35">
        <v>90.182843057229462</v>
      </c>
      <c r="X157" s="35">
        <v>-10.761303195784791</v>
      </c>
      <c r="AF157" s="35">
        <v>2.1440999999999999</v>
      </c>
      <c r="AG157" s="35">
        <v>124.7247425120171</v>
      </c>
      <c r="AH157" s="35">
        <v>126.81265002213939</v>
      </c>
      <c r="AI157" s="35">
        <v>-2.0879075101222639</v>
      </c>
      <c r="AJ157" s="35">
        <v>-1.6464504998182361E-2</v>
      </c>
      <c r="AK157" s="35">
        <v>-1.1142000000000001</v>
      </c>
      <c r="AL157" s="35">
        <v>120.7461414129139</v>
      </c>
      <c r="AM157" s="35">
        <v>-4.7838355307347813</v>
      </c>
    </row>
    <row r="158" spans="1:39" x14ac:dyDescent="0.25">
      <c r="A158" s="35" t="s">
        <v>407</v>
      </c>
      <c r="B158" s="35" t="s">
        <v>408</v>
      </c>
      <c r="C158" s="35">
        <v>0.35980000000000001</v>
      </c>
      <c r="D158" s="35">
        <v>137.64782914468589</v>
      </c>
      <c r="E158" s="35">
        <v>138.00686752008721</v>
      </c>
      <c r="F158" s="35">
        <v>45388.1</v>
      </c>
      <c r="G158" s="36">
        <v>-0.1192</v>
      </c>
      <c r="H158" s="35">
        <v>136.99085981871769</v>
      </c>
      <c r="I158" s="36">
        <v>-0.73620082799252806</v>
      </c>
      <c r="Q158" s="35">
        <v>-0.72406821398839161</v>
      </c>
      <c r="R158" s="35">
        <v>89.807992718404392</v>
      </c>
      <c r="S158" s="35">
        <v>101.0580009422209</v>
      </c>
      <c r="T158" s="35">
        <v>-11.25000822381651</v>
      </c>
      <c r="U158" s="35">
        <v>-0.1113222913468139</v>
      </c>
      <c r="V158" s="35">
        <v>-0.87890000000000001</v>
      </c>
      <c r="W158" s="35">
        <v>89.667927229614207</v>
      </c>
      <c r="X158" s="35">
        <v>-11.27082824359338</v>
      </c>
      <c r="AF158" s="35">
        <v>-0.36430000000000001</v>
      </c>
      <c r="AG158" s="35">
        <v>124.27037027504591</v>
      </c>
      <c r="AH158" s="35">
        <v>126.81265002213939</v>
      </c>
      <c r="AI158" s="35">
        <v>-2.5422797470935312</v>
      </c>
      <c r="AJ158" s="35">
        <v>-2.0047524806473892E-2</v>
      </c>
      <c r="AK158" s="35">
        <v>-0.36430000000000001</v>
      </c>
      <c r="AL158" s="35">
        <v>124.27037027504591</v>
      </c>
      <c r="AM158" s="35">
        <v>-2.0047524806473871</v>
      </c>
    </row>
    <row r="159" spans="1:39" x14ac:dyDescent="0.25">
      <c r="A159" s="35" t="s">
        <v>408</v>
      </c>
      <c r="B159" s="35" t="s">
        <v>409</v>
      </c>
      <c r="C159" s="35">
        <v>2.0127000000000002</v>
      </c>
      <c r="D159" s="35">
        <v>140.41826700188099</v>
      </c>
      <c r="E159" s="35">
        <v>140.41826700188099</v>
      </c>
      <c r="F159" s="35">
        <v>45558.95</v>
      </c>
      <c r="G159" s="36">
        <v>-3.8199999999999998E-2</v>
      </c>
      <c r="H159" s="35">
        <v>137.59524767395271</v>
      </c>
      <c r="I159" s="36">
        <v>-0.29826040800074999</v>
      </c>
      <c r="Q159" s="35">
        <v>1.125849986723467</v>
      </c>
      <c r="R159" s="35">
        <v>90.819095992501161</v>
      </c>
      <c r="S159" s="35">
        <v>101.0580009422209</v>
      </c>
      <c r="T159" s="35">
        <v>-10.238904949719741</v>
      </c>
      <c r="U159" s="35">
        <v>-0.1013171134819276</v>
      </c>
      <c r="V159" s="35">
        <v>-0.88109999999999999</v>
      </c>
      <c r="W159" s="35">
        <v>89.016694494562529</v>
      </c>
      <c r="X159" s="35">
        <v>-11.915243063775719</v>
      </c>
      <c r="AF159" s="35">
        <v>3.1385000000000001</v>
      </c>
      <c r="AG159" s="35">
        <v>128.17059584612821</v>
      </c>
      <c r="AH159" s="35">
        <v>128.17059584612821</v>
      </c>
      <c r="AI159" s="35"/>
      <c r="AJ159" s="35">
        <v>0</v>
      </c>
      <c r="AK159" s="35">
        <v>1.1486000000000001</v>
      </c>
      <c r="AL159" s="35">
        <v>125.6977397480251</v>
      </c>
      <c r="AM159" s="35">
        <v>-0.87917906764009013</v>
      </c>
    </row>
    <row r="160" spans="1:39" x14ac:dyDescent="0.25">
      <c r="A160" s="35" t="s">
        <v>409</v>
      </c>
      <c r="B160" s="35" t="s">
        <v>410</v>
      </c>
      <c r="C160" s="35">
        <v>1.1257999999999999</v>
      </c>
      <c r="D160" s="35">
        <v>141.99909585178821</v>
      </c>
      <c r="E160" s="35">
        <v>141.99909585178821</v>
      </c>
      <c r="F160" s="35">
        <v>46529.05</v>
      </c>
      <c r="G160" s="36">
        <v>-1.3899999999999999E-2</v>
      </c>
      <c r="H160" s="35">
        <v>140.3987488627678</v>
      </c>
      <c r="I160" s="36">
        <v>-1.3900000000011129E-2</v>
      </c>
      <c r="Q160" s="35">
        <v>-0.54537384947495859</v>
      </c>
      <c r="R160" s="35">
        <v>90.323792392628491</v>
      </c>
      <c r="S160" s="35">
        <v>101.0580009422209</v>
      </c>
      <c r="T160" s="35">
        <v>-10.73420854959241</v>
      </c>
      <c r="U160" s="35">
        <v>-0.106218294934704</v>
      </c>
      <c r="V160" s="35">
        <v>-1.2476</v>
      </c>
      <c r="W160" s="35">
        <v>89.686036950898711</v>
      </c>
      <c r="X160" s="35">
        <v>-11.25290811741271</v>
      </c>
      <c r="AF160" s="35">
        <v>0.58040000000000003</v>
      </c>
      <c r="AG160" s="35">
        <v>128.91449798441911</v>
      </c>
      <c r="AH160" s="35">
        <v>128.91449798441911</v>
      </c>
      <c r="AI160" s="35"/>
      <c r="AJ160" s="35">
        <v>0</v>
      </c>
      <c r="AK160" s="35">
        <v>0.58040000000000003</v>
      </c>
      <c r="AL160" s="35">
        <v>128.91449798441911</v>
      </c>
      <c r="AM160" s="35">
        <v>0.58039999999999203</v>
      </c>
    </row>
    <row r="161" spans="1:39" x14ac:dyDescent="0.25">
      <c r="A161" s="35" t="s">
        <v>410</v>
      </c>
      <c r="B161" s="35" t="s">
        <v>411</v>
      </c>
      <c r="C161" s="35">
        <v>0.82740000000000002</v>
      </c>
      <c r="D161" s="35">
        <v>143.17399637086589</v>
      </c>
      <c r="E161" s="35">
        <v>143.17399637086589</v>
      </c>
      <c r="F161" s="35">
        <v>47107.15</v>
      </c>
      <c r="G161" s="36">
        <v>0.1749</v>
      </c>
      <c r="H161" s="35">
        <v>142.247452270433</v>
      </c>
      <c r="I161" s="36">
        <v>0.17490000000000011</v>
      </c>
      <c r="Q161" s="35">
        <v>-1.2348106037828359</v>
      </c>
      <c r="R161" s="35">
        <v>89.208464626425524</v>
      </c>
      <c r="S161" s="35">
        <v>101.0580009422209</v>
      </c>
      <c r="T161" s="35">
        <v>-11.84953631579538</v>
      </c>
      <c r="U161" s="35">
        <v>-0.1172548062035212</v>
      </c>
      <c r="V161" s="35">
        <v>-1.5488999999999999</v>
      </c>
      <c r="W161" s="35">
        <v>88.924767172259067</v>
      </c>
      <c r="X161" s="35">
        <v>-12.00620797644604</v>
      </c>
      <c r="AF161" s="35">
        <v>-0.40739999999999998</v>
      </c>
      <c r="AG161" s="35">
        <v>128.38930031963059</v>
      </c>
      <c r="AH161" s="35">
        <v>128.91449798441911</v>
      </c>
      <c r="AI161" s="35">
        <v>-0.52519766478852148</v>
      </c>
      <c r="AJ161" s="35">
        <v>-4.0739999999999856E-3</v>
      </c>
      <c r="AK161" s="35">
        <v>-0.54610000000000003</v>
      </c>
      <c r="AL161" s="35">
        <v>128.2104959109262</v>
      </c>
      <c r="AM161" s="35">
        <v>-0.54610000000000491</v>
      </c>
    </row>
    <row r="162" spans="1:39" x14ac:dyDescent="0.25">
      <c r="A162" s="35" t="s">
        <v>411</v>
      </c>
      <c r="B162" s="35" t="s">
        <v>412</v>
      </c>
      <c r="C162" s="35">
        <v>-0.84319999999999995</v>
      </c>
      <c r="D162" s="35">
        <v>141.96675323346679</v>
      </c>
      <c r="E162" s="35">
        <v>143.17399637086589</v>
      </c>
      <c r="F162" s="35">
        <v>47512.6</v>
      </c>
      <c r="G162" s="36">
        <v>-1.3725000000000001</v>
      </c>
      <c r="H162" s="35">
        <v>141.2089332706758</v>
      </c>
      <c r="I162" s="36">
        <v>-1.3724999999999881</v>
      </c>
      <c r="Q162" s="35">
        <v>1.333436859857819</v>
      </c>
      <c r="R162" s="35">
        <v>90.398003175867515</v>
      </c>
      <c r="S162" s="35">
        <v>101.0580009422209</v>
      </c>
      <c r="T162" s="35">
        <v>-10.65999776635338</v>
      </c>
      <c r="U162" s="35">
        <v>-0.1054839564108155</v>
      </c>
      <c r="V162" s="35">
        <v>-0.81689999999999996</v>
      </c>
      <c r="W162" s="35">
        <v>88.479720678892249</v>
      </c>
      <c r="X162" s="35">
        <v>-12.446595169164461</v>
      </c>
      <c r="AF162" s="35">
        <v>0.49020000000000002</v>
      </c>
      <c r="AG162" s="35">
        <v>129.0186646697974</v>
      </c>
      <c r="AH162" s="35">
        <v>129.0186646697974</v>
      </c>
      <c r="AI162" s="35"/>
      <c r="AJ162" s="35">
        <v>0</v>
      </c>
      <c r="AK162" s="35">
        <v>5.6599999999999998E-2</v>
      </c>
      <c r="AL162" s="35">
        <v>128.46196866361149</v>
      </c>
      <c r="AM162" s="35">
        <v>-0.35103058839999202</v>
      </c>
    </row>
    <row r="163" spans="1:39" x14ac:dyDescent="0.25">
      <c r="A163" s="35" t="s">
        <v>412</v>
      </c>
      <c r="B163" s="35" t="s">
        <v>413</v>
      </c>
      <c r="C163" s="35">
        <v>-1.3342000000000001</v>
      </c>
      <c r="D163" s="35">
        <v>140.07263281182591</v>
      </c>
      <c r="E163" s="35">
        <v>143.17399637086589</v>
      </c>
      <c r="F163" s="35">
        <v>47151.55</v>
      </c>
      <c r="G163" s="36">
        <v>-2.7547999999999999</v>
      </c>
      <c r="H163" s="35">
        <v>138.05585311539119</v>
      </c>
      <c r="I163" s="36">
        <v>-3.5747715264000002</v>
      </c>
      <c r="Q163" s="35">
        <v>2.0385268832905692</v>
      </c>
      <c r="R163" s="35">
        <v>92.240790772565433</v>
      </c>
      <c r="S163" s="35">
        <v>101.0580009422209</v>
      </c>
      <c r="T163" s="35">
        <v>-8.8172101696554677</v>
      </c>
      <c r="U163" s="35">
        <v>-8.7249006386902875E-2</v>
      </c>
      <c r="V163" s="35">
        <v>-1.0194000000000001</v>
      </c>
      <c r="W163" s="35">
        <v>89.476485931492718</v>
      </c>
      <c r="X163" s="35">
        <v>-11.46026529591637</v>
      </c>
      <c r="AF163" s="35">
        <v>0.70430000000000004</v>
      </c>
      <c r="AG163" s="35">
        <v>129.92734312506681</v>
      </c>
      <c r="AH163" s="35">
        <v>129.92734312506681</v>
      </c>
      <c r="AI163" s="35"/>
      <c r="AJ163" s="35">
        <v>0</v>
      </c>
      <c r="AK163" s="35">
        <v>-0.51329999999999998</v>
      </c>
      <c r="AL163" s="35">
        <v>128.35641186404729</v>
      </c>
      <c r="AM163" s="35">
        <v>-0.51330000000001652</v>
      </c>
    </row>
    <row r="164" spans="1:39" x14ac:dyDescent="0.25">
      <c r="A164" s="35" t="s">
        <v>413</v>
      </c>
      <c r="B164" s="35" t="s">
        <v>414</v>
      </c>
      <c r="C164" s="35">
        <v>1.8167</v>
      </c>
      <c r="D164" s="35">
        <v>142.61733233211831</v>
      </c>
      <c r="E164" s="35">
        <v>143.17399637086589</v>
      </c>
      <c r="F164" s="35">
        <v>46569.599999999999</v>
      </c>
      <c r="G164" s="36">
        <v>-1.0649</v>
      </c>
      <c r="H164" s="35">
        <v>138.58099934501271</v>
      </c>
      <c r="I164" s="36">
        <v>-3.2079826939773848</v>
      </c>
      <c r="Q164" s="35">
        <v>-2.1477202101813662</v>
      </c>
      <c r="R164" s="35">
        <v>90.259716667111931</v>
      </c>
      <c r="S164" s="35">
        <v>101.0580009422209</v>
      </c>
      <c r="T164" s="35">
        <v>-10.798284275108969</v>
      </c>
      <c r="U164" s="35">
        <v>-0.1068523439453626</v>
      </c>
      <c r="V164" s="35">
        <v>-2.4043000000000001</v>
      </c>
      <c r="W164" s="35">
        <v>90.023045440020638</v>
      </c>
      <c r="X164" s="35">
        <v>-10.919427852634261</v>
      </c>
      <c r="AF164" s="35">
        <v>-0.33100000000000002</v>
      </c>
      <c r="AG164" s="35">
        <v>129.49728361932279</v>
      </c>
      <c r="AH164" s="35">
        <v>129.92734312506681</v>
      </c>
      <c r="AI164" s="35">
        <v>-0.43005950574396928</v>
      </c>
      <c r="AJ164" s="35">
        <v>-3.309999999999987E-3</v>
      </c>
      <c r="AK164" s="35">
        <v>-0.74850000000000005</v>
      </c>
      <c r="AL164" s="35">
        <v>128.95483696177561</v>
      </c>
      <c r="AM164" s="35">
        <v>-0.74849999999999639</v>
      </c>
    </row>
    <row r="165" spans="1:39" x14ac:dyDescent="0.25">
      <c r="A165" s="35" t="s">
        <v>414</v>
      </c>
      <c r="B165" s="35" t="s">
        <v>415</v>
      </c>
      <c r="C165" s="35">
        <v>1.0883</v>
      </c>
      <c r="D165" s="35">
        <v>144.16943675988881</v>
      </c>
      <c r="E165" s="35">
        <v>144.16943675988881</v>
      </c>
      <c r="F165" s="35">
        <v>47423.4</v>
      </c>
      <c r="G165" s="36">
        <v>-1.0116000000000001</v>
      </c>
      <c r="H165" s="35">
        <v>141.1746153982466</v>
      </c>
      <c r="I165" s="36">
        <v>-1.3964693472970251</v>
      </c>
      <c r="Q165" s="35">
        <v>-0.93992015456361189</v>
      </c>
      <c r="R165" s="35">
        <v>89.411347398705729</v>
      </c>
      <c r="S165" s="35">
        <v>101.0580009422209</v>
      </c>
      <c r="T165" s="35">
        <v>-11.646653543515169</v>
      </c>
      <c r="U165" s="35">
        <v>-0.1152472187746327</v>
      </c>
      <c r="V165" s="35">
        <v>-1.1888000000000001</v>
      </c>
      <c r="W165" s="35">
        <v>89.186709155373308</v>
      </c>
      <c r="X165" s="35">
        <v>-11.74700832805401</v>
      </c>
      <c r="AF165" s="35">
        <v>0.1484</v>
      </c>
      <c r="AG165" s="35">
        <v>129.68945758821391</v>
      </c>
      <c r="AH165" s="35">
        <v>129.92734312506681</v>
      </c>
      <c r="AI165" s="35">
        <v>-0.23788553685290029</v>
      </c>
      <c r="AJ165" s="35">
        <v>-1.8309120400000331E-3</v>
      </c>
      <c r="AK165" s="35">
        <v>-5.0599999999999999E-2</v>
      </c>
      <c r="AL165" s="35">
        <v>129.4317579938114</v>
      </c>
      <c r="AM165" s="35">
        <v>-0.38143251400000189</v>
      </c>
    </row>
    <row r="166" spans="1:39" x14ac:dyDescent="0.25">
      <c r="A166" s="35" t="s">
        <v>415</v>
      </c>
      <c r="B166" s="35" t="s">
        <v>416</v>
      </c>
      <c r="C166" s="35">
        <v>1.1954</v>
      </c>
      <c r="D166" s="35">
        <v>145.89283820691651</v>
      </c>
      <c r="E166" s="35">
        <v>145.89283820691651</v>
      </c>
      <c r="F166" s="35">
        <v>47979.05</v>
      </c>
      <c r="G166" s="36">
        <v>-0.53180000000000005</v>
      </c>
      <c r="H166" s="35">
        <v>143.40274369519969</v>
      </c>
      <c r="I166" s="36">
        <v>-0.53180000000000449</v>
      </c>
      <c r="Q166" s="35">
        <v>0.35077469453849552</v>
      </c>
      <c r="R166" s="35">
        <v>89.724979779426292</v>
      </c>
      <c r="S166" s="35">
        <v>101.0580009422209</v>
      </c>
      <c r="T166" s="35">
        <v>-11.33302116279461</v>
      </c>
      <c r="U166" s="35">
        <v>-0.1121437299088686</v>
      </c>
      <c r="V166" s="35">
        <v>-0.37290000000000001</v>
      </c>
      <c r="W166" s="35">
        <v>89.077932484255953</v>
      </c>
      <c r="X166" s="35">
        <v>-11.854646189582221</v>
      </c>
      <c r="AF166" s="35">
        <v>1.5462</v>
      </c>
      <c r="AG166" s="35">
        <v>131.69471598144281</v>
      </c>
      <c r="AH166" s="35">
        <v>131.69471598144281</v>
      </c>
      <c r="AI166" s="35"/>
      <c r="AJ166" s="35">
        <v>0</v>
      </c>
      <c r="AK166" s="35">
        <v>0.72360000000000002</v>
      </c>
      <c r="AL166" s="35">
        <v>130.62789050332219</v>
      </c>
      <c r="AM166" s="35">
        <v>0.53918394804783887</v>
      </c>
    </row>
    <row r="167" spans="1:39" x14ac:dyDescent="0.25">
      <c r="A167" s="35" t="s">
        <v>416</v>
      </c>
      <c r="B167" s="35" t="s">
        <v>417</v>
      </c>
      <c r="C167" s="35">
        <v>1.4964</v>
      </c>
      <c r="D167" s="35">
        <v>148.0759786378448</v>
      </c>
      <c r="E167" s="35">
        <v>148.0759786378448</v>
      </c>
      <c r="F167" s="35">
        <v>48568.6</v>
      </c>
      <c r="G167" s="36">
        <v>-1.2133</v>
      </c>
      <c r="H167" s="35">
        <v>144.12272040095201</v>
      </c>
      <c r="I167" s="36">
        <v>-1.2132999999999949</v>
      </c>
      <c r="Q167" s="35">
        <v>-0.46879962440795919</v>
      </c>
      <c r="R167" s="35">
        <v>89.30434941122023</v>
      </c>
      <c r="S167" s="35">
        <v>101.0580009422209</v>
      </c>
      <c r="T167" s="35">
        <v>-11.753651531000671</v>
      </c>
      <c r="U167" s="35">
        <v>-0.1163059967683383</v>
      </c>
      <c r="V167" s="35">
        <v>-1.6333</v>
      </c>
      <c r="W167" s="35">
        <v>88.259501684688914</v>
      </c>
      <c r="X167" s="35">
        <v>-12.66450863682671</v>
      </c>
      <c r="AF167" s="35">
        <v>1.0276000000000001</v>
      </c>
      <c r="AG167" s="35">
        <v>133.04801088286811</v>
      </c>
      <c r="AH167" s="35">
        <v>133.04801088286811</v>
      </c>
      <c r="AI167" s="35"/>
      <c r="AJ167" s="35">
        <v>0</v>
      </c>
      <c r="AK167" s="35">
        <v>-0.58460000000000001</v>
      </c>
      <c r="AL167" s="35">
        <v>130.92482867181531</v>
      </c>
      <c r="AM167" s="35">
        <v>-0.58459999999999068</v>
      </c>
    </row>
    <row r="168" spans="1:39" x14ac:dyDescent="0.25">
      <c r="A168" s="35" t="s">
        <v>417</v>
      </c>
      <c r="B168" s="35" t="s">
        <v>418</v>
      </c>
      <c r="C168" s="35">
        <v>-3.4798</v>
      </c>
      <c r="D168" s="35">
        <v>142.92323073320509</v>
      </c>
      <c r="E168" s="35">
        <v>148.0759786378448</v>
      </c>
      <c r="F168" s="35">
        <v>49352.05</v>
      </c>
      <c r="G168" s="36">
        <v>-3.7791000000000001</v>
      </c>
      <c r="H168" s="35">
        <v>142.48003932914199</v>
      </c>
      <c r="I168" s="36">
        <v>-3.7790999999999908</v>
      </c>
      <c r="Q168" s="35">
        <v>1.1057659424089741</v>
      </c>
      <c r="R168" s="35">
        <v>90.29184649209941</v>
      </c>
      <c r="S168" s="35">
        <v>101.0580009422209</v>
      </c>
      <c r="T168" s="35">
        <v>-10.766154450121491</v>
      </c>
      <c r="U168" s="35">
        <v>-0.1065344094454921</v>
      </c>
      <c r="V168" s="35">
        <v>-0.34920000000000001</v>
      </c>
      <c r="W168" s="35">
        <v>88.992498623076244</v>
      </c>
      <c r="X168" s="35">
        <v>-11.939185622762331</v>
      </c>
      <c r="AF168" s="35">
        <v>-2.3740000000000001</v>
      </c>
      <c r="AG168" s="35">
        <v>129.88945110450891</v>
      </c>
      <c r="AH168" s="35">
        <v>133.04801088286811</v>
      </c>
      <c r="AI168" s="35">
        <v>-3.1585597783592898</v>
      </c>
      <c r="AJ168" s="35">
        <v>-2.3740000000000001E-2</v>
      </c>
      <c r="AK168" s="35">
        <v>-2.4958</v>
      </c>
      <c r="AL168" s="35">
        <v>129.72739862725351</v>
      </c>
      <c r="AM168" s="35">
        <v>-2.495800000000004</v>
      </c>
    </row>
    <row r="169" spans="1:39" x14ac:dyDescent="0.25">
      <c r="A169" s="35" t="s">
        <v>418</v>
      </c>
      <c r="B169" s="35" t="s">
        <v>419</v>
      </c>
      <c r="C169" s="35">
        <v>1.3428</v>
      </c>
      <c r="D169" s="35">
        <v>144.8424038754905</v>
      </c>
      <c r="E169" s="35">
        <v>148.0759786378448</v>
      </c>
      <c r="F169" s="35">
        <v>47675.8</v>
      </c>
      <c r="G169" s="36">
        <v>-1.5528999999999999</v>
      </c>
      <c r="H169" s="35">
        <v>140.70377588314909</v>
      </c>
      <c r="I169" s="36">
        <v>-4.9786621857999869</v>
      </c>
      <c r="Q169" s="35">
        <v>-1.061711089676421</v>
      </c>
      <c r="R169" s="35">
        <v>89.333207944819179</v>
      </c>
      <c r="S169" s="35">
        <v>101.0580009422209</v>
      </c>
      <c r="T169" s="35">
        <v>-11.724792997401719</v>
      </c>
      <c r="U169" s="35">
        <v>-0.1160204327028523</v>
      </c>
      <c r="V169" s="35">
        <v>-1.2935000000000001</v>
      </c>
      <c r="W169" s="35">
        <v>89.123921457724094</v>
      </c>
      <c r="X169" s="35">
        <v>-11.80913868593148</v>
      </c>
      <c r="AF169" s="35">
        <v>0.28110000000000002</v>
      </c>
      <c r="AG169" s="35">
        <v>130.25457035156359</v>
      </c>
      <c r="AH169" s="35">
        <v>133.04801088286811</v>
      </c>
      <c r="AI169" s="35">
        <v>-2.7934405313045261</v>
      </c>
      <c r="AJ169" s="35">
        <v>-2.099573314000008E-2</v>
      </c>
      <c r="AK169" s="35">
        <v>-1</v>
      </c>
      <c r="AL169" s="35">
        <v>128.59055659346379</v>
      </c>
      <c r="AM169" s="35">
        <v>-3.3502600000000049</v>
      </c>
    </row>
    <row r="170" spans="1:39" x14ac:dyDescent="0.25">
      <c r="A170" s="35" t="s">
        <v>419</v>
      </c>
      <c r="B170" s="35" t="s">
        <v>420</v>
      </c>
      <c r="C170" s="35">
        <v>1.9422999999999999</v>
      </c>
      <c r="D170" s="35">
        <v>147.6556778859642</v>
      </c>
      <c r="E170" s="35">
        <v>148.0759786378448</v>
      </c>
      <c r="F170" s="35">
        <v>48331.9</v>
      </c>
      <c r="G170" s="36">
        <v>0.50360000000000005</v>
      </c>
      <c r="H170" s="35">
        <v>145.57183022140751</v>
      </c>
      <c r="I170" s="36">
        <v>-1.6911240023351539</v>
      </c>
      <c r="Q170" s="35">
        <v>-0.87064818990799009</v>
      </c>
      <c r="R170" s="35">
        <v>88.555429986860872</v>
      </c>
      <c r="S170" s="35">
        <v>101.0580009422209</v>
      </c>
      <c r="T170" s="35">
        <v>-12.50257095536003</v>
      </c>
      <c r="U170" s="35">
        <v>-0.1237167848046813</v>
      </c>
      <c r="V170" s="35">
        <v>-1.2995000000000001</v>
      </c>
      <c r="W170" s="35">
        <v>88.172322907576259</v>
      </c>
      <c r="X170" s="35">
        <v>-12.75077471798787</v>
      </c>
      <c r="AF170" s="35">
        <v>1.0717000000000001</v>
      </c>
      <c r="AG170" s="35">
        <v>131.6505085820213</v>
      </c>
      <c r="AH170" s="35">
        <v>133.04801088286811</v>
      </c>
      <c r="AI170" s="35">
        <v>-1.3975023008468099</v>
      </c>
      <c r="AJ170" s="35">
        <v>-1.05037444120614E-2</v>
      </c>
      <c r="AK170" s="35">
        <v>0.78039999999999998</v>
      </c>
      <c r="AL170" s="35">
        <v>131.27107701858719</v>
      </c>
      <c r="AM170" s="35">
        <v>-1.3355583841424661</v>
      </c>
    </row>
    <row r="171" spans="1:39" x14ac:dyDescent="0.25">
      <c r="A171" s="35" t="s">
        <v>420</v>
      </c>
      <c r="B171" s="35" t="s">
        <v>421</v>
      </c>
      <c r="C171" s="35">
        <v>-1.4132</v>
      </c>
      <c r="D171" s="35">
        <v>145.5690078460797</v>
      </c>
      <c r="E171" s="35">
        <v>148.0759786378448</v>
      </c>
      <c r="F171" s="35">
        <v>49310.95</v>
      </c>
      <c r="G171" s="36">
        <v>-1.6782999999999999</v>
      </c>
      <c r="H171" s="35">
        <v>145.17757264400399</v>
      </c>
      <c r="I171" s="36">
        <v>-1.9573775709627259</v>
      </c>
      <c r="Q171" s="35">
        <v>0.52887929573167292</v>
      </c>
      <c r="R171" s="35">
        <v>89.023781321307524</v>
      </c>
      <c r="S171" s="35">
        <v>101.0580009422209</v>
      </c>
      <c r="T171" s="35">
        <v>-12.03421962091338</v>
      </c>
      <c r="U171" s="35">
        <v>-0.1190823043075416</v>
      </c>
      <c r="V171" s="35">
        <v>-0.50129999999999997</v>
      </c>
      <c r="W171" s="35">
        <v>88.111501616336739</v>
      </c>
      <c r="X171" s="35">
        <v>-12.81095925624555</v>
      </c>
      <c r="AF171" s="35">
        <v>-0.88429999999999997</v>
      </c>
      <c r="AG171" s="35">
        <v>130.48632313463051</v>
      </c>
      <c r="AH171" s="35">
        <v>133.04801088286811</v>
      </c>
      <c r="AI171" s="35">
        <v>-2.561687748237631</v>
      </c>
      <c r="AJ171" s="35">
        <v>-1.9253859800225589E-2</v>
      </c>
      <c r="AK171" s="35">
        <v>-0.95030000000000003</v>
      </c>
      <c r="AL171" s="35">
        <v>130.39943379896641</v>
      </c>
      <c r="AM171" s="35">
        <v>-1.9906927328913531</v>
      </c>
    </row>
    <row r="172" spans="1:39" x14ac:dyDescent="0.25">
      <c r="A172" s="35" t="s">
        <v>421</v>
      </c>
      <c r="B172" s="35" t="s">
        <v>422</v>
      </c>
      <c r="C172" s="35">
        <v>-1.23</v>
      </c>
      <c r="D172" s="35">
        <v>143.77850904957299</v>
      </c>
      <c r="E172" s="35">
        <v>148.0759786378448</v>
      </c>
      <c r="F172" s="35">
        <v>48630.5</v>
      </c>
      <c r="G172" s="36">
        <v>-1.4688000000000001</v>
      </c>
      <c r="H172" s="35">
        <v>143.43089025883651</v>
      </c>
      <c r="I172" s="36">
        <v>-3.1369628090515129</v>
      </c>
      <c r="Q172" s="35">
        <v>0.68261010516865761</v>
      </c>
      <c r="R172" s="35">
        <v>89.631466648610015</v>
      </c>
      <c r="S172" s="35">
        <v>101.0580009422209</v>
      </c>
      <c r="T172" s="35">
        <v>-11.42653429361089</v>
      </c>
      <c r="U172" s="35">
        <v>-0.113069071098526</v>
      </c>
      <c r="V172" s="35">
        <v>-1.2695000000000001</v>
      </c>
      <c r="W172" s="35">
        <v>87.893624417433529</v>
      </c>
      <c r="X172" s="35">
        <v>-13.02655544543574</v>
      </c>
      <c r="AF172" s="35">
        <v>-0.5474</v>
      </c>
      <c r="AG172" s="35">
        <v>129.77204100179151</v>
      </c>
      <c r="AH172" s="35">
        <v>133.04801088286811</v>
      </c>
      <c r="AI172" s="35">
        <v>-3.2759698810766049</v>
      </c>
      <c r="AJ172" s="35">
        <v>-2.4622464171679199E-2</v>
      </c>
      <c r="AK172" s="35">
        <v>-0.5474</v>
      </c>
      <c r="AL172" s="35">
        <v>129.77204100179151</v>
      </c>
      <c r="AM172" s="35">
        <v>-2.4622464171679241</v>
      </c>
    </row>
    <row r="173" spans="1:39" x14ac:dyDescent="0.25">
      <c r="A173" s="35" t="s">
        <v>422</v>
      </c>
      <c r="B173" s="35" t="s">
        <v>423</v>
      </c>
      <c r="C173" s="35">
        <v>1.4254</v>
      </c>
      <c r="D173" s="35">
        <v>145.8279279175656</v>
      </c>
      <c r="E173" s="35">
        <v>148.0759786378448</v>
      </c>
      <c r="F173" s="35">
        <v>48089.1</v>
      </c>
      <c r="G173" s="36">
        <v>-1.1399999999999999</v>
      </c>
      <c r="H173" s="35">
        <v>142.13943404640781</v>
      </c>
      <c r="I173" s="36">
        <v>-4.0091206190547402</v>
      </c>
      <c r="Q173" s="35">
        <v>-1.694444254629029</v>
      </c>
      <c r="R173" s="35">
        <v>88.11271141164292</v>
      </c>
      <c r="S173" s="35">
        <v>101.0580009422209</v>
      </c>
      <c r="T173" s="35">
        <v>-12.94528953057798</v>
      </c>
      <c r="U173" s="35">
        <v>-0.1280976212658248</v>
      </c>
      <c r="V173" s="35">
        <v>-1.802</v>
      </c>
      <c r="W173" s="35">
        <v>88.01630761960206</v>
      </c>
      <c r="X173" s="35">
        <v>-12.90515664373306</v>
      </c>
      <c r="AF173" s="35">
        <v>-0.26900000000000002</v>
      </c>
      <c r="AG173" s="35">
        <v>129.42295421149669</v>
      </c>
      <c r="AH173" s="35">
        <v>133.04801088286811</v>
      </c>
      <c r="AI173" s="35">
        <v>-3.625056671371425</v>
      </c>
      <c r="AJ173" s="35">
        <v>-2.724622974305739E-2</v>
      </c>
      <c r="AK173" s="35">
        <v>-0.88290000000000002</v>
      </c>
      <c r="AL173" s="35">
        <v>128.62628365178671</v>
      </c>
      <c r="AM173" s="35">
        <v>-3.3234072435507578</v>
      </c>
    </row>
    <row r="174" spans="1:39" x14ac:dyDescent="0.25">
      <c r="A174" s="35" t="s">
        <v>423</v>
      </c>
      <c r="B174" s="35" t="s">
        <v>424</v>
      </c>
      <c r="C174" s="35">
        <v>5.3400000000000003E-2</v>
      </c>
      <c r="D174" s="35">
        <v>145.9058000310736</v>
      </c>
      <c r="E174" s="35">
        <v>148.0759786378448</v>
      </c>
      <c r="F174" s="35">
        <v>48790.6</v>
      </c>
      <c r="G174" s="36">
        <v>-1.5125999999999999</v>
      </c>
      <c r="H174" s="35">
        <v>143.62213467988451</v>
      </c>
      <c r="I174" s="36">
        <v>-3.0078099087585519</v>
      </c>
      <c r="Q174" s="35">
        <v>-0.47898830507526158</v>
      </c>
      <c r="R174" s="35">
        <v>87.690661828696435</v>
      </c>
      <c r="S174" s="35">
        <v>101.0580009422209</v>
      </c>
      <c r="T174" s="35">
        <v>-13.367339113524469</v>
      </c>
      <c r="U174" s="35">
        <v>-0.13227393169163451</v>
      </c>
      <c r="V174" s="35">
        <v>-0.60880000000000001</v>
      </c>
      <c r="W174" s="35">
        <v>87.576281224568845</v>
      </c>
      <c r="X174" s="35">
        <v>-13.340576294755831</v>
      </c>
      <c r="AF174" s="35">
        <v>-0.42559999999999998</v>
      </c>
      <c r="AG174" s="35">
        <v>128.87213011837261</v>
      </c>
      <c r="AH174" s="35">
        <v>133.04801088286811</v>
      </c>
      <c r="AI174" s="35">
        <v>-4.1758807644955596</v>
      </c>
      <c r="AJ174" s="35">
        <v>-3.1386269789270969E-2</v>
      </c>
      <c r="AK174" s="35">
        <v>-0.90820000000000001</v>
      </c>
      <c r="AL174" s="35">
        <v>128.24753494134791</v>
      </c>
      <c r="AM174" s="35">
        <v>-3.6080779484530918</v>
      </c>
    </row>
    <row r="175" spans="1:39" x14ac:dyDescent="0.25">
      <c r="A175" s="35" t="s">
        <v>424</v>
      </c>
      <c r="B175" s="35" t="s">
        <v>425</v>
      </c>
      <c r="C175" s="35">
        <v>-6.0235000000000003</v>
      </c>
      <c r="D175" s="35">
        <v>137.11716416620189</v>
      </c>
      <c r="E175" s="35">
        <v>148.0759786378448</v>
      </c>
      <c r="F175" s="35">
        <v>48857.3</v>
      </c>
      <c r="G175" s="36">
        <v>-6.6595000000000004</v>
      </c>
      <c r="H175" s="35">
        <v>136.18920327800419</v>
      </c>
      <c r="I175" s="36">
        <v>-8.0274839100759721</v>
      </c>
      <c r="Q175" s="35">
        <v>1.243656572802855</v>
      </c>
      <c r="R175" s="35">
        <v>88.781232508263344</v>
      </c>
      <c r="S175" s="35">
        <v>101.0580009422209</v>
      </c>
      <c r="T175" s="35">
        <v>-12.27676843395756</v>
      </c>
      <c r="U175" s="35">
        <v>-0.1214823994091937</v>
      </c>
      <c r="V175" s="35">
        <v>-0.2102</v>
      </c>
      <c r="W175" s="35">
        <v>87.506336057532508</v>
      </c>
      <c r="X175" s="35">
        <v>-13.409789188721881</v>
      </c>
      <c r="AF175" s="35">
        <v>-4.7797999999999998</v>
      </c>
      <c r="AG175" s="35">
        <v>122.7123000429746</v>
      </c>
      <c r="AH175" s="35">
        <v>133.04801088286811</v>
      </c>
      <c r="AI175" s="35">
        <v>-10.33571083989354</v>
      </c>
      <c r="AJ175" s="35">
        <v>-7.7684068865883429E-2</v>
      </c>
      <c r="AK175" s="35">
        <v>-5.1954000000000002</v>
      </c>
      <c r="AL175" s="35">
        <v>122.1767074702026</v>
      </c>
      <c r="AM175" s="35">
        <v>-8.1709627528639306</v>
      </c>
    </row>
    <row r="176" spans="1:39" x14ac:dyDescent="0.25">
      <c r="A176" s="35" t="s">
        <v>425</v>
      </c>
      <c r="B176" s="35" t="s">
        <v>426</v>
      </c>
      <c r="C176" s="35">
        <v>-0.22869999999999999</v>
      </c>
      <c r="D176" s="35">
        <v>136.80357721175369</v>
      </c>
      <c r="E176" s="35">
        <v>148.0759786378448</v>
      </c>
      <c r="F176" s="35">
        <v>45971.4</v>
      </c>
      <c r="G176" s="36">
        <v>-1.4913000000000001</v>
      </c>
      <c r="H176" s="35">
        <v>135.07233589699129</v>
      </c>
      <c r="I176" s="36">
        <v>-8.7817368221870691</v>
      </c>
      <c r="Q176" s="35">
        <v>0.90895866386031277</v>
      </c>
      <c r="R176" s="35">
        <v>89.588217213029168</v>
      </c>
      <c r="S176" s="35">
        <v>101.0580009422209</v>
      </c>
      <c r="T176" s="35">
        <v>-11.469783729191731</v>
      </c>
      <c r="U176" s="35">
        <v>-0.1134970375650859</v>
      </c>
      <c r="V176" s="35">
        <v>-1.0394000000000001</v>
      </c>
      <c r="W176" s="35">
        <v>87.85844037757245</v>
      </c>
      <c r="X176" s="35">
        <v>-13.061371134973459</v>
      </c>
      <c r="AF176" s="35">
        <v>0.68030000000000002</v>
      </c>
      <c r="AG176" s="35">
        <v>123.5471118201669</v>
      </c>
      <c r="AH176" s="35">
        <v>133.04801088286811</v>
      </c>
      <c r="AI176" s="35">
        <v>-9.500899062701194</v>
      </c>
      <c r="AJ176" s="35">
        <v>-7.1409553586378141E-2</v>
      </c>
      <c r="AK176" s="35">
        <v>-0.1661</v>
      </c>
      <c r="AL176" s="35">
        <v>122.50847491260321</v>
      </c>
      <c r="AM176" s="35">
        <v>-7.9216035627497234</v>
      </c>
    </row>
    <row r="177" spans="1:39" x14ac:dyDescent="0.25">
      <c r="A177" s="35" t="s">
        <v>426</v>
      </c>
      <c r="B177" s="35" t="s">
        <v>427</v>
      </c>
      <c r="C177" s="35">
        <v>3.0001000000000002</v>
      </c>
      <c r="D177" s="35">
        <v>140.90782133168361</v>
      </c>
      <c r="E177" s="35">
        <v>148.0759786378448</v>
      </c>
      <c r="F177" s="35">
        <v>45919.9</v>
      </c>
      <c r="G177" s="36">
        <v>1.0828</v>
      </c>
      <c r="H177" s="35">
        <v>138.28488634580259</v>
      </c>
      <c r="I177" s="36">
        <v>-6.6122083960617362</v>
      </c>
      <c r="Q177" s="35">
        <v>-1.402530324051815</v>
      </c>
      <c r="R177" s="35">
        <v>88.331715299839018</v>
      </c>
      <c r="S177" s="35">
        <v>101.0580009422209</v>
      </c>
      <c r="T177" s="35">
        <v>-12.72628564238188</v>
      </c>
      <c r="U177" s="35">
        <v>-0.1259305104368533</v>
      </c>
      <c r="V177" s="35">
        <v>-1.8952</v>
      </c>
      <c r="W177" s="35">
        <v>87.890341320407842</v>
      </c>
      <c r="X177" s="35">
        <v>-13.02980417091524</v>
      </c>
      <c r="AF177" s="35">
        <v>1.5975999999999999</v>
      </c>
      <c r="AG177" s="35">
        <v>125.5209004786059</v>
      </c>
      <c r="AH177" s="35">
        <v>133.04801088286811</v>
      </c>
      <c r="AI177" s="35">
        <v>-7.5271104042622028</v>
      </c>
      <c r="AJ177" s="35">
        <v>-5.6574392614474077E-2</v>
      </c>
      <c r="AK177" s="35">
        <v>0.84860000000000002</v>
      </c>
      <c r="AL177" s="35">
        <v>124.5955326110729</v>
      </c>
      <c r="AM177" s="35">
        <v>-6.3529535058112092</v>
      </c>
    </row>
    <row r="178" spans="1:39" x14ac:dyDescent="0.25">
      <c r="A178" s="35" t="s">
        <v>427</v>
      </c>
      <c r="B178" s="35" t="s">
        <v>428</v>
      </c>
      <c r="C178" s="35">
        <v>1.0251999999999999</v>
      </c>
      <c r="D178" s="35">
        <v>142.35240831597599</v>
      </c>
      <c r="E178" s="35">
        <v>148.0759786378448</v>
      </c>
      <c r="F178" s="35">
        <v>47312.85</v>
      </c>
      <c r="G178" s="36">
        <v>-0.31840000000000002</v>
      </c>
      <c r="H178" s="35">
        <v>140.45917082856349</v>
      </c>
      <c r="I178" s="36">
        <v>-5.1438510684504779</v>
      </c>
      <c r="Q178" s="35">
        <v>5.4080351182866283E-2</v>
      </c>
      <c r="R178" s="35">
        <v>88.37948540167902</v>
      </c>
      <c r="S178" s="35">
        <v>101.0580009422209</v>
      </c>
      <c r="T178" s="35">
        <v>-12.678515540541881</v>
      </c>
      <c r="U178" s="35">
        <v>-0.12545781058731531</v>
      </c>
      <c r="V178" s="35">
        <v>-0.22359999999999999</v>
      </c>
      <c r="W178" s="35">
        <v>88.134205584428571</v>
      </c>
      <c r="X178" s="35">
        <v>-12.788492981551659</v>
      </c>
      <c r="AF178" s="35">
        <v>1.0792999999999999</v>
      </c>
      <c r="AG178" s="35">
        <v>126.8756475574715</v>
      </c>
      <c r="AH178" s="35">
        <v>133.04801088286811</v>
      </c>
      <c r="AI178" s="35">
        <v>-6.1723633253966028</v>
      </c>
      <c r="AJ178" s="35">
        <v>-4.6392000033962058E-2</v>
      </c>
      <c r="AK178" s="35">
        <v>0.2233</v>
      </c>
      <c r="AL178" s="35">
        <v>125.80118864937469</v>
      </c>
      <c r="AM178" s="35">
        <v>-5.4467723233182266</v>
      </c>
    </row>
    <row r="179" spans="1:39" x14ac:dyDescent="0.25">
      <c r="A179" s="35" t="s">
        <v>428</v>
      </c>
      <c r="B179" s="35" t="s">
        <v>255</v>
      </c>
      <c r="C179" s="35">
        <v>0.48170000000000002</v>
      </c>
      <c r="D179" s="35">
        <v>143.03811986683399</v>
      </c>
      <c r="E179" s="35">
        <v>148.0759786378448</v>
      </c>
      <c r="F179" s="35">
        <v>47837.35</v>
      </c>
      <c r="G179" s="36">
        <v>-0.12570000000000001</v>
      </c>
      <c r="H179" s="35">
        <v>142.17347133872281</v>
      </c>
      <c r="I179" s="36">
        <v>-3.986134249065465</v>
      </c>
      <c r="Q179" s="35">
        <v>-0.49132941445014722</v>
      </c>
      <c r="R179" s="35">
        <v>87.94525099356089</v>
      </c>
      <c r="S179" s="35">
        <v>101.0580009422209</v>
      </c>
      <c r="T179" s="35">
        <v>-13.11274994866001</v>
      </c>
      <c r="U179" s="35">
        <v>-0.12975469360567621</v>
      </c>
      <c r="V179" s="35">
        <v>-1.1108</v>
      </c>
      <c r="W179" s="35">
        <v>87.397766077837161</v>
      </c>
      <c r="X179" s="35">
        <v>-13.51722252273114</v>
      </c>
      <c r="AF179" s="35">
        <v>-9.5999999999999992E-3</v>
      </c>
      <c r="AG179" s="35">
        <v>126.863467495306</v>
      </c>
      <c r="AH179" s="35">
        <v>133.04801088286811</v>
      </c>
      <c r="AI179" s="35">
        <v>-6.1845433875621154</v>
      </c>
      <c r="AJ179" s="35">
        <v>-4.6483546401958759E-2</v>
      </c>
      <c r="AK179" s="35">
        <v>-0.26450000000000001</v>
      </c>
      <c r="AL179" s="35">
        <v>126.540061469682</v>
      </c>
      <c r="AM179" s="35">
        <v>-4.8914293193872194</v>
      </c>
    </row>
    <row r="180" spans="1:39" x14ac:dyDescent="0.25">
      <c r="A180" s="35" t="s">
        <v>257</v>
      </c>
      <c r="B180" s="35" t="s">
        <v>429</v>
      </c>
      <c r="C180" s="35">
        <v>-2.4634</v>
      </c>
      <c r="D180" s="35">
        <v>97.536599999999993</v>
      </c>
      <c r="E180" s="35">
        <v>100</v>
      </c>
      <c r="F180" s="35">
        <v>50868.2</v>
      </c>
      <c r="G180" s="36">
        <v>-3.0706000000000002</v>
      </c>
      <c r="H180" s="35">
        <v>96.929400000000001</v>
      </c>
      <c r="I180" s="36">
        <v>-3.0706000000000011</v>
      </c>
      <c r="Q180" s="35">
        <v>1.472029232664672</v>
      </c>
      <c r="R180" s="35">
        <v>101.4720292326647</v>
      </c>
      <c r="S180" s="35">
        <v>101.4720292326647</v>
      </c>
      <c r="T180" s="35"/>
      <c r="U180" s="35">
        <v>0</v>
      </c>
      <c r="V180" s="35">
        <v>-0.73429999999999995</v>
      </c>
      <c r="W180" s="35">
        <v>99.265699999999995</v>
      </c>
      <c r="X180" s="35">
        <v>-0.73430000000000994</v>
      </c>
      <c r="AF180" s="35">
        <v>-0.99139999999999995</v>
      </c>
      <c r="AG180" s="35">
        <v>99.008600000000001</v>
      </c>
      <c r="AH180" s="35">
        <v>100</v>
      </c>
      <c r="AI180" s="35">
        <v>-0.99139999999999873</v>
      </c>
      <c r="AJ180" s="35">
        <v>-9.9139999999999871E-3</v>
      </c>
      <c r="AK180" s="35">
        <v>-1.2968999999999999</v>
      </c>
      <c r="AL180" s="35">
        <v>98.703100000000006</v>
      </c>
      <c r="AM180" s="35">
        <v>-1.2968999999999899</v>
      </c>
    </row>
    <row r="181" spans="1:39" x14ac:dyDescent="0.25">
      <c r="A181" s="35" t="s">
        <v>429</v>
      </c>
      <c r="B181" s="35" t="s">
        <v>430</v>
      </c>
      <c r="C181" s="35">
        <v>0.71179999999999999</v>
      </c>
      <c r="D181" s="35">
        <v>98.230865518799988</v>
      </c>
      <c r="E181" s="35">
        <v>100</v>
      </c>
      <c r="F181" s="35">
        <v>49674.45</v>
      </c>
      <c r="G181" s="36">
        <v>-0.83960000000000001</v>
      </c>
      <c r="H181" s="35">
        <v>96.717682706399998</v>
      </c>
      <c r="I181" s="36">
        <v>-3.2823172936000011</v>
      </c>
      <c r="Q181" s="35">
        <v>9.2814706871426969E-2</v>
      </c>
      <c r="R181" s="35">
        <v>101.5662101991535</v>
      </c>
      <c r="S181" s="35">
        <v>101.5662101991535</v>
      </c>
      <c r="T181" s="35"/>
      <c r="U181" s="35">
        <v>0</v>
      </c>
      <c r="V181" s="35">
        <v>-0.52140000000000009</v>
      </c>
      <c r="W181" s="35">
        <v>100.9429540722455</v>
      </c>
      <c r="X181" s="35">
        <v>-0.52140000000001629</v>
      </c>
      <c r="AF181" s="35">
        <v>0.80459999999999998</v>
      </c>
      <c r="AG181" s="35">
        <v>99.805223195600007</v>
      </c>
      <c r="AH181" s="35">
        <v>100</v>
      </c>
      <c r="AI181" s="35">
        <v>-0.1947768043999929</v>
      </c>
      <c r="AJ181" s="35">
        <v>-1.947768043999929E-3</v>
      </c>
      <c r="AK181" s="35">
        <v>-0.24079999999999999</v>
      </c>
      <c r="AL181" s="35">
        <v>98.770187291200003</v>
      </c>
      <c r="AM181" s="35">
        <v>-1.229812708799993</v>
      </c>
    </row>
    <row r="182" spans="1:39" x14ac:dyDescent="0.25">
      <c r="A182" s="35" t="s">
        <v>430</v>
      </c>
      <c r="B182" s="35" t="s">
        <v>431</v>
      </c>
      <c r="C182" s="35">
        <v>-1.8695999999999999</v>
      </c>
      <c r="D182" s="35">
        <v>96.394341257060503</v>
      </c>
      <c r="E182" s="35">
        <v>100</v>
      </c>
      <c r="F182" s="35">
        <v>50036.3</v>
      </c>
      <c r="G182" s="36">
        <v>-2.0546000000000002</v>
      </c>
      <c r="H182" s="35">
        <v>96.21261415585073</v>
      </c>
      <c r="I182" s="36">
        <v>-3.7873858441492709</v>
      </c>
      <c r="Q182" s="35">
        <v>1.5610357583230581</v>
      </c>
      <c r="R182" s="35">
        <v>103.1516950587358</v>
      </c>
      <c r="S182" s="35">
        <v>103.1516950587358</v>
      </c>
      <c r="T182" s="35"/>
      <c r="U182" s="35">
        <v>0</v>
      </c>
      <c r="V182" s="35">
        <v>-1.3899999999999999E-2</v>
      </c>
      <c r="W182" s="35">
        <v>101.5520924959358</v>
      </c>
      <c r="X182" s="35">
        <v>-1.390000000000002E-2</v>
      </c>
      <c r="AF182" s="35">
        <v>-0.30859999999999999</v>
      </c>
      <c r="AG182" s="35">
        <v>99.497224276818386</v>
      </c>
      <c r="AH182" s="35">
        <v>100</v>
      </c>
      <c r="AI182" s="35">
        <v>-0.5027757231816139</v>
      </c>
      <c r="AJ182" s="35">
        <v>-5.0277572318161391E-3</v>
      </c>
      <c r="AK182" s="35">
        <v>-0.3906</v>
      </c>
      <c r="AL182" s="35">
        <v>99.415383993798002</v>
      </c>
      <c r="AM182" s="35">
        <v>-0.58461600620199894</v>
      </c>
    </row>
    <row r="183" spans="1:39" x14ac:dyDescent="0.25">
      <c r="A183" s="35" t="s">
        <v>431</v>
      </c>
      <c r="B183" s="35" t="s">
        <v>432</v>
      </c>
      <c r="C183" s="35">
        <v>2.1892999999999998</v>
      </c>
      <c r="D183" s="35">
        <v>98.504702570201317</v>
      </c>
      <c r="E183" s="35">
        <v>100</v>
      </c>
      <c r="F183" s="35">
        <v>49109.15</v>
      </c>
      <c r="G183" s="36">
        <v>-1.1676</v>
      </c>
      <c r="H183" s="35">
        <v>95.268840928543057</v>
      </c>
      <c r="I183" s="36">
        <v>-4.7311590714569469</v>
      </c>
      <c r="Q183" s="35">
        <v>-1.2615279517249229</v>
      </c>
      <c r="R183" s="35">
        <v>101.8504075928918</v>
      </c>
      <c r="S183" s="35">
        <v>103.1516950587358</v>
      </c>
      <c r="T183" s="35">
        <v>-1.301287465844013</v>
      </c>
      <c r="U183" s="35">
        <v>-1.261527951724927E-2</v>
      </c>
      <c r="V183" s="35">
        <v>-1.6405000000000001</v>
      </c>
      <c r="W183" s="35">
        <v>101.45949150129719</v>
      </c>
      <c r="X183" s="35">
        <v>-1.6405000000000001</v>
      </c>
      <c r="AF183" s="35">
        <v>0.92779999999999996</v>
      </c>
      <c r="AG183" s="35">
        <v>100.4203595236587</v>
      </c>
      <c r="AH183" s="35">
        <v>100.4203595236587</v>
      </c>
      <c r="AI183" s="35"/>
      <c r="AJ183" s="35">
        <v>0</v>
      </c>
      <c r="AK183" s="35">
        <v>-1.9900000000000001E-2</v>
      </c>
      <c r="AL183" s="35">
        <v>99.477424329187301</v>
      </c>
      <c r="AM183" s="35">
        <v>-0.52257567081269718</v>
      </c>
    </row>
    <row r="184" spans="1:39" x14ac:dyDescent="0.25">
      <c r="A184" s="35" t="s">
        <v>432</v>
      </c>
      <c r="B184" s="35" t="s">
        <v>433</v>
      </c>
      <c r="C184" s="35">
        <v>0.94410000000000005</v>
      </c>
      <c r="D184" s="35">
        <v>99.434685467166588</v>
      </c>
      <c r="E184" s="35">
        <v>100</v>
      </c>
      <c r="F184" s="35">
        <v>50225.2</v>
      </c>
      <c r="G184" s="36">
        <v>0.29720000000000002</v>
      </c>
      <c r="H184" s="35">
        <v>98.797458546239952</v>
      </c>
      <c r="I184" s="36">
        <v>-1.2025414537600529</v>
      </c>
      <c r="Q184" s="35">
        <v>0.20681569098720171</v>
      </c>
      <c r="R184" s="35">
        <v>102.0610502171283</v>
      </c>
      <c r="S184" s="35">
        <v>103.1516950587358</v>
      </c>
      <c r="T184" s="35">
        <v>-1.090644841607499</v>
      </c>
      <c r="U184" s="35">
        <v>-1.0573212984880891E-2</v>
      </c>
      <c r="V184" s="35">
        <v>-0.37559999999999999</v>
      </c>
      <c r="W184" s="35">
        <v>101.4678574619729</v>
      </c>
      <c r="X184" s="35">
        <v>-1.6323896527382531</v>
      </c>
      <c r="AF184" s="35">
        <v>1.1509</v>
      </c>
      <c r="AG184" s="35">
        <v>101.57609744141649</v>
      </c>
      <c r="AH184" s="35">
        <v>101.57609744141649</v>
      </c>
      <c r="AI184" s="35"/>
      <c r="AJ184" s="35">
        <v>0</v>
      </c>
      <c r="AK184" s="35">
        <v>0.68969999999999998</v>
      </c>
      <c r="AL184" s="35">
        <v>101.1129587432934</v>
      </c>
      <c r="AM184" s="35">
        <v>0.6896999999999931</v>
      </c>
    </row>
    <row r="185" spans="1:39" x14ac:dyDescent="0.25">
      <c r="A185" s="35" t="s">
        <v>433</v>
      </c>
      <c r="B185" s="35" t="s">
        <v>434</v>
      </c>
      <c r="C185" s="35">
        <v>1.7359</v>
      </c>
      <c r="D185" s="35">
        <v>101.1607721721911</v>
      </c>
      <c r="E185" s="35">
        <v>101.1607721721911</v>
      </c>
      <c r="F185" s="35">
        <v>50707.75</v>
      </c>
      <c r="G185" s="36">
        <v>1.6E-2</v>
      </c>
      <c r="H185" s="35">
        <v>99.450595016841334</v>
      </c>
      <c r="I185" s="36">
        <v>-0.54940498315866337</v>
      </c>
      <c r="Q185" s="35">
        <v>-1.2643830896081401</v>
      </c>
      <c r="R185" s="35">
        <v>100.7706075571064</v>
      </c>
      <c r="S185" s="35">
        <v>103.1516950587358</v>
      </c>
      <c r="T185" s="35">
        <v>-2.3810875016293518</v>
      </c>
      <c r="U185" s="35">
        <v>-2.3083357963953308E-2</v>
      </c>
      <c r="V185" s="35">
        <v>-1.5281</v>
      </c>
      <c r="W185" s="35">
        <v>100.5014553087604</v>
      </c>
      <c r="X185" s="35">
        <v>-2.5692643717258989</v>
      </c>
      <c r="AF185" s="35">
        <v>0.47149999999999997</v>
      </c>
      <c r="AG185" s="35">
        <v>102.0550287408528</v>
      </c>
      <c r="AH185" s="35">
        <v>102.0550287408528</v>
      </c>
      <c r="AI185" s="35"/>
      <c r="AJ185" s="35">
        <v>0</v>
      </c>
      <c r="AK185" s="35">
        <v>0.25559999999999999</v>
      </c>
      <c r="AL185" s="35">
        <v>101.8357259464768</v>
      </c>
      <c r="AM185" s="35">
        <v>0.25560000000000033</v>
      </c>
    </row>
    <row r="186" spans="1:39" x14ac:dyDescent="0.25">
      <c r="A186" s="35" t="s">
        <v>434</v>
      </c>
      <c r="B186" s="35" t="s">
        <v>435</v>
      </c>
      <c r="C186" s="35">
        <v>1.0068999999999999</v>
      </c>
      <c r="D186" s="35">
        <v>102.1793599871929</v>
      </c>
      <c r="E186" s="35">
        <v>102.1793599871929</v>
      </c>
      <c r="F186" s="35">
        <v>51604.9</v>
      </c>
      <c r="G186" s="36">
        <v>-0.1166</v>
      </c>
      <c r="H186" s="35">
        <v>101.04281871183829</v>
      </c>
      <c r="I186" s="36">
        <v>-0.1166</v>
      </c>
      <c r="Q186" s="35">
        <v>-0.65788009489853605</v>
      </c>
      <c r="R186" s="35">
        <v>100.1076577884799</v>
      </c>
      <c r="S186" s="35">
        <v>103.1516950587358</v>
      </c>
      <c r="T186" s="35">
        <v>-3.04403727025587</v>
      </c>
      <c r="U186" s="35">
        <v>-2.9510298095659599E-2</v>
      </c>
      <c r="V186" s="35">
        <v>-0.83440000000000003</v>
      </c>
      <c r="W186" s="35">
        <v>99.929777607649953</v>
      </c>
      <c r="X186" s="35">
        <v>-3.1234750425102038</v>
      </c>
      <c r="AF186" s="35">
        <v>0.34899999999999998</v>
      </c>
      <c r="AG186" s="35">
        <v>102.41120079115839</v>
      </c>
      <c r="AH186" s="35">
        <v>102.41120079115839</v>
      </c>
      <c r="AI186" s="35"/>
      <c r="AJ186" s="35">
        <v>0</v>
      </c>
      <c r="AK186" s="35">
        <v>-2.6700000000000002E-2</v>
      </c>
      <c r="AL186" s="35">
        <v>102.027780048179</v>
      </c>
      <c r="AM186" s="35">
        <v>-2.6700000000001719E-2</v>
      </c>
    </row>
    <row r="187" spans="1:39" x14ac:dyDescent="0.25">
      <c r="A187" s="35" t="s">
        <v>435</v>
      </c>
      <c r="B187" s="35" t="s">
        <v>436</v>
      </c>
      <c r="C187" s="35">
        <v>0.46460000000000001</v>
      </c>
      <c r="D187" s="35">
        <v>102.6540852936934</v>
      </c>
      <c r="E187" s="35">
        <v>102.6540852936934</v>
      </c>
      <c r="F187" s="35">
        <v>52167.5</v>
      </c>
      <c r="G187" s="36">
        <v>-0.23710000000000001</v>
      </c>
      <c r="H187" s="35">
        <v>101.9370927246633</v>
      </c>
      <c r="I187" s="36">
        <v>-0.2371000000000012</v>
      </c>
      <c r="Q187" s="35">
        <v>-1.511651576702157</v>
      </c>
      <c r="R187" s="35">
        <v>98.594378801120769</v>
      </c>
      <c r="S187" s="35">
        <v>103.1516950587358</v>
      </c>
      <c r="T187" s="35">
        <v>-4.5573162576150281</v>
      </c>
      <c r="U187" s="35">
        <v>-4.4180720976228632E-2</v>
      </c>
      <c r="V187" s="35">
        <v>-1.6143000000000001</v>
      </c>
      <c r="W187" s="35">
        <v>98.491619868800498</v>
      </c>
      <c r="X187" s="35">
        <v>-4.517691335350138</v>
      </c>
      <c r="AF187" s="35">
        <v>-1.0470999999999999</v>
      </c>
      <c r="AG187" s="35">
        <v>101.3388531076741</v>
      </c>
      <c r="AH187" s="35">
        <v>102.41120079115839</v>
      </c>
      <c r="AI187" s="35">
        <v>-1.072347683484224</v>
      </c>
      <c r="AJ187" s="35">
        <v>-1.047100000000005E-2</v>
      </c>
      <c r="AK187" s="35">
        <v>-1.0845</v>
      </c>
      <c r="AL187" s="35">
        <v>101.3005513185782</v>
      </c>
      <c r="AM187" s="35">
        <v>-1.0844999999999989</v>
      </c>
    </row>
    <row r="188" spans="1:39" x14ac:dyDescent="0.25">
      <c r="A188" s="35" t="s">
        <v>436</v>
      </c>
      <c r="B188" s="35" t="s">
        <v>437</v>
      </c>
      <c r="C188" s="35">
        <v>-0.65859999999999996</v>
      </c>
      <c r="D188" s="35">
        <v>101.9780054879491</v>
      </c>
      <c r="E188" s="35">
        <v>102.6540852936934</v>
      </c>
      <c r="F188" s="35">
        <v>52418.55</v>
      </c>
      <c r="G188" s="36">
        <v>-1.1716</v>
      </c>
      <c r="H188" s="35">
        <v>101.4513900303925</v>
      </c>
      <c r="I188" s="36">
        <v>-1.1715999999999951</v>
      </c>
      <c r="Q188" s="35">
        <v>0.59866812669123737</v>
      </c>
      <c r="R188" s="35">
        <v>99.184631921712295</v>
      </c>
      <c r="S188" s="35">
        <v>103.1516950587358</v>
      </c>
      <c r="T188" s="35">
        <v>-3.967063137023501</v>
      </c>
      <c r="U188" s="35">
        <v>-3.8458535603943383E-2</v>
      </c>
      <c r="V188" s="35">
        <v>-0.52710000000000001</v>
      </c>
      <c r="W188" s="35">
        <v>98.074687830460064</v>
      </c>
      <c r="X188" s="35">
        <v>-4.9218844395962913</v>
      </c>
      <c r="AF188" s="35">
        <v>-5.9900000000000002E-2</v>
      </c>
      <c r="AG188" s="35">
        <v>101.27815113466259</v>
      </c>
      <c r="AH188" s="35">
        <v>102.41120079115839</v>
      </c>
      <c r="AI188" s="35">
        <v>-1.1330496564957291</v>
      </c>
      <c r="AJ188" s="35">
        <v>-1.106372787100013E-2</v>
      </c>
      <c r="AK188" s="35">
        <v>-0.45689999999999997</v>
      </c>
      <c r="AL188" s="35">
        <v>100.8758358878252</v>
      </c>
      <c r="AM188" s="35">
        <v>-1.4992158001000071</v>
      </c>
    </row>
    <row r="189" spans="1:39" x14ac:dyDescent="0.25">
      <c r="A189" s="35" t="s">
        <v>437</v>
      </c>
      <c r="B189" s="35" t="s">
        <v>438</v>
      </c>
      <c r="C189" s="35">
        <v>2.2717000000000001</v>
      </c>
      <c r="D189" s="35">
        <v>104.29463983861891</v>
      </c>
      <c r="E189" s="35">
        <v>104.29463983861891</v>
      </c>
      <c r="F189" s="35">
        <v>52125.75</v>
      </c>
      <c r="G189" s="36">
        <v>-1.8349</v>
      </c>
      <c r="H189" s="35">
        <v>100.1068110652508</v>
      </c>
      <c r="I189" s="36">
        <v>-2.4814153486000019</v>
      </c>
      <c r="Q189" s="35">
        <v>-2.0841499777579089</v>
      </c>
      <c r="R189" s="35">
        <v>97.117475437576658</v>
      </c>
      <c r="S189" s="35">
        <v>103.1516950587358</v>
      </c>
      <c r="T189" s="35">
        <v>-6.0342196211591386</v>
      </c>
      <c r="U189" s="35">
        <v>-5.849850182028693E-2</v>
      </c>
      <c r="V189" s="35">
        <v>-2.6543000000000001</v>
      </c>
      <c r="W189" s="35">
        <v>96.551974236614285</v>
      </c>
      <c r="X189" s="35">
        <v>-6.3980730693407928</v>
      </c>
      <c r="AF189" s="35">
        <v>0.18759999999999999</v>
      </c>
      <c r="AG189" s="35">
        <v>101.46814894619121</v>
      </c>
      <c r="AH189" s="35">
        <v>102.41120079115839</v>
      </c>
      <c r="AI189" s="35">
        <v>-0.94305184496710126</v>
      </c>
      <c r="AJ189" s="35">
        <v>-9.2084834244861181E-3</v>
      </c>
      <c r="AK189" s="35">
        <v>-0.41360000000000002</v>
      </c>
      <c r="AL189" s="35">
        <v>100.8592647015697</v>
      </c>
      <c r="AM189" s="35">
        <v>-1.515396829252569</v>
      </c>
    </row>
    <row r="190" spans="1:39" x14ac:dyDescent="0.25">
      <c r="A190" s="35" t="s">
        <v>438</v>
      </c>
      <c r="B190" s="35" t="s">
        <v>439</v>
      </c>
      <c r="C190" s="35">
        <v>-7.8935000000000004</v>
      </c>
      <c r="D190" s="35">
        <v>96.062142442957509</v>
      </c>
      <c r="E190" s="35">
        <v>104.29463983861891</v>
      </c>
      <c r="F190" s="35">
        <v>53353.35</v>
      </c>
      <c r="G190" s="36">
        <v>-11.460599999999999</v>
      </c>
      <c r="H190" s="35">
        <v>92.34184834527413</v>
      </c>
      <c r="I190" s="36">
        <v>-11.46060000000001</v>
      </c>
      <c r="Q190" s="35">
        <v>4.5527620046509831</v>
      </c>
      <c r="R190" s="35">
        <v>101.53900295917489</v>
      </c>
      <c r="S190" s="35">
        <v>103.1516950587358</v>
      </c>
      <c r="T190" s="35">
        <v>-1.6126920995609031</v>
      </c>
      <c r="U190" s="35">
        <v>-1.5634179337941239E-2</v>
      </c>
      <c r="V190" s="35">
        <v>1.9099999999999999E-2</v>
      </c>
      <c r="W190" s="35">
        <v>97.136024875385246</v>
      </c>
      <c r="X190" s="35">
        <v>-5.831867503413446</v>
      </c>
      <c r="AF190" s="35">
        <v>-3.3407</v>
      </c>
      <c r="AG190" s="35">
        <v>98.078402494345838</v>
      </c>
      <c r="AH190" s="35">
        <v>102.41120079115839</v>
      </c>
      <c r="AI190" s="35">
        <v>-4.3327982968125127</v>
      </c>
      <c r="AJ190" s="35">
        <v>-4.2307855618724313E-2</v>
      </c>
      <c r="AK190" s="35">
        <v>-4.2022000000000004</v>
      </c>
      <c r="AL190" s="35">
        <v>97.204254391174402</v>
      </c>
      <c r="AM190" s="35">
        <v>-5.0843524534022304</v>
      </c>
    </row>
    <row r="191" spans="1:39" x14ac:dyDescent="0.25">
      <c r="A191" s="35" t="s">
        <v>439</v>
      </c>
      <c r="B191" s="35" t="s">
        <v>440</v>
      </c>
      <c r="C191" s="35">
        <v>4.2881999999999998</v>
      </c>
      <c r="D191" s="35">
        <v>100.18147923519641</v>
      </c>
      <c r="E191" s="35">
        <v>104.29463983861891</v>
      </c>
      <c r="F191" s="35">
        <v>49150.8</v>
      </c>
      <c r="G191" s="36">
        <v>-1.5851</v>
      </c>
      <c r="H191" s="35">
        <v>94.539461423094195</v>
      </c>
      <c r="I191" s="36">
        <v>-9.3534801314999925</v>
      </c>
      <c r="Q191" s="35">
        <v>-3.8997920902922161</v>
      </c>
      <c r="R191" s="35">
        <v>97.579192953211404</v>
      </c>
      <c r="S191" s="35">
        <v>103.1516950587358</v>
      </c>
      <c r="T191" s="35">
        <v>-5.5725021055243928</v>
      </c>
      <c r="U191" s="35">
        <v>-5.4022399751660351E-2</v>
      </c>
      <c r="V191" s="35">
        <v>-4.2809000000000008</v>
      </c>
      <c r="W191" s="35">
        <v>97.192219781495581</v>
      </c>
      <c r="X191" s="35">
        <v>-5.77738957546633</v>
      </c>
      <c r="AF191" s="35">
        <v>0.38840000000000002</v>
      </c>
      <c r="AG191" s="35">
        <v>98.459339009633879</v>
      </c>
      <c r="AH191" s="35">
        <v>102.41120079115839</v>
      </c>
      <c r="AI191" s="35">
        <v>-3.951861781524471</v>
      </c>
      <c r="AJ191" s="35">
        <v>-3.8588179329947417E-2</v>
      </c>
      <c r="AK191" s="35">
        <v>-1.0418000000000001</v>
      </c>
      <c r="AL191" s="35">
        <v>97.056621697159741</v>
      </c>
      <c r="AM191" s="35">
        <v>-5.2285092378888454</v>
      </c>
    </row>
    <row r="192" spans="1:39" x14ac:dyDescent="0.25">
      <c r="A192" s="35" t="s">
        <v>440</v>
      </c>
      <c r="B192" s="35" t="s">
        <v>441</v>
      </c>
      <c r="C192" s="35">
        <v>3.7273999999999998</v>
      </c>
      <c r="D192" s="35">
        <v>103.9156436922091</v>
      </c>
      <c r="E192" s="35">
        <v>104.29463983861891</v>
      </c>
      <c r="F192" s="35">
        <v>51266.7</v>
      </c>
      <c r="G192" s="36">
        <v>1.0598000000000001</v>
      </c>
      <c r="H192" s="35">
        <v>101.243202552131</v>
      </c>
      <c r="I192" s="36">
        <v>-2.9257853435320502</v>
      </c>
      <c r="Q192" s="35">
        <v>-2.441164703463917</v>
      </c>
      <c r="R192" s="35">
        <v>95.197124136912663</v>
      </c>
      <c r="S192" s="35">
        <v>103.1516950587358</v>
      </c>
      <c r="T192" s="35">
        <v>-7.9545709218231337</v>
      </c>
      <c r="U192" s="35">
        <v>-7.7115271031597751E-2</v>
      </c>
      <c r="V192" s="35">
        <v>-2.5489999999999999</v>
      </c>
      <c r="W192" s="35">
        <v>95.091899324834046</v>
      </c>
      <c r="X192" s="35">
        <v>-7.8135368781990566</v>
      </c>
      <c r="AF192" s="35">
        <v>1.2862</v>
      </c>
      <c r="AG192" s="35">
        <v>99.725723027975789</v>
      </c>
      <c r="AH192" s="35">
        <v>102.41120079115839</v>
      </c>
      <c r="AI192" s="35">
        <v>-2.6854777631825608</v>
      </c>
      <c r="AJ192" s="35">
        <v>-2.6222500492489208E-2</v>
      </c>
      <c r="AK192" s="35">
        <v>0.96299999999999997</v>
      </c>
      <c r="AL192" s="35">
        <v>99.407502444296654</v>
      </c>
      <c r="AM192" s="35">
        <v>-2.9329783496894861</v>
      </c>
    </row>
    <row r="193" spans="1:39" x14ac:dyDescent="0.25">
      <c r="A193" s="35" t="s">
        <v>441</v>
      </c>
      <c r="B193" s="35" t="s">
        <v>442</v>
      </c>
      <c r="C193" s="35">
        <v>1.8555999999999999</v>
      </c>
      <c r="D193" s="35">
        <v>105.8439023765618</v>
      </c>
      <c r="E193" s="35">
        <v>105.8439023765618</v>
      </c>
      <c r="F193" s="35">
        <v>53194.7</v>
      </c>
      <c r="G193" s="36">
        <v>-0.433</v>
      </c>
      <c r="H193" s="35">
        <v>103.4656889550219</v>
      </c>
      <c r="I193" s="36">
        <v>-0.79481638258658283</v>
      </c>
      <c r="Q193" s="35">
        <v>0.33254401538847972</v>
      </c>
      <c r="R193" s="35">
        <v>95.513696476051905</v>
      </c>
      <c r="S193" s="35">
        <v>103.1516950587358</v>
      </c>
      <c r="T193" s="35">
        <v>-7.6379985826838919</v>
      </c>
      <c r="U193" s="35">
        <v>-7.4046273096479168E-2</v>
      </c>
      <c r="V193" s="35">
        <v>-0.36670000000000003</v>
      </c>
      <c r="W193" s="35">
        <v>94.848036282702608</v>
      </c>
      <c r="X193" s="35">
        <v>-8.0499489332724892</v>
      </c>
      <c r="AF193" s="35">
        <v>2.1880999999999999</v>
      </c>
      <c r="AG193" s="35">
        <v>101.9078215735509</v>
      </c>
      <c r="AH193" s="35">
        <v>102.41120079115839</v>
      </c>
      <c r="AI193" s="35">
        <v>-0.50337921760741722</v>
      </c>
      <c r="AJ193" s="35">
        <v>-4.9152750257653102E-3</v>
      </c>
      <c r="AK193" s="35">
        <v>8.72E-2</v>
      </c>
      <c r="AL193" s="35">
        <v>99.812683858456182</v>
      </c>
      <c r="AM193" s="35">
        <v>-2.537336651291866</v>
      </c>
    </row>
    <row r="194" spans="1:39" x14ac:dyDescent="0.25">
      <c r="A194" s="35" t="s">
        <v>442</v>
      </c>
      <c r="B194" s="35" t="s">
        <v>443</v>
      </c>
      <c r="C194" s="35">
        <v>2.2309000000000001</v>
      </c>
      <c r="D194" s="35">
        <v>108.20517399468049</v>
      </c>
      <c r="E194" s="35">
        <v>108.20517399468049</v>
      </c>
      <c r="F194" s="35">
        <v>54226.1</v>
      </c>
      <c r="G194" s="36">
        <v>0.22550000000000001</v>
      </c>
      <c r="H194" s="35">
        <v>106.08258037642091</v>
      </c>
      <c r="I194" s="36">
        <v>0.2254999999999896</v>
      </c>
      <c r="Q194" s="35">
        <v>-0.36487665582612833</v>
      </c>
      <c r="R194" s="35">
        <v>95.165189294494169</v>
      </c>
      <c r="S194" s="35">
        <v>103.1516950587358</v>
      </c>
      <c r="T194" s="35">
        <v>-7.9865057642416284</v>
      </c>
      <c r="U194" s="35">
        <v>-7.7424862089702132E-2</v>
      </c>
      <c r="V194" s="35">
        <v>-0.57719999999999994</v>
      </c>
      <c r="W194" s="35">
        <v>94.96239141999213</v>
      </c>
      <c r="X194" s="35">
        <v>-7.939087800816635</v>
      </c>
      <c r="AF194" s="35">
        <v>1.8660000000000001</v>
      </c>
      <c r="AG194" s="35">
        <v>103.8094215241134</v>
      </c>
      <c r="AH194" s="35">
        <v>103.8094215241134</v>
      </c>
      <c r="AI194" s="35"/>
      <c r="AJ194" s="35">
        <v>0</v>
      </c>
      <c r="AK194" s="35">
        <v>0.42620000000000002</v>
      </c>
      <c r="AL194" s="35">
        <v>102.34215270909741</v>
      </c>
      <c r="AM194" s="35">
        <v>-6.7422392792515495E-2</v>
      </c>
    </row>
    <row r="195" spans="1:39" x14ac:dyDescent="0.25">
      <c r="A195" s="35" t="s">
        <v>443</v>
      </c>
      <c r="B195" s="35" t="s">
        <v>444</v>
      </c>
      <c r="C195" s="35">
        <v>-0.98680000000000001</v>
      </c>
      <c r="D195" s="35">
        <v>107.137405337701</v>
      </c>
      <c r="E195" s="35">
        <v>108.20517399468049</v>
      </c>
      <c r="F195" s="35">
        <v>55490.05</v>
      </c>
      <c r="G195" s="36">
        <v>-1.4907999999999999</v>
      </c>
      <c r="H195" s="35">
        <v>106.5920512607678</v>
      </c>
      <c r="I195" s="36">
        <v>-1.490800000000003</v>
      </c>
      <c r="Q195" s="35">
        <v>0.1029378679763476</v>
      </c>
      <c r="R195" s="35">
        <v>95.263150311409575</v>
      </c>
      <c r="S195" s="35">
        <v>103.1516950587358</v>
      </c>
      <c r="T195" s="35">
        <v>-7.8885447473262218</v>
      </c>
      <c r="U195" s="35">
        <v>-7.6475182912257439E-2</v>
      </c>
      <c r="V195" s="35">
        <v>-0.33489999999999998</v>
      </c>
      <c r="W195" s="35">
        <v>94.846481075546905</v>
      </c>
      <c r="X195" s="35">
        <v>-8.0514566226563726</v>
      </c>
      <c r="AF195" s="35">
        <v>-0.88390000000000002</v>
      </c>
      <c r="AG195" s="35">
        <v>102.8918500472617</v>
      </c>
      <c r="AH195" s="35">
        <v>103.8094215241134</v>
      </c>
      <c r="AI195" s="35">
        <v>-0.91757147685164853</v>
      </c>
      <c r="AJ195" s="35">
        <v>-8.8390000000000985E-3</v>
      </c>
      <c r="AK195" s="35">
        <v>-1.3338000000000001</v>
      </c>
      <c r="AL195" s="35">
        <v>102.4248114598248</v>
      </c>
      <c r="AM195" s="35">
        <v>-1.3337999999999961</v>
      </c>
    </row>
    <row r="196" spans="1:39" x14ac:dyDescent="0.25">
      <c r="A196" s="35" t="s">
        <v>444</v>
      </c>
      <c r="B196" s="35" t="s">
        <v>445</v>
      </c>
      <c r="C196" s="35">
        <v>0.41849999999999998</v>
      </c>
      <c r="D196" s="35">
        <v>107.58577537903921</v>
      </c>
      <c r="E196" s="35">
        <v>108.20517399468049</v>
      </c>
      <c r="F196" s="35">
        <v>54951.7</v>
      </c>
      <c r="G196" s="36">
        <v>-0.25409999999999999</v>
      </c>
      <c r="H196" s="35">
        <v>106.8651691907379</v>
      </c>
      <c r="I196" s="36">
        <v>-1.238392541199995</v>
      </c>
      <c r="Q196" s="35">
        <v>-0.90257696887225713</v>
      </c>
      <c r="R196" s="35">
        <v>94.403327056876634</v>
      </c>
      <c r="S196" s="35">
        <v>103.1516950587358</v>
      </c>
      <c r="T196" s="35">
        <v>-8.7483680018591627</v>
      </c>
      <c r="U196" s="35">
        <v>-8.4810705213111029E-2</v>
      </c>
      <c r="V196" s="35">
        <v>-1.0705</v>
      </c>
      <c r="W196" s="35">
        <v>94.243358287325933</v>
      </c>
      <c r="X196" s="35">
        <v>-8.6361516079181744</v>
      </c>
      <c r="AF196" s="35">
        <v>-0.48409999999999997</v>
      </c>
      <c r="AG196" s="35">
        <v>102.3937506011829</v>
      </c>
      <c r="AH196" s="35">
        <v>103.8094215241134</v>
      </c>
      <c r="AI196" s="35">
        <v>-1.4156709229304449</v>
      </c>
      <c r="AJ196" s="35">
        <v>-1.3637210401000129E-2</v>
      </c>
      <c r="AK196" s="35">
        <v>-0.48409999999999997</v>
      </c>
      <c r="AL196" s="35">
        <v>102.3937506011829</v>
      </c>
      <c r="AM196" s="35">
        <v>-1.3637210401000079</v>
      </c>
    </row>
    <row r="197" spans="1:39" x14ac:dyDescent="0.25">
      <c r="A197" s="35" t="s">
        <v>445</v>
      </c>
      <c r="B197" s="35" t="s">
        <v>446</v>
      </c>
      <c r="C197" s="35">
        <v>1.8112999999999999</v>
      </c>
      <c r="D197" s="35">
        <v>109.5344765284798</v>
      </c>
      <c r="E197" s="35">
        <v>109.5344765284798</v>
      </c>
      <c r="F197" s="35">
        <v>55245.8</v>
      </c>
      <c r="G197" s="36">
        <v>-0.50529999999999997</v>
      </c>
      <c r="H197" s="35">
        <v>107.042144456049</v>
      </c>
      <c r="I197" s="36">
        <v>-1.074837270432816</v>
      </c>
      <c r="Q197" s="35">
        <v>-0.95040387451400998</v>
      </c>
      <c r="R197" s="35">
        <v>93.506114178857956</v>
      </c>
      <c r="S197" s="35">
        <v>103.1516950587358</v>
      </c>
      <c r="T197" s="35">
        <v>-9.6455808798778406</v>
      </c>
      <c r="U197" s="35">
        <v>-9.3508699729902958E-2</v>
      </c>
      <c r="V197" s="35">
        <v>-1.2283999999999999</v>
      </c>
      <c r="W197" s="35">
        <v>93.243676587309963</v>
      </c>
      <c r="X197" s="35">
        <v>-9.6052890510273095</v>
      </c>
      <c r="AF197" s="35">
        <v>0.8609</v>
      </c>
      <c r="AG197" s="35">
        <v>103.2752584001085</v>
      </c>
      <c r="AH197" s="35">
        <v>103.8094215241134</v>
      </c>
      <c r="AI197" s="35">
        <v>-0.53416312400484856</v>
      </c>
      <c r="AJ197" s="35">
        <v>-5.1456131453422116E-3</v>
      </c>
      <c r="AK197" s="35">
        <v>-0.2142</v>
      </c>
      <c r="AL197" s="35">
        <v>102.17442318739521</v>
      </c>
      <c r="AM197" s="35">
        <v>-1.5749999496321281</v>
      </c>
    </row>
    <row r="198" spans="1:39" x14ac:dyDescent="0.25">
      <c r="A198" s="35" t="s">
        <v>446</v>
      </c>
      <c r="B198" s="35" t="s">
        <v>447</v>
      </c>
      <c r="C198" s="35">
        <v>-3.1899999999999998E-2</v>
      </c>
      <c r="D198" s="35">
        <v>109.4995350304672</v>
      </c>
      <c r="E198" s="35">
        <v>109.5344765284798</v>
      </c>
      <c r="F198" s="35">
        <v>56292.5</v>
      </c>
      <c r="G198" s="36">
        <v>-1.3912</v>
      </c>
      <c r="H198" s="35">
        <v>108.0106328910156</v>
      </c>
      <c r="I198" s="36">
        <v>-1.391200000000004</v>
      </c>
      <c r="Q198" s="35">
        <v>-0.49063973705520891</v>
      </c>
      <c r="R198" s="35">
        <v>93.047336026120263</v>
      </c>
      <c r="S198" s="35">
        <v>103.1516950587358</v>
      </c>
      <c r="T198" s="35">
        <v>-10.10435903261553</v>
      </c>
      <c r="U198" s="35">
        <v>-9.7956306261976517E-2</v>
      </c>
      <c r="V198" s="35">
        <v>-0.71599999999999997</v>
      </c>
      <c r="W198" s="35">
        <v>92.836610401337325</v>
      </c>
      <c r="X198" s="35">
        <v>-9.9999177439836995</v>
      </c>
      <c r="AF198" s="35">
        <v>-0.52249999999999996</v>
      </c>
      <c r="AG198" s="35">
        <v>102.735645174968</v>
      </c>
      <c r="AH198" s="35">
        <v>103.8094215241134</v>
      </c>
      <c r="AI198" s="35">
        <v>-1.0737763491454191</v>
      </c>
      <c r="AJ198" s="35">
        <v>-1.0343727316657831E-2</v>
      </c>
      <c r="AK198" s="35">
        <v>-1.0648</v>
      </c>
      <c r="AL198" s="35">
        <v>102.1755834486642</v>
      </c>
      <c r="AM198" s="35">
        <v>-1.5738822656570559</v>
      </c>
    </row>
    <row r="199" spans="1:39" x14ac:dyDescent="0.25">
      <c r="A199" s="35" t="s">
        <v>447</v>
      </c>
      <c r="B199" s="35" t="s">
        <v>448</v>
      </c>
      <c r="C199" s="35">
        <v>0.99870000000000003</v>
      </c>
      <c r="D199" s="35">
        <v>110.5931068868165</v>
      </c>
      <c r="E199" s="35">
        <v>110.5931068868165</v>
      </c>
      <c r="F199" s="35">
        <v>56293.3</v>
      </c>
      <c r="G199" s="36">
        <v>-1.1198999999999999</v>
      </c>
      <c r="H199" s="35">
        <v>108.273249737661</v>
      </c>
      <c r="I199" s="36">
        <v>-1.1514427518999999</v>
      </c>
      <c r="Q199" s="35">
        <v>0.30551952730941062</v>
      </c>
      <c r="R199" s="35">
        <v>93.331613807321276</v>
      </c>
      <c r="S199" s="35">
        <v>103.1516950587358</v>
      </c>
      <c r="T199" s="35">
        <v>-9.8200812514145213</v>
      </c>
      <c r="U199" s="35">
        <v>-9.5200386632743661E-2</v>
      </c>
      <c r="V199" s="35">
        <v>-0.38679999999999998</v>
      </c>
      <c r="W199" s="35">
        <v>92.687428930371226</v>
      </c>
      <c r="X199" s="35">
        <v>-10.144541126935531</v>
      </c>
      <c r="AF199" s="35">
        <v>1.3042</v>
      </c>
      <c r="AG199" s="35">
        <v>104.07552345933991</v>
      </c>
      <c r="AH199" s="35">
        <v>104.07552345933991</v>
      </c>
      <c r="AI199" s="35"/>
      <c r="AJ199" s="35">
        <v>0</v>
      </c>
      <c r="AK199" s="35">
        <v>-0.42070000000000002</v>
      </c>
      <c r="AL199" s="35">
        <v>102.30343631571689</v>
      </c>
      <c r="AM199" s="35">
        <v>-1.4507211255836649</v>
      </c>
    </row>
    <row r="200" spans="1:39" x14ac:dyDescent="0.25">
      <c r="A200" s="35" t="s">
        <v>448</v>
      </c>
      <c r="B200" s="35" t="s">
        <v>449</v>
      </c>
      <c r="C200" s="35">
        <v>1.2224999999999999</v>
      </c>
      <c r="D200" s="35">
        <v>111.94510761850781</v>
      </c>
      <c r="E200" s="35">
        <v>111.94510761850781</v>
      </c>
      <c r="F200" s="35">
        <v>56921.15</v>
      </c>
      <c r="G200" s="36">
        <v>-4.6100000000000002E-2</v>
      </c>
      <c r="H200" s="35">
        <v>110.5421234645416</v>
      </c>
      <c r="I200" s="36">
        <v>-4.6100000000004471E-2</v>
      </c>
      <c r="Q200" s="35">
        <v>-0.89847869119342882</v>
      </c>
      <c r="R200" s="35">
        <v>92.493049145115549</v>
      </c>
      <c r="S200" s="35">
        <v>103.1516950587358</v>
      </c>
      <c r="T200" s="35">
        <v>-10.65864591362025</v>
      </c>
      <c r="U200" s="35">
        <v>-0.103329818356849</v>
      </c>
      <c r="V200" s="35">
        <v>-1.0183</v>
      </c>
      <c r="W200" s="35">
        <v>92.381217983921317</v>
      </c>
      <c r="X200" s="35">
        <v>-10.44139610956625</v>
      </c>
      <c r="AF200" s="35">
        <v>0.32400000000000001</v>
      </c>
      <c r="AG200" s="35">
        <v>104.4127281553482</v>
      </c>
      <c r="AH200" s="35">
        <v>104.4127281553482</v>
      </c>
      <c r="AI200" s="35"/>
      <c r="AJ200" s="35">
        <v>0</v>
      </c>
      <c r="AK200" s="35">
        <v>0.24390000000000001</v>
      </c>
      <c r="AL200" s="35">
        <v>104.3293636610572</v>
      </c>
      <c r="AM200" s="35">
        <v>0.243900000000008</v>
      </c>
    </row>
    <row r="201" spans="1:39" x14ac:dyDescent="0.25">
      <c r="A201" s="35" t="s">
        <v>449</v>
      </c>
      <c r="B201" s="35" t="s">
        <v>450</v>
      </c>
      <c r="C201" s="35">
        <v>-1.7399999999999999E-2</v>
      </c>
      <c r="D201" s="35">
        <v>111.9256291697822</v>
      </c>
      <c r="E201" s="35">
        <v>111.94510761850781</v>
      </c>
      <c r="F201" s="35">
        <v>57664.45</v>
      </c>
      <c r="G201" s="36">
        <v>-0.19689999999999999</v>
      </c>
      <c r="H201" s="35">
        <v>111.724687701607</v>
      </c>
      <c r="I201" s="36">
        <v>-0.19689999999999991</v>
      </c>
      <c r="Q201" s="35">
        <v>-6.5075833682438113E-3</v>
      </c>
      <c r="R201" s="35">
        <v>92.487030082832604</v>
      </c>
      <c r="S201" s="35">
        <v>103.1516950587358</v>
      </c>
      <c r="T201" s="35">
        <v>-10.66466497590319</v>
      </c>
      <c r="U201" s="35">
        <v>-0.10338816991645761</v>
      </c>
      <c r="V201" s="35">
        <v>-0.24970000000000001</v>
      </c>
      <c r="W201" s="35">
        <v>92.2620940014002</v>
      </c>
      <c r="X201" s="35">
        <v>-10.556880380041189</v>
      </c>
      <c r="AF201" s="35">
        <v>-2.3900000000000001E-2</v>
      </c>
      <c r="AG201" s="35">
        <v>104.387773513319</v>
      </c>
      <c r="AH201" s="35">
        <v>104.4127281553482</v>
      </c>
      <c r="AI201" s="35">
        <v>-2.4954642029129559E-2</v>
      </c>
      <c r="AJ201" s="35">
        <v>-2.3900000000001291E-4</v>
      </c>
      <c r="AK201" s="35">
        <v>-7.1300000000000002E-2</v>
      </c>
      <c r="AL201" s="35">
        <v>104.3382818801734</v>
      </c>
      <c r="AM201" s="35">
        <v>-7.1299999999996366E-2</v>
      </c>
    </row>
    <row r="202" spans="1:39" x14ac:dyDescent="0.25">
      <c r="A202" s="35" t="s">
        <v>450</v>
      </c>
      <c r="B202" s="35" t="s">
        <v>451</v>
      </c>
      <c r="C202" s="35">
        <v>-1.5055000000000001</v>
      </c>
      <c r="D202" s="35">
        <v>110.2405888226311</v>
      </c>
      <c r="E202" s="35">
        <v>111.94510761850781</v>
      </c>
      <c r="F202" s="35">
        <v>57664</v>
      </c>
      <c r="G202" s="36">
        <v>-5.7304000000000004</v>
      </c>
      <c r="H202" s="35">
        <v>105.51184291583699</v>
      </c>
      <c r="I202" s="36">
        <v>-5.7468029104000067</v>
      </c>
      <c r="Q202" s="35">
        <v>1.0057693089018001</v>
      </c>
      <c r="R202" s="35">
        <v>93.41723624612051</v>
      </c>
      <c r="S202" s="35">
        <v>103.1516950587358</v>
      </c>
      <c r="T202" s="35">
        <v>-9.7344588126152871</v>
      </c>
      <c r="U202" s="35">
        <v>-9.4370323309494533E-2</v>
      </c>
      <c r="V202" s="35">
        <v>-0.82989999999999997</v>
      </c>
      <c r="W202" s="35">
        <v>91.719480220175186</v>
      </c>
      <c r="X202" s="35">
        <v>-11.082915149432081</v>
      </c>
      <c r="AF202" s="35">
        <v>-0.49969999999999998</v>
      </c>
      <c r="AG202" s="35">
        <v>103.866147809073</v>
      </c>
      <c r="AH202" s="35">
        <v>104.4127281553482</v>
      </c>
      <c r="AI202" s="35">
        <v>-0.54658034627519214</v>
      </c>
      <c r="AJ202" s="35">
        <v>-5.2348057170000838E-3</v>
      </c>
      <c r="AK202" s="35">
        <v>-3.3144</v>
      </c>
      <c r="AL202" s="35">
        <v>100.9279451479936</v>
      </c>
      <c r="AM202" s="35">
        <v>-3.3375078583999911</v>
      </c>
    </row>
    <row r="203" spans="1:39" x14ac:dyDescent="0.25">
      <c r="A203" s="35" t="s">
        <v>451</v>
      </c>
      <c r="B203" s="35" t="s">
        <v>452</v>
      </c>
      <c r="C203" s="35">
        <v>1.5409999999999999</v>
      </c>
      <c r="D203" s="35">
        <v>111.9393962963878</v>
      </c>
      <c r="E203" s="35">
        <v>111.94510761850781</v>
      </c>
      <c r="F203" s="35">
        <v>56872.75</v>
      </c>
      <c r="G203" s="36">
        <v>-0.98719999999999997</v>
      </c>
      <c r="H203" s="35">
        <v>109.1522937297741</v>
      </c>
      <c r="I203" s="36">
        <v>-2.4948065602395042</v>
      </c>
      <c r="Q203" s="35">
        <v>-1.7953181641305009</v>
      </c>
      <c r="R203" s="35">
        <v>91.740099635365212</v>
      </c>
      <c r="S203" s="35">
        <v>103.1516950587358</v>
      </c>
      <c r="T203" s="35">
        <v>-11.41159542337058</v>
      </c>
      <c r="U203" s="35">
        <v>-0.1106292573948755</v>
      </c>
      <c r="V203" s="35">
        <v>-1.9782</v>
      </c>
      <c r="W203" s="35">
        <v>91.569256478699756</v>
      </c>
      <c r="X203" s="35">
        <v>-11.228548957378599</v>
      </c>
      <c r="AF203" s="35">
        <v>-0.25430000000000003</v>
      </c>
      <c r="AG203" s="35">
        <v>103.60201619519449</v>
      </c>
      <c r="AH203" s="35">
        <v>104.4127281553482</v>
      </c>
      <c r="AI203" s="35">
        <v>-0.81071196015365388</v>
      </c>
      <c r="AJ203" s="35">
        <v>-7.7644936060616487E-3</v>
      </c>
      <c r="AK203" s="35">
        <v>-0.3579</v>
      </c>
      <c r="AL203" s="35">
        <v>103.4944108660643</v>
      </c>
      <c r="AM203" s="35">
        <v>-0.87950703473389513</v>
      </c>
    </row>
    <row r="204" spans="1:39" x14ac:dyDescent="0.25">
      <c r="A204" s="35" t="s">
        <v>452</v>
      </c>
      <c r="B204" s="35" t="s">
        <v>453</v>
      </c>
      <c r="C204" s="35">
        <v>2.0333999999999999</v>
      </c>
      <c r="D204" s="35">
        <v>114.2155719806786</v>
      </c>
      <c r="E204" s="35">
        <v>114.2155719806786</v>
      </c>
      <c r="F204" s="35">
        <v>57768.1</v>
      </c>
      <c r="G204" s="36">
        <v>0.4461</v>
      </c>
      <c r="H204" s="35">
        <v>112.438757943266</v>
      </c>
      <c r="I204" s="36">
        <v>0.44097534520266551</v>
      </c>
      <c r="Q204" s="35">
        <v>-0.19891402605612679</v>
      </c>
      <c r="R204" s="35">
        <v>91.557615709672604</v>
      </c>
      <c r="S204" s="35">
        <v>103.1516950587358</v>
      </c>
      <c r="T204" s="35">
        <v>-11.59407934906319</v>
      </c>
      <c r="U204" s="35">
        <v>-0.1123983405455566</v>
      </c>
      <c r="V204" s="35">
        <v>-0.5857</v>
      </c>
      <c r="W204" s="35">
        <v>91.202777871800876</v>
      </c>
      <c r="X204" s="35">
        <v>-11.58383018343137</v>
      </c>
      <c r="AF204" s="35">
        <v>1.8345</v>
      </c>
      <c r="AG204" s="35">
        <v>105.50259518229539</v>
      </c>
      <c r="AH204" s="35">
        <v>105.50259518229539</v>
      </c>
      <c r="AI204" s="35"/>
      <c r="AJ204" s="35">
        <v>0</v>
      </c>
      <c r="AK204" s="35">
        <v>0.81100000000000005</v>
      </c>
      <c r="AL204" s="35">
        <v>104.44222854653751</v>
      </c>
      <c r="AM204" s="35">
        <v>2.825363507932277E-2</v>
      </c>
    </row>
    <row r="205" spans="1:39" x14ac:dyDescent="0.25">
      <c r="A205" s="35" t="s">
        <v>453</v>
      </c>
      <c r="B205" s="35" t="s">
        <v>454</v>
      </c>
      <c r="C205" s="35">
        <v>-5.3954000000000004</v>
      </c>
      <c r="D205" s="35">
        <v>108.053185010033</v>
      </c>
      <c r="E205" s="35">
        <v>114.2155719806786</v>
      </c>
      <c r="F205" s="35">
        <v>58990.9</v>
      </c>
      <c r="G205" s="36">
        <v>-6.0571000000000002</v>
      </c>
      <c r="H205" s="35">
        <v>107.29742057023689</v>
      </c>
      <c r="I205" s="36">
        <v>-6.057099999999993</v>
      </c>
      <c r="Q205" s="35">
        <v>2.4447770944425411</v>
      </c>
      <c r="R205" s="35">
        <v>93.795995326760419</v>
      </c>
      <c r="S205" s="35">
        <v>103.1516950587358</v>
      </c>
      <c r="T205" s="35">
        <v>-9.3556997319753776</v>
      </c>
      <c r="U205" s="35">
        <v>-9.0698458485322334E-2</v>
      </c>
      <c r="V205" s="35">
        <v>-0.35709999999999997</v>
      </c>
      <c r="W205" s="35">
        <v>91.230663463973357</v>
      </c>
      <c r="X205" s="35">
        <v>-11.55679660714685</v>
      </c>
      <c r="AF205" s="35">
        <v>-2.9506000000000001</v>
      </c>
      <c r="AG205" s="35">
        <v>102.3896356088465</v>
      </c>
      <c r="AH205" s="35">
        <v>105.50259518229539</v>
      </c>
      <c r="AI205" s="35">
        <v>-3.1129595734488049</v>
      </c>
      <c r="AJ205" s="35">
        <v>-2.950599999999998E-2</v>
      </c>
      <c r="AK205" s="35">
        <v>-2.9506000000000001</v>
      </c>
      <c r="AL205" s="35">
        <v>102.3896356088465</v>
      </c>
      <c r="AM205" s="35">
        <v>-2.9506000000000032</v>
      </c>
    </row>
    <row r="206" spans="1:39" x14ac:dyDescent="0.25">
      <c r="A206" s="35" t="s">
        <v>454</v>
      </c>
      <c r="B206" s="35" t="s">
        <v>455</v>
      </c>
      <c r="C206" s="35">
        <v>1.7866</v>
      </c>
      <c r="D206" s="35">
        <v>109.9836632134223</v>
      </c>
      <c r="E206" s="35">
        <v>114.2155719806786</v>
      </c>
      <c r="F206" s="35">
        <v>55857.25</v>
      </c>
      <c r="G206" s="36">
        <v>-0.90280000000000005</v>
      </c>
      <c r="H206" s="35">
        <v>107.07768085576249</v>
      </c>
      <c r="I206" s="36">
        <v>-6.249490328800011</v>
      </c>
      <c r="Q206" s="35">
        <v>-1.2626997455893849</v>
      </c>
      <c r="R206" s="35">
        <v>92.611633532396382</v>
      </c>
      <c r="S206" s="35">
        <v>103.1516950587358</v>
      </c>
      <c r="T206" s="35">
        <v>-10.540061526339411</v>
      </c>
      <c r="U206" s="35">
        <v>-0.1021802067366685</v>
      </c>
      <c r="V206" s="35">
        <v>-1.6757</v>
      </c>
      <c r="W206" s="35">
        <v>92.22425583306989</v>
      </c>
      <c r="X206" s="35">
        <v>-10.593562441648389</v>
      </c>
      <c r="AF206" s="35">
        <v>0.52390000000000003</v>
      </c>
      <c r="AG206" s="35">
        <v>102.92605490980129</v>
      </c>
      <c r="AH206" s="35">
        <v>105.50259518229539</v>
      </c>
      <c r="AI206" s="35">
        <v>-2.5765402724940571</v>
      </c>
      <c r="AJ206" s="35">
        <v>-2.4421581933999979E-2</v>
      </c>
      <c r="AK206" s="35">
        <v>-0.31630000000000003</v>
      </c>
      <c r="AL206" s="35">
        <v>102.0657771914158</v>
      </c>
      <c r="AM206" s="35">
        <v>-3.2575672521999999</v>
      </c>
    </row>
    <row r="207" spans="1:39" x14ac:dyDescent="0.25">
      <c r="A207" s="35" t="s">
        <v>455</v>
      </c>
      <c r="B207" s="35" t="s">
        <v>456</v>
      </c>
      <c r="C207" s="35">
        <v>-8.6499999999999994E-2</v>
      </c>
      <c r="D207" s="35">
        <v>109.8885273447427</v>
      </c>
      <c r="E207" s="35">
        <v>114.2155719806786</v>
      </c>
      <c r="F207" s="35">
        <v>56873.8</v>
      </c>
      <c r="G207" s="36">
        <v>-0.49099999999999999</v>
      </c>
      <c r="H207" s="35">
        <v>109.44364342704441</v>
      </c>
      <c r="I207" s="36">
        <v>-4.1780017127974851</v>
      </c>
      <c r="Q207" s="35">
        <v>0.98158246733202992</v>
      </c>
      <c r="R207" s="35">
        <v>93.520693089860174</v>
      </c>
      <c r="S207" s="35">
        <v>103.1516950587358</v>
      </c>
      <c r="T207" s="35">
        <v>-9.6310019688756228</v>
      </c>
      <c r="U207" s="35">
        <v>-9.3367365057759028E-2</v>
      </c>
      <c r="V207" s="35">
        <v>-0.69850000000000001</v>
      </c>
      <c r="W207" s="35">
        <v>91.964741272172589</v>
      </c>
      <c r="X207" s="35">
        <v>-10.8451477992613</v>
      </c>
      <c r="AF207" s="35">
        <v>0.89510000000000001</v>
      </c>
      <c r="AG207" s="35">
        <v>103.8473460272989</v>
      </c>
      <c r="AH207" s="35">
        <v>105.50259518229539</v>
      </c>
      <c r="AI207" s="35">
        <v>-1.6552491549964261</v>
      </c>
      <c r="AJ207" s="35">
        <v>-1.5689179513891208E-2</v>
      </c>
      <c r="AK207" s="35">
        <v>0.57969999999999999</v>
      </c>
      <c r="AL207" s="35">
        <v>103.5227172501134</v>
      </c>
      <c r="AM207" s="35">
        <v>-1.8766153844471329</v>
      </c>
    </row>
    <row r="208" spans="1:39" x14ac:dyDescent="0.25">
      <c r="A208" s="35" t="s">
        <v>456</v>
      </c>
      <c r="B208" s="35" t="s">
        <v>457</v>
      </c>
      <c r="C208" s="35">
        <v>1.3116000000000001</v>
      </c>
      <c r="D208" s="35">
        <v>111.3298252693963</v>
      </c>
      <c r="E208" s="35">
        <v>114.2155719806786</v>
      </c>
      <c r="F208" s="35">
        <v>56881.5</v>
      </c>
      <c r="G208" s="36">
        <v>-0.95599999999999996</v>
      </c>
      <c r="H208" s="35">
        <v>108.8379930233269</v>
      </c>
      <c r="I208" s="36">
        <v>-4.7082712664270883</v>
      </c>
      <c r="Q208" s="35">
        <v>-2.1351340154936</v>
      </c>
      <c r="R208" s="35">
        <v>91.523900960173194</v>
      </c>
      <c r="S208" s="35">
        <v>103.1516950587358</v>
      </c>
      <c r="T208" s="35">
        <v>-11.6277940985626</v>
      </c>
      <c r="U208" s="35">
        <v>-0.1127251868419768</v>
      </c>
      <c r="V208" s="35">
        <v>-2.2566999999999999</v>
      </c>
      <c r="W208" s="35">
        <v>91.410211608901292</v>
      </c>
      <c r="X208" s="35">
        <v>-11.382734373050059</v>
      </c>
      <c r="AF208" s="35">
        <v>-0.82350000000000001</v>
      </c>
      <c r="AG208" s="35">
        <v>102.99216313276411</v>
      </c>
      <c r="AH208" s="35">
        <v>105.50259518229539</v>
      </c>
      <c r="AI208" s="35">
        <v>-2.5104320495312318</v>
      </c>
      <c r="AJ208" s="35">
        <v>-2.379497912059431E-2</v>
      </c>
      <c r="AK208" s="35">
        <v>-0.86890000000000001</v>
      </c>
      <c r="AL208" s="35">
        <v>102.9450164376677</v>
      </c>
      <c r="AM208" s="35">
        <v>-2.4241856233094938</v>
      </c>
    </row>
    <row r="209" spans="1:39" x14ac:dyDescent="0.25">
      <c r="A209" s="35" t="s">
        <v>457</v>
      </c>
      <c r="B209" s="35" t="s">
        <v>458</v>
      </c>
      <c r="C209" s="35">
        <v>1.2835000000000001</v>
      </c>
      <c r="D209" s="35">
        <v>112.758743576729</v>
      </c>
      <c r="E209" s="35">
        <v>114.2155719806786</v>
      </c>
      <c r="F209" s="35">
        <v>57656</v>
      </c>
      <c r="G209" s="36">
        <v>-0.10680000000000001</v>
      </c>
      <c r="H209" s="35">
        <v>111.2109250160086</v>
      </c>
      <c r="I209" s="36">
        <v>-2.6306806616336549</v>
      </c>
      <c r="Q209" s="35">
        <v>-0.81903252292577966</v>
      </c>
      <c r="R209" s="35">
        <v>90.774290445058995</v>
      </c>
      <c r="S209" s="35">
        <v>103.1516950587358</v>
      </c>
      <c r="T209" s="35">
        <v>-12.3774046136768</v>
      </c>
      <c r="U209" s="35">
        <v>-0.1199922561294699</v>
      </c>
      <c r="V209" s="35">
        <v>-0.89050000000000007</v>
      </c>
      <c r="W209" s="35">
        <v>90.708880622122848</v>
      </c>
      <c r="X209" s="35">
        <v>-12.062636905314889</v>
      </c>
      <c r="AF209" s="35">
        <v>0.46450000000000002</v>
      </c>
      <c r="AG209" s="35">
        <v>103.4705617305158</v>
      </c>
      <c r="AH209" s="35">
        <v>105.50259518229539</v>
      </c>
      <c r="AI209" s="35">
        <v>-2.0320334517795402</v>
      </c>
      <c r="AJ209" s="35">
        <v>-1.926050679860945E-2</v>
      </c>
      <c r="AK209" s="35">
        <v>0.12859999999999999</v>
      </c>
      <c r="AL209" s="35">
        <v>103.1246110545528</v>
      </c>
      <c r="AM209" s="35">
        <v>-2.253957946374352</v>
      </c>
    </row>
    <row r="210" spans="1:39" x14ac:dyDescent="0.25">
      <c r="A210" s="35" t="s">
        <v>458</v>
      </c>
      <c r="B210" s="35" t="s">
        <v>459</v>
      </c>
      <c r="C210" s="35">
        <v>1.0851</v>
      </c>
      <c r="D210" s="35">
        <v>113.9822887032801</v>
      </c>
      <c r="E210" s="35">
        <v>114.2155719806786</v>
      </c>
      <c r="F210" s="35">
        <v>58444.05</v>
      </c>
      <c r="G210" s="36">
        <v>9.35E-2</v>
      </c>
      <c r="H210" s="35">
        <v>112.8641730019732</v>
      </c>
      <c r="I210" s="36">
        <v>-1.183200289829089</v>
      </c>
      <c r="Q210" s="35">
        <v>-0.56216744313731826</v>
      </c>
      <c r="R210" s="35">
        <v>90.263986937437963</v>
      </c>
      <c r="S210" s="35">
        <v>103.1516950587358</v>
      </c>
      <c r="T210" s="35">
        <v>-12.88770812129783</v>
      </c>
      <c r="U210" s="35">
        <v>-0.1249393731625973</v>
      </c>
      <c r="V210" s="35">
        <v>-0.98019999999999996</v>
      </c>
      <c r="W210" s="35">
        <v>89.88452085011653</v>
      </c>
      <c r="X210" s="35">
        <v>-12.86180920348888</v>
      </c>
      <c r="AF210" s="35">
        <v>0.52290000000000003</v>
      </c>
      <c r="AG210" s="35">
        <v>104.0116092978047</v>
      </c>
      <c r="AH210" s="35">
        <v>105.50259518229539</v>
      </c>
      <c r="AI210" s="35">
        <v>-1.490985884490684</v>
      </c>
      <c r="AJ210" s="35">
        <v>-1.413221998865948E-2</v>
      </c>
      <c r="AK210" s="35">
        <v>0.15329999999999999</v>
      </c>
      <c r="AL210" s="35">
        <v>103.62918210164869</v>
      </c>
      <c r="AM210" s="35">
        <v>-1.7757033155531681</v>
      </c>
    </row>
    <row r="211" spans="1:39" x14ac:dyDescent="0.25">
      <c r="A211" s="35" t="s">
        <v>459</v>
      </c>
      <c r="B211" s="35" t="s">
        <v>460</v>
      </c>
      <c r="C211" s="35">
        <v>1.4E-2</v>
      </c>
      <c r="D211" s="35">
        <v>113.9982462236986</v>
      </c>
      <c r="E211" s="35">
        <v>114.2155719806786</v>
      </c>
      <c r="F211" s="35">
        <v>59146.400000000001</v>
      </c>
      <c r="G211" s="36">
        <v>-1.0706</v>
      </c>
      <c r="H211" s="35">
        <v>112.7619943204228</v>
      </c>
      <c r="I211" s="36">
        <v>-1.2726615425974639</v>
      </c>
      <c r="Q211" s="35">
        <v>-5.1292593309609683E-2</v>
      </c>
      <c r="R211" s="35">
        <v>90.217688197713102</v>
      </c>
      <c r="S211" s="35">
        <v>103.1516950587358</v>
      </c>
      <c r="T211" s="35">
        <v>-12.9340068610227</v>
      </c>
      <c r="U211" s="35">
        <v>-0.12538821445113349</v>
      </c>
      <c r="V211" s="35">
        <v>-1.2476</v>
      </c>
      <c r="W211" s="35">
        <v>89.137853436406488</v>
      </c>
      <c r="X211" s="35">
        <v>-13.585662954302069</v>
      </c>
      <c r="AF211" s="35">
        <v>-3.73E-2</v>
      </c>
      <c r="AG211" s="35">
        <v>103.9728129675366</v>
      </c>
      <c r="AH211" s="35">
        <v>105.50259518229539</v>
      </c>
      <c r="AI211" s="35">
        <v>-1.5297822147587541</v>
      </c>
      <c r="AJ211" s="35">
        <v>-1.4499948670603609E-2</v>
      </c>
      <c r="AK211" s="35">
        <v>-0.68300000000000005</v>
      </c>
      <c r="AL211" s="35">
        <v>103.30121000630071</v>
      </c>
      <c r="AM211" s="35">
        <v>-2.086569692613693</v>
      </c>
    </row>
    <row r="212" spans="1:39" x14ac:dyDescent="0.25">
      <c r="A212" s="35" t="s">
        <v>460</v>
      </c>
      <c r="B212" s="35" t="s">
        <v>461</v>
      </c>
      <c r="C212" s="35">
        <v>-1.252</v>
      </c>
      <c r="D212" s="35">
        <v>112.57098818097781</v>
      </c>
      <c r="E212" s="35">
        <v>114.2155719806786</v>
      </c>
      <c r="F212" s="35">
        <v>59223.7</v>
      </c>
      <c r="G212" s="36">
        <v>-1.4291</v>
      </c>
      <c r="H212" s="35">
        <v>112.3690972869157</v>
      </c>
      <c r="I212" s="36">
        <v>-1.616657572817892</v>
      </c>
      <c r="Q212" s="35">
        <v>1.126050153380928</v>
      </c>
      <c r="R212" s="35">
        <v>91.233584614040169</v>
      </c>
      <c r="S212" s="35">
        <v>103.1516950587358</v>
      </c>
      <c r="T212" s="35">
        <v>-11.91811044469563</v>
      </c>
      <c r="U212" s="35">
        <v>-0.11553964709847291</v>
      </c>
      <c r="V212" s="35">
        <v>-0.27660000000000001</v>
      </c>
      <c r="W212" s="35">
        <v>89.96814607215822</v>
      </c>
      <c r="X212" s="35">
        <v>-12.780739064996171</v>
      </c>
      <c r="AF212" s="35">
        <v>-0.12590000000000001</v>
      </c>
      <c r="AG212" s="35">
        <v>103.8419111960105</v>
      </c>
      <c r="AH212" s="35">
        <v>105.50259518229539</v>
      </c>
      <c r="AI212" s="35">
        <v>-1.6606839862848799</v>
      </c>
      <c r="AJ212" s="35">
        <v>-1.5740693235227289E-2</v>
      </c>
      <c r="AK212" s="35">
        <v>-0.12590000000000001</v>
      </c>
      <c r="AL212" s="35">
        <v>103.8419111960105</v>
      </c>
      <c r="AM212" s="35">
        <v>-1.574069323522731</v>
      </c>
    </row>
    <row r="213" spans="1:39" x14ac:dyDescent="0.25">
      <c r="A213" s="35" t="s">
        <v>461</v>
      </c>
      <c r="B213" s="35" t="s">
        <v>462</v>
      </c>
      <c r="C213" s="35">
        <v>0.66210000000000002</v>
      </c>
      <c r="D213" s="35">
        <v>113.31632069372409</v>
      </c>
      <c r="E213" s="35">
        <v>114.2155719806786</v>
      </c>
      <c r="F213" s="35">
        <v>58501.95</v>
      </c>
      <c r="G213" s="36">
        <v>-1.2643</v>
      </c>
      <c r="H213" s="35">
        <v>111.1477531774057</v>
      </c>
      <c r="I213" s="36">
        <v>-2.6859899662296631</v>
      </c>
      <c r="Q213" s="35">
        <v>-1.8308275139173109E-2</v>
      </c>
      <c r="R213" s="35">
        <v>91.216881318349692</v>
      </c>
      <c r="S213" s="35">
        <v>103.1516950587358</v>
      </c>
      <c r="T213" s="35">
        <v>-11.934813740386099</v>
      </c>
      <c r="U213" s="35">
        <v>-0.11570157653337911</v>
      </c>
      <c r="V213" s="35">
        <v>-1.2083999999999999</v>
      </c>
      <c r="W213" s="35">
        <v>90.131117977564102</v>
      </c>
      <c r="X213" s="35">
        <v>-12.6227466002935</v>
      </c>
      <c r="AF213" s="35">
        <v>0.64380000000000004</v>
      </c>
      <c r="AG213" s="35">
        <v>104.5104454202904</v>
      </c>
      <c r="AH213" s="35">
        <v>105.50259518229539</v>
      </c>
      <c r="AI213" s="35">
        <v>-0.99214976200497063</v>
      </c>
      <c r="AJ213" s="35">
        <v>-9.4040318182757425E-3</v>
      </c>
      <c r="AK213" s="35">
        <v>-0.72889999999999999</v>
      </c>
      <c r="AL213" s="35">
        <v>103.0850075053028</v>
      </c>
      <c r="AM213" s="35">
        <v>-2.291495932223564</v>
      </c>
    </row>
    <row r="214" spans="1:39" x14ac:dyDescent="0.25">
      <c r="A214" s="35" t="s">
        <v>462</v>
      </c>
      <c r="B214" s="35" t="s">
        <v>463</v>
      </c>
      <c r="C214" s="35">
        <v>1.1748000000000001</v>
      </c>
      <c r="D214" s="35">
        <v>114.647560829234</v>
      </c>
      <c r="E214" s="35">
        <v>114.647560829234</v>
      </c>
      <c r="F214" s="35">
        <v>58938.05</v>
      </c>
      <c r="G214" s="36">
        <v>0.4229</v>
      </c>
      <c r="H214" s="35">
        <v>113.7955354139379</v>
      </c>
      <c r="I214" s="36">
        <v>-0.36775770541320751</v>
      </c>
      <c r="Q214" s="35">
        <v>-1.9836707339340931</v>
      </c>
      <c r="R214" s="35">
        <v>89.407438739230187</v>
      </c>
      <c r="S214" s="35">
        <v>103.1516950587358</v>
      </c>
      <c r="T214" s="35">
        <v>-13.74425631950561</v>
      </c>
      <c r="U214" s="35">
        <v>-0.1332431455603271</v>
      </c>
      <c r="V214" s="35">
        <v>-2.2648000000000001</v>
      </c>
      <c r="W214" s="35">
        <v>89.151001390251707</v>
      </c>
      <c r="X214" s="35">
        <v>-13.57291672280512</v>
      </c>
      <c r="AF214" s="35">
        <v>-0.80889999999999995</v>
      </c>
      <c r="AG214" s="35">
        <v>103.6650604272857</v>
      </c>
      <c r="AH214" s="35">
        <v>105.50259518229539</v>
      </c>
      <c r="AI214" s="35">
        <v>-1.837534755009699</v>
      </c>
      <c r="AJ214" s="35">
        <v>-1.7416962604897709E-2</v>
      </c>
      <c r="AK214" s="35">
        <v>-0.99270000000000003</v>
      </c>
      <c r="AL214" s="35">
        <v>103.4729702286032</v>
      </c>
      <c r="AM214" s="35">
        <v>-1.923767799441567</v>
      </c>
    </row>
    <row r="215" spans="1:39" x14ac:dyDescent="0.25">
      <c r="A215" s="35" t="s">
        <v>463</v>
      </c>
      <c r="B215" s="35" t="s">
        <v>464</v>
      </c>
      <c r="C215" s="35">
        <v>8.8700000000000001E-2</v>
      </c>
      <c r="D215" s="35">
        <v>114.74925321568951</v>
      </c>
      <c r="E215" s="35">
        <v>114.74925321568951</v>
      </c>
      <c r="F215" s="35">
        <v>59640.3</v>
      </c>
      <c r="G215" s="36">
        <v>-0.42980000000000002</v>
      </c>
      <c r="H215" s="35">
        <v>114.1548056127899</v>
      </c>
      <c r="I215" s="36">
        <v>-0.4298000000000024</v>
      </c>
      <c r="Q215" s="35">
        <v>-4.4901512078112868E-2</v>
      </c>
      <c r="R215" s="35">
        <v>89.367293447325963</v>
      </c>
      <c r="S215" s="35">
        <v>103.1516950587358</v>
      </c>
      <c r="T215" s="35">
        <v>-13.78440161140983</v>
      </c>
      <c r="U215" s="35">
        <v>-0.13363233249401121</v>
      </c>
      <c r="V215" s="35">
        <v>-0.40899999999999997</v>
      </c>
      <c r="W215" s="35">
        <v>89.041762314786737</v>
      </c>
      <c r="X215" s="35">
        <v>-13.67881810949854</v>
      </c>
      <c r="AF215" s="35">
        <v>4.3799999999999999E-2</v>
      </c>
      <c r="AG215" s="35">
        <v>103.7104657237528</v>
      </c>
      <c r="AH215" s="35">
        <v>105.50259518229539</v>
      </c>
      <c r="AI215" s="35">
        <v>-1.7921294585425609</v>
      </c>
      <c r="AJ215" s="35">
        <v>-1.6986591234518782E-2</v>
      </c>
      <c r="AK215" s="35">
        <v>-0.1638</v>
      </c>
      <c r="AL215" s="35">
        <v>103.4952570583058</v>
      </c>
      <c r="AM215" s="35">
        <v>-1.902643362015088</v>
      </c>
    </row>
    <row r="216" spans="1:39" x14ac:dyDescent="0.25">
      <c r="A216" s="35" t="s">
        <v>464</v>
      </c>
      <c r="B216" s="35" t="s">
        <v>465</v>
      </c>
      <c r="C216" s="35">
        <v>0.72970000000000002</v>
      </c>
      <c r="D216" s="35">
        <v>115.5865785164044</v>
      </c>
      <c r="E216" s="35">
        <v>115.5865785164044</v>
      </c>
      <c r="F216" s="35">
        <v>59752.85</v>
      </c>
      <c r="G216" s="36">
        <v>-2.3605</v>
      </c>
      <c r="H216" s="35">
        <v>112.04059709353319</v>
      </c>
      <c r="I216" s="36">
        <v>-2.3604999999999992</v>
      </c>
      <c r="Q216" s="35">
        <v>-1.1429393302347941</v>
      </c>
      <c r="R216" s="35">
        <v>88.34587950215014</v>
      </c>
      <c r="S216" s="35">
        <v>103.1516950587358</v>
      </c>
      <c r="T216" s="35">
        <v>-14.80581555658566</v>
      </c>
      <c r="U216" s="35">
        <v>-0.1435343893103749</v>
      </c>
      <c r="V216" s="35">
        <v>-1.3326</v>
      </c>
      <c r="W216" s="35">
        <v>88.176384894846905</v>
      </c>
      <c r="X216" s="35">
        <v>-14.517754803119599</v>
      </c>
      <c r="AF216" s="35">
        <v>-0.41320000000000001</v>
      </c>
      <c r="AG216" s="35">
        <v>103.2819340793822</v>
      </c>
      <c r="AH216" s="35">
        <v>105.50259518229539</v>
      </c>
      <c r="AI216" s="35">
        <v>-2.220661102913112</v>
      </c>
      <c r="AJ216" s="35">
        <v>-2.1048402639537792E-2</v>
      </c>
      <c r="AK216" s="35">
        <v>-2.4135</v>
      </c>
      <c r="AL216" s="35">
        <v>101.20741363351</v>
      </c>
      <c r="AM216" s="35">
        <v>-4.0711619855073664</v>
      </c>
    </row>
    <row r="217" spans="1:39" x14ac:dyDescent="0.25">
      <c r="A217" s="35" t="s">
        <v>465</v>
      </c>
      <c r="B217" s="35" t="s">
        <v>466</v>
      </c>
      <c r="C217" s="35">
        <v>0.78639999999999999</v>
      </c>
      <c r="D217" s="35">
        <v>116.4955513698574</v>
      </c>
      <c r="E217" s="35">
        <v>116.4955513698574</v>
      </c>
      <c r="F217" s="35">
        <v>60208.800000000003</v>
      </c>
      <c r="G217" s="36">
        <v>1.9599999999999999E-2</v>
      </c>
      <c r="H217" s="35">
        <v>115.60923348579369</v>
      </c>
      <c r="I217" s="36">
        <v>1.96000000000085E-2</v>
      </c>
      <c r="Q217" s="35">
        <v>-0.35303081119539997</v>
      </c>
      <c r="R217" s="35">
        <v>88.033991327085985</v>
      </c>
      <c r="S217" s="35">
        <v>103.1516950587358</v>
      </c>
      <c r="T217" s="35">
        <v>-15.11770373164981</v>
      </c>
      <c r="U217" s="35">
        <v>-0.1465579768034021</v>
      </c>
      <c r="V217" s="35">
        <v>-0.5171</v>
      </c>
      <c r="W217" s="35">
        <v>87.88904295924452</v>
      </c>
      <c r="X217" s="35">
        <v>-14.796317298325089</v>
      </c>
      <c r="AF217" s="35">
        <v>0.43340000000000001</v>
      </c>
      <c r="AG217" s="35">
        <v>103.72955798168231</v>
      </c>
      <c r="AH217" s="35">
        <v>105.50259518229539</v>
      </c>
      <c r="AI217" s="35">
        <v>-1.773037200613061</v>
      </c>
      <c r="AJ217" s="35">
        <v>-1.6805626416577461E-2</v>
      </c>
      <c r="AK217" s="35">
        <v>-0.11899999999999999</v>
      </c>
      <c r="AL217" s="35">
        <v>103.1590285778278</v>
      </c>
      <c r="AM217" s="35">
        <v>-2.2213355040396792</v>
      </c>
    </row>
    <row r="218" spans="1:39" x14ac:dyDescent="0.25">
      <c r="A218" s="35" t="s">
        <v>466</v>
      </c>
      <c r="B218" s="35" t="s">
        <v>467</v>
      </c>
      <c r="C218" s="35">
        <v>-0.44059999999999999</v>
      </c>
      <c r="D218" s="35">
        <v>115.98227197052189</v>
      </c>
      <c r="E218" s="35">
        <v>116.4955513698574</v>
      </c>
      <c r="F218" s="35">
        <v>60712.4</v>
      </c>
      <c r="G218" s="36">
        <v>-0.73809999999999998</v>
      </c>
      <c r="H218" s="35">
        <v>115.63569770519651</v>
      </c>
      <c r="I218" s="36">
        <v>-0.73809999999999709</v>
      </c>
      <c r="Q218" s="35">
        <v>-0.29665697086053661</v>
      </c>
      <c r="R218" s="35">
        <v>87.772832355087431</v>
      </c>
      <c r="S218" s="35">
        <v>103.1516950587358</v>
      </c>
      <c r="T218" s="35">
        <v>-15.37886270364837</v>
      </c>
      <c r="U218" s="35">
        <v>-0.14908977205746801</v>
      </c>
      <c r="V218" s="35">
        <v>-0.51780000000000004</v>
      </c>
      <c r="W218" s="35">
        <v>87.578151319994333</v>
      </c>
      <c r="X218" s="35">
        <v>-15.097709959951411</v>
      </c>
      <c r="AF218" s="35">
        <v>-0.73729999999999996</v>
      </c>
      <c r="AG218" s="35">
        <v>102.9647599506833</v>
      </c>
      <c r="AH218" s="35">
        <v>105.50259518229539</v>
      </c>
      <c r="AI218" s="35">
        <v>-2.5378352316120072</v>
      </c>
      <c r="AJ218" s="35">
        <v>-2.4054718533008061E-2</v>
      </c>
      <c r="AK218" s="35">
        <v>-0.73729999999999996</v>
      </c>
      <c r="AL218" s="35">
        <v>102.9647599506833</v>
      </c>
      <c r="AM218" s="35">
        <v>-2.4054718533008108</v>
      </c>
    </row>
    <row r="219" spans="1:39" x14ac:dyDescent="0.25">
      <c r="A219" s="35" t="s">
        <v>467</v>
      </c>
      <c r="B219" s="35" t="s">
        <v>468</v>
      </c>
      <c r="C219" s="35">
        <v>-0.2767</v>
      </c>
      <c r="D219" s="35">
        <v>115.6613490239794</v>
      </c>
      <c r="E219" s="35">
        <v>116.4955513698574</v>
      </c>
      <c r="F219" s="35">
        <v>60465.15</v>
      </c>
      <c r="G219" s="36">
        <v>-1.1335</v>
      </c>
      <c r="H219" s="35">
        <v>114.66761291773599</v>
      </c>
      <c r="I219" s="36">
        <v>-1.5691057989999919</v>
      </c>
      <c r="Q219" s="35">
        <v>0.63893647744686899</v>
      </c>
      <c r="R219" s="35">
        <v>88.333644998292371</v>
      </c>
      <c r="S219" s="35">
        <v>103.1516950587358</v>
      </c>
      <c r="T219" s="35">
        <v>-14.818050060443429</v>
      </c>
      <c r="U219" s="35">
        <v>-0.14365299622081679</v>
      </c>
      <c r="V219" s="35">
        <v>-1.1457999999999999</v>
      </c>
      <c r="W219" s="35">
        <v>86.767131241962844</v>
      </c>
      <c r="X219" s="35">
        <v>-15.88395014492334</v>
      </c>
      <c r="AF219" s="35">
        <v>0.36220000000000002</v>
      </c>
      <c r="AG219" s="35">
        <v>103.3376983112247</v>
      </c>
      <c r="AH219" s="35">
        <v>105.50259518229539</v>
      </c>
      <c r="AI219" s="35">
        <v>-2.1648968710706238</v>
      </c>
      <c r="AJ219" s="35">
        <v>-2.051984472353454E-2</v>
      </c>
      <c r="AK219" s="35">
        <v>-0.79690000000000005</v>
      </c>
      <c r="AL219" s="35">
        <v>102.14423377863631</v>
      </c>
      <c r="AM219" s="35">
        <v>-3.1832026481018572</v>
      </c>
    </row>
    <row r="220" spans="1:39" x14ac:dyDescent="0.25">
      <c r="A220" s="35" t="s">
        <v>468</v>
      </c>
      <c r="B220" s="35" t="s">
        <v>469</v>
      </c>
      <c r="C220" s="35">
        <v>-2.2427999999999999</v>
      </c>
      <c r="D220" s="35">
        <v>113.0672962880696</v>
      </c>
      <c r="E220" s="35">
        <v>116.4955513698574</v>
      </c>
      <c r="F220" s="35">
        <v>60358.3</v>
      </c>
      <c r="G220" s="36">
        <v>-2.4630000000000001</v>
      </c>
      <c r="H220" s="35">
        <v>112.81260999751881</v>
      </c>
      <c r="I220" s="36">
        <v>-3.1614437882231168</v>
      </c>
      <c r="Q220" s="35">
        <v>1.834522752733855</v>
      </c>
      <c r="R220" s="35">
        <v>89.954145814105203</v>
      </c>
      <c r="S220" s="35">
        <v>103.1516950587358</v>
      </c>
      <c r="T220" s="35">
        <v>-13.19754924463059</v>
      </c>
      <c r="U220" s="35">
        <v>-0.12794311559413299</v>
      </c>
      <c r="V220" s="35">
        <v>0.53800000000000003</v>
      </c>
      <c r="W220" s="35">
        <v>88.808880008383184</v>
      </c>
      <c r="X220" s="35">
        <v>-13.904584934048479</v>
      </c>
      <c r="AF220" s="35">
        <v>-0.4083</v>
      </c>
      <c r="AG220" s="35">
        <v>102.91577048902001</v>
      </c>
      <c r="AH220" s="35">
        <v>105.50259518229539</v>
      </c>
      <c r="AI220" s="35">
        <v>-2.586824693275346</v>
      </c>
      <c r="AJ220" s="35">
        <v>-2.4519062197528269E-2</v>
      </c>
      <c r="AK220" s="35">
        <v>-0.42830000000000001</v>
      </c>
      <c r="AL220" s="35">
        <v>102.89510294935771</v>
      </c>
      <c r="AM220" s="35">
        <v>-2.4714958228583721</v>
      </c>
    </row>
    <row r="221" spans="1:39" x14ac:dyDescent="0.25">
      <c r="A221" s="35" t="s">
        <v>469</v>
      </c>
      <c r="B221" s="35" t="s">
        <v>470</v>
      </c>
      <c r="C221" s="35">
        <v>-0.94889999999999997</v>
      </c>
      <c r="D221" s="35">
        <v>111.9944007135921</v>
      </c>
      <c r="E221" s="35">
        <v>116.4955513698574</v>
      </c>
      <c r="F221" s="35">
        <v>59024.7</v>
      </c>
      <c r="G221" s="36">
        <v>-1.8934</v>
      </c>
      <c r="H221" s="35">
        <v>110.9264801001513</v>
      </c>
      <c r="I221" s="36">
        <v>-4.7805012330686232</v>
      </c>
      <c r="Q221" s="35">
        <v>1.508310858174819</v>
      </c>
      <c r="R221" s="35">
        <v>91.310933962797762</v>
      </c>
      <c r="S221" s="35">
        <v>103.1516950587358</v>
      </c>
      <c r="T221" s="35">
        <v>-11.84076109593803</v>
      </c>
      <c r="U221" s="35">
        <v>-0.1147897869171783</v>
      </c>
      <c r="V221" s="35">
        <v>-0.90369999999999995</v>
      </c>
      <c r="W221" s="35">
        <v>89.141230198383141</v>
      </c>
      <c r="X221" s="35">
        <v>-13.582389365850879</v>
      </c>
      <c r="AF221" s="35">
        <v>0.55940000000000001</v>
      </c>
      <c r="AG221" s="35">
        <v>103.49148130913559</v>
      </c>
      <c r="AH221" s="35">
        <v>105.50259518229539</v>
      </c>
      <c r="AI221" s="35">
        <v>-2.0111138731597582</v>
      </c>
      <c r="AJ221" s="35">
        <v>-1.906222183146114E-2</v>
      </c>
      <c r="AK221" s="35">
        <v>-0.49690000000000001</v>
      </c>
      <c r="AL221" s="35">
        <v>102.40438202546009</v>
      </c>
      <c r="AM221" s="35">
        <v>-2.9366226977468708</v>
      </c>
    </row>
    <row r="222" spans="1:39" x14ac:dyDescent="0.25">
      <c r="A222" s="35" t="s">
        <v>470</v>
      </c>
      <c r="B222" s="35" t="s">
        <v>471</v>
      </c>
      <c r="C222" s="35">
        <v>0.99099999999999999</v>
      </c>
      <c r="D222" s="35">
        <v>113.10426522466381</v>
      </c>
      <c r="E222" s="35">
        <v>116.4955513698574</v>
      </c>
      <c r="F222" s="35">
        <v>58474.45</v>
      </c>
      <c r="G222" s="36">
        <v>-2.8723999999999998</v>
      </c>
      <c r="H222" s="35">
        <v>108.77747354749491</v>
      </c>
      <c r="I222" s="36">
        <v>-6.6252124923283029</v>
      </c>
      <c r="Q222" s="35">
        <v>0.53108984353137767</v>
      </c>
      <c r="R222" s="35">
        <v>91.795877059107838</v>
      </c>
      <c r="S222" s="35">
        <v>103.1516950587358</v>
      </c>
      <c r="T222" s="35">
        <v>-11.355817999627959</v>
      </c>
      <c r="U222" s="35">
        <v>-0.11008852538159281</v>
      </c>
      <c r="V222" s="35">
        <v>-0.68859999999999999</v>
      </c>
      <c r="W222" s="35">
        <v>90.682166871529944</v>
      </c>
      <c r="X222" s="35">
        <v>-12.088534444446649</v>
      </c>
      <c r="AF222" s="35">
        <v>1.5221</v>
      </c>
      <c r="AG222" s="35">
        <v>105.06672514614191</v>
      </c>
      <c r="AH222" s="35">
        <v>105.50259518229539</v>
      </c>
      <c r="AI222" s="35">
        <v>-0.43587003615341757</v>
      </c>
      <c r="AJ222" s="35">
        <v>-4.131367909957934E-3</v>
      </c>
      <c r="AK222" s="35">
        <v>-1.7232000000000001</v>
      </c>
      <c r="AL222" s="35">
        <v>101.7081161032166</v>
      </c>
      <c r="AM222" s="35">
        <v>-3.596574162486144</v>
      </c>
    </row>
    <row r="223" spans="1:39" x14ac:dyDescent="0.25">
      <c r="A223" s="35" t="s">
        <v>471</v>
      </c>
      <c r="B223" s="35" t="s">
        <v>472</v>
      </c>
      <c r="C223" s="35">
        <v>0.47420000000000001</v>
      </c>
      <c r="D223" s="35">
        <v>113.64060565035921</v>
      </c>
      <c r="E223" s="35">
        <v>116.4955513698574</v>
      </c>
      <c r="F223" s="35">
        <v>59102.65</v>
      </c>
      <c r="G223" s="36">
        <v>-0.50090000000000001</v>
      </c>
      <c r="H223" s="35">
        <v>112.53772596015349</v>
      </c>
      <c r="I223" s="36">
        <v>-3.397404761953859</v>
      </c>
      <c r="Q223" s="35">
        <v>0.27379768192635079</v>
      </c>
      <c r="R223" s="35">
        <v>92.047212042599639</v>
      </c>
      <c r="S223" s="35">
        <v>103.1516950587358</v>
      </c>
      <c r="T223" s="35">
        <v>-11.104483016136159</v>
      </c>
      <c r="U223" s="35">
        <v>-0.107651968392891</v>
      </c>
      <c r="V223" s="35">
        <v>-0.94819999999999993</v>
      </c>
      <c r="W223" s="35">
        <v>90.925468552833379</v>
      </c>
      <c r="X223" s="35">
        <v>-11.85266659839246</v>
      </c>
      <c r="AF223" s="35">
        <v>0.748</v>
      </c>
      <c r="AG223" s="35">
        <v>105.8526242502351</v>
      </c>
      <c r="AH223" s="35">
        <v>105.8526242502351</v>
      </c>
      <c r="AI223" s="35"/>
      <c r="AJ223" s="35">
        <v>0</v>
      </c>
      <c r="AK223" s="35">
        <v>-5.4699999999999999E-2</v>
      </c>
      <c r="AL223" s="35">
        <v>105.009253647487</v>
      </c>
      <c r="AM223" s="35">
        <v>-0.46761080517111481</v>
      </c>
    </row>
    <row r="224" spans="1:39" x14ac:dyDescent="0.25">
      <c r="A224" s="35" t="s">
        <v>472</v>
      </c>
      <c r="B224" s="35" t="s">
        <v>473</v>
      </c>
      <c r="C224" s="35">
        <v>-5.6134000000000004</v>
      </c>
      <c r="D224" s="35">
        <v>107.2615038927819</v>
      </c>
      <c r="E224" s="35">
        <v>116.4955513698574</v>
      </c>
      <c r="F224" s="35">
        <v>59451.85</v>
      </c>
      <c r="G224" s="36">
        <v>-5.7545000000000002</v>
      </c>
      <c r="H224" s="35">
        <v>107.10115699820931</v>
      </c>
      <c r="I224" s="36">
        <v>-8.0641657652851038</v>
      </c>
      <c r="Q224" s="35">
        <v>1.862938653574304</v>
      </c>
      <c r="R224" s="35">
        <v>93.761995135278724</v>
      </c>
      <c r="S224" s="35">
        <v>103.1516950587358</v>
      </c>
      <c r="T224" s="35">
        <v>-9.3896999234570728</v>
      </c>
      <c r="U224" s="35">
        <v>-9.1028071987672779E-2</v>
      </c>
      <c r="V224" s="35">
        <v>-0.14499999999999999</v>
      </c>
      <c r="W224" s="35">
        <v>91.91374358513788</v>
      </c>
      <c r="X224" s="35">
        <v>-10.894587303872131</v>
      </c>
      <c r="AF224" s="35">
        <v>-3.7505000000000002</v>
      </c>
      <c r="AG224" s="35">
        <v>101.88262157773001</v>
      </c>
      <c r="AH224" s="35">
        <v>105.8526242502351</v>
      </c>
      <c r="AI224" s="35">
        <v>-3.970002672505061</v>
      </c>
      <c r="AJ224" s="35">
        <v>-3.7504999999999948E-2</v>
      </c>
      <c r="AK224" s="35">
        <v>-3.7888000000000002</v>
      </c>
      <c r="AL224" s="35">
        <v>101.84208002264219</v>
      </c>
      <c r="AM224" s="35">
        <v>-3.7888000000000139</v>
      </c>
    </row>
    <row r="225" spans="1:39" x14ac:dyDescent="0.25">
      <c r="A225" s="35" t="s">
        <v>473</v>
      </c>
      <c r="B225" s="35" t="s">
        <v>474</v>
      </c>
      <c r="C225" s="35">
        <v>0.62329999999999997</v>
      </c>
      <c r="D225" s="35">
        <v>107.9300648465456</v>
      </c>
      <c r="E225" s="35">
        <v>116.4955513698574</v>
      </c>
      <c r="F225" s="35">
        <v>56174.05</v>
      </c>
      <c r="G225" s="36">
        <v>-0.95960000000000001</v>
      </c>
      <c r="H225" s="35">
        <v>106.2322225014268</v>
      </c>
      <c r="I225" s="36">
        <v>-8.8100607686262489</v>
      </c>
      <c r="Q225" s="35">
        <v>0.40004740091777979</v>
      </c>
      <c r="R225" s="35">
        <v>94.137087559866046</v>
      </c>
      <c r="S225" s="35">
        <v>103.1516950587358</v>
      </c>
      <c r="T225" s="35">
        <v>-9.0146074988697507</v>
      </c>
      <c r="U225" s="35">
        <v>-8.7391753414587381E-2</v>
      </c>
      <c r="V225" s="35">
        <v>-0.80370000000000008</v>
      </c>
      <c r="W225" s="35">
        <v>93.008429980376491</v>
      </c>
      <c r="X225" s="35">
        <v>-9.833347937310787</v>
      </c>
      <c r="AF225" s="35">
        <v>1.0233000000000001</v>
      </c>
      <c r="AG225" s="35">
        <v>102.9251864443349</v>
      </c>
      <c r="AH225" s="35">
        <v>105.8526242502351</v>
      </c>
      <c r="AI225" s="35">
        <v>-2.9274378059001549</v>
      </c>
      <c r="AJ225" s="35">
        <v>-2.7655788665E-2</v>
      </c>
      <c r="AK225" s="35">
        <v>-0.39200000000000002</v>
      </c>
      <c r="AL225" s="35">
        <v>101.4832417011453</v>
      </c>
      <c r="AM225" s="35">
        <v>-4.1277980399999974</v>
      </c>
    </row>
    <row r="226" spans="1:39" x14ac:dyDescent="0.25">
      <c r="A226" s="35" t="s">
        <v>474</v>
      </c>
      <c r="B226" s="35" t="s">
        <v>258</v>
      </c>
      <c r="C226" s="35">
        <v>-2.2543000000000002</v>
      </c>
      <c r="D226" s="35">
        <v>105.49699739470999</v>
      </c>
      <c r="E226" s="35">
        <v>116.4955513698574</v>
      </c>
      <c r="F226" s="35">
        <v>56533.55</v>
      </c>
      <c r="G226" s="36">
        <v>-3.2031000000000001</v>
      </c>
      <c r="H226" s="35">
        <v>104.47295693944589</v>
      </c>
      <c r="I226" s="36">
        <v>-10.320217629805819</v>
      </c>
      <c r="Q226" s="35">
        <v>1.783061529332324</v>
      </c>
      <c r="R226" s="35">
        <v>95.815609752979896</v>
      </c>
      <c r="S226" s="35">
        <v>103.1516950587358</v>
      </c>
      <c r="T226" s="35">
        <v>-7.3360853057559012</v>
      </c>
      <c r="U226" s="35">
        <v>-7.1119386856208694E-2</v>
      </c>
      <c r="V226" s="35">
        <v>-0.35299999999999998</v>
      </c>
      <c r="W226" s="35">
        <v>93.804783640779718</v>
      </c>
      <c r="X226" s="35">
        <v>-9.061326052503393</v>
      </c>
      <c r="AF226" s="35">
        <v>-0.47120000000000001</v>
      </c>
      <c r="AG226" s="35">
        <v>102.44020296580921</v>
      </c>
      <c r="AH226" s="35">
        <v>105.8526242502351</v>
      </c>
      <c r="AI226" s="35">
        <v>-3.4124212844258608</v>
      </c>
      <c r="AJ226" s="35">
        <v>-3.2237474588810523E-2</v>
      </c>
      <c r="AK226" s="35">
        <v>-0.81230000000000002</v>
      </c>
      <c r="AL226" s="35">
        <v>102.08912515484759</v>
      </c>
      <c r="AM226" s="35">
        <v>-3.5554140693674241</v>
      </c>
    </row>
    <row r="227" spans="1:39" x14ac:dyDescent="0.25">
      <c r="A227" s="35" t="s">
        <v>260</v>
      </c>
      <c r="B227" s="35" t="s">
        <v>475</v>
      </c>
      <c r="C227" s="35">
        <v>-0.92330000000000001</v>
      </c>
      <c r="D227" s="35">
        <v>99.076699999999988</v>
      </c>
      <c r="E227" s="35">
        <v>100</v>
      </c>
      <c r="F227" s="35">
        <v>51672.25</v>
      </c>
      <c r="G227" s="36">
        <v>-1.1791</v>
      </c>
      <c r="H227" s="35">
        <v>98.820899999999995</v>
      </c>
      <c r="I227" s="36">
        <v>-1.1791000000000109</v>
      </c>
      <c r="Q227" s="35">
        <v>1.15606936416185</v>
      </c>
      <c r="R227" s="35">
        <v>101.15606936416189</v>
      </c>
      <c r="S227" s="35">
        <v>101.15606936416189</v>
      </c>
      <c r="T227" s="35"/>
      <c r="U227" s="35">
        <v>0</v>
      </c>
      <c r="V227" s="35">
        <v>-9.7200000000000009E-2</v>
      </c>
      <c r="W227" s="35">
        <v>99.902799999999999</v>
      </c>
      <c r="X227" s="35">
        <v>-9.7199999999997289E-2</v>
      </c>
      <c r="AF227" s="35">
        <v>0.23280000000000001</v>
      </c>
      <c r="AG227" s="35">
        <v>100.2328</v>
      </c>
      <c r="AH227" s="35">
        <v>100.2328</v>
      </c>
      <c r="AI227" s="35"/>
      <c r="AJ227" s="35">
        <v>0</v>
      </c>
      <c r="AK227" s="35">
        <v>0.1038</v>
      </c>
      <c r="AL227" s="35">
        <v>100.10380000000001</v>
      </c>
      <c r="AM227" s="35">
        <v>0.1038000000000094</v>
      </c>
    </row>
    <row r="228" spans="1:39" x14ac:dyDescent="0.25">
      <c r="A228" s="35" t="s">
        <v>475</v>
      </c>
      <c r="B228" s="35" t="s">
        <v>476</v>
      </c>
      <c r="C228" s="35">
        <v>1.591</v>
      </c>
      <c r="D228" s="35">
        <v>100.65301029699999</v>
      </c>
      <c r="E228" s="35">
        <v>100.65301029699999</v>
      </c>
      <c r="F228" s="35">
        <v>51229.599999999999</v>
      </c>
      <c r="G228" s="36">
        <v>-0.67269999999999996</v>
      </c>
      <c r="H228" s="35">
        <v>98.410211039099991</v>
      </c>
      <c r="I228" s="36">
        <v>-1.5897889609000071</v>
      </c>
      <c r="Q228" s="35">
        <v>-0.46793319433472758</v>
      </c>
      <c r="R228" s="35">
        <v>100.6827265375227</v>
      </c>
      <c r="S228" s="35">
        <v>101.15606936416189</v>
      </c>
      <c r="T228" s="35">
        <v>-0.47334282663916838</v>
      </c>
      <c r="U228" s="35">
        <v>-4.6793319433472069E-3</v>
      </c>
      <c r="V228" s="35">
        <v>-0.60349999999999993</v>
      </c>
      <c r="W228" s="35">
        <v>100.54559248554919</v>
      </c>
      <c r="X228" s="35">
        <v>-0.60350000000000126</v>
      </c>
      <c r="AF228" s="35">
        <v>1.1231</v>
      </c>
      <c r="AG228" s="35">
        <v>101.3585145768</v>
      </c>
      <c r="AH228" s="35">
        <v>101.3585145768</v>
      </c>
      <c r="AI228" s="35"/>
      <c r="AJ228" s="35">
        <v>0</v>
      </c>
      <c r="AK228" s="35">
        <v>-0.53090000000000004</v>
      </c>
      <c r="AL228" s="35">
        <v>99.700664064800009</v>
      </c>
      <c r="AM228" s="35">
        <v>-0.53090000000000082</v>
      </c>
    </row>
    <row r="229" spans="1:39" x14ac:dyDescent="0.25">
      <c r="A229" s="35" t="s">
        <v>476</v>
      </c>
      <c r="B229" s="35" t="s">
        <v>477</v>
      </c>
      <c r="C229" s="35">
        <v>-2.7368000000000001</v>
      </c>
      <c r="D229" s="35">
        <v>97.898338711191698</v>
      </c>
      <c r="E229" s="35">
        <v>100.65301029699999</v>
      </c>
      <c r="F229" s="35">
        <v>52053.2</v>
      </c>
      <c r="G229" s="36">
        <v>-3.3047</v>
      </c>
      <c r="H229" s="35">
        <v>97.326730265715028</v>
      </c>
      <c r="I229" s="36">
        <v>-3.3047000000000049</v>
      </c>
      <c r="Q229" s="35">
        <v>2.092159598154494</v>
      </c>
      <c r="R229" s="35">
        <v>102.7891698644611</v>
      </c>
      <c r="S229" s="35">
        <v>102.7891698644611</v>
      </c>
      <c r="T229" s="35"/>
      <c r="U229" s="35">
        <v>0</v>
      </c>
      <c r="V229" s="35">
        <v>0.14680000000000001</v>
      </c>
      <c r="W229" s="35">
        <v>100.8305287800798</v>
      </c>
      <c r="X229" s="35">
        <v>-0.32182012026399359</v>
      </c>
      <c r="AF229" s="35">
        <v>-0.64459999999999995</v>
      </c>
      <c r="AG229" s="35">
        <v>100.705157591838</v>
      </c>
      <c r="AH229" s="35">
        <v>101.3585145768</v>
      </c>
      <c r="AI229" s="35">
        <v>-0.65335698496204486</v>
      </c>
      <c r="AJ229" s="35">
        <v>-6.4459999999999214E-3</v>
      </c>
      <c r="AK229" s="35">
        <v>-1.0823</v>
      </c>
      <c r="AL229" s="35">
        <v>100.2615113735353</v>
      </c>
      <c r="AM229" s="35">
        <v>-1.0823000000000029</v>
      </c>
    </row>
    <row r="230" spans="1:39" x14ac:dyDescent="0.25">
      <c r="A230" s="35" t="s">
        <v>477</v>
      </c>
      <c r="B230" s="35" t="s">
        <v>478</v>
      </c>
      <c r="C230" s="35">
        <v>-3.6762000000000001</v>
      </c>
      <c r="D230" s="35">
        <v>94.299399983490872</v>
      </c>
      <c r="E230" s="35">
        <v>100.65301029699999</v>
      </c>
      <c r="F230" s="35">
        <v>50645.95</v>
      </c>
      <c r="G230" s="36">
        <v>-7.3112000000000004</v>
      </c>
      <c r="H230" s="35">
        <v>90.740795371339047</v>
      </c>
      <c r="I230" s="36">
        <v>-9.8479070784000093</v>
      </c>
      <c r="Q230" s="35">
        <v>3.357426177009271</v>
      </c>
      <c r="R230" s="35">
        <v>106.2402403606211</v>
      </c>
      <c r="S230" s="35">
        <v>106.2402403606211</v>
      </c>
      <c r="T230" s="35"/>
      <c r="U230" s="35">
        <v>0</v>
      </c>
      <c r="V230" s="35">
        <v>2.8936000000000002</v>
      </c>
      <c r="W230" s="35">
        <v>105.7634772836592</v>
      </c>
      <c r="X230" s="35">
        <v>2.8936000000000068</v>
      </c>
      <c r="AF230" s="35">
        <v>-0.31879999999999997</v>
      </c>
      <c r="AG230" s="35">
        <v>100.38410954943519</v>
      </c>
      <c r="AH230" s="35">
        <v>101.3585145768</v>
      </c>
      <c r="AI230" s="35">
        <v>-0.97440502736482415</v>
      </c>
      <c r="AJ230" s="35">
        <v>-9.6134501519999204E-3</v>
      </c>
      <c r="AK230" s="35">
        <v>-2.1665999999999999</v>
      </c>
      <c r="AL230" s="35">
        <v>98.523279647453208</v>
      </c>
      <c r="AM230" s="35">
        <v>-2.7972340963999809</v>
      </c>
    </row>
    <row r="231" spans="1:39" x14ac:dyDescent="0.25">
      <c r="A231" s="35" t="s">
        <v>478</v>
      </c>
      <c r="B231" s="35" t="s">
        <v>479</v>
      </c>
      <c r="C231" s="35">
        <v>2.0905999999999998</v>
      </c>
      <c r="D231" s="35">
        <v>96.270823239545734</v>
      </c>
      <c r="E231" s="35">
        <v>100.65301029699999</v>
      </c>
      <c r="F231" s="35">
        <v>48809.45</v>
      </c>
      <c r="G231" s="36">
        <v>0.77110000000000001</v>
      </c>
      <c r="H231" s="35">
        <v>95.026542656763567</v>
      </c>
      <c r="I231" s="36">
        <v>-5.5899645958270234</v>
      </c>
      <c r="Q231" s="35">
        <v>-1.559002960075085</v>
      </c>
      <c r="R231" s="35">
        <v>104.5839518686081</v>
      </c>
      <c r="S231" s="35">
        <v>106.2402403606211</v>
      </c>
      <c r="T231" s="35">
        <v>-1.6562884920129619</v>
      </c>
      <c r="U231" s="35">
        <v>-1.55900296007508E-2</v>
      </c>
      <c r="V231" s="35">
        <v>-2.2797000000000001</v>
      </c>
      <c r="W231" s="35">
        <v>103.81828160112001</v>
      </c>
      <c r="X231" s="35">
        <v>-2.2797000000000072</v>
      </c>
      <c r="AF231" s="35">
        <v>0.53159999999999996</v>
      </c>
      <c r="AG231" s="35">
        <v>100.9177514758</v>
      </c>
      <c r="AH231" s="35">
        <v>101.3585145768</v>
      </c>
      <c r="AI231" s="35">
        <v>-0.44076310100001592</v>
      </c>
      <c r="AJ231" s="35">
        <v>-4.3485552530078452E-3</v>
      </c>
      <c r="AK231" s="35">
        <v>0.53159999999999996</v>
      </c>
      <c r="AL231" s="35">
        <v>100.9177514758</v>
      </c>
      <c r="AM231" s="35">
        <v>-0.43485552530078131</v>
      </c>
    </row>
    <row r="232" spans="1:39" x14ac:dyDescent="0.25">
      <c r="A232" s="35" t="s">
        <v>479</v>
      </c>
      <c r="B232" s="35" t="s">
        <v>480</v>
      </c>
      <c r="C232" s="35">
        <v>1.2813000000000001</v>
      </c>
      <c r="D232" s="35">
        <v>97.504341297714035</v>
      </c>
      <c r="E232" s="35">
        <v>100.65301029699999</v>
      </c>
      <c r="F232" s="35">
        <v>49838</v>
      </c>
      <c r="G232" s="36">
        <v>-1.8869</v>
      </c>
      <c r="H232" s="35">
        <v>94.454289075838744</v>
      </c>
      <c r="I232" s="36">
        <v>-6.1585055458058253</v>
      </c>
      <c r="Q232" s="35">
        <v>-0.95470106519168363</v>
      </c>
      <c r="R232" s="35">
        <v>103.58548776609901</v>
      </c>
      <c r="S232" s="35">
        <v>106.2402403606211</v>
      </c>
      <c r="T232" s="35">
        <v>-2.654752594522122</v>
      </c>
      <c r="U232" s="35">
        <v>-2.498820207400558E-2</v>
      </c>
      <c r="V232" s="35">
        <v>-1.3709</v>
      </c>
      <c r="W232" s="35">
        <v>103.1502104724414</v>
      </c>
      <c r="X232" s="35">
        <v>-2.9085305884954171</v>
      </c>
      <c r="AF232" s="35">
        <v>0.3266</v>
      </c>
      <c r="AG232" s="35">
        <v>101.24734885212</v>
      </c>
      <c r="AH232" s="35">
        <v>101.3585145768</v>
      </c>
      <c r="AI232" s="35">
        <v>-0.111165724680049</v>
      </c>
      <c r="AJ232" s="35">
        <v>-1.096757634464128E-3</v>
      </c>
      <c r="AK232" s="35">
        <v>-0.83930000000000005</v>
      </c>
      <c r="AL232" s="35">
        <v>100.0707487876636</v>
      </c>
      <c r="AM232" s="35">
        <v>-1.2705057828769299</v>
      </c>
    </row>
    <row r="233" spans="1:39" x14ac:dyDescent="0.25">
      <c r="A233" s="35" t="s">
        <v>480</v>
      </c>
      <c r="B233" s="35" t="s">
        <v>481</v>
      </c>
      <c r="C233" s="35">
        <v>2.85</v>
      </c>
      <c r="D233" s="35">
        <v>100.2832150246989</v>
      </c>
      <c r="E233" s="35">
        <v>100.65301029699999</v>
      </c>
      <c r="F233" s="35">
        <v>50501.5</v>
      </c>
      <c r="G233" s="36">
        <v>1.1193</v>
      </c>
      <c r="H233" s="35">
        <v>98.595707389859342</v>
      </c>
      <c r="I233" s="36">
        <v>-2.043955666174424</v>
      </c>
      <c r="Q233" s="35">
        <v>-1.992461194425402</v>
      </c>
      <c r="R233" s="35">
        <v>101.52158711930321</v>
      </c>
      <c r="S233" s="35">
        <v>106.2402403606211</v>
      </c>
      <c r="T233" s="35">
        <v>-4.7186532413179094</v>
      </c>
      <c r="U233" s="35">
        <v>-4.4414933788750367E-2</v>
      </c>
      <c r="V233" s="35">
        <v>-2.4518</v>
      </c>
      <c r="W233" s="35">
        <v>101.0457787770497</v>
      </c>
      <c r="X233" s="35">
        <v>-4.8893541335555124</v>
      </c>
      <c r="AF233" s="35">
        <v>0.85750000000000004</v>
      </c>
      <c r="AG233" s="35">
        <v>102.1155448685269</v>
      </c>
      <c r="AH233" s="35">
        <v>102.1155448685269</v>
      </c>
      <c r="AI233" s="35"/>
      <c r="AJ233" s="35">
        <v>0</v>
      </c>
      <c r="AK233" s="35">
        <v>-0.27979999999999999</v>
      </c>
      <c r="AL233" s="35">
        <v>100.9640587700317</v>
      </c>
      <c r="AM233" s="35">
        <v>-0.38916889066028532</v>
      </c>
    </row>
    <row r="234" spans="1:39" x14ac:dyDescent="0.25">
      <c r="A234" s="35" t="s">
        <v>481</v>
      </c>
      <c r="B234" s="35" t="s">
        <v>482</v>
      </c>
      <c r="C234" s="35">
        <v>0.69730000000000003</v>
      </c>
      <c r="D234" s="35">
        <v>100.98248988306609</v>
      </c>
      <c r="E234" s="35">
        <v>100.98248988306609</v>
      </c>
      <c r="F234" s="35">
        <v>51974.45</v>
      </c>
      <c r="G234" s="36">
        <v>-7.0099999999999996E-2</v>
      </c>
      <c r="H234" s="35">
        <v>100.21291649096661</v>
      </c>
      <c r="I234" s="36">
        <v>-0.43723859299868989</v>
      </c>
      <c r="Q234" s="35">
        <v>-0.24583611068840541</v>
      </c>
      <c r="R234" s="35">
        <v>101.2720103980199</v>
      </c>
      <c r="S234" s="35">
        <v>106.2402403606211</v>
      </c>
      <c r="T234" s="35">
        <v>-4.9682299626011428</v>
      </c>
      <c r="U234" s="35">
        <v>-4.6764106949843301E-2</v>
      </c>
      <c r="V234" s="35">
        <v>-0.38840000000000002</v>
      </c>
      <c r="W234" s="35">
        <v>101.1272772749318</v>
      </c>
      <c r="X234" s="35">
        <v>-4.8126426185914886</v>
      </c>
      <c r="AF234" s="35">
        <v>0.45150000000000001</v>
      </c>
      <c r="AG234" s="35">
        <v>102.5765965536083</v>
      </c>
      <c r="AH234" s="35">
        <v>102.5765965536083</v>
      </c>
      <c r="AI234" s="35"/>
      <c r="AJ234" s="35">
        <v>0</v>
      </c>
      <c r="AK234" s="35">
        <v>0.21540000000000001</v>
      </c>
      <c r="AL234" s="35">
        <v>102.3355017521737</v>
      </c>
      <c r="AM234" s="35">
        <v>0.2153999999999989</v>
      </c>
    </row>
    <row r="235" spans="1:39" x14ac:dyDescent="0.25">
      <c r="A235" s="35" t="s">
        <v>482</v>
      </c>
      <c r="B235" s="35" t="s">
        <v>483</v>
      </c>
      <c r="C235" s="35">
        <v>0.57989999999999997</v>
      </c>
      <c r="D235" s="35">
        <v>101.56808734189801</v>
      </c>
      <c r="E235" s="35">
        <v>101.56808734189801</v>
      </c>
      <c r="F235" s="35">
        <v>52345.55</v>
      </c>
      <c r="G235" s="36">
        <v>-0.55859999999999999</v>
      </c>
      <c r="H235" s="35">
        <v>100.4184016945793</v>
      </c>
      <c r="I235" s="36">
        <v>-0.55859999999999799</v>
      </c>
      <c r="Q235" s="35">
        <v>-1.370897547488608</v>
      </c>
      <c r="R235" s="35">
        <v>99.883674891181073</v>
      </c>
      <c r="S235" s="35">
        <v>106.2402403606211</v>
      </c>
      <c r="T235" s="35">
        <v>-6.3565654694399996</v>
      </c>
      <c r="U235" s="35">
        <v>-5.9831994429448969E-2</v>
      </c>
      <c r="V235" s="35">
        <v>-1.46</v>
      </c>
      <c r="W235" s="35">
        <v>99.793439046208846</v>
      </c>
      <c r="X235" s="35">
        <v>-6.0681350988375566</v>
      </c>
      <c r="AF235" s="35">
        <v>-0.79100000000000004</v>
      </c>
      <c r="AG235" s="35">
        <v>101.7652156748692</v>
      </c>
      <c r="AH235" s="35">
        <v>102.5765965536083</v>
      </c>
      <c r="AI235" s="35">
        <v>-0.81138087873904396</v>
      </c>
      <c r="AJ235" s="35">
        <v>-7.9100000000000247E-3</v>
      </c>
      <c r="AK235" s="35">
        <v>-0.79100000000000004</v>
      </c>
      <c r="AL235" s="35">
        <v>101.7652156748692</v>
      </c>
      <c r="AM235" s="35">
        <v>-0.79099999999999726</v>
      </c>
    </row>
    <row r="236" spans="1:39" x14ac:dyDescent="0.25">
      <c r="A236" s="35" t="s">
        <v>483</v>
      </c>
      <c r="B236" s="35" t="s">
        <v>484</v>
      </c>
      <c r="C236" s="35">
        <v>2.4337</v>
      </c>
      <c r="D236" s="35">
        <v>104.0399498835378</v>
      </c>
      <c r="E236" s="35">
        <v>104.0399498835378</v>
      </c>
      <c r="F236" s="35">
        <v>52657.8</v>
      </c>
      <c r="G236" s="36">
        <v>0.2792</v>
      </c>
      <c r="H236" s="35">
        <v>101.85166544175659</v>
      </c>
      <c r="I236" s="36">
        <v>0.27919999999999062</v>
      </c>
      <c r="Q236" s="35">
        <v>-1.2045288271461301</v>
      </c>
      <c r="R236" s="35">
        <v>98.680547233503873</v>
      </c>
      <c r="S236" s="35">
        <v>106.2402403606211</v>
      </c>
      <c r="T236" s="35">
        <v>-7.5596931271171997</v>
      </c>
      <c r="U236" s="35">
        <v>-7.1156589080151114E-2</v>
      </c>
      <c r="V236" s="35">
        <v>-1.4676</v>
      </c>
      <c r="W236" s="35">
        <v>98.417782078478098</v>
      </c>
      <c r="X236" s="35">
        <v>-7.3629900079202448</v>
      </c>
      <c r="AF236" s="35">
        <v>1.2292000000000001</v>
      </c>
      <c r="AG236" s="35">
        <v>103.0161137059447</v>
      </c>
      <c r="AH236" s="35">
        <v>103.0161137059447</v>
      </c>
      <c r="AI236" s="35"/>
      <c r="AJ236" s="35">
        <v>0</v>
      </c>
      <c r="AK236" s="35">
        <v>0.26240000000000002</v>
      </c>
      <c r="AL236" s="35">
        <v>102.0322476008001</v>
      </c>
      <c r="AM236" s="35">
        <v>-0.53067558400000658</v>
      </c>
    </row>
    <row r="237" spans="1:39" x14ac:dyDescent="0.25">
      <c r="A237" s="35" t="s">
        <v>484</v>
      </c>
      <c r="B237" s="35" t="s">
        <v>485</v>
      </c>
      <c r="C237" s="35">
        <v>1.9429000000000001</v>
      </c>
      <c r="D237" s="35">
        <v>106.061342069825</v>
      </c>
      <c r="E237" s="35">
        <v>106.061342069825</v>
      </c>
      <c r="F237" s="35">
        <v>53974.45</v>
      </c>
      <c r="G237" s="36">
        <v>-0.2586</v>
      </c>
      <c r="H237" s="35">
        <v>103.770902573139</v>
      </c>
      <c r="I237" s="36">
        <v>-0.25860000000000882</v>
      </c>
      <c r="Q237" s="35">
        <v>-0.4959472426535354</v>
      </c>
      <c r="R237" s="35">
        <v>98.191143780463889</v>
      </c>
      <c r="S237" s="35">
        <v>106.2402403606211</v>
      </c>
      <c r="T237" s="35">
        <v>-8.0490965801571832</v>
      </c>
      <c r="U237" s="35">
        <v>-7.5763162365177175E-2</v>
      </c>
      <c r="V237" s="35">
        <v>-0.69240000000000002</v>
      </c>
      <c r="W237" s="35">
        <v>97.997283124459088</v>
      </c>
      <c r="X237" s="35">
        <v>-7.7587900857360221</v>
      </c>
      <c r="AF237" s="35">
        <v>1.4470000000000001</v>
      </c>
      <c r="AG237" s="35">
        <v>104.5067568712698</v>
      </c>
      <c r="AH237" s="35">
        <v>104.5067568712698</v>
      </c>
      <c r="AI237" s="35"/>
      <c r="AJ237" s="35">
        <v>0</v>
      </c>
      <c r="AK237" s="35">
        <v>-5.8999999999999999E-3</v>
      </c>
      <c r="AL237" s="35">
        <v>103.0100357552361</v>
      </c>
      <c r="AM237" s="35">
        <v>-5.900000000003125E-3</v>
      </c>
    </row>
    <row r="238" spans="1:39" x14ac:dyDescent="0.25">
      <c r="A238" s="35" t="s">
        <v>485</v>
      </c>
      <c r="B238" s="35" t="s">
        <v>486</v>
      </c>
      <c r="C238" s="35">
        <v>-2.7057000000000002</v>
      </c>
      <c r="D238" s="35">
        <v>103.1916403374418</v>
      </c>
      <c r="E238" s="35">
        <v>106.061342069825</v>
      </c>
      <c r="F238" s="35">
        <v>55041.1</v>
      </c>
      <c r="G238" s="36">
        <v>-3.5295000000000001</v>
      </c>
      <c r="H238" s="35">
        <v>102.3179070014706</v>
      </c>
      <c r="I238" s="36">
        <v>-3.529499999999997</v>
      </c>
      <c r="Q238" s="35">
        <v>1.219740268281204</v>
      </c>
      <c r="R238" s="35">
        <v>99.388820701040103</v>
      </c>
      <c r="S238" s="35">
        <v>106.2402403606211</v>
      </c>
      <c r="T238" s="35">
        <v>-6.8514196595809693</v>
      </c>
      <c r="U238" s="35">
        <v>-6.448987348225646E-2</v>
      </c>
      <c r="V238" s="35">
        <v>-0.20760000000000001</v>
      </c>
      <c r="W238" s="35">
        <v>97.987298965975654</v>
      </c>
      <c r="X238" s="35">
        <v>-7.7681878040106964</v>
      </c>
      <c r="AF238" s="35">
        <v>-1.486</v>
      </c>
      <c r="AG238" s="35">
        <v>102.9537864641627</v>
      </c>
      <c r="AH238" s="35">
        <v>104.5067568712698</v>
      </c>
      <c r="AI238" s="35">
        <v>-1.552970407107068</v>
      </c>
      <c r="AJ238" s="35">
        <v>-1.486E-2</v>
      </c>
      <c r="AK238" s="35">
        <v>-1.7908999999999999</v>
      </c>
      <c r="AL238" s="35">
        <v>102.6351453624622</v>
      </c>
      <c r="AM238" s="35">
        <v>-1.7908999999999951</v>
      </c>
    </row>
    <row r="239" spans="1:39" x14ac:dyDescent="0.25">
      <c r="A239" s="35" t="s">
        <v>486</v>
      </c>
      <c r="B239" s="35" t="s">
        <v>487</v>
      </c>
      <c r="C239" s="35">
        <v>1.5741000000000001</v>
      </c>
      <c r="D239" s="35">
        <v>104.8159799479934</v>
      </c>
      <c r="E239" s="35">
        <v>106.061342069825</v>
      </c>
      <c r="F239" s="35">
        <v>53570.2</v>
      </c>
      <c r="G239" s="36">
        <v>-0.216</v>
      </c>
      <c r="H239" s="35">
        <v>102.9687463943129</v>
      </c>
      <c r="I239" s="36">
        <v>-2.915855688000013</v>
      </c>
      <c r="Q239" s="35">
        <v>-1.4083159486425381</v>
      </c>
      <c r="R239" s="35">
        <v>97.989112087939617</v>
      </c>
      <c r="S239" s="35">
        <v>106.2402403606211</v>
      </c>
      <c r="T239" s="35">
        <v>-8.2511282726814557</v>
      </c>
      <c r="U239" s="35">
        <v>-7.7664811795171845E-2</v>
      </c>
      <c r="V239" s="35">
        <v>-1.6306</v>
      </c>
      <c r="W239" s="35">
        <v>97.768186590688941</v>
      </c>
      <c r="X239" s="35">
        <v>-7.9744301605254808</v>
      </c>
      <c r="AF239" s="35">
        <v>0.1658</v>
      </c>
      <c r="AG239" s="35">
        <v>103.1244838421203</v>
      </c>
      <c r="AH239" s="35">
        <v>104.5067568712698</v>
      </c>
      <c r="AI239" s="35">
        <v>-1.382273029149488</v>
      </c>
      <c r="AJ239" s="35">
        <v>-1.322663788000001E-2</v>
      </c>
      <c r="AK239" s="35">
        <v>-9.8900000000000002E-2</v>
      </c>
      <c r="AL239" s="35">
        <v>102.8519651693496</v>
      </c>
      <c r="AM239" s="35">
        <v>-1.583430346000003</v>
      </c>
    </row>
    <row r="240" spans="1:39" x14ac:dyDescent="0.25">
      <c r="A240" s="35" t="s">
        <v>487</v>
      </c>
      <c r="B240" s="35" t="s">
        <v>488</v>
      </c>
      <c r="C240" s="35">
        <v>0.25459999999999999</v>
      </c>
      <c r="D240" s="35">
        <v>105.082841432941</v>
      </c>
      <c r="E240" s="35">
        <v>106.061342069825</v>
      </c>
      <c r="F240" s="35">
        <v>54440.25</v>
      </c>
      <c r="G240" s="36">
        <v>2.1399999999999999E-2</v>
      </c>
      <c r="H240" s="35">
        <v>104.8384105677023</v>
      </c>
      <c r="I240" s="36">
        <v>-1.1530417004506739</v>
      </c>
      <c r="Q240" s="35">
        <v>0.31218529707955689</v>
      </c>
      <c r="R240" s="35">
        <v>98.295019688616961</v>
      </c>
      <c r="S240" s="35">
        <v>106.2402403606211</v>
      </c>
      <c r="T240" s="35">
        <v>-7.9452206720041119</v>
      </c>
      <c r="U240" s="35">
        <v>-7.4785416947805411E-2</v>
      </c>
      <c r="V240" s="35">
        <v>-0.44740000000000002</v>
      </c>
      <c r="W240" s="35">
        <v>97.550708800458182</v>
      </c>
      <c r="X240" s="35">
        <v>-8.1791339427200178</v>
      </c>
      <c r="AF240" s="35">
        <v>0.56679999999999997</v>
      </c>
      <c r="AG240" s="35">
        <v>103.7089934165374</v>
      </c>
      <c r="AH240" s="35">
        <v>104.5067568712698</v>
      </c>
      <c r="AI240" s="35">
        <v>-0.79776345473234755</v>
      </c>
      <c r="AJ240" s="35">
        <v>-7.633606463503825E-3</v>
      </c>
      <c r="AK240" s="35">
        <v>0.41710000000000003</v>
      </c>
      <c r="AL240" s="35">
        <v>103.5546160642257</v>
      </c>
      <c r="AM240" s="35">
        <v>-0.91108061865976531</v>
      </c>
    </row>
    <row r="241" spans="1:39" x14ac:dyDescent="0.25">
      <c r="A241" s="35" t="s">
        <v>488</v>
      </c>
      <c r="B241" s="35" t="s">
        <v>489</v>
      </c>
      <c r="C241" s="35">
        <v>-0.68330000000000002</v>
      </c>
      <c r="D241" s="35">
        <v>104.36481037742971</v>
      </c>
      <c r="E241" s="35">
        <v>106.061342069825</v>
      </c>
      <c r="F241" s="35">
        <v>54587.95</v>
      </c>
      <c r="G241" s="36">
        <v>-3.5007000000000001</v>
      </c>
      <c r="H241" s="35">
        <v>101.4042064028981</v>
      </c>
      <c r="I241" s="36">
        <v>-4.3909831575212106</v>
      </c>
      <c r="Q241" s="35">
        <v>0.37167236125978242</v>
      </c>
      <c r="R241" s="35">
        <v>98.660355109294414</v>
      </c>
      <c r="S241" s="35">
        <v>106.2402403606211</v>
      </c>
      <c r="T241" s="35">
        <v>-7.5798852513266581</v>
      </c>
      <c r="U241" s="35">
        <v>-7.1346650060255437E-2</v>
      </c>
      <c r="V241" s="35">
        <v>-1.1963999999999999</v>
      </c>
      <c r="W241" s="35">
        <v>97.11901807306235</v>
      </c>
      <c r="X241" s="35">
        <v>-8.5854684219441868</v>
      </c>
      <c r="AF241" s="35">
        <v>-0.31159999999999999</v>
      </c>
      <c r="AG241" s="35">
        <v>103.3858361930515</v>
      </c>
      <c r="AH241" s="35">
        <v>104.5067568712698</v>
      </c>
      <c r="AI241" s="35">
        <v>-1.120920678218283</v>
      </c>
      <c r="AJ241" s="35">
        <v>-1.07258201457636E-2</v>
      </c>
      <c r="AK241" s="35">
        <v>-2.4487000000000001</v>
      </c>
      <c r="AL241" s="35">
        <v>101.1694712947467</v>
      </c>
      <c r="AM241" s="35">
        <v>-3.1933682342031982</v>
      </c>
    </row>
    <row r="242" spans="1:39" x14ac:dyDescent="0.25">
      <c r="A242" s="35" t="s">
        <v>489</v>
      </c>
      <c r="B242" s="35" t="s">
        <v>490</v>
      </c>
      <c r="C242" s="35">
        <v>-1.994</v>
      </c>
      <c r="D242" s="35">
        <v>102.2837760585038</v>
      </c>
      <c r="E242" s="35">
        <v>106.061342069825</v>
      </c>
      <c r="F242" s="35">
        <v>54287.75</v>
      </c>
      <c r="G242" s="36">
        <v>-4.0731000000000002</v>
      </c>
      <c r="H242" s="35">
        <v>100.1139272859466</v>
      </c>
      <c r="I242" s="36">
        <v>-5.6075235970170283</v>
      </c>
      <c r="Q242" s="35">
        <v>1.471058064093322</v>
      </c>
      <c r="R242" s="35">
        <v>100.1117062191928</v>
      </c>
      <c r="S242" s="35">
        <v>106.2402403606211</v>
      </c>
      <c r="T242" s="35">
        <v>-6.1285341414282897</v>
      </c>
      <c r="U242" s="35">
        <v>-5.7685620068494189E-2</v>
      </c>
      <c r="V242" s="35">
        <v>-0.26050000000000001</v>
      </c>
      <c r="W242" s="35">
        <v>98.403344884234698</v>
      </c>
      <c r="X242" s="35">
        <v>-7.3765792036848516</v>
      </c>
      <c r="AF242" s="35">
        <v>-0.52290000000000003</v>
      </c>
      <c r="AG242" s="35">
        <v>102.845231655598</v>
      </c>
      <c r="AH242" s="35">
        <v>104.5067568712698</v>
      </c>
      <c r="AI242" s="35">
        <v>-1.661525215671759</v>
      </c>
      <c r="AJ242" s="35">
        <v>-1.5898734832221491E-2</v>
      </c>
      <c r="AK242" s="35">
        <v>-2.2957000000000001</v>
      </c>
      <c r="AL242" s="35">
        <v>101.01240755156761</v>
      </c>
      <c r="AM242" s="35">
        <v>-3.343658749267731</v>
      </c>
    </row>
    <row r="243" spans="1:39" x14ac:dyDescent="0.25">
      <c r="A243" s="35" t="s">
        <v>490</v>
      </c>
      <c r="B243" s="35" t="s">
        <v>491</v>
      </c>
      <c r="C243" s="35">
        <v>4.0697999999999999</v>
      </c>
      <c r="D243" s="35">
        <v>106.4465211765328</v>
      </c>
      <c r="E243" s="35">
        <v>106.4465211765328</v>
      </c>
      <c r="F243" s="35">
        <v>53223.35</v>
      </c>
      <c r="G243" s="36">
        <v>2.5121000000000002</v>
      </c>
      <c r="H243" s="35">
        <v>104.8532467968695</v>
      </c>
      <c r="I243" s="36">
        <v>-1.139053352879726</v>
      </c>
      <c r="Q243" s="35">
        <v>-4.7500833055648126</v>
      </c>
      <c r="R243" s="35">
        <v>95.356316775158817</v>
      </c>
      <c r="S243" s="35">
        <v>106.2402403606211</v>
      </c>
      <c r="T243" s="35">
        <v>-10.883923585462259</v>
      </c>
      <c r="U243" s="35">
        <v>-0.1024463381155572</v>
      </c>
      <c r="V243" s="35">
        <v>-4.9055</v>
      </c>
      <c r="W243" s="35">
        <v>95.200726470610292</v>
      </c>
      <c r="X243" s="35">
        <v>-10.39108519760341</v>
      </c>
      <c r="AF243" s="35">
        <v>-0.68030000000000002</v>
      </c>
      <c r="AG243" s="35">
        <v>102.145575544645</v>
      </c>
      <c r="AH243" s="35">
        <v>104.5067568712698</v>
      </c>
      <c r="AI243" s="35">
        <v>-2.3611813266247879</v>
      </c>
      <c r="AJ243" s="35">
        <v>-2.259357573915784E-2</v>
      </c>
      <c r="AK243" s="35">
        <v>-0.78879999999999995</v>
      </c>
      <c r="AL243" s="35">
        <v>102.0339884682986</v>
      </c>
      <c r="AM243" s="35">
        <v>-2.3661325611864852</v>
      </c>
    </row>
    <row r="244" spans="1:39" x14ac:dyDescent="0.25">
      <c r="A244" s="35" t="s">
        <v>491</v>
      </c>
      <c r="B244" s="35" t="s">
        <v>492</v>
      </c>
      <c r="C244" s="35">
        <v>0.17219999999999999</v>
      </c>
      <c r="D244" s="35">
        <v>106.6298220859988</v>
      </c>
      <c r="E244" s="35">
        <v>106.6298220859988</v>
      </c>
      <c r="F244" s="35">
        <v>55416.05</v>
      </c>
      <c r="G244" s="36">
        <v>-0.2888</v>
      </c>
      <c r="H244" s="35">
        <v>106.13910362337489</v>
      </c>
      <c r="I244" s="36">
        <v>-0.28880000000001133</v>
      </c>
      <c r="Q244" s="35">
        <v>1.025488772181812</v>
      </c>
      <c r="R244" s="35">
        <v>96.334185097254178</v>
      </c>
      <c r="S244" s="35">
        <v>106.2402403606211</v>
      </c>
      <c r="T244" s="35">
        <v>-9.9060552633668948</v>
      </c>
      <c r="U244" s="35">
        <v>-9.3242026088625696E-2</v>
      </c>
      <c r="V244" s="35">
        <v>-1.9699999999999999E-2</v>
      </c>
      <c r="W244" s="35">
        <v>95.337531580754117</v>
      </c>
      <c r="X244" s="35">
        <v>-10.26231561869484</v>
      </c>
      <c r="AF244" s="35">
        <v>1.1977</v>
      </c>
      <c r="AG244" s="35">
        <v>103.3689731029432</v>
      </c>
      <c r="AH244" s="35">
        <v>104.5067568712698</v>
      </c>
      <c r="AI244" s="35">
        <v>-1.137783768326585</v>
      </c>
      <c r="AJ244" s="35">
        <v>-1.088717899578584E-2</v>
      </c>
      <c r="AK244" s="35">
        <v>0.65010000000000001</v>
      </c>
      <c r="AL244" s="35">
        <v>102.8096239312607</v>
      </c>
      <c r="AM244" s="35">
        <v>-1.6239456575038</v>
      </c>
    </row>
    <row r="245" spans="1:39" x14ac:dyDescent="0.25">
      <c r="A245" s="35" t="s">
        <v>492</v>
      </c>
      <c r="B245" s="35" t="s">
        <v>493</v>
      </c>
      <c r="C245" s="35">
        <v>1.0923</v>
      </c>
      <c r="D245" s="35">
        <v>107.7945396326441</v>
      </c>
      <c r="E245" s="35">
        <v>107.7945396326441</v>
      </c>
      <c r="F245" s="35">
        <v>55520.7</v>
      </c>
      <c r="G245" s="36">
        <v>-1.0699999999999999E-2</v>
      </c>
      <c r="H245" s="35">
        <v>106.6184126950356</v>
      </c>
      <c r="I245" s="36">
        <v>-1.069999999999682E-2</v>
      </c>
      <c r="Q245" s="35">
        <v>-0.1065978798414051</v>
      </c>
      <c r="R245" s="35">
        <v>96.231494898378003</v>
      </c>
      <c r="S245" s="35">
        <v>106.2402403606211</v>
      </c>
      <c r="T245" s="35">
        <v>-10.00874546224307</v>
      </c>
      <c r="U245" s="35">
        <v>-9.4208610864108172E-2</v>
      </c>
      <c r="V245" s="35">
        <v>-0.5857</v>
      </c>
      <c r="W245" s="35">
        <v>95.769955775139564</v>
      </c>
      <c r="X245" s="35">
        <v>-9.8552907541824553</v>
      </c>
      <c r="AF245" s="35">
        <v>0.98570000000000002</v>
      </c>
      <c r="AG245" s="35">
        <v>104.38788107081891</v>
      </c>
      <c r="AH245" s="35">
        <v>104.5067568712698</v>
      </c>
      <c r="AI245" s="35">
        <v>-0.11887580045087991</v>
      </c>
      <c r="AJ245" s="35">
        <v>-1.1374939191473501E-3</v>
      </c>
      <c r="AK245" s="35">
        <v>0.25380000000000003</v>
      </c>
      <c r="AL245" s="35">
        <v>103.6313235566784</v>
      </c>
      <c r="AM245" s="35">
        <v>-0.83768106560772049</v>
      </c>
    </row>
    <row r="246" spans="1:39" x14ac:dyDescent="0.25">
      <c r="A246" s="35" t="s">
        <v>493</v>
      </c>
      <c r="B246" s="35" t="s">
        <v>494</v>
      </c>
      <c r="C246" s="35">
        <v>0.68600000000000005</v>
      </c>
      <c r="D246" s="35">
        <v>108.5340101745241</v>
      </c>
      <c r="E246" s="35">
        <v>108.5340101745241</v>
      </c>
      <c r="F246" s="35">
        <v>56136.4</v>
      </c>
      <c r="G246" s="36">
        <v>-0.16400000000000001</v>
      </c>
      <c r="H246" s="35">
        <v>107.6177565876466</v>
      </c>
      <c r="I246" s="36">
        <v>-0.16399999999999751</v>
      </c>
      <c r="Q246" s="35">
        <v>-1.204650766817071</v>
      </c>
      <c r="R246" s="35">
        <v>95.072241457165163</v>
      </c>
      <c r="S246" s="35">
        <v>106.2402403606211</v>
      </c>
      <c r="T246" s="35">
        <v>-11.16799890345591</v>
      </c>
      <c r="U246" s="35">
        <v>-0.1051202337790967</v>
      </c>
      <c r="V246" s="35">
        <v>-1.4919</v>
      </c>
      <c r="W246" s="35">
        <v>94.795817225989097</v>
      </c>
      <c r="X246" s="35">
        <v>-10.77221125986266</v>
      </c>
      <c r="AF246" s="35">
        <v>-0.51870000000000005</v>
      </c>
      <c r="AG246" s="35">
        <v>103.8464211317045</v>
      </c>
      <c r="AH246" s="35">
        <v>104.5067568712698</v>
      </c>
      <c r="AI246" s="35">
        <v>-0.66033573956522673</v>
      </c>
      <c r="AJ246" s="35">
        <v>-6.3185937381888217E-3</v>
      </c>
      <c r="AK246" s="35">
        <v>-0.72060000000000002</v>
      </c>
      <c r="AL246" s="35">
        <v>103.6356619998225</v>
      </c>
      <c r="AM246" s="35">
        <v>-0.83352971379661023</v>
      </c>
    </row>
    <row r="247" spans="1:39" x14ac:dyDescent="0.25">
      <c r="A247" s="35" t="s">
        <v>494</v>
      </c>
      <c r="B247" s="35" t="s">
        <v>495</v>
      </c>
      <c r="C247" s="35">
        <v>-0.69930000000000003</v>
      </c>
      <c r="D247" s="35">
        <v>107.7750318413736</v>
      </c>
      <c r="E247" s="35">
        <v>108.5340101745241</v>
      </c>
      <c r="F247" s="35">
        <v>56530.85</v>
      </c>
      <c r="G247" s="36">
        <v>-0.85350000000000004</v>
      </c>
      <c r="H247" s="35">
        <v>107.6076723976845</v>
      </c>
      <c r="I247" s="36">
        <v>-0.85349999999999593</v>
      </c>
      <c r="Q247" s="35">
        <v>1.1307911148706611</v>
      </c>
      <c r="R247" s="35">
        <v>96.147309916271169</v>
      </c>
      <c r="S247" s="35">
        <v>106.2402403606211</v>
      </c>
      <c r="T247" s="35">
        <v>-10.0929304443499</v>
      </c>
      <c r="U247" s="35">
        <v>-9.5001012893895342E-2</v>
      </c>
      <c r="V247" s="35">
        <v>-0.22969999999999999</v>
      </c>
      <c r="W247" s="35">
        <v>94.853860518538056</v>
      </c>
      <c r="X247" s="35">
        <v>-10.717577260210611</v>
      </c>
      <c r="AF247" s="35">
        <v>0.43149999999999999</v>
      </c>
      <c r="AG247" s="35">
        <v>104.29451843888781</v>
      </c>
      <c r="AH247" s="35">
        <v>104.5067568712698</v>
      </c>
      <c r="AI247" s="35">
        <v>-0.21223843238190909</v>
      </c>
      <c r="AJ247" s="35">
        <v>-2.0308584701689862E-3</v>
      </c>
      <c r="AK247" s="35">
        <v>0.37309999999999999</v>
      </c>
      <c r="AL247" s="35">
        <v>104.2338721289469</v>
      </c>
      <c r="AM247" s="35">
        <v>-0.26111684114260569</v>
      </c>
    </row>
    <row r="248" spans="1:39" x14ac:dyDescent="0.25">
      <c r="A248" s="35" t="s">
        <v>495</v>
      </c>
      <c r="B248" s="35" t="s">
        <v>496</v>
      </c>
      <c r="C248" s="35">
        <v>0.7611</v>
      </c>
      <c r="D248" s="35">
        <v>108.5953076087183</v>
      </c>
      <c r="E248" s="35">
        <v>108.5953076087183</v>
      </c>
      <c r="F248" s="35">
        <v>56182.65</v>
      </c>
      <c r="G248" s="36">
        <v>-0.33839999999999998</v>
      </c>
      <c r="H248" s="35">
        <v>107.4103211336224</v>
      </c>
      <c r="I248" s="36">
        <v>-1.035333568800012</v>
      </c>
      <c r="Q248" s="35">
        <v>-0.29999311291975739</v>
      </c>
      <c r="R248" s="35">
        <v>95.858874608264742</v>
      </c>
      <c r="S248" s="35">
        <v>106.2402403606211</v>
      </c>
      <c r="T248" s="35">
        <v>-10.381365752356331</v>
      </c>
      <c r="U248" s="35">
        <v>-9.771594752720722E-2</v>
      </c>
      <c r="V248" s="35">
        <v>-1.3859999999999999</v>
      </c>
      <c r="W248" s="35">
        <v>94.814708200831646</v>
      </c>
      <c r="X248" s="35">
        <v>-10.754429885518601</v>
      </c>
      <c r="AF248" s="35">
        <v>0.46110000000000001</v>
      </c>
      <c r="AG248" s="35">
        <v>104.7754204634095</v>
      </c>
      <c r="AH248" s="35">
        <v>104.7754204634095</v>
      </c>
      <c r="AI248" s="35"/>
      <c r="AJ248" s="35">
        <v>0</v>
      </c>
      <c r="AK248" s="35">
        <v>-0.433</v>
      </c>
      <c r="AL248" s="35">
        <v>103.8429231740475</v>
      </c>
      <c r="AM248" s="35">
        <v>-0.63520648529931112</v>
      </c>
    </row>
    <row r="249" spans="1:39" x14ac:dyDescent="0.25">
      <c r="A249" s="35" t="s">
        <v>496</v>
      </c>
      <c r="B249" s="35" t="s">
        <v>497</v>
      </c>
      <c r="C249" s="35">
        <v>0.80489999999999995</v>
      </c>
      <c r="D249" s="35">
        <v>109.46939123966089</v>
      </c>
      <c r="E249" s="35">
        <v>109.46939123966089</v>
      </c>
      <c r="F249" s="35">
        <v>56619.6</v>
      </c>
      <c r="G249" s="36">
        <v>-1.159</v>
      </c>
      <c r="H249" s="35">
        <v>107.3366879935333</v>
      </c>
      <c r="I249" s="36">
        <v>-1.1589999999999989</v>
      </c>
      <c r="Q249" s="35">
        <v>0.49831845229099542</v>
      </c>
      <c r="R249" s="35">
        <v>96.336557068596221</v>
      </c>
      <c r="S249" s="35">
        <v>106.2402403606211</v>
      </c>
      <c r="T249" s="35">
        <v>-9.9036832920248514</v>
      </c>
      <c r="U249" s="35">
        <v>-9.3219699601656242E-2</v>
      </c>
      <c r="V249" s="35">
        <v>-1.4984</v>
      </c>
      <c r="W249" s="35">
        <v>94.4225252311345</v>
      </c>
      <c r="X249" s="35">
        <v>-11.12357717694595</v>
      </c>
      <c r="AF249" s="35">
        <v>1.3031999999999999</v>
      </c>
      <c r="AG249" s="35">
        <v>106.14085374288869</v>
      </c>
      <c r="AH249" s="35">
        <v>106.14085374288869</v>
      </c>
      <c r="AI249" s="35"/>
      <c r="AJ249" s="35">
        <v>0</v>
      </c>
      <c r="AK249" s="35">
        <v>-0.1028</v>
      </c>
      <c r="AL249" s="35">
        <v>104.66771133117319</v>
      </c>
      <c r="AM249" s="35">
        <v>-0.10280000000001401</v>
      </c>
    </row>
    <row r="250" spans="1:39" x14ac:dyDescent="0.25">
      <c r="A250" s="35" t="s">
        <v>497</v>
      </c>
      <c r="B250" s="35" t="s">
        <v>498</v>
      </c>
      <c r="C250" s="35">
        <v>1.2541</v>
      </c>
      <c r="D250" s="35">
        <v>110.8422468751975</v>
      </c>
      <c r="E250" s="35">
        <v>110.8422468751975</v>
      </c>
      <c r="F250" s="35">
        <v>57141.4</v>
      </c>
      <c r="G250" s="36">
        <v>-0.14510000000000001</v>
      </c>
      <c r="H250" s="35">
        <v>109.3105511529721</v>
      </c>
      <c r="I250" s="36">
        <v>-0.14509999999999801</v>
      </c>
      <c r="Q250" s="35">
        <v>0.77871079428501011</v>
      </c>
      <c r="R250" s="35">
        <v>97.086740237331924</v>
      </c>
      <c r="S250" s="35">
        <v>106.2402403606211</v>
      </c>
      <c r="T250" s="35">
        <v>-9.1535001232891489</v>
      </c>
      <c r="U250" s="35">
        <v>-8.6158503522004257E-2</v>
      </c>
      <c r="V250" s="35">
        <v>-0.59870000000000001</v>
      </c>
      <c r="W250" s="35">
        <v>95.759790101426546</v>
      </c>
      <c r="X250" s="35">
        <v>-9.8648593260140967</v>
      </c>
      <c r="AF250" s="35">
        <v>2.0327999999999999</v>
      </c>
      <c r="AG250" s="35">
        <v>108.2984850177741</v>
      </c>
      <c r="AH250" s="35">
        <v>108.2984850177741</v>
      </c>
      <c r="AI250" s="35"/>
      <c r="AJ250" s="35">
        <v>0</v>
      </c>
      <c r="AK250" s="35">
        <v>0.84970000000000001</v>
      </c>
      <c r="AL250" s="35">
        <v>107.042732577142</v>
      </c>
      <c r="AM250" s="35">
        <v>0.84969999999999768</v>
      </c>
    </row>
    <row r="251" spans="1:39" x14ac:dyDescent="0.25">
      <c r="A251" s="35" t="s">
        <v>498</v>
      </c>
      <c r="B251" s="35" t="s">
        <v>499</v>
      </c>
      <c r="C251" s="35">
        <v>1.8409</v>
      </c>
      <c r="D251" s="35">
        <v>112.882741797923</v>
      </c>
      <c r="E251" s="35">
        <v>112.882741797923</v>
      </c>
      <c r="F251" s="35">
        <v>57924.65</v>
      </c>
      <c r="G251" s="36">
        <v>0.1384</v>
      </c>
      <c r="H251" s="35">
        <v>110.9956525448727</v>
      </c>
      <c r="I251" s="36">
        <v>0.13840000000000521</v>
      </c>
      <c r="Q251" s="35">
        <v>-1.6821553033687779</v>
      </c>
      <c r="R251" s="35">
        <v>95.453590487561769</v>
      </c>
      <c r="S251" s="35">
        <v>106.2402403606211</v>
      </c>
      <c r="T251" s="35">
        <v>-10.7866498730593</v>
      </c>
      <c r="U251" s="35">
        <v>-0.1015307367193935</v>
      </c>
      <c r="V251" s="35">
        <v>-1.9252</v>
      </c>
      <c r="W251" s="35">
        <v>95.217626314282811</v>
      </c>
      <c r="X251" s="35">
        <v>-10.37517800121987</v>
      </c>
      <c r="AF251" s="35">
        <v>0.15870000000000001</v>
      </c>
      <c r="AG251" s="35">
        <v>108.4703547134973</v>
      </c>
      <c r="AH251" s="35">
        <v>108.4703547134973</v>
      </c>
      <c r="AI251" s="35"/>
      <c r="AJ251" s="35">
        <v>0</v>
      </c>
      <c r="AK251" s="35">
        <v>2.24E-2</v>
      </c>
      <c r="AL251" s="35">
        <v>108.32274387841809</v>
      </c>
      <c r="AM251" s="35">
        <v>2.2400000000000201E-2</v>
      </c>
    </row>
    <row r="252" spans="1:39" x14ac:dyDescent="0.25">
      <c r="A252" s="35" t="s">
        <v>499</v>
      </c>
      <c r="B252" s="35" t="s">
        <v>500</v>
      </c>
      <c r="C252" s="35">
        <v>0.55700000000000005</v>
      </c>
      <c r="D252" s="35">
        <v>113.51149866973741</v>
      </c>
      <c r="E252" s="35">
        <v>113.51149866973741</v>
      </c>
      <c r="F252" s="35">
        <v>59010.3</v>
      </c>
      <c r="G252" s="36">
        <v>0.1148</v>
      </c>
      <c r="H252" s="35">
        <v>113.01233118550699</v>
      </c>
      <c r="I252" s="36">
        <v>0.1147999999999927</v>
      </c>
      <c r="Q252" s="35">
        <v>-0.2879648682860691</v>
      </c>
      <c r="R252" s="35">
        <v>95.178717681439934</v>
      </c>
      <c r="S252" s="35">
        <v>106.2402403606211</v>
      </c>
      <c r="T252" s="35">
        <v>-11.06152267918114</v>
      </c>
      <c r="U252" s="35">
        <v>-0.1041180125499904</v>
      </c>
      <c r="V252" s="35">
        <v>-0.67610000000000003</v>
      </c>
      <c r="W252" s="35">
        <v>94.808228762275363</v>
      </c>
      <c r="X252" s="35">
        <v>-10.76052874084337</v>
      </c>
      <c r="AF252" s="35">
        <v>0.26900000000000002</v>
      </c>
      <c r="AG252" s="35">
        <v>108.7621399676766</v>
      </c>
      <c r="AH252" s="35">
        <v>108.7621399676766</v>
      </c>
      <c r="AI252" s="35"/>
      <c r="AJ252" s="35">
        <v>0</v>
      </c>
      <c r="AK252" s="35">
        <v>0.26900000000000002</v>
      </c>
      <c r="AL252" s="35">
        <v>108.7621399676766</v>
      </c>
      <c r="AM252" s="35">
        <v>0.26900000000000812</v>
      </c>
    </row>
    <row r="253" spans="1:39" x14ac:dyDescent="0.25">
      <c r="A253" s="35" t="s">
        <v>500</v>
      </c>
      <c r="B253" s="35" t="s">
        <v>501</v>
      </c>
      <c r="C253" s="35">
        <v>-1.6117999999999999</v>
      </c>
      <c r="D253" s="35">
        <v>111.6819203341786</v>
      </c>
      <c r="E253" s="35">
        <v>113.51149866973741</v>
      </c>
      <c r="F253" s="35">
        <v>59388.15</v>
      </c>
      <c r="G253" s="36">
        <v>-1.7729999999999999</v>
      </c>
      <c r="H253" s="35">
        <v>111.49893979832299</v>
      </c>
      <c r="I253" s="36">
        <v>-1.7730000000000019</v>
      </c>
      <c r="Q253" s="35">
        <v>0.85237894468884001</v>
      </c>
      <c r="R253" s="35">
        <v>95.990001030781357</v>
      </c>
      <c r="S253" s="35">
        <v>106.2402403606211</v>
      </c>
      <c r="T253" s="35">
        <v>-10.250239329839721</v>
      </c>
      <c r="U253" s="35">
        <v>-9.6481703119706622E-2</v>
      </c>
      <c r="V253" s="35">
        <v>-0.15909999999999999</v>
      </c>
      <c r="W253" s="35">
        <v>95.027288341608767</v>
      </c>
      <c r="X253" s="35">
        <v>-10.554336079202329</v>
      </c>
      <c r="AF253" s="35">
        <v>-0.75939999999999996</v>
      </c>
      <c r="AG253" s="35">
        <v>107.93620027676209</v>
      </c>
      <c r="AH253" s="35">
        <v>108.7621399676766</v>
      </c>
      <c r="AI253" s="35">
        <v>-0.82593969091453801</v>
      </c>
      <c r="AJ253" s="35">
        <v>-7.5940000000000139E-3</v>
      </c>
      <c r="AK253" s="35">
        <v>-0.81859999999999999</v>
      </c>
      <c r="AL253" s="35">
        <v>107.8718130899012</v>
      </c>
      <c r="AM253" s="35">
        <v>-0.81860000000000266</v>
      </c>
    </row>
    <row r="254" spans="1:39" x14ac:dyDescent="0.25">
      <c r="A254" s="35" t="s">
        <v>501</v>
      </c>
      <c r="B254" s="35" t="s">
        <v>502</v>
      </c>
      <c r="C254" s="35">
        <v>-0.66749999999999998</v>
      </c>
      <c r="D254" s="35">
        <v>110.9364435159479</v>
      </c>
      <c r="E254" s="35">
        <v>113.51149866973741</v>
      </c>
      <c r="F254" s="35">
        <v>58440.85</v>
      </c>
      <c r="G254" s="36">
        <v>-2.0604</v>
      </c>
      <c r="H254" s="35">
        <v>109.3808260476132</v>
      </c>
      <c r="I254" s="36">
        <v>-3.6389904727999971</v>
      </c>
      <c r="Q254" s="35">
        <v>0.51490264462677082</v>
      </c>
      <c r="R254" s="35">
        <v>96.484256084666114</v>
      </c>
      <c r="S254" s="35">
        <v>106.2402403606211</v>
      </c>
      <c r="T254" s="35">
        <v>-9.7559842759549582</v>
      </c>
      <c r="U254" s="35">
        <v>-9.1829463514383231E-2</v>
      </c>
      <c r="V254" s="35">
        <v>-0.31159999999999999</v>
      </c>
      <c r="W254" s="35">
        <v>95.690896187569436</v>
      </c>
      <c r="X254" s="35">
        <v>-9.9297066132785652</v>
      </c>
      <c r="AF254" s="35">
        <v>-0.15260000000000001</v>
      </c>
      <c r="AG254" s="35">
        <v>107.7714896351398</v>
      </c>
      <c r="AH254" s="35">
        <v>108.7621399676766</v>
      </c>
      <c r="AI254" s="35">
        <v>-0.99065033253687318</v>
      </c>
      <c r="AJ254" s="35">
        <v>-9.108411555999979E-3</v>
      </c>
      <c r="AK254" s="35">
        <v>-0.6109</v>
      </c>
      <c r="AL254" s="35">
        <v>107.2768180292714</v>
      </c>
      <c r="AM254" s="35">
        <v>-1.365660825400006</v>
      </c>
    </row>
    <row r="255" spans="1:39" x14ac:dyDescent="0.25">
      <c r="A255" s="35" t="s">
        <v>502</v>
      </c>
      <c r="B255" s="35" t="s">
        <v>503</v>
      </c>
      <c r="C255" s="35">
        <v>-0.22900000000000001</v>
      </c>
      <c r="D255" s="35">
        <v>110.6823990602964</v>
      </c>
      <c r="E255" s="35">
        <v>113.51149866973741</v>
      </c>
      <c r="F255" s="35">
        <v>58109.2</v>
      </c>
      <c r="G255" s="36">
        <v>-1.8434999999999999</v>
      </c>
      <c r="H255" s="35">
        <v>108.8913301797314</v>
      </c>
      <c r="I255" s="36">
        <v>-4.0702206773327703</v>
      </c>
      <c r="Q255" s="35">
        <v>-1.170802090113473</v>
      </c>
      <c r="R255" s="35">
        <v>95.354616397796406</v>
      </c>
      <c r="S255" s="35">
        <v>106.2402403606211</v>
      </c>
      <c r="T255" s="35">
        <v>-10.88562396282467</v>
      </c>
      <c r="U255" s="35">
        <v>-0.1024623431373516</v>
      </c>
      <c r="V255" s="35">
        <v>-1.2806</v>
      </c>
      <c r="W255" s="35">
        <v>95.248678701245879</v>
      </c>
      <c r="X255" s="35">
        <v>-10.34594954046181</v>
      </c>
      <c r="AF255" s="35">
        <v>-1.3997999999999999</v>
      </c>
      <c r="AG255" s="35">
        <v>106.2629043232271</v>
      </c>
      <c r="AH255" s="35">
        <v>108.7621399676766</v>
      </c>
      <c r="AI255" s="35">
        <v>-2.499235644449556</v>
      </c>
      <c r="AJ255" s="35">
        <v>-2.2978912011039049E-2</v>
      </c>
      <c r="AK255" s="35">
        <v>-1.5515000000000001</v>
      </c>
      <c r="AL255" s="35">
        <v>106.09941497345061</v>
      </c>
      <c r="AM255" s="35">
        <v>-2.44820945507086</v>
      </c>
    </row>
    <row r="256" spans="1:39" x14ac:dyDescent="0.25">
      <c r="A256" s="35" t="s">
        <v>503</v>
      </c>
      <c r="B256" s="35" t="s">
        <v>504</v>
      </c>
      <c r="C256" s="35">
        <v>1.4447000000000001</v>
      </c>
      <c r="D256" s="35">
        <v>112.2814276795205</v>
      </c>
      <c r="E256" s="35">
        <v>113.51149866973741</v>
      </c>
      <c r="F256" s="35">
        <v>57995.5</v>
      </c>
      <c r="G256" s="36">
        <v>-0.8397</v>
      </c>
      <c r="H256" s="35">
        <v>109.7529989553871</v>
      </c>
      <c r="I256" s="36">
        <v>-3.3111180438958669</v>
      </c>
      <c r="Q256" s="35">
        <v>-0.27814944011723292</v>
      </c>
      <c r="R256" s="35">
        <v>95.089388066159998</v>
      </c>
      <c r="S256" s="35">
        <v>106.2402403606211</v>
      </c>
      <c r="T256" s="35">
        <v>-11.150852294461069</v>
      </c>
      <c r="U256" s="35">
        <v>-0.1049588391047564</v>
      </c>
      <c r="V256" s="35">
        <v>-0.7569999999999999</v>
      </c>
      <c r="W256" s="35">
        <v>94.632781951665095</v>
      </c>
      <c r="X256" s="35">
        <v>-10.925670319980171</v>
      </c>
      <c r="AF256" s="35">
        <v>1.1666000000000001</v>
      </c>
      <c r="AG256" s="35">
        <v>107.50256736506191</v>
      </c>
      <c r="AH256" s="35">
        <v>108.7621399676766</v>
      </c>
      <c r="AI256" s="35">
        <v>-1.259572602614796</v>
      </c>
      <c r="AJ256" s="35">
        <v>-1.1580983998559899E-2</v>
      </c>
      <c r="AK256" s="35">
        <v>-6.4199999999999993E-2</v>
      </c>
      <c r="AL256" s="35">
        <v>106.1946835386516</v>
      </c>
      <c r="AM256" s="35">
        <v>-2.360615954952805</v>
      </c>
    </row>
    <row r="257" spans="1:39" x14ac:dyDescent="0.25">
      <c r="A257" s="35" t="s">
        <v>504</v>
      </c>
      <c r="B257" s="35" t="s">
        <v>505</v>
      </c>
      <c r="C257" s="35">
        <v>0.57040000000000002</v>
      </c>
      <c r="D257" s="35">
        <v>112.9218809430045</v>
      </c>
      <c r="E257" s="35">
        <v>113.51149866973741</v>
      </c>
      <c r="F257" s="35">
        <v>58881.7</v>
      </c>
      <c r="G257" s="36">
        <v>-0.26529999999999998</v>
      </c>
      <c r="H257" s="35">
        <v>111.98354505188679</v>
      </c>
      <c r="I257" s="36">
        <v>-1.346078270269546</v>
      </c>
      <c r="Q257" s="35">
        <v>-1.1184503708691911</v>
      </c>
      <c r="R257" s="35">
        <v>94.025860452676781</v>
      </c>
      <c r="S257" s="35">
        <v>106.2402403606211</v>
      </c>
      <c r="T257" s="35">
        <v>-12.21437990794429</v>
      </c>
      <c r="U257" s="35">
        <v>-0.11496943028822119</v>
      </c>
      <c r="V257" s="35">
        <v>-1.2343</v>
      </c>
      <c r="W257" s="35">
        <v>93.915699749259389</v>
      </c>
      <c r="X257" s="35">
        <v>-11.60063321536864</v>
      </c>
      <c r="AF257" s="35">
        <v>-0.54810000000000003</v>
      </c>
      <c r="AG257" s="35">
        <v>106.9133457933339</v>
      </c>
      <c r="AH257" s="35">
        <v>108.7621399676766</v>
      </c>
      <c r="AI257" s="35">
        <v>-1.8487941743427001</v>
      </c>
      <c r="AJ257" s="35">
        <v>-1.6998508625263802E-2</v>
      </c>
      <c r="AK257" s="35">
        <v>-0.61699999999999999</v>
      </c>
      <c r="AL257" s="35">
        <v>106.8392765244194</v>
      </c>
      <c r="AM257" s="35">
        <v>-1.7679529327288781</v>
      </c>
    </row>
    <row r="258" spans="1:39" x14ac:dyDescent="0.25">
      <c r="A258" s="35" t="s">
        <v>505</v>
      </c>
      <c r="B258" s="35" t="s">
        <v>506</v>
      </c>
      <c r="C258" s="35">
        <v>0.64259999999999995</v>
      </c>
      <c r="D258" s="35">
        <v>113.6475169499443</v>
      </c>
      <c r="E258" s="35">
        <v>113.6475169499443</v>
      </c>
      <c r="F258" s="35">
        <v>59227.4</v>
      </c>
      <c r="G258" s="36">
        <v>0.1265</v>
      </c>
      <c r="H258" s="35">
        <v>113.0647271223974</v>
      </c>
      <c r="I258" s="36">
        <v>-0.39359144454595979</v>
      </c>
      <c r="Q258" s="35">
        <v>0.45070257152921828</v>
      </c>
      <c r="R258" s="35">
        <v>94.449637423639473</v>
      </c>
      <c r="S258" s="35">
        <v>106.2402403606211</v>
      </c>
      <c r="T258" s="35">
        <v>-11.7906029369816</v>
      </c>
      <c r="U258" s="35">
        <v>-0.1109805747517105</v>
      </c>
      <c r="V258" s="35">
        <v>-0.5403</v>
      </c>
      <c r="W258" s="35">
        <v>93.517838728650958</v>
      </c>
      <c r="X258" s="35">
        <v>-11.9751250456374</v>
      </c>
      <c r="AF258" s="35">
        <v>1.0932999999999999</v>
      </c>
      <c r="AG258" s="35">
        <v>108.08222940289249</v>
      </c>
      <c r="AH258" s="35">
        <v>108.7621399676766</v>
      </c>
      <c r="AI258" s="35">
        <v>-0.67991056478416567</v>
      </c>
      <c r="AJ258" s="35">
        <v>-6.2513533200636764E-3</v>
      </c>
      <c r="AK258" s="35">
        <v>0.53129999999999999</v>
      </c>
      <c r="AL258" s="35">
        <v>107.4813763995339</v>
      </c>
      <c r="AM258" s="35">
        <v>-1.177582170158997</v>
      </c>
    </row>
    <row r="259" spans="1:39" x14ac:dyDescent="0.25">
      <c r="A259" s="35" t="s">
        <v>506</v>
      </c>
      <c r="B259" s="35" t="s">
        <v>507</v>
      </c>
      <c r="C259" s="35">
        <v>-0.66579999999999995</v>
      </c>
      <c r="D259" s="35">
        <v>112.8908517820915</v>
      </c>
      <c r="E259" s="35">
        <v>113.6475169499443</v>
      </c>
      <c r="F259" s="35">
        <v>59667.25</v>
      </c>
      <c r="G259" s="36">
        <v>-1.2577</v>
      </c>
      <c r="H259" s="35">
        <v>112.2181721292648</v>
      </c>
      <c r="I259" s="36">
        <v>-1.2576999999999949</v>
      </c>
      <c r="Q259" s="35">
        <v>0.15891786558966581</v>
      </c>
      <c r="R259" s="35">
        <v>94.59973477149029</v>
      </c>
      <c r="S259" s="35">
        <v>106.2402403606211</v>
      </c>
      <c r="T259" s="35">
        <v>-11.640505589130781</v>
      </c>
      <c r="U259" s="35">
        <v>-0.1095677640564285</v>
      </c>
      <c r="V259" s="35">
        <v>-0.5423</v>
      </c>
      <c r="W259" s="35">
        <v>93.93743703989108</v>
      </c>
      <c r="X259" s="35">
        <v>-11.58017270948319</v>
      </c>
      <c r="AF259" s="35">
        <v>-0.50690000000000002</v>
      </c>
      <c r="AG259" s="35">
        <v>107.5343605820492</v>
      </c>
      <c r="AH259" s="35">
        <v>108.7621399676766</v>
      </c>
      <c r="AI259" s="35">
        <v>-1.2277793856274291</v>
      </c>
      <c r="AJ259" s="35">
        <v>-1.128866521008428E-2</v>
      </c>
      <c r="AK259" s="35">
        <v>-0.66569999999999996</v>
      </c>
      <c r="AL259" s="35">
        <v>107.36272600175739</v>
      </c>
      <c r="AM259" s="35">
        <v>-1.286673806101202</v>
      </c>
    </row>
    <row r="260" spans="1:39" x14ac:dyDescent="0.25">
      <c r="A260" s="35" t="s">
        <v>507</v>
      </c>
      <c r="B260" s="35" t="s">
        <v>508</v>
      </c>
      <c r="C260" s="35">
        <v>-1.2085999999999999</v>
      </c>
      <c r="D260" s="35">
        <v>111.52645294745319</v>
      </c>
      <c r="E260" s="35">
        <v>113.6475169499443</v>
      </c>
      <c r="F260" s="35">
        <v>59339.6</v>
      </c>
      <c r="G260" s="36">
        <v>-1.4595</v>
      </c>
      <c r="H260" s="35">
        <v>111.2432098003319</v>
      </c>
      <c r="I260" s="36">
        <v>-2.115582649000014</v>
      </c>
      <c r="Q260" s="35">
        <v>0.92302196961073324</v>
      </c>
      <c r="R260" s="35">
        <v>95.472911106624636</v>
      </c>
      <c r="S260" s="35">
        <v>106.2402403606211</v>
      </c>
      <c r="T260" s="35">
        <v>-10.76732925399644</v>
      </c>
      <c r="U260" s="35">
        <v>-0.1013488788941732</v>
      </c>
      <c r="V260" s="35">
        <v>-0.12809999999999999</v>
      </c>
      <c r="W260" s="35">
        <v>94.478552511248012</v>
      </c>
      <c r="X260" s="35">
        <v>-11.07084077506723</v>
      </c>
      <c r="AF260" s="35">
        <v>-0.28560000000000002</v>
      </c>
      <c r="AG260" s="35">
        <v>107.2272424482269</v>
      </c>
      <c r="AH260" s="35">
        <v>108.7621399676766</v>
      </c>
      <c r="AI260" s="35">
        <v>-1.5348975194497569</v>
      </c>
      <c r="AJ260" s="35">
        <v>-1.411242478224424E-2</v>
      </c>
      <c r="AK260" s="35">
        <v>-0.4647</v>
      </c>
      <c r="AL260" s="35">
        <v>107.0346484084244</v>
      </c>
      <c r="AM260" s="35">
        <v>-1.588320678285293</v>
      </c>
    </row>
    <row r="261" spans="1:39" x14ac:dyDescent="0.25">
      <c r="A261" s="35" t="s">
        <v>508</v>
      </c>
      <c r="B261" s="35" t="s">
        <v>509</v>
      </c>
      <c r="C261" s="35">
        <v>1.5851999999999999</v>
      </c>
      <c r="D261" s="35">
        <v>113.2943702795762</v>
      </c>
      <c r="E261" s="35">
        <v>113.6475169499443</v>
      </c>
      <c r="F261" s="35">
        <v>58642.2</v>
      </c>
      <c r="G261" s="36">
        <v>-0.30430000000000001</v>
      </c>
      <c r="H261" s="35">
        <v>111.1870779511341</v>
      </c>
      <c r="I261" s="36">
        <v>-2.1649738285913429</v>
      </c>
      <c r="Q261" s="35">
        <v>-0.1135195637349726</v>
      </c>
      <c r="R261" s="35">
        <v>95.364530674451316</v>
      </c>
      <c r="S261" s="35">
        <v>106.2402403606211</v>
      </c>
      <c r="T261" s="35">
        <v>-10.87570968616976</v>
      </c>
      <c r="U261" s="35">
        <v>-0.102369023726352</v>
      </c>
      <c r="V261" s="35">
        <v>-0.39679999999999999</v>
      </c>
      <c r="W261" s="35">
        <v>95.094074595353547</v>
      </c>
      <c r="X261" s="35">
        <v>-10.491472654272121</v>
      </c>
      <c r="AF261" s="35">
        <v>1.4717</v>
      </c>
      <c r="AG261" s="35">
        <v>108.8053057753375</v>
      </c>
      <c r="AH261" s="35">
        <v>108.8053057753375</v>
      </c>
      <c r="AI261" s="35"/>
      <c r="AJ261" s="35">
        <v>0</v>
      </c>
      <c r="AK261" s="35">
        <v>0.34</v>
      </c>
      <c r="AL261" s="35">
        <v>107.5918150725509</v>
      </c>
      <c r="AM261" s="35">
        <v>-1.076040702650372</v>
      </c>
    </row>
    <row r="262" spans="1:39" x14ac:dyDescent="0.25">
      <c r="A262" s="35" t="s">
        <v>509</v>
      </c>
      <c r="B262" s="35" t="s">
        <v>510</v>
      </c>
      <c r="C262" s="35">
        <v>-0.64259999999999995</v>
      </c>
      <c r="D262" s="35">
        <v>112.5663406561596</v>
      </c>
      <c r="E262" s="35">
        <v>113.6475169499443</v>
      </c>
      <c r="F262" s="35">
        <v>59620.65</v>
      </c>
      <c r="G262" s="36">
        <v>-1.4683999999999999</v>
      </c>
      <c r="H262" s="35">
        <v>111.6307557463909</v>
      </c>
      <c r="I262" s="36">
        <v>-1.7745756860149009</v>
      </c>
      <c r="Q262" s="35">
        <v>8.7061543983928333E-2</v>
      </c>
      <c r="R262" s="35">
        <v>95.44755650726951</v>
      </c>
      <c r="S262" s="35">
        <v>106.2402403606211</v>
      </c>
      <c r="T262" s="35">
        <v>-10.79268385335156</v>
      </c>
      <c r="U262" s="35">
        <v>-0.1015875323391302</v>
      </c>
      <c r="V262" s="35">
        <v>-0.3332</v>
      </c>
      <c r="W262" s="35">
        <v>95.046776058244049</v>
      </c>
      <c r="X262" s="35">
        <v>-10.535993013929581</v>
      </c>
      <c r="AF262" s="35">
        <v>-0.55549999999999999</v>
      </c>
      <c r="AG262" s="35">
        <v>108.2008923017555</v>
      </c>
      <c r="AH262" s="35">
        <v>108.8053057753375</v>
      </c>
      <c r="AI262" s="35">
        <v>-0.60441347358199948</v>
      </c>
      <c r="AJ262" s="35">
        <v>-5.5549999999999992E-3</v>
      </c>
      <c r="AK262" s="35">
        <v>-0.55549999999999999</v>
      </c>
      <c r="AL262" s="35">
        <v>108.2008923017555</v>
      </c>
      <c r="AM262" s="35">
        <v>-0.55549999999999766</v>
      </c>
    </row>
    <row r="263" spans="1:39" x14ac:dyDescent="0.25">
      <c r="A263" s="35" t="s">
        <v>510</v>
      </c>
      <c r="B263" s="35" t="s">
        <v>511</v>
      </c>
      <c r="C263" s="35">
        <v>-2.2214</v>
      </c>
      <c r="D263" s="35">
        <v>110.0657919648237</v>
      </c>
      <c r="E263" s="35">
        <v>113.6475169499443</v>
      </c>
      <c r="F263" s="35">
        <v>59307.1</v>
      </c>
      <c r="G263" s="36">
        <v>-2.3925000000000001</v>
      </c>
      <c r="H263" s="35">
        <v>109.87319095596099</v>
      </c>
      <c r="I263" s="36">
        <v>-3.3210809134049502</v>
      </c>
      <c r="Q263" s="35">
        <v>1.5898159786517789</v>
      </c>
      <c r="R263" s="35">
        <v>96.964997011854763</v>
      </c>
      <c r="S263" s="35">
        <v>106.2402403606211</v>
      </c>
      <c r="T263" s="35">
        <v>-9.2752433487663097</v>
      </c>
      <c r="U263" s="35">
        <v>-8.7304427374058011E-2</v>
      </c>
      <c r="V263" s="35">
        <v>-9.4399999999999998E-2</v>
      </c>
      <c r="W263" s="35">
        <v>95.357454013926656</v>
      </c>
      <c r="X263" s="35">
        <v>-10.243563370860199</v>
      </c>
      <c r="AF263" s="35">
        <v>-0.63160000000000005</v>
      </c>
      <c r="AG263" s="35">
        <v>107.5174954659776</v>
      </c>
      <c r="AH263" s="35">
        <v>108.8053057753375</v>
      </c>
      <c r="AI263" s="35">
        <v>-1.2878103093598841</v>
      </c>
      <c r="AJ263" s="35">
        <v>-1.1835914619999969E-2</v>
      </c>
      <c r="AK263" s="35">
        <v>-0.68930000000000002</v>
      </c>
      <c r="AL263" s="35">
        <v>107.45506355111949</v>
      </c>
      <c r="AM263" s="35">
        <v>-1.2409709385000081</v>
      </c>
    </row>
    <row r="264" spans="1:39" x14ac:dyDescent="0.25">
      <c r="A264" s="35" t="s">
        <v>511</v>
      </c>
      <c r="B264" s="35" t="s">
        <v>512</v>
      </c>
      <c r="C264" s="35">
        <v>-0.19919999999999999</v>
      </c>
      <c r="D264" s="35">
        <v>109.84654090722979</v>
      </c>
      <c r="E264" s="35">
        <v>113.6475169499443</v>
      </c>
      <c r="F264" s="35">
        <v>58009.45</v>
      </c>
      <c r="G264" s="36">
        <v>-1.2013</v>
      </c>
      <c r="H264" s="35">
        <v>108.74357160595029</v>
      </c>
      <c r="I264" s="36">
        <v>-4.3150483843425462</v>
      </c>
      <c r="Q264" s="35">
        <v>3.1807384144622933E-2</v>
      </c>
      <c r="R264" s="35">
        <v>96.995839040940155</v>
      </c>
      <c r="S264" s="35">
        <v>106.2402403606211</v>
      </c>
      <c r="T264" s="35">
        <v>-9.244401319680918</v>
      </c>
      <c r="U264" s="35">
        <v>-8.7014122787201831E-2</v>
      </c>
      <c r="V264" s="35">
        <v>-0.47989999999999999</v>
      </c>
      <c r="W264" s="35">
        <v>96.49966199119487</v>
      </c>
      <c r="X264" s="35">
        <v>-9.1684453427089974</v>
      </c>
      <c r="AF264" s="35">
        <v>-0.16739999999999999</v>
      </c>
      <c r="AG264" s="35">
        <v>107.3375111785675</v>
      </c>
      <c r="AH264" s="35">
        <v>108.8053057753375</v>
      </c>
      <c r="AI264" s="35">
        <v>-1.46779459676992</v>
      </c>
      <c r="AJ264" s="35">
        <v>-1.3490101298925999E-2</v>
      </c>
      <c r="AK264" s="35">
        <v>-0.16739999999999999</v>
      </c>
      <c r="AL264" s="35">
        <v>107.3375111785675</v>
      </c>
      <c r="AM264" s="35">
        <v>-1.3490101298926029</v>
      </c>
    </row>
    <row r="265" spans="1:39" x14ac:dyDescent="0.25">
      <c r="A265" s="35" t="s">
        <v>512</v>
      </c>
      <c r="B265" s="35" t="s">
        <v>513</v>
      </c>
      <c r="C265" s="35">
        <v>-2.2856999999999998</v>
      </c>
      <c r="D265" s="35">
        <v>107.33577852171319</v>
      </c>
      <c r="E265" s="35">
        <v>113.6475169499443</v>
      </c>
      <c r="F265" s="35">
        <v>57942.25</v>
      </c>
      <c r="G265" s="36">
        <v>-2.4384000000000001</v>
      </c>
      <c r="H265" s="35">
        <v>107.16804285374791</v>
      </c>
      <c r="I265" s="36">
        <v>-5.7013776192314296</v>
      </c>
      <c r="Q265" s="35">
        <v>1.146044767562326</v>
      </c>
      <c r="R265" s="35">
        <v>98.107454779022021</v>
      </c>
      <c r="S265" s="35">
        <v>106.2402403606211</v>
      </c>
      <c r="T265" s="35">
        <v>-8.1327855815990517</v>
      </c>
      <c r="U265" s="35">
        <v>-7.6550895912821604E-2</v>
      </c>
      <c r="V265" s="35">
        <v>-0.37309999999999999</v>
      </c>
      <c r="W265" s="35">
        <v>96.633947565478408</v>
      </c>
      <c r="X265" s="35">
        <v>-9.0420473095082716</v>
      </c>
      <c r="AF265" s="35">
        <v>-1.1396999999999999</v>
      </c>
      <c r="AG265" s="35">
        <v>106.1141855636654</v>
      </c>
      <c r="AH265" s="35">
        <v>108.8053057753375</v>
      </c>
      <c r="AI265" s="35">
        <v>-2.6911202116720569</v>
      </c>
      <c r="AJ265" s="35">
        <v>-2.4733354614422162E-2</v>
      </c>
      <c r="AK265" s="35">
        <v>-1.1858</v>
      </c>
      <c r="AL265" s="35">
        <v>106.0647029710121</v>
      </c>
      <c r="AM265" s="35">
        <v>-2.5188135677723378</v>
      </c>
    </row>
    <row r="266" spans="1:39" x14ac:dyDescent="0.25">
      <c r="A266" s="35" t="s">
        <v>513</v>
      </c>
      <c r="B266" s="35" t="s">
        <v>514</v>
      </c>
      <c r="C266" s="35">
        <v>0.11550000000000001</v>
      </c>
      <c r="D266" s="35">
        <v>107.4597513459058</v>
      </c>
      <c r="E266" s="35">
        <v>113.6475169499443</v>
      </c>
      <c r="F266" s="35">
        <v>56637.15</v>
      </c>
      <c r="G266" s="36">
        <v>-0.35389999999999999</v>
      </c>
      <c r="H266" s="35">
        <v>106.9559172015249</v>
      </c>
      <c r="I266" s="36">
        <v>-5.8880298734258041</v>
      </c>
      <c r="Q266" s="35">
        <v>0.17483976413932631</v>
      </c>
      <c r="R266" s="35">
        <v>98.27898562156075</v>
      </c>
      <c r="S266" s="35">
        <v>106.2402403606211</v>
      </c>
      <c r="T266" s="35">
        <v>-7.9612547390603234</v>
      </c>
      <c r="U266" s="35">
        <v>-7.4936339677288938E-2</v>
      </c>
      <c r="V266" s="35">
        <v>-0.84119999999999995</v>
      </c>
      <c r="W266" s="35">
        <v>97.282174869420885</v>
      </c>
      <c r="X266" s="35">
        <v>-8.4318949776402974</v>
      </c>
      <c r="AF266" s="35">
        <v>0.2903</v>
      </c>
      <c r="AG266" s="35">
        <v>106.4222350443567</v>
      </c>
      <c r="AH266" s="35">
        <v>108.8053057753375</v>
      </c>
      <c r="AI266" s="35">
        <v>-2.38307073098072</v>
      </c>
      <c r="AJ266" s="35">
        <v>-2.190215554286767E-2</v>
      </c>
      <c r="AK266" s="35">
        <v>-1.0800000000000001E-2</v>
      </c>
      <c r="AL266" s="35">
        <v>106.1027252316245</v>
      </c>
      <c r="AM266" s="35">
        <v>-2.4838683412123701</v>
      </c>
    </row>
    <row r="267" spans="1:39" x14ac:dyDescent="0.25">
      <c r="A267" s="35" t="s">
        <v>514</v>
      </c>
      <c r="B267" s="35" t="s">
        <v>515</v>
      </c>
      <c r="C267" s="35">
        <v>-0.2369</v>
      </c>
      <c r="D267" s="35">
        <v>107.2051791949674</v>
      </c>
      <c r="E267" s="35">
        <v>113.6475169499443</v>
      </c>
      <c r="F267" s="35">
        <v>56749.75</v>
      </c>
      <c r="G267" s="36">
        <v>-1.768</v>
      </c>
      <c r="H267" s="35">
        <v>105.5598629421102</v>
      </c>
      <c r="I267" s="36">
        <v>-7.1164370545783733</v>
      </c>
      <c r="Q267" s="35">
        <v>-0.1224861846977725</v>
      </c>
      <c r="R267" s="35">
        <v>98.158607441713229</v>
      </c>
      <c r="S267" s="35">
        <v>106.2402403606211</v>
      </c>
      <c r="T267" s="35">
        <v>-8.0816329189078431</v>
      </c>
      <c r="U267" s="35">
        <v>-7.6069414860843773E-2</v>
      </c>
      <c r="V267" s="35">
        <v>-0.58799999999999997</v>
      </c>
      <c r="W267" s="35">
        <v>97.701105186105977</v>
      </c>
      <c r="X267" s="35">
        <v>-8.0375713999986438</v>
      </c>
      <c r="AF267" s="35">
        <v>-0.3594</v>
      </c>
      <c r="AG267" s="35">
        <v>106.0397535316073</v>
      </c>
      <c r="AH267" s="35">
        <v>108.8053057753375</v>
      </c>
      <c r="AI267" s="35">
        <v>-2.765552243730141</v>
      </c>
      <c r="AJ267" s="35">
        <v>-2.5417439195846641E-2</v>
      </c>
      <c r="AK267" s="35">
        <v>-0.64710000000000001</v>
      </c>
      <c r="AL267" s="35">
        <v>105.7335767613847</v>
      </c>
      <c r="AM267" s="35">
        <v>-2.8231426694349748</v>
      </c>
    </row>
    <row r="268" spans="1:39" x14ac:dyDescent="0.25">
      <c r="A268" s="35" t="s">
        <v>515</v>
      </c>
      <c r="B268" s="35" t="s">
        <v>516</v>
      </c>
      <c r="C268" s="35">
        <v>0.67820000000000003</v>
      </c>
      <c r="D268" s="35">
        <v>107.9322447202676</v>
      </c>
      <c r="E268" s="35">
        <v>113.6475169499443</v>
      </c>
      <c r="F268" s="35">
        <v>56681.5</v>
      </c>
      <c r="G268" s="36">
        <v>-0.56469999999999998</v>
      </c>
      <c r="H268" s="35">
        <v>106.5997915480534</v>
      </c>
      <c r="I268" s="36">
        <v>-6.2013896924778766</v>
      </c>
      <c r="Q268" s="35">
        <v>-1.3263957009425511</v>
      </c>
      <c r="R268" s="35">
        <v>96.856635892501274</v>
      </c>
      <c r="S268" s="35">
        <v>106.2402403606211</v>
      </c>
      <c r="T268" s="35">
        <v>-9.383604468119799</v>
      </c>
      <c r="U268" s="35">
        <v>-8.8324390421822871E-2</v>
      </c>
      <c r="V268" s="35">
        <v>-1.8782000000000001</v>
      </c>
      <c r="W268" s="35">
        <v>96.314992476742972</v>
      </c>
      <c r="X268" s="35">
        <v>-9.3422679110927387</v>
      </c>
      <c r="AF268" s="35">
        <v>-0.6482</v>
      </c>
      <c r="AG268" s="35">
        <v>105.35240384921541</v>
      </c>
      <c r="AH268" s="35">
        <v>108.8053057753375</v>
      </c>
      <c r="AI268" s="35">
        <v>-3.4529019261220242</v>
      </c>
      <c r="AJ268" s="35">
        <v>-3.1734683354979212E-2</v>
      </c>
      <c r="AK268" s="35">
        <v>-0.6482</v>
      </c>
      <c r="AL268" s="35">
        <v>105.35240384921541</v>
      </c>
      <c r="AM268" s="35">
        <v>-3.1734683354979198</v>
      </c>
    </row>
    <row r="269" spans="1:39" x14ac:dyDescent="0.25">
      <c r="A269" s="35" t="s">
        <v>516</v>
      </c>
      <c r="B269" s="35" t="s">
        <v>517</v>
      </c>
      <c r="C269" s="35">
        <v>1.3977999999999999</v>
      </c>
      <c r="D269" s="35">
        <v>109.4409216369675</v>
      </c>
      <c r="E269" s="35">
        <v>113.6475169499443</v>
      </c>
      <c r="F269" s="35">
        <v>57113.15</v>
      </c>
      <c r="G269" s="36">
        <v>-0.3493</v>
      </c>
      <c r="H269" s="35">
        <v>107.55523738945971</v>
      </c>
      <c r="I269" s="36">
        <v>-5.3606798670030269</v>
      </c>
      <c r="Q269" s="35">
        <v>-0.44740211320117618</v>
      </c>
      <c r="R269" s="35">
        <v>96.423297256742657</v>
      </c>
      <c r="S269" s="35">
        <v>106.2402403606211</v>
      </c>
      <c r="T269" s="35">
        <v>-9.8169431038784154</v>
      </c>
      <c r="U269" s="35">
        <v>-9.2403246364615305E-2</v>
      </c>
      <c r="V269" s="35">
        <v>-0.55679999999999996</v>
      </c>
      <c r="W269" s="35">
        <v>96.317338143851828</v>
      </c>
      <c r="X269" s="35">
        <v>-9.3400600215954199</v>
      </c>
      <c r="AF269" s="35">
        <v>0.95040000000000002</v>
      </c>
      <c r="AG269" s="35">
        <v>106.35367309539841</v>
      </c>
      <c r="AH269" s="35">
        <v>108.8053057753375</v>
      </c>
      <c r="AI269" s="35">
        <v>-2.4516326799390811</v>
      </c>
      <c r="AJ269" s="35">
        <v>-2.2532289785584931E-2</v>
      </c>
      <c r="AK269" s="35">
        <v>-0.13789999999999999</v>
      </c>
      <c r="AL269" s="35">
        <v>105.2071228843074</v>
      </c>
      <c r="AM269" s="35">
        <v>-3.3069921226632659</v>
      </c>
    </row>
    <row r="270" spans="1:39" x14ac:dyDescent="0.25">
      <c r="A270" s="35" t="s">
        <v>517</v>
      </c>
      <c r="B270" s="35" t="s">
        <v>518</v>
      </c>
      <c r="C270" s="35">
        <v>-2.1097999999999999</v>
      </c>
      <c r="D270" s="35">
        <v>107.1319370722708</v>
      </c>
      <c r="E270" s="35">
        <v>113.6475169499443</v>
      </c>
      <c r="F270" s="35">
        <v>57930.5</v>
      </c>
      <c r="G270" s="36">
        <v>-2.2721</v>
      </c>
      <c r="H270" s="35">
        <v>106.954314456454</v>
      </c>
      <c r="I270" s="36">
        <v>-5.8894401506706551</v>
      </c>
      <c r="Q270" s="35">
        <v>0.96804261782675438</v>
      </c>
      <c r="R270" s="35">
        <v>97.356715867701695</v>
      </c>
      <c r="S270" s="35">
        <v>106.2402403606211</v>
      </c>
      <c r="T270" s="35">
        <v>-8.8835244929193777</v>
      </c>
      <c r="U270" s="35">
        <v>-8.3617322991412751E-2</v>
      </c>
      <c r="V270" s="35">
        <v>-0.31180000000000002</v>
      </c>
      <c r="W270" s="35">
        <v>96.122649415896134</v>
      </c>
      <c r="X270" s="35">
        <v>-9.5233133042450397</v>
      </c>
      <c r="AF270" s="35">
        <v>-1.1417999999999999</v>
      </c>
      <c r="AG270" s="35">
        <v>105.13932685599509</v>
      </c>
      <c r="AH270" s="35">
        <v>108.8053057753375</v>
      </c>
      <c r="AI270" s="35">
        <v>-3.6659789193423511</v>
      </c>
      <c r="AJ270" s="35">
        <v>-3.3693016100813218E-2</v>
      </c>
      <c r="AK270" s="35">
        <v>-1.2065999999999999</v>
      </c>
      <c r="AL270" s="35">
        <v>105.0704096758293</v>
      </c>
      <c r="AM270" s="35">
        <v>-3.432641517703205</v>
      </c>
    </row>
    <row r="271" spans="1:39" x14ac:dyDescent="0.25">
      <c r="A271" s="35" t="s">
        <v>518</v>
      </c>
      <c r="B271" s="35" t="s">
        <v>519</v>
      </c>
      <c r="C271" s="35">
        <v>-1.88</v>
      </c>
      <c r="D271" s="35">
        <v>105.1178566553121</v>
      </c>
      <c r="E271" s="35">
        <v>113.6475169499443</v>
      </c>
      <c r="F271" s="35">
        <v>56766.2</v>
      </c>
      <c r="G271" s="36">
        <v>-1.9971000000000001</v>
      </c>
      <c r="H271" s="35">
        <v>104.9924051570005</v>
      </c>
      <c r="I271" s="36">
        <v>-7.6157508982408144</v>
      </c>
      <c r="Q271" s="35">
        <v>1.056569568287536</v>
      </c>
      <c r="R271" s="35">
        <v>98.38535730024401</v>
      </c>
      <c r="S271" s="35">
        <v>106.2402403606211</v>
      </c>
      <c r="T271" s="35">
        <v>-7.8548830603770634</v>
      </c>
      <c r="U271" s="35">
        <v>-7.3935102497081212E-2</v>
      </c>
      <c r="V271" s="35">
        <v>5.4300000000000001E-2</v>
      </c>
      <c r="W271" s="35">
        <v>97.409580564417851</v>
      </c>
      <c r="X271" s="35">
        <v>-8.311972719779714</v>
      </c>
      <c r="AF271" s="35">
        <v>-0.82340000000000002</v>
      </c>
      <c r="AG271" s="35">
        <v>104.2736096386628</v>
      </c>
      <c r="AH271" s="35">
        <v>108.8053057753375</v>
      </c>
      <c r="AI271" s="35">
        <v>-4.5316961366746114</v>
      </c>
      <c r="AJ271" s="35">
        <v>-4.1649587806239098E-2</v>
      </c>
      <c r="AK271" s="35">
        <v>-0.88529999999999998</v>
      </c>
      <c r="AL271" s="35">
        <v>104.208528395339</v>
      </c>
      <c r="AM271" s="35">
        <v>-4.2247731829272661</v>
      </c>
    </row>
    <row r="272" spans="1:39" x14ac:dyDescent="0.25">
      <c r="A272" s="35" t="s">
        <v>519</v>
      </c>
      <c r="B272" s="35" t="s">
        <v>520</v>
      </c>
      <c r="C272" s="35">
        <v>1.9205000000000001</v>
      </c>
      <c r="D272" s="35">
        <v>107.13664509237741</v>
      </c>
      <c r="E272" s="35">
        <v>113.6475169499443</v>
      </c>
      <c r="F272" s="35">
        <v>55727.4</v>
      </c>
      <c r="G272" s="36">
        <v>0.25109999999999999</v>
      </c>
      <c r="H272" s="35">
        <v>105.38180759337359</v>
      </c>
      <c r="I272" s="36">
        <v>-7.273110384110959</v>
      </c>
      <c r="Q272" s="35">
        <v>-0.96922034564423998</v>
      </c>
      <c r="R272" s="35">
        <v>97.431786400155261</v>
      </c>
      <c r="S272" s="35">
        <v>106.2402403606211</v>
      </c>
      <c r="T272" s="35">
        <v>-8.8084539604658119</v>
      </c>
      <c r="U272" s="35">
        <v>-8.2910711897549005E-2</v>
      </c>
      <c r="V272" s="35">
        <v>-1.0237000000000001</v>
      </c>
      <c r="W272" s="35">
        <v>97.378186397561407</v>
      </c>
      <c r="X272" s="35">
        <v>-8.3415228852818597</v>
      </c>
      <c r="AF272" s="35">
        <v>0.95130000000000003</v>
      </c>
      <c r="AG272" s="35">
        <v>105.2655644871555</v>
      </c>
      <c r="AH272" s="35">
        <v>108.8053057753375</v>
      </c>
      <c r="AI272" s="35">
        <v>-3.5397412881819998</v>
      </c>
      <c r="AJ272" s="35">
        <v>-3.2532800335039747E-2</v>
      </c>
      <c r="AK272" s="35">
        <v>6.4399999999999999E-2</v>
      </c>
      <c r="AL272" s="35">
        <v>104.3407618432702</v>
      </c>
      <c r="AM272" s="35">
        <v>-4.103241014078618</v>
      </c>
    </row>
    <row r="273" spans="1:39" x14ac:dyDescent="0.25">
      <c r="A273" s="35" t="s">
        <v>520</v>
      </c>
      <c r="B273" s="35" t="s">
        <v>521</v>
      </c>
      <c r="C273" s="35">
        <v>0.82599999999999996</v>
      </c>
      <c r="D273" s="35">
        <v>108.0215937808404</v>
      </c>
      <c r="E273" s="35">
        <v>113.6475169499443</v>
      </c>
      <c r="F273" s="35">
        <v>56825.5</v>
      </c>
      <c r="G273" s="36">
        <v>-0.3427</v>
      </c>
      <c r="H273" s="35">
        <v>106.7694878096458</v>
      </c>
      <c r="I273" s="36">
        <v>-6.0520716377181039</v>
      </c>
      <c r="Q273" s="35">
        <v>-0.54233392419507775</v>
      </c>
      <c r="R273" s="35">
        <v>96.903380769557927</v>
      </c>
      <c r="S273" s="35">
        <v>106.2402403606211</v>
      </c>
      <c r="T273" s="35">
        <v>-9.3368595910631456</v>
      </c>
      <c r="U273" s="35">
        <v>-8.7884398222087781E-2</v>
      </c>
      <c r="V273" s="35">
        <v>-1.357</v>
      </c>
      <c r="W273" s="35">
        <v>96.109637058705161</v>
      </c>
      <c r="X273" s="35">
        <v>-9.5355613537099195</v>
      </c>
      <c r="AF273" s="35">
        <v>0.28370000000000001</v>
      </c>
      <c r="AG273" s="35">
        <v>105.5642028936055</v>
      </c>
      <c r="AH273" s="35">
        <v>108.8053057753375</v>
      </c>
      <c r="AI273" s="35">
        <v>-3.241102881731948</v>
      </c>
      <c r="AJ273" s="35">
        <v>-2.9788095889590319E-2</v>
      </c>
      <c r="AK273" s="35">
        <v>0.1883</v>
      </c>
      <c r="AL273" s="35">
        <v>105.4637795450848</v>
      </c>
      <c r="AM273" s="35">
        <v>-3.0711059598070629</v>
      </c>
    </row>
    <row r="274" spans="1:39" x14ac:dyDescent="0.25">
      <c r="A274" s="35" t="s">
        <v>521</v>
      </c>
      <c r="B274" s="35" t="s">
        <v>522</v>
      </c>
      <c r="C274" s="35">
        <v>1.4432</v>
      </c>
      <c r="D274" s="35">
        <v>109.5805614222855</v>
      </c>
      <c r="E274" s="35">
        <v>113.6475169499443</v>
      </c>
      <c r="F274" s="35">
        <v>57361.15</v>
      </c>
      <c r="G274" s="36">
        <v>-0.2437</v>
      </c>
      <c r="H274" s="35">
        <v>107.75834515679649</v>
      </c>
      <c r="I274" s="36">
        <v>-5.1819625726989171</v>
      </c>
      <c r="Q274" s="35">
        <v>-1.177888157137869</v>
      </c>
      <c r="R274" s="35">
        <v>95.761967323607081</v>
      </c>
      <c r="S274" s="35">
        <v>106.2402403606211</v>
      </c>
      <c r="T274" s="35">
        <v>-10.47827303701399</v>
      </c>
      <c r="U274" s="35">
        <v>-9.86280998748367E-2</v>
      </c>
      <c r="V274" s="35">
        <v>-1.2717000000000001</v>
      </c>
      <c r="W274" s="35">
        <v>95.671060476311467</v>
      </c>
      <c r="X274" s="35">
        <v>-9.9483772329897473</v>
      </c>
      <c r="AF274" s="35">
        <v>0.26529999999999998</v>
      </c>
      <c r="AG274" s="35">
        <v>105.8442647238822</v>
      </c>
      <c r="AH274" s="35">
        <v>108.8053057753375</v>
      </c>
      <c r="AI274" s="35">
        <v>-2.961041051455211</v>
      </c>
      <c r="AJ274" s="35">
        <v>-2.7214123707985399E-2</v>
      </c>
      <c r="AK274" s="35">
        <v>-0.26550000000000001</v>
      </c>
      <c r="AL274" s="35">
        <v>105.28392993492299</v>
      </c>
      <c r="AM274" s="35">
        <v>-3.2364008495003431</v>
      </c>
    </row>
    <row r="275" spans="1:39" x14ac:dyDescent="0.25">
      <c r="A275" s="35" t="s">
        <v>522</v>
      </c>
      <c r="B275" s="35" t="s">
        <v>523</v>
      </c>
      <c r="C275" s="35">
        <v>0.39460000000000001</v>
      </c>
      <c r="D275" s="35">
        <v>110.0129663176578</v>
      </c>
      <c r="E275" s="35">
        <v>113.6475169499443</v>
      </c>
      <c r="F275" s="35">
        <v>58227.199999999997</v>
      </c>
      <c r="G275" s="36">
        <v>5.1999999999999998E-3</v>
      </c>
      <c r="H275" s="35">
        <v>109.58625961147941</v>
      </c>
      <c r="I275" s="36">
        <v>-3.573555716359011</v>
      </c>
      <c r="Q275" s="35">
        <v>0.1738074380823445</v>
      </c>
      <c r="R275" s="35">
        <v>95.9284087456695</v>
      </c>
      <c r="S275" s="35">
        <v>106.2402403606211</v>
      </c>
      <c r="T275" s="35">
        <v>-10.31183161495157</v>
      </c>
      <c r="U275" s="35">
        <v>-9.7061448467634939E-2</v>
      </c>
      <c r="V275" s="35">
        <v>-1.3299999999999999E-2</v>
      </c>
      <c r="W275" s="35">
        <v>95.749230981953033</v>
      </c>
      <c r="X275" s="35">
        <v>-9.8747982337553442</v>
      </c>
      <c r="AF275" s="35">
        <v>0.56840000000000002</v>
      </c>
      <c r="AG275" s="35">
        <v>106.44588352457281</v>
      </c>
      <c r="AH275" s="35">
        <v>108.8053057753375</v>
      </c>
      <c r="AI275" s="35">
        <v>-2.3594222507646658</v>
      </c>
      <c r="AJ275" s="35">
        <v>-2.1684808787141598E-2</v>
      </c>
      <c r="AK275" s="35">
        <v>0.21779999999999999</v>
      </c>
      <c r="AL275" s="35">
        <v>106.0747935324509</v>
      </c>
      <c r="AM275" s="35">
        <v>-2.509539606942135</v>
      </c>
    </row>
    <row r="276" spans="1:39" x14ac:dyDescent="0.25">
      <c r="A276" s="35" t="s">
        <v>523</v>
      </c>
      <c r="B276" s="35" t="s">
        <v>524</v>
      </c>
      <c r="C276" s="35">
        <v>0.58640000000000003</v>
      </c>
      <c r="D276" s="35">
        <v>110.6580823521446</v>
      </c>
      <c r="E276" s="35">
        <v>113.6475169499443</v>
      </c>
      <c r="F276" s="35">
        <v>58486.1</v>
      </c>
      <c r="G276" s="36">
        <v>-0.11609999999999999</v>
      </c>
      <c r="H276" s="35">
        <v>109.88524126376301</v>
      </c>
      <c r="I276" s="36">
        <v>-3.310477683237278</v>
      </c>
      <c r="Q276" s="35">
        <v>-0.74453911572766573</v>
      </c>
      <c r="R276" s="35">
        <v>95.214184219462879</v>
      </c>
      <c r="S276" s="35">
        <v>106.2402403606211</v>
      </c>
      <c r="T276" s="35">
        <v>-11.02605614115819</v>
      </c>
      <c r="U276" s="35">
        <v>-0.1037841791747781</v>
      </c>
      <c r="V276" s="35">
        <v>-0.81500000000000006</v>
      </c>
      <c r="W276" s="35">
        <v>95.1465922143923</v>
      </c>
      <c r="X276" s="35">
        <v>-10.44203976626237</v>
      </c>
      <c r="AF276" s="35">
        <v>-0.15809999999999999</v>
      </c>
      <c r="AG276" s="35">
        <v>106.2775925827204</v>
      </c>
      <c r="AH276" s="35">
        <v>108.8053057753375</v>
      </c>
      <c r="AI276" s="35">
        <v>-2.527713192617028</v>
      </c>
      <c r="AJ276" s="35">
        <v>-2.323152510444924E-2</v>
      </c>
      <c r="AK276" s="35">
        <v>-0.15809999999999999</v>
      </c>
      <c r="AL276" s="35">
        <v>106.2775925827204</v>
      </c>
      <c r="AM276" s="35">
        <v>-2.3231525104449262</v>
      </c>
    </row>
    <row r="277" spans="1:39" x14ac:dyDescent="0.25">
      <c r="A277" s="35" t="s">
        <v>524</v>
      </c>
      <c r="B277" s="35" t="s">
        <v>525</v>
      </c>
      <c r="C277" s="35">
        <v>-0.33660000000000001</v>
      </c>
      <c r="D277" s="35">
        <v>110.28560724694729</v>
      </c>
      <c r="E277" s="35">
        <v>113.6475169499443</v>
      </c>
      <c r="F277" s="35">
        <v>58848.55</v>
      </c>
      <c r="G277" s="36">
        <v>-0.59530000000000005</v>
      </c>
      <c r="H277" s="35">
        <v>109.9993347879023</v>
      </c>
      <c r="I277" s="36">
        <v>-3.210085235429128</v>
      </c>
      <c r="Q277" s="35">
        <v>0.48400627707977623</v>
      </c>
      <c r="R277" s="35">
        <v>95.67502684775539</v>
      </c>
      <c r="S277" s="35">
        <v>106.2402403606211</v>
      </c>
      <c r="T277" s="35">
        <v>-10.565213512865681</v>
      </c>
      <c r="U277" s="35">
        <v>-9.9446438345801941E-2</v>
      </c>
      <c r="V277" s="35">
        <v>-0.27479999999999999</v>
      </c>
      <c r="W277" s="35">
        <v>94.952535641227797</v>
      </c>
      <c r="X277" s="35">
        <v>-10.62469802504058</v>
      </c>
      <c r="AF277" s="35">
        <v>0.1474</v>
      </c>
      <c r="AG277" s="35">
        <v>106.4342457541874</v>
      </c>
      <c r="AH277" s="35">
        <v>108.8053057753375</v>
      </c>
      <c r="AI277" s="35">
        <v>-2.3710600211500998</v>
      </c>
      <c r="AJ277" s="35">
        <v>-2.1791768372453221E-2</v>
      </c>
      <c r="AK277" s="35">
        <v>-6.83E-2</v>
      </c>
      <c r="AL277" s="35">
        <v>106.2050049869864</v>
      </c>
      <c r="AM277" s="35">
        <v>-2.3898657972802879</v>
      </c>
    </row>
    <row r="278" spans="1:39" x14ac:dyDescent="0.25">
      <c r="A278" s="35" t="s">
        <v>525</v>
      </c>
      <c r="B278" s="35" t="s">
        <v>526</v>
      </c>
      <c r="C278" s="35">
        <v>-1.9982</v>
      </c>
      <c r="D278" s="35">
        <v>108.08188024293879</v>
      </c>
      <c r="E278" s="35">
        <v>113.6475169499443</v>
      </c>
      <c r="F278" s="35">
        <v>58699.5</v>
      </c>
      <c r="G278" s="36">
        <v>-2.1408</v>
      </c>
      <c r="H278" s="35">
        <v>107.92461296700461</v>
      </c>
      <c r="I278" s="36">
        <v>-5.0356612590667034</v>
      </c>
      <c r="Q278" s="35">
        <v>0.62315617392822498</v>
      </c>
      <c r="R278" s="35">
        <v>96.271231684464667</v>
      </c>
      <c r="S278" s="35">
        <v>106.2402403606211</v>
      </c>
      <c r="T278" s="35">
        <v>-9.9690086761564061</v>
      </c>
      <c r="U278" s="35">
        <v>-9.3834583226823268E-2</v>
      </c>
      <c r="V278" s="35">
        <v>-0.1242</v>
      </c>
      <c r="W278" s="35">
        <v>95.556198464410485</v>
      </c>
      <c r="X278" s="35">
        <v>-10.05649258693764</v>
      </c>
      <c r="AF278" s="35">
        <v>-1.375</v>
      </c>
      <c r="AG278" s="35">
        <v>104.97077487506731</v>
      </c>
      <c r="AH278" s="35">
        <v>108.8053057753375</v>
      </c>
      <c r="AI278" s="35">
        <v>-3.8345309002701811</v>
      </c>
      <c r="AJ278" s="35">
        <v>-3.5242131557332031E-2</v>
      </c>
      <c r="AK278" s="35">
        <v>-1.49</v>
      </c>
      <c r="AL278" s="35">
        <v>104.84837549245</v>
      </c>
      <c r="AM278" s="35">
        <v>-3.636707102370373</v>
      </c>
    </row>
    <row r="279" spans="1:39" x14ac:dyDescent="0.25">
      <c r="A279" s="35" t="s">
        <v>526</v>
      </c>
      <c r="B279" s="35" t="s">
        <v>527</v>
      </c>
      <c r="C279" s="35">
        <v>-1.8435999999999999</v>
      </c>
      <c r="D279" s="35">
        <v>106.08928269878</v>
      </c>
      <c r="E279" s="35">
        <v>113.6475169499443</v>
      </c>
      <c r="F279" s="35">
        <v>57555.9</v>
      </c>
      <c r="G279" s="36">
        <v>-2.1787999999999998</v>
      </c>
      <c r="H279" s="35">
        <v>105.7269922362056</v>
      </c>
      <c r="I279" s="36">
        <v>-6.9693777095254923</v>
      </c>
      <c r="Q279" s="35">
        <v>0.68940996390239784</v>
      </c>
      <c r="R279" s="35">
        <v>96.934935148068917</v>
      </c>
      <c r="S279" s="35">
        <v>106.2402403606211</v>
      </c>
      <c r="T279" s="35">
        <v>-9.305305212552156</v>
      </c>
      <c r="U279" s="35">
        <v>-8.7587388554151407E-2</v>
      </c>
      <c r="V279" s="35">
        <v>0.1376</v>
      </c>
      <c r="W279" s="35">
        <v>96.403700899262489</v>
      </c>
      <c r="X279" s="35">
        <v>-9.2587699613343339</v>
      </c>
      <c r="AF279" s="35">
        <v>-1.1541999999999999</v>
      </c>
      <c r="AG279" s="35">
        <v>103.75920219145929</v>
      </c>
      <c r="AH279" s="35">
        <v>108.8053057753375</v>
      </c>
      <c r="AI279" s="35">
        <v>-5.0461035838782067</v>
      </c>
      <c r="AJ279" s="35">
        <v>-4.6377366874897297E-2</v>
      </c>
      <c r="AK279" s="35">
        <v>-1.2879</v>
      </c>
      <c r="AL279" s="35">
        <v>103.6188562654513</v>
      </c>
      <c r="AM279" s="35">
        <v>-4.7667248145005114</v>
      </c>
    </row>
    <row r="280" spans="1:39" x14ac:dyDescent="0.25">
      <c r="A280" s="35" t="s">
        <v>527</v>
      </c>
      <c r="B280" s="35" t="s">
        <v>528</v>
      </c>
      <c r="C280" s="35">
        <v>1.6495</v>
      </c>
      <c r="D280" s="35">
        <v>107.8392254168963</v>
      </c>
      <c r="E280" s="35">
        <v>113.6475169499443</v>
      </c>
      <c r="F280" s="35">
        <v>56533.15</v>
      </c>
      <c r="G280" s="36">
        <v>-0.61299999999999999</v>
      </c>
      <c r="H280" s="35">
        <v>105.4389553958364</v>
      </c>
      <c r="I280" s="36">
        <v>-7.2228252533869766</v>
      </c>
      <c r="Q280" s="35">
        <v>-0.84960767041879615</v>
      </c>
      <c r="R280" s="35">
        <v>96.111368503735434</v>
      </c>
      <c r="S280" s="35">
        <v>106.2402403606211</v>
      </c>
      <c r="T280" s="35">
        <v>-10.12887185688564</v>
      </c>
      <c r="U280" s="35">
        <v>-9.5339316086863801E-2</v>
      </c>
      <c r="V280" s="35">
        <v>-0.89870000000000005</v>
      </c>
      <c r="W280" s="35">
        <v>96.063780885893223</v>
      </c>
      <c r="X280" s="35">
        <v>-9.5787240693215203</v>
      </c>
      <c r="AF280" s="35">
        <v>0.79990000000000006</v>
      </c>
      <c r="AG280" s="35">
        <v>104.5891720497887</v>
      </c>
      <c r="AH280" s="35">
        <v>108.8053057753375</v>
      </c>
      <c r="AI280" s="35">
        <v>-4.2161337255487146</v>
      </c>
      <c r="AJ280" s="35">
        <v>-3.874933943252952E-2</v>
      </c>
      <c r="AK280" s="35">
        <v>-0.1409</v>
      </c>
      <c r="AL280" s="35">
        <v>103.6130054755715</v>
      </c>
      <c r="AM280" s="35">
        <v>-4.7721021164970567</v>
      </c>
    </row>
    <row r="281" spans="1:39" x14ac:dyDescent="0.25">
      <c r="A281" s="35" t="s">
        <v>528</v>
      </c>
      <c r="B281" s="35" t="s">
        <v>529</v>
      </c>
      <c r="C281" s="35">
        <v>0.83989999999999998</v>
      </c>
      <c r="D281" s="35">
        <v>108.74496707117289</v>
      </c>
      <c r="E281" s="35">
        <v>113.6475169499443</v>
      </c>
      <c r="F281" s="35">
        <v>57503.35</v>
      </c>
      <c r="G281" s="36">
        <v>-0.15570000000000001</v>
      </c>
      <c r="H281" s="35">
        <v>107.67131974292219</v>
      </c>
      <c r="I281" s="36">
        <v>-5.2585374211512441</v>
      </c>
      <c r="Q281" s="35">
        <v>-0.6993582855478675</v>
      </c>
      <c r="R281" s="35">
        <v>95.439205684751116</v>
      </c>
      <c r="S281" s="35">
        <v>106.2402403606211</v>
      </c>
      <c r="T281" s="35">
        <v>-10.80103467586996</v>
      </c>
      <c r="U281" s="35">
        <v>-0.1016661355359043</v>
      </c>
      <c r="V281" s="35">
        <v>-0.77710000000000001</v>
      </c>
      <c r="W281" s="35">
        <v>95.364487059092909</v>
      </c>
      <c r="X281" s="35">
        <v>-10.23694342615528</v>
      </c>
      <c r="AF281" s="35">
        <v>0.14050000000000001</v>
      </c>
      <c r="AG281" s="35">
        <v>104.7361198365187</v>
      </c>
      <c r="AH281" s="35">
        <v>108.8053057753375</v>
      </c>
      <c r="AI281" s="35">
        <v>-4.0691859388187481</v>
      </c>
      <c r="AJ281" s="35">
        <v>-3.7398782254432092E-2</v>
      </c>
      <c r="AK281" s="35">
        <v>-5.0799999999999998E-2</v>
      </c>
      <c r="AL281" s="35">
        <v>104.5360407503875</v>
      </c>
      <c r="AM281" s="35">
        <v>-3.9237654768097712</v>
      </c>
    </row>
    <row r="282" spans="1:39" x14ac:dyDescent="0.25">
      <c r="A282" s="35" t="s">
        <v>529</v>
      </c>
      <c r="B282" s="35" t="s">
        <v>530</v>
      </c>
      <c r="C282" s="35">
        <v>1.1714</v>
      </c>
      <c r="D282" s="35">
        <v>110.01880561544461</v>
      </c>
      <c r="E282" s="35">
        <v>113.6475169499443</v>
      </c>
      <c r="F282" s="35">
        <v>58015.1</v>
      </c>
      <c r="G282" s="36">
        <v>-0.41239999999999999</v>
      </c>
      <c r="H282" s="35">
        <v>108.29650282697131</v>
      </c>
      <c r="I282" s="36">
        <v>-4.7084302997396517</v>
      </c>
      <c r="Q282" s="35">
        <v>-0.16448909686513691</v>
      </c>
      <c r="R282" s="35">
        <v>95.282218597265</v>
      </c>
      <c r="S282" s="35">
        <v>106.2402403606211</v>
      </c>
      <c r="T282" s="35">
        <v>-10.95802176335607</v>
      </c>
      <c r="U282" s="35">
        <v>-0.1031437967963951</v>
      </c>
      <c r="V282" s="35">
        <v>-0.76759999999999995</v>
      </c>
      <c r="W282" s="35">
        <v>94.706614341914971</v>
      </c>
      <c r="X282" s="35">
        <v>-10.85617462795307</v>
      </c>
      <c r="AF282" s="35">
        <v>1.0068999999999999</v>
      </c>
      <c r="AG282" s="35">
        <v>105.7907078271526</v>
      </c>
      <c r="AH282" s="35">
        <v>108.8053057753375</v>
      </c>
      <c r="AI282" s="35">
        <v>-3.0145979481848291</v>
      </c>
      <c r="AJ282" s="35">
        <v>-2.7706350592951848E-2</v>
      </c>
      <c r="AK282" s="35">
        <v>-8.9599999999999999E-2</v>
      </c>
      <c r="AL282" s="35">
        <v>104.6422762731452</v>
      </c>
      <c r="AM282" s="35">
        <v>-3.826127294553217</v>
      </c>
    </row>
    <row r="283" spans="1:39" x14ac:dyDescent="0.25">
      <c r="A283" s="35" t="s">
        <v>530</v>
      </c>
      <c r="B283" s="35" t="s">
        <v>531</v>
      </c>
      <c r="C283" s="35">
        <v>0.76480000000000004</v>
      </c>
      <c r="D283" s="35">
        <v>110.8602294407915</v>
      </c>
      <c r="E283" s="35">
        <v>113.6475169499443</v>
      </c>
      <c r="F283" s="35">
        <v>58762.35</v>
      </c>
      <c r="G283" s="36">
        <v>-0.93440000000000001</v>
      </c>
      <c r="H283" s="35">
        <v>108.9907898957739</v>
      </c>
      <c r="I283" s="36">
        <v>-4.0975176397575419</v>
      </c>
      <c r="Q283" s="35">
        <v>-1.0403391557179009</v>
      </c>
      <c r="R283" s="35">
        <v>94.290960368760921</v>
      </c>
      <c r="S283" s="35">
        <v>106.2402403606211</v>
      </c>
      <c r="T283" s="35">
        <v>-11.94927999186015</v>
      </c>
      <c r="U283" s="35">
        <v>-0.11247414304880721</v>
      </c>
      <c r="V283" s="35">
        <v>-1.1969000000000001</v>
      </c>
      <c r="W283" s="35">
        <v>94.141785722874332</v>
      </c>
      <c r="X283" s="35">
        <v>-11.3878268692539</v>
      </c>
      <c r="AF283" s="35">
        <v>-0.27550000000000002</v>
      </c>
      <c r="AG283" s="35">
        <v>105.4992544270888</v>
      </c>
      <c r="AH283" s="35">
        <v>108.8053057753375</v>
      </c>
      <c r="AI283" s="35">
        <v>-3.30605134824863</v>
      </c>
      <c r="AJ283" s="35">
        <v>-3.0385019597068231E-2</v>
      </c>
      <c r="AK283" s="35">
        <v>-0.50139999999999996</v>
      </c>
      <c r="AL283" s="35">
        <v>105.2602732181073</v>
      </c>
      <c r="AM283" s="35">
        <v>-3.2581430951078789</v>
      </c>
    </row>
    <row r="284" spans="1:39" x14ac:dyDescent="0.25">
      <c r="A284" s="35" t="s">
        <v>531</v>
      </c>
      <c r="B284" s="35" t="s">
        <v>532</v>
      </c>
      <c r="C284" s="35">
        <v>-0.5887</v>
      </c>
      <c r="D284" s="35">
        <v>110.2075952700736</v>
      </c>
      <c r="E284" s="35">
        <v>113.6475169499443</v>
      </c>
      <c r="F284" s="35">
        <v>59241.15</v>
      </c>
      <c r="G284" s="36">
        <v>-0.88680000000000003</v>
      </c>
      <c r="H284" s="35">
        <v>109.87712092611061</v>
      </c>
      <c r="I284" s="36">
        <v>-3.3176228790764868</v>
      </c>
      <c r="Q284" s="35">
        <v>-0.40511543738005801</v>
      </c>
      <c r="R284" s="35">
        <v>93.908973132253166</v>
      </c>
      <c r="S284" s="35">
        <v>106.2402403606211</v>
      </c>
      <c r="T284" s="35">
        <v>-12.33126722836791</v>
      </c>
      <c r="U284" s="35">
        <v>-0.116069647306056</v>
      </c>
      <c r="V284" s="35">
        <v>-0.81689999999999996</v>
      </c>
      <c r="W284" s="35">
        <v>93.520697513508509</v>
      </c>
      <c r="X284" s="35">
        <v>-11.97243417742415</v>
      </c>
      <c r="AF284" s="35">
        <v>-0.99380000000000002</v>
      </c>
      <c r="AG284" s="35">
        <v>104.4508028365924</v>
      </c>
      <c r="AH284" s="35">
        <v>108.8053057753375</v>
      </c>
      <c r="AI284" s="35">
        <v>-4.3545029387450427</v>
      </c>
      <c r="AJ284" s="35">
        <v>-4.0021053272312597E-2</v>
      </c>
      <c r="AK284" s="35">
        <v>-0.99380000000000002</v>
      </c>
      <c r="AL284" s="35">
        <v>104.4508028365924</v>
      </c>
      <c r="AM284" s="35">
        <v>-4.0021053272312654</v>
      </c>
    </row>
    <row r="285" spans="1:39" x14ac:dyDescent="0.25">
      <c r="A285" s="35" t="s">
        <v>532</v>
      </c>
      <c r="B285" s="35" t="s">
        <v>533</v>
      </c>
      <c r="C285" s="35">
        <v>1.3238000000000001</v>
      </c>
      <c r="D285" s="35">
        <v>111.6665234162588</v>
      </c>
      <c r="E285" s="35">
        <v>113.6475169499443</v>
      </c>
      <c r="F285" s="35">
        <v>58902.25</v>
      </c>
      <c r="G285" s="36">
        <v>0.18290000000000001</v>
      </c>
      <c r="H285" s="35">
        <v>110.4091649618226</v>
      </c>
      <c r="I285" s="36">
        <v>-2.849470076454053</v>
      </c>
      <c r="Q285" s="35">
        <v>-0.84675717672409601</v>
      </c>
      <c r="R285" s="35">
        <v>93.113792162667906</v>
      </c>
      <c r="S285" s="35">
        <v>106.2402403606211</v>
      </c>
      <c r="T285" s="35">
        <v>-13.12644819795317</v>
      </c>
      <c r="U285" s="35">
        <v>-0.1235543910047346</v>
      </c>
      <c r="V285" s="35">
        <v>-1.5259</v>
      </c>
      <c r="W285" s="35">
        <v>92.47601611122812</v>
      </c>
      <c r="X285" s="35">
        <v>-12.95575405578129</v>
      </c>
      <c r="AF285" s="35">
        <v>0.47699999999999998</v>
      </c>
      <c r="AG285" s="35">
        <v>104.949033166123</v>
      </c>
      <c r="AH285" s="35">
        <v>108.8053057753375</v>
      </c>
      <c r="AI285" s="35">
        <v>-3.8562726092144999</v>
      </c>
      <c r="AJ285" s="35">
        <v>-3.5441953696421558E-2</v>
      </c>
      <c r="AK285" s="35">
        <v>-7.3899999999999993E-2</v>
      </c>
      <c r="AL285" s="35">
        <v>104.37361369329621</v>
      </c>
      <c r="AM285" s="35">
        <v>-4.0730477713944442</v>
      </c>
    </row>
    <row r="286" spans="1:39" x14ac:dyDescent="0.25">
      <c r="A286" s="35" t="s">
        <v>533</v>
      </c>
      <c r="B286" s="35" t="s">
        <v>534</v>
      </c>
      <c r="C286" s="35">
        <v>0.7319</v>
      </c>
      <c r="D286" s="35">
        <v>112.4838107011424</v>
      </c>
      <c r="E286" s="35">
        <v>113.6475169499443</v>
      </c>
      <c r="F286" s="35">
        <v>59780.15</v>
      </c>
      <c r="G286" s="36">
        <v>-0.45889999999999997</v>
      </c>
      <c r="H286" s="35">
        <v>111.1540857403016</v>
      </c>
      <c r="I286" s="36">
        <v>-2.1940041248247111</v>
      </c>
      <c r="Q286" s="35">
        <v>1.119538782371597</v>
      </c>
      <c r="R286" s="35">
        <v>94.156237177665844</v>
      </c>
      <c r="S286" s="35">
        <v>106.2402403606211</v>
      </c>
      <c r="T286" s="35">
        <v>-12.084003182955231</v>
      </c>
      <c r="U286" s="35">
        <v>-0.1137422425056399</v>
      </c>
      <c r="V286" s="35">
        <v>-0.3604</v>
      </c>
      <c r="W286" s="35">
        <v>92.778210055713643</v>
      </c>
      <c r="X286" s="35">
        <v>-12.67131009795537</v>
      </c>
      <c r="AF286" s="35">
        <v>1.8513999999999999</v>
      </c>
      <c r="AG286" s="35">
        <v>106.8920595661606</v>
      </c>
      <c r="AH286" s="35">
        <v>108.8053057753375</v>
      </c>
      <c r="AI286" s="35">
        <v>-1.913246209176904</v>
      </c>
      <c r="AJ286" s="35">
        <v>-1.758412602715716E-2</v>
      </c>
      <c r="AK286" s="35">
        <v>0.55959999999999999</v>
      </c>
      <c r="AL286" s="35">
        <v>105.53632795572059</v>
      </c>
      <c r="AM286" s="35">
        <v>-3.0044286869306709</v>
      </c>
    </row>
    <row r="287" spans="1:39" x14ac:dyDescent="0.25">
      <c r="A287" s="35" t="s">
        <v>534</v>
      </c>
      <c r="B287" s="35" t="s">
        <v>535</v>
      </c>
      <c r="C287" s="35">
        <v>-0.80359999999999998</v>
      </c>
      <c r="D287" s="35">
        <v>111.579890798348</v>
      </c>
      <c r="E287" s="35">
        <v>113.6475169499443</v>
      </c>
      <c r="F287" s="35">
        <v>60287.4</v>
      </c>
      <c r="G287" s="36">
        <v>-2.5200999999999998</v>
      </c>
      <c r="H287" s="35">
        <v>109.64910618766289</v>
      </c>
      <c r="I287" s="36">
        <v>-3.5182561569228281</v>
      </c>
      <c r="Q287" s="35">
        <v>1.2595411699177319</v>
      </c>
      <c r="R287" s="35">
        <v>95.34217374896393</v>
      </c>
      <c r="S287" s="35">
        <v>106.2402403606211</v>
      </c>
      <c r="T287" s="35">
        <v>-10.898066611657139</v>
      </c>
      <c r="U287" s="35">
        <v>-0.1025794611784087</v>
      </c>
      <c r="V287" s="35">
        <v>-3.7900000000000003E-2</v>
      </c>
      <c r="W287" s="35">
        <v>94.120551963775512</v>
      </c>
      <c r="X287" s="35">
        <v>-11.407813419573021</v>
      </c>
      <c r="AF287" s="35">
        <v>0.45590000000000003</v>
      </c>
      <c r="AG287" s="35">
        <v>107.3793804657227</v>
      </c>
      <c r="AH287" s="35">
        <v>108.8053057753375</v>
      </c>
      <c r="AI287" s="35">
        <v>-1.425925309614783</v>
      </c>
      <c r="AJ287" s="35">
        <v>-1.3105292057715009E-2</v>
      </c>
      <c r="AK287" s="35">
        <v>-0.7026</v>
      </c>
      <c r="AL287" s="35">
        <v>106.1410359556487</v>
      </c>
      <c r="AM287" s="35">
        <v>-2.448657995769032</v>
      </c>
    </row>
    <row r="288" spans="1:39" x14ac:dyDescent="0.25">
      <c r="A288" s="35" t="s">
        <v>535</v>
      </c>
      <c r="B288" s="35" t="s">
        <v>536</v>
      </c>
      <c r="C288" s="35">
        <v>0.41970000000000002</v>
      </c>
      <c r="D288" s="35">
        <v>112.0481916000287</v>
      </c>
      <c r="E288" s="35">
        <v>113.6475169499443</v>
      </c>
      <c r="F288" s="35">
        <v>59843.15</v>
      </c>
      <c r="G288" s="36">
        <v>1.3899999999999999E-2</v>
      </c>
      <c r="H288" s="35">
        <v>111.59540040316899</v>
      </c>
      <c r="I288" s="36">
        <v>-1.805685334664286</v>
      </c>
      <c r="Q288" s="35">
        <v>-0.52996394989859685</v>
      </c>
      <c r="R288" s="35">
        <v>94.83689459904474</v>
      </c>
      <c r="S288" s="35">
        <v>106.2402403606211</v>
      </c>
      <c r="T288" s="35">
        <v>-11.403345761576331</v>
      </c>
      <c r="U288" s="35">
        <v>-0.1073354665131489</v>
      </c>
      <c r="V288" s="35">
        <v>-0.83589999999999998</v>
      </c>
      <c r="W288" s="35">
        <v>94.54520851859634</v>
      </c>
      <c r="X288" s="35">
        <v>-11.008099946241851</v>
      </c>
      <c r="AF288" s="35">
        <v>-0.1103</v>
      </c>
      <c r="AG288" s="35">
        <v>107.260941009069</v>
      </c>
      <c r="AH288" s="35">
        <v>108.8053057753375</v>
      </c>
      <c r="AI288" s="35">
        <v>-1.544364766268473</v>
      </c>
      <c r="AJ288" s="35">
        <v>-1.4193836920575331E-2</v>
      </c>
      <c r="AK288" s="35">
        <v>-0.1142</v>
      </c>
      <c r="AL288" s="35">
        <v>107.25675321323079</v>
      </c>
      <c r="AM288" s="35">
        <v>-1.4232325814185101</v>
      </c>
    </row>
    <row r="289" spans="1:39" x14ac:dyDescent="0.25">
      <c r="A289" s="35" t="s">
        <v>536</v>
      </c>
      <c r="B289" s="35" t="s">
        <v>537</v>
      </c>
      <c r="C289" s="35">
        <v>1.2606999999999999</v>
      </c>
      <c r="D289" s="35">
        <v>113.46078315153029</v>
      </c>
      <c r="E289" s="35">
        <v>113.6475169499443</v>
      </c>
      <c r="F289" s="35">
        <v>60124.25</v>
      </c>
      <c r="G289" s="36">
        <v>-0.53580000000000005</v>
      </c>
      <c r="H289" s="35">
        <v>111.4478373894358</v>
      </c>
      <c r="I289" s="36">
        <v>-1.9355280427968751</v>
      </c>
      <c r="Q289" s="35">
        <v>-1.4653353848680419</v>
      </c>
      <c r="R289" s="35">
        <v>93.447216024574928</v>
      </c>
      <c r="S289" s="35">
        <v>106.2402403606211</v>
      </c>
      <c r="T289" s="35">
        <v>-12.793024336046139</v>
      </c>
      <c r="U289" s="35">
        <v>-0.120415995790499</v>
      </c>
      <c r="V289" s="35">
        <v>-1.671</v>
      </c>
      <c r="W289" s="35">
        <v>93.252170090294698</v>
      </c>
      <c r="X289" s="35">
        <v>-12.225189086771429</v>
      </c>
      <c r="AF289" s="35">
        <v>-0.2046</v>
      </c>
      <c r="AG289" s="35">
        <v>107.0414851237644</v>
      </c>
      <c r="AH289" s="35">
        <v>108.8053057753375</v>
      </c>
      <c r="AI289" s="35">
        <v>-1.763820651573027</v>
      </c>
      <c r="AJ289" s="35">
        <v>-1.6210796330235831E-2</v>
      </c>
      <c r="AK289" s="35">
        <v>-0.23</v>
      </c>
      <c r="AL289" s="35">
        <v>107.0142408447481</v>
      </c>
      <c r="AM289" s="35">
        <v>-1.6461191095658021</v>
      </c>
    </row>
    <row r="290" spans="1:39" x14ac:dyDescent="0.25">
      <c r="A290" s="35" t="s">
        <v>537</v>
      </c>
      <c r="B290" s="35" t="s">
        <v>538</v>
      </c>
      <c r="C290" s="35">
        <v>0.3735</v>
      </c>
      <c r="D290" s="35">
        <v>113.8845591766012</v>
      </c>
      <c r="E290" s="35">
        <v>113.8845591766012</v>
      </c>
      <c r="F290" s="35">
        <v>60902.3</v>
      </c>
      <c r="G290" s="36">
        <v>-0.71150000000000002</v>
      </c>
      <c r="H290" s="35">
        <v>112.65350967940709</v>
      </c>
      <c r="I290" s="36">
        <v>-0.87464055283753561</v>
      </c>
      <c r="Q290" s="35">
        <v>-0.21004181513228579</v>
      </c>
      <c r="R290" s="35">
        <v>93.250937795846326</v>
      </c>
      <c r="S290" s="35">
        <v>106.2402403606211</v>
      </c>
      <c r="T290" s="35">
        <v>-12.98930256477475</v>
      </c>
      <c r="U290" s="35">
        <v>-0.1222634899985538</v>
      </c>
      <c r="V290" s="35">
        <v>-0.55010000000000003</v>
      </c>
      <c r="W290" s="35">
        <v>92.933162889223738</v>
      </c>
      <c r="X290" s="35">
        <v>-12.525458739765551</v>
      </c>
      <c r="AF290" s="35">
        <v>0.16350000000000001</v>
      </c>
      <c r="AG290" s="35">
        <v>107.2164979519418</v>
      </c>
      <c r="AH290" s="35">
        <v>108.8053057753375</v>
      </c>
      <c r="AI290" s="35">
        <v>-1.5888078233956691</v>
      </c>
      <c r="AJ290" s="35">
        <v>-1.4602300982235731E-2</v>
      </c>
      <c r="AK290" s="35">
        <v>-0.1268</v>
      </c>
      <c r="AL290" s="35">
        <v>106.90575652062751</v>
      </c>
      <c r="AM290" s="35">
        <v>-1.74582410404891</v>
      </c>
    </row>
    <row r="291" spans="1:39" x14ac:dyDescent="0.25">
      <c r="A291" s="35" t="s">
        <v>538</v>
      </c>
      <c r="B291" s="35" t="s">
        <v>539</v>
      </c>
      <c r="C291" s="35">
        <v>-1.9128000000000001</v>
      </c>
      <c r="D291" s="35">
        <v>111.70617532867119</v>
      </c>
      <c r="E291" s="35">
        <v>113.8845591766012</v>
      </c>
      <c r="F291" s="35">
        <v>61180.5</v>
      </c>
      <c r="G291" s="36">
        <v>-2.0952000000000002</v>
      </c>
      <c r="H291" s="35">
        <v>111.49844989273311</v>
      </c>
      <c r="I291" s="36">
        <v>-2.0951999999999971</v>
      </c>
      <c r="Q291" s="35">
        <v>0.23622395337796409</v>
      </c>
      <c r="R291" s="35">
        <v>93.471218847669704</v>
      </c>
      <c r="S291" s="35">
        <v>106.2402403606211</v>
      </c>
      <c r="T291" s="35">
        <v>-12.769021512951371</v>
      </c>
      <c r="U291" s="35">
        <v>-0.1201900661143866</v>
      </c>
      <c r="V291" s="35">
        <v>-0.86670000000000003</v>
      </c>
      <c r="W291" s="35">
        <v>92.442731917969724</v>
      </c>
      <c r="X291" s="35">
        <v>-12.987083233073641</v>
      </c>
      <c r="AF291" s="35">
        <v>-1.6766000000000001</v>
      </c>
      <c r="AG291" s="35">
        <v>105.4189061472795</v>
      </c>
      <c r="AH291" s="35">
        <v>108.8053057753375</v>
      </c>
      <c r="AI291" s="35">
        <v>-3.3863996280579158</v>
      </c>
      <c r="AJ291" s="35">
        <v>-3.1123478803967479E-2</v>
      </c>
      <c r="AK291" s="35">
        <v>-1.6766000000000001</v>
      </c>
      <c r="AL291" s="35">
        <v>105.4189061472795</v>
      </c>
      <c r="AM291" s="35">
        <v>-3.112347880396749</v>
      </c>
    </row>
    <row r="292" spans="1:39" x14ac:dyDescent="0.25">
      <c r="A292" s="35" t="s">
        <v>539</v>
      </c>
      <c r="B292" s="35" t="s">
        <v>540</v>
      </c>
      <c r="C292" s="35">
        <v>1.4842</v>
      </c>
      <c r="D292" s="35">
        <v>113.36411838289931</v>
      </c>
      <c r="E292" s="35">
        <v>113.8845591766012</v>
      </c>
      <c r="F292" s="35">
        <v>60081.599999999999</v>
      </c>
      <c r="G292" s="36">
        <v>-0.22950000000000001</v>
      </c>
      <c r="H292" s="35">
        <v>111.4498096562919</v>
      </c>
      <c r="I292" s="36">
        <v>-2.1379101240000091</v>
      </c>
      <c r="Q292" s="35">
        <v>-0.43529343785512042</v>
      </c>
      <c r="R292" s="35">
        <v>93.064344765742604</v>
      </c>
      <c r="S292" s="35">
        <v>106.2402403606211</v>
      </c>
      <c r="T292" s="35">
        <v>-13.175895594878471</v>
      </c>
      <c r="U292" s="35">
        <v>-0.1240198210221881</v>
      </c>
      <c r="V292" s="35">
        <v>-1.2845</v>
      </c>
      <c r="W292" s="35">
        <v>92.27058104157139</v>
      </c>
      <c r="X292" s="35">
        <v>-13.14912247151473</v>
      </c>
      <c r="AF292" s="35">
        <v>1.0488999999999999</v>
      </c>
      <c r="AG292" s="35">
        <v>106.52464505385841</v>
      </c>
      <c r="AH292" s="35">
        <v>108.8053057753375</v>
      </c>
      <c r="AI292" s="35">
        <v>-2.280660721479109</v>
      </c>
      <c r="AJ292" s="35">
        <v>-2.096093297314237E-2</v>
      </c>
      <c r="AK292" s="35">
        <v>0.32119999999999999</v>
      </c>
      <c r="AL292" s="35">
        <v>105.7575116738246</v>
      </c>
      <c r="AM292" s="35">
        <v>-2.8011447417885749</v>
      </c>
    </row>
    <row r="293" spans="1:39" x14ac:dyDescent="0.25">
      <c r="A293" s="35" t="s">
        <v>540</v>
      </c>
      <c r="B293" s="35" t="s">
        <v>541</v>
      </c>
      <c r="C293" s="35">
        <v>-2.6644999999999999</v>
      </c>
      <c r="D293" s="35">
        <v>110.343531448587</v>
      </c>
      <c r="E293" s="35">
        <v>113.8845591766012</v>
      </c>
      <c r="F293" s="35">
        <v>61043.4</v>
      </c>
      <c r="G293" s="36">
        <v>-3.1034999999999999</v>
      </c>
      <c r="H293" s="35">
        <v>109.8458629688861</v>
      </c>
      <c r="I293" s="36">
        <v>-3.5463070998521862</v>
      </c>
      <c r="Q293" s="35">
        <v>0.82366312331069791</v>
      </c>
      <c r="R293" s="35">
        <v>93.830881454528765</v>
      </c>
      <c r="S293" s="35">
        <v>106.2402403606211</v>
      </c>
      <c r="T293" s="35">
        <v>-12.40935890609231</v>
      </c>
      <c r="U293" s="35">
        <v>-0.1168046953204367</v>
      </c>
      <c r="V293" s="35">
        <v>-0.14419999999999999</v>
      </c>
      <c r="W293" s="35">
        <v>92.930145980590396</v>
      </c>
      <c r="X293" s="35">
        <v>-12.528298444027421</v>
      </c>
      <c r="AF293" s="35">
        <v>-1.8408</v>
      </c>
      <c r="AG293" s="35">
        <v>104.5637393877069</v>
      </c>
      <c r="AH293" s="35">
        <v>108.8053057753375</v>
      </c>
      <c r="AI293" s="35">
        <v>-4.2415663876305274</v>
      </c>
      <c r="AJ293" s="35">
        <v>-3.8983084118972708E-2</v>
      </c>
      <c r="AK293" s="35">
        <v>-2.1101999999999999</v>
      </c>
      <c r="AL293" s="35">
        <v>104.2767619939318</v>
      </c>
      <c r="AM293" s="35">
        <v>-4.1620615365543063</v>
      </c>
    </row>
    <row r="294" spans="1:39" x14ac:dyDescent="0.25">
      <c r="A294" s="35" t="s">
        <v>541</v>
      </c>
      <c r="B294" s="35" t="s">
        <v>542</v>
      </c>
      <c r="C294" s="35">
        <v>1.1015999999999999</v>
      </c>
      <c r="D294" s="35">
        <v>111.5590757910246</v>
      </c>
      <c r="E294" s="35">
        <v>113.8845591766012</v>
      </c>
      <c r="F294" s="35">
        <v>59488.1</v>
      </c>
      <c r="G294" s="36">
        <v>-1.6011</v>
      </c>
      <c r="H294" s="35">
        <v>108.5768211665637</v>
      </c>
      <c r="I294" s="36">
        <v>-4.6606300699701064</v>
      </c>
      <c r="Q294" s="35">
        <v>1.4059794572919259E-2</v>
      </c>
      <c r="R294" s="35">
        <v>93.844073883707225</v>
      </c>
      <c r="S294" s="35">
        <v>106.2402403606211</v>
      </c>
      <c r="T294" s="35">
        <v>-12.39616647691385</v>
      </c>
      <c r="U294" s="35">
        <v>-0.1166805198749212</v>
      </c>
      <c r="V294" s="35">
        <v>-0.2515</v>
      </c>
      <c r="W294" s="35">
        <v>93.594896787670621</v>
      </c>
      <c r="X294" s="35">
        <v>-11.90259315117058</v>
      </c>
      <c r="AF294" s="35">
        <v>1.1156999999999999</v>
      </c>
      <c r="AG294" s="35">
        <v>105.73035702805559</v>
      </c>
      <c r="AH294" s="35">
        <v>108.8053057753375</v>
      </c>
      <c r="AI294" s="35">
        <v>-3.0749487472818662</v>
      </c>
      <c r="AJ294" s="35">
        <v>-2.8261018388487949E-2</v>
      </c>
      <c r="AK294" s="35">
        <v>-0.66600000000000004</v>
      </c>
      <c r="AL294" s="35">
        <v>103.8673448833848</v>
      </c>
      <c r="AM294" s="35">
        <v>-4.5383456778740339</v>
      </c>
    </row>
    <row r="295" spans="1:39" x14ac:dyDescent="0.25">
      <c r="A295" s="35" t="s">
        <v>542</v>
      </c>
      <c r="B295" s="35" t="s">
        <v>543</v>
      </c>
      <c r="C295" s="35">
        <v>0.88390000000000002</v>
      </c>
      <c r="D295" s="35">
        <v>112.5451464619415</v>
      </c>
      <c r="E295" s="35">
        <v>113.8845591766012</v>
      </c>
      <c r="F295" s="35">
        <v>60212.800000000003</v>
      </c>
      <c r="G295" s="36">
        <v>-2.1255000000000002</v>
      </c>
      <c r="H295" s="35">
        <v>109.1878876350864</v>
      </c>
      <c r="I295" s="36">
        <v>-4.1240635038431446</v>
      </c>
      <c r="Q295" s="35">
        <v>-0.25607727270980851</v>
      </c>
      <c r="R295" s="35">
        <v>93.603760538706055</v>
      </c>
      <c r="S295" s="35">
        <v>106.2402403606211</v>
      </c>
      <c r="T295" s="35">
        <v>-12.636479821915019</v>
      </c>
      <c r="U295" s="35">
        <v>-0.11894250030893989</v>
      </c>
      <c r="V295" s="35">
        <v>-0.29699999999999999</v>
      </c>
      <c r="W295" s="35">
        <v>93.565356984272611</v>
      </c>
      <c r="X295" s="35">
        <v>-11.930397873089269</v>
      </c>
      <c r="AF295" s="35">
        <v>0.62780000000000002</v>
      </c>
      <c r="AG295" s="35">
        <v>106.3941322094777</v>
      </c>
      <c r="AH295" s="35">
        <v>108.8053057753375</v>
      </c>
      <c r="AI295" s="35">
        <v>-2.4111735658597269</v>
      </c>
      <c r="AJ295" s="35">
        <v>-2.2160441061930821E-2</v>
      </c>
      <c r="AK295" s="35">
        <v>-1.0146999999999999</v>
      </c>
      <c r="AL295" s="35">
        <v>104.65751109529189</v>
      </c>
      <c r="AM295" s="35">
        <v>-3.8121253834899949</v>
      </c>
    </row>
    <row r="296" spans="1:39" x14ac:dyDescent="0.25">
      <c r="A296" s="35" t="s">
        <v>543</v>
      </c>
      <c r="B296" s="35" t="s">
        <v>544</v>
      </c>
      <c r="C296" s="35">
        <v>-1.4551000000000001</v>
      </c>
      <c r="D296" s="35">
        <v>110.9075020357738</v>
      </c>
      <c r="E296" s="35">
        <v>113.8845591766012</v>
      </c>
      <c r="F296" s="35">
        <v>60815.25</v>
      </c>
      <c r="G296" s="36">
        <v>-1.5661</v>
      </c>
      <c r="H296" s="35">
        <v>110.78257692320101</v>
      </c>
      <c r="I296" s="36">
        <v>-2.7237952851799418</v>
      </c>
      <c r="Q296" s="35">
        <v>0.53109382402836569</v>
      </c>
      <c r="R296" s="35">
        <v>94.100884329985419</v>
      </c>
      <c r="S296" s="35">
        <v>106.2402403606211</v>
      </c>
      <c r="T296" s="35">
        <v>-12.13935603063565</v>
      </c>
      <c r="U296" s="35">
        <v>-0.114263258341942</v>
      </c>
      <c r="V296" s="35">
        <v>-0.24429999999999999</v>
      </c>
      <c r="W296" s="35">
        <v>93.375086551709998</v>
      </c>
      <c r="X296" s="35">
        <v>-12.109492378068509</v>
      </c>
      <c r="AF296" s="35">
        <v>-0.92400000000000004</v>
      </c>
      <c r="AG296" s="35">
        <v>105.41105042786219</v>
      </c>
      <c r="AH296" s="35">
        <v>108.8053057753375</v>
      </c>
      <c r="AI296" s="35">
        <v>-3.3942553474753079</v>
      </c>
      <c r="AJ296" s="35">
        <v>-3.1195678586518651E-2</v>
      </c>
      <c r="AK296" s="35">
        <v>-0.96779999999999999</v>
      </c>
      <c r="AL296" s="35">
        <v>105.36444979795441</v>
      </c>
      <c r="AM296" s="35">
        <v>-3.162397231333347</v>
      </c>
    </row>
    <row r="297" spans="1:39" x14ac:dyDescent="0.25">
      <c r="A297" s="35" t="s">
        <v>544</v>
      </c>
      <c r="B297" s="35" t="s">
        <v>545</v>
      </c>
      <c r="C297" s="35">
        <v>2.2075999999999998</v>
      </c>
      <c r="D297" s="35">
        <v>113.3558960507155</v>
      </c>
      <c r="E297" s="35">
        <v>113.8845591766012</v>
      </c>
      <c r="F297" s="35">
        <v>60001.3</v>
      </c>
      <c r="G297" s="36">
        <v>-0.46250000000000002</v>
      </c>
      <c r="H297" s="35">
        <v>110.3945548388583</v>
      </c>
      <c r="I297" s="36">
        <v>-3.0645105561070469</v>
      </c>
      <c r="Q297" s="35">
        <v>-1.357831478561875</v>
      </c>
      <c r="R297" s="35">
        <v>92.823152900947775</v>
      </c>
      <c r="S297" s="35">
        <v>106.2402403606211</v>
      </c>
      <c r="T297" s="35">
        <v>-13.417087459673301</v>
      </c>
      <c r="U297" s="35">
        <v>-0.12629007063736339</v>
      </c>
      <c r="V297" s="35">
        <v>-1.4560999999999999</v>
      </c>
      <c r="W297" s="35">
        <v>92.7306813532565</v>
      </c>
      <c r="X297" s="35">
        <v>-12.7160471037225</v>
      </c>
      <c r="AF297" s="35">
        <v>0.8498</v>
      </c>
      <c r="AG297" s="35">
        <v>106.30683353439809</v>
      </c>
      <c r="AH297" s="35">
        <v>108.8053057753375</v>
      </c>
      <c r="AI297" s="35">
        <v>-2.4984722409393498</v>
      </c>
      <c r="AJ297" s="35">
        <v>-2.2962779463147009E-2</v>
      </c>
      <c r="AK297" s="35">
        <v>-0.152</v>
      </c>
      <c r="AL297" s="35">
        <v>105.2508256312118</v>
      </c>
      <c r="AM297" s="35">
        <v>-3.2668261155067051</v>
      </c>
    </row>
    <row r="298" spans="1:39" x14ac:dyDescent="0.25">
      <c r="A298" s="35" t="s">
        <v>545</v>
      </c>
      <c r="B298" s="35" t="s">
        <v>546</v>
      </c>
      <c r="C298" s="35">
        <v>-0.21329999999999999</v>
      </c>
      <c r="D298" s="35">
        <v>113.1141079244393</v>
      </c>
      <c r="E298" s="35">
        <v>113.8845591766012</v>
      </c>
      <c r="F298" s="35">
        <v>61365.9</v>
      </c>
      <c r="G298" s="36">
        <v>-0.69389999999999996</v>
      </c>
      <c r="H298" s="35">
        <v>112.5693194880196</v>
      </c>
      <c r="I298" s="36">
        <v>-1.154888509988516</v>
      </c>
      <c r="Q298" s="35">
        <v>0.28087380429229869</v>
      </c>
      <c r="R298" s="35">
        <v>93.083868821764725</v>
      </c>
      <c r="S298" s="35">
        <v>106.2402403606211</v>
      </c>
      <c r="T298" s="35">
        <v>-13.15637153885635</v>
      </c>
      <c r="U298" s="35">
        <v>-0.123836048320283</v>
      </c>
      <c r="V298" s="35">
        <v>-0.16850000000000001</v>
      </c>
      <c r="W298" s="35">
        <v>92.666745888309677</v>
      </c>
      <c r="X298" s="35">
        <v>-12.776227186833941</v>
      </c>
      <c r="AF298" s="35">
        <v>6.7599999999999993E-2</v>
      </c>
      <c r="AG298" s="35">
        <v>106.3786969538673</v>
      </c>
      <c r="AH298" s="35">
        <v>108.8053057753375</v>
      </c>
      <c r="AI298" s="35">
        <v>-2.4266088214701109</v>
      </c>
      <c r="AJ298" s="35">
        <v>-2.2302302302064231E-2</v>
      </c>
      <c r="AK298" s="35">
        <v>-0.36720000000000003</v>
      </c>
      <c r="AL298" s="35">
        <v>105.91647484165981</v>
      </c>
      <c r="AM298" s="35">
        <v>-2.6550460136958391</v>
      </c>
    </row>
    <row r="299" spans="1:39" x14ac:dyDescent="0.25">
      <c r="A299" s="35" t="s">
        <v>546</v>
      </c>
      <c r="B299" s="35" t="s">
        <v>547</v>
      </c>
      <c r="C299" s="35">
        <v>-1.7526999999999999</v>
      </c>
      <c r="D299" s="35">
        <v>111.1315569548477</v>
      </c>
      <c r="E299" s="35">
        <v>113.8845591766012</v>
      </c>
      <c r="F299" s="35">
        <v>61265.7</v>
      </c>
      <c r="G299" s="36">
        <v>-1.8784000000000001</v>
      </c>
      <c r="H299" s="35">
        <v>110.9893725211867</v>
      </c>
      <c r="I299" s="36">
        <v>-2.5422117593000499</v>
      </c>
      <c r="Q299" s="35">
        <v>0.72018224553624155</v>
      </c>
      <c r="R299" s="35">
        <v>93.754242318477324</v>
      </c>
      <c r="S299" s="35">
        <v>106.2402403606211</v>
      </c>
      <c r="T299" s="35">
        <v>-12.48599804214375</v>
      </c>
      <c r="U299" s="35">
        <v>-0.1175260710984969</v>
      </c>
      <c r="V299" s="35">
        <v>-0.1507</v>
      </c>
      <c r="W299" s="35">
        <v>92.943591431450315</v>
      </c>
      <c r="X299" s="35">
        <v>-12.51564273954644</v>
      </c>
      <c r="AF299" s="35">
        <v>-1.0325</v>
      </c>
      <c r="AG299" s="35">
        <v>105.28033690781869</v>
      </c>
      <c r="AH299" s="35">
        <v>108.8053057753375</v>
      </c>
      <c r="AI299" s="35">
        <v>-3.524968867518794</v>
      </c>
      <c r="AJ299" s="35">
        <v>-3.2397031030795442E-2</v>
      </c>
      <c r="AK299" s="35">
        <v>-1.0941000000000001</v>
      </c>
      <c r="AL299" s="35">
        <v>105.2148076304951</v>
      </c>
      <c r="AM299" s="35">
        <v>-3.2999292812577301</v>
      </c>
    </row>
    <row r="300" spans="1:39" x14ac:dyDescent="0.25">
      <c r="A300" s="35" t="s">
        <v>547</v>
      </c>
      <c r="B300" s="35" t="s">
        <v>548</v>
      </c>
      <c r="C300" s="35">
        <v>-0.90600000000000003</v>
      </c>
      <c r="D300" s="35">
        <v>110.1247050488368</v>
      </c>
      <c r="E300" s="35">
        <v>113.8845591766012</v>
      </c>
      <c r="F300" s="35">
        <v>60222.55</v>
      </c>
      <c r="G300" s="36">
        <v>-2.3809</v>
      </c>
      <c r="H300" s="35">
        <v>108.48562571530969</v>
      </c>
      <c r="I300" s="36">
        <v>-4.7407071690195979</v>
      </c>
      <c r="Q300" s="35">
        <v>0.47378255081279208</v>
      </c>
      <c r="R300" s="35">
        <v>94.198433559229002</v>
      </c>
      <c r="S300" s="35">
        <v>106.2402403606211</v>
      </c>
      <c r="T300" s="35">
        <v>-12.04180680139207</v>
      </c>
      <c r="U300" s="35">
        <v>-0.1133450636078896</v>
      </c>
      <c r="V300" s="35">
        <v>-0.16889999999999999</v>
      </c>
      <c r="W300" s="35">
        <v>93.595891403201406</v>
      </c>
      <c r="X300" s="35">
        <v>-11.901656956441171</v>
      </c>
      <c r="AF300" s="35">
        <v>-0.43219999999999997</v>
      </c>
      <c r="AG300" s="35">
        <v>104.82531529170311</v>
      </c>
      <c r="AH300" s="35">
        <v>108.8053057753375</v>
      </c>
      <c r="AI300" s="35">
        <v>-3.979990483634396</v>
      </c>
      <c r="AJ300" s="35">
        <v>-3.6579011062680418E-2</v>
      </c>
      <c r="AK300" s="35">
        <v>-1.0421</v>
      </c>
      <c r="AL300" s="35">
        <v>104.18321051690231</v>
      </c>
      <c r="AM300" s="35">
        <v>-4.2480421570423648</v>
      </c>
    </row>
    <row r="301" spans="1:39" x14ac:dyDescent="0.25">
      <c r="A301" s="35" t="s">
        <v>548</v>
      </c>
      <c r="B301" s="35" t="s">
        <v>549</v>
      </c>
      <c r="C301" s="35">
        <v>-0.23300000000000001</v>
      </c>
      <c r="D301" s="35">
        <v>109.868114486073</v>
      </c>
      <c r="E301" s="35">
        <v>113.8845591766012</v>
      </c>
      <c r="F301" s="35">
        <v>59717.1</v>
      </c>
      <c r="G301" s="36">
        <v>-1.0975999999999999</v>
      </c>
      <c r="H301" s="35">
        <v>108.9159762862208</v>
      </c>
      <c r="I301" s="36">
        <v>-4.3628240090701764</v>
      </c>
      <c r="Q301" s="35">
        <v>1.1587712410697839</v>
      </c>
      <c r="R301" s="35">
        <v>95.289977916851569</v>
      </c>
      <c r="S301" s="35">
        <v>106.2402403606211</v>
      </c>
      <c r="T301" s="35">
        <v>-10.9502624437695</v>
      </c>
      <c r="U301" s="35">
        <v>-0.1030707611974523</v>
      </c>
      <c r="V301" s="35">
        <v>-0.45989999999999998</v>
      </c>
      <c r="W301" s="35">
        <v>93.765214963290106</v>
      </c>
      <c r="X301" s="35">
        <v>-11.742278966035689</v>
      </c>
      <c r="AF301" s="35">
        <v>0.92579999999999996</v>
      </c>
      <c r="AG301" s="35">
        <v>105.7957880606736</v>
      </c>
      <c r="AH301" s="35">
        <v>108.8053057753375</v>
      </c>
      <c r="AI301" s="35">
        <v>-3.009517714663815</v>
      </c>
      <c r="AJ301" s="35">
        <v>-2.7659659547098779E-2</v>
      </c>
      <c r="AK301" s="35">
        <v>0.34399999999999997</v>
      </c>
      <c r="AL301" s="35">
        <v>105.1859143763065</v>
      </c>
      <c r="AM301" s="35">
        <v>-3.3264842860735939</v>
      </c>
    </row>
    <row r="302" spans="1:39" x14ac:dyDescent="0.25">
      <c r="A302" s="35" t="s">
        <v>549</v>
      </c>
      <c r="B302" s="35" t="s">
        <v>550</v>
      </c>
      <c r="C302" s="35">
        <v>-2.6358999999999999</v>
      </c>
      <c r="D302" s="35">
        <v>106.97210085633461</v>
      </c>
      <c r="E302" s="35">
        <v>113.8845591766012</v>
      </c>
      <c r="F302" s="35">
        <v>59647.65</v>
      </c>
      <c r="G302" s="36">
        <v>-2.9483999999999999</v>
      </c>
      <c r="H302" s="35">
        <v>106.62876299856561</v>
      </c>
      <c r="I302" s="36">
        <v>-6.371185198850382</v>
      </c>
      <c r="Q302" s="35">
        <v>1.6374508999237849</v>
      </c>
      <c r="R302" s="35">
        <v>96.850304517788217</v>
      </c>
      <c r="S302" s="35">
        <v>106.2402403606211</v>
      </c>
      <c r="T302" s="35">
        <v>-9.3899358428328554</v>
      </c>
      <c r="U302" s="35">
        <v>-8.8383985305000509E-2</v>
      </c>
      <c r="V302" s="35">
        <v>2.000000000000005E-4</v>
      </c>
      <c r="W302" s="35">
        <v>95.290168496807411</v>
      </c>
      <c r="X302" s="35">
        <v>-10.30689673389745</v>
      </c>
      <c r="AF302" s="35">
        <v>-0.99839999999999995</v>
      </c>
      <c r="AG302" s="35">
        <v>104.73952291267589</v>
      </c>
      <c r="AH302" s="35">
        <v>108.8053057753375</v>
      </c>
      <c r="AI302" s="35">
        <v>-4.0657828626615782</v>
      </c>
      <c r="AJ302" s="35">
        <v>-3.7367505506180523E-2</v>
      </c>
      <c r="AK302" s="35">
        <v>-1.1596</v>
      </c>
      <c r="AL302" s="35">
        <v>104.5689801023221</v>
      </c>
      <c r="AM302" s="35">
        <v>-3.893491813499061</v>
      </c>
    </row>
    <row r="303" spans="1:39" x14ac:dyDescent="0.25">
      <c r="A303" s="35" t="s">
        <v>550</v>
      </c>
      <c r="B303" s="35" t="s">
        <v>551</v>
      </c>
      <c r="C303" s="35">
        <v>-1.1558999999999999</v>
      </c>
      <c r="D303" s="35">
        <v>105.73561034253621</v>
      </c>
      <c r="E303" s="35">
        <v>113.8845591766012</v>
      </c>
      <c r="F303" s="35">
        <v>58085.35</v>
      </c>
      <c r="G303" s="36">
        <v>-2.4338000000000002</v>
      </c>
      <c r="H303" s="35">
        <v>104.36861386569311</v>
      </c>
      <c r="I303" s="36">
        <v>-8.35578183707214</v>
      </c>
      <c r="Q303" s="35">
        <v>0.48588130387397199</v>
      </c>
      <c r="R303" s="35">
        <v>97.320882040185154</v>
      </c>
      <c r="S303" s="35">
        <v>106.2402403606211</v>
      </c>
      <c r="T303" s="35">
        <v>-8.9193583204359186</v>
      </c>
      <c r="U303" s="35">
        <v>-8.3954613526476554E-2</v>
      </c>
      <c r="V303" s="35">
        <v>-0.54210000000000003</v>
      </c>
      <c r="W303" s="35">
        <v>96.325279016997285</v>
      </c>
      <c r="X303" s="35">
        <v>-9.3325855720662094</v>
      </c>
      <c r="AF303" s="35">
        <v>-0.67</v>
      </c>
      <c r="AG303" s="35">
        <v>104.03776810916099</v>
      </c>
      <c r="AH303" s="35">
        <v>108.8053057753375</v>
      </c>
      <c r="AI303" s="35">
        <v>-4.7675376661765094</v>
      </c>
      <c r="AJ303" s="35">
        <v>-4.3817143219289131E-2</v>
      </c>
      <c r="AK303" s="35">
        <v>-0.85760000000000003</v>
      </c>
      <c r="AL303" s="35">
        <v>103.8412767641768</v>
      </c>
      <c r="AM303" s="35">
        <v>-4.5623041778959594</v>
      </c>
    </row>
    <row r="304" spans="1:39" x14ac:dyDescent="0.25">
      <c r="A304" s="35" t="s">
        <v>551</v>
      </c>
      <c r="B304" s="35" t="s">
        <v>261</v>
      </c>
      <c r="C304" s="35">
        <v>-0.51749999999999996</v>
      </c>
      <c r="D304" s="35">
        <v>105.1884285590136</v>
      </c>
      <c r="E304" s="35">
        <v>113.8845591766012</v>
      </c>
      <c r="F304" s="35">
        <v>57423.65</v>
      </c>
      <c r="G304" s="36">
        <v>-0.68569999999999998</v>
      </c>
      <c r="H304" s="35">
        <v>105.0105812624174</v>
      </c>
      <c r="I304" s="36">
        <v>-7.7920817170858854</v>
      </c>
      <c r="Q304" s="35">
        <v>0.37742223988870122</v>
      </c>
      <c r="R304" s="35">
        <v>97.688192693060657</v>
      </c>
      <c r="S304" s="35">
        <v>106.2402403606211</v>
      </c>
      <c r="T304" s="35">
        <v>-8.5520476675604158</v>
      </c>
      <c r="U304" s="35">
        <v>-8.0497254510451116E-2</v>
      </c>
      <c r="V304" s="35">
        <v>-1.2176</v>
      </c>
      <c r="W304" s="35">
        <v>96.135902980463868</v>
      </c>
      <c r="X304" s="35">
        <v>-9.5108382152178095</v>
      </c>
      <c r="AF304" s="35">
        <v>-0.1401</v>
      </c>
      <c r="AG304" s="35">
        <v>103.89201119604</v>
      </c>
      <c r="AH304" s="35">
        <v>108.8053057753375</v>
      </c>
      <c r="AI304" s="35">
        <v>-4.9132945792974434</v>
      </c>
      <c r="AJ304" s="35">
        <v>-4.5156755401638903E-2</v>
      </c>
      <c r="AK304" s="35">
        <v>-0.1646</v>
      </c>
      <c r="AL304" s="35">
        <v>103.8665219428533</v>
      </c>
      <c r="AM304" s="35">
        <v>-4.539102020155017</v>
      </c>
    </row>
    <row r="305" spans="1:39" x14ac:dyDescent="0.25">
      <c r="A305" s="35" t="s">
        <v>263</v>
      </c>
      <c r="B305" s="35" t="s">
        <v>552</v>
      </c>
      <c r="C305" s="35">
        <v>0.56040000000000001</v>
      </c>
      <c r="D305" s="35">
        <v>100.5604</v>
      </c>
      <c r="E305" s="35">
        <v>100.5604</v>
      </c>
      <c r="F305" s="35">
        <v>59784.85</v>
      </c>
      <c r="G305" s="36">
        <v>-6.2E-2</v>
      </c>
      <c r="H305" s="35">
        <v>99.938000000000002</v>
      </c>
      <c r="I305" s="36">
        <v>-6.1999999999995392E-2</v>
      </c>
      <c r="Q305" s="35">
        <v>-0.28773770655754438</v>
      </c>
      <c r="R305" s="35">
        <v>99.71226229344245</v>
      </c>
      <c r="S305" s="35">
        <v>100</v>
      </c>
      <c r="T305" s="35">
        <v>-0.28773770655755021</v>
      </c>
      <c r="U305" s="35">
        <v>-2.877377065575502E-3</v>
      </c>
      <c r="V305" s="35">
        <v>-1.1940999999999999</v>
      </c>
      <c r="W305" s="35">
        <v>98.805900000000008</v>
      </c>
      <c r="X305" s="35">
        <v>-1.1940999999999871</v>
      </c>
      <c r="AF305" s="35">
        <v>0.2727</v>
      </c>
      <c r="AG305" s="35">
        <v>100.2727</v>
      </c>
      <c r="AH305" s="35">
        <v>100.2727</v>
      </c>
      <c r="AI305" s="35"/>
      <c r="AJ305" s="35">
        <v>0</v>
      </c>
      <c r="AK305" s="35">
        <v>4.1599999999999998E-2</v>
      </c>
      <c r="AL305" s="35">
        <v>100.0416</v>
      </c>
      <c r="AM305" s="35">
        <v>4.1599999999997188E-2</v>
      </c>
    </row>
    <row r="306" spans="1:39" x14ac:dyDescent="0.25">
      <c r="A306" s="35" t="s">
        <v>552</v>
      </c>
      <c r="B306" s="35" t="s">
        <v>553</v>
      </c>
      <c r="C306" s="35">
        <v>1.7096</v>
      </c>
      <c r="D306" s="35">
        <v>102.2795805984</v>
      </c>
      <c r="E306" s="35">
        <v>102.2795805984</v>
      </c>
      <c r="F306" s="35">
        <v>60159.75</v>
      </c>
      <c r="G306" s="36">
        <v>-0.48430000000000001</v>
      </c>
      <c r="H306" s="35">
        <v>100.0733859828</v>
      </c>
      <c r="I306" s="36">
        <v>-0.48430000000001527</v>
      </c>
      <c r="Q306" s="35">
        <v>1.463143623571165</v>
      </c>
      <c r="R306" s="35">
        <v>101.1711959011075</v>
      </c>
      <c r="S306" s="35">
        <v>101.1711959011075</v>
      </c>
      <c r="T306" s="35"/>
      <c r="U306" s="35">
        <v>0</v>
      </c>
      <c r="V306" s="35">
        <v>-1.3789</v>
      </c>
      <c r="W306" s="35">
        <v>98.337329908678171</v>
      </c>
      <c r="X306" s="35">
        <v>-1.6626700913218271</v>
      </c>
      <c r="AF306" s="35">
        <v>3.1726999999999999</v>
      </c>
      <c r="AG306" s="35">
        <v>103.4540519529</v>
      </c>
      <c r="AH306" s="35">
        <v>103.4540519529</v>
      </c>
      <c r="AI306" s="35"/>
      <c r="AJ306" s="35">
        <v>0</v>
      </c>
      <c r="AK306" s="35">
        <v>1.1673</v>
      </c>
      <c r="AL306" s="35">
        <v>101.44318322709999</v>
      </c>
      <c r="AM306" s="35">
        <v>1.167300000000004</v>
      </c>
    </row>
    <row r="307" spans="1:39" x14ac:dyDescent="0.25">
      <c r="A307" s="35" t="s">
        <v>553</v>
      </c>
      <c r="B307" s="35" t="s">
        <v>554</v>
      </c>
      <c r="C307" s="35">
        <v>-2.5531000000000001</v>
      </c>
      <c r="D307" s="35">
        <v>99.668280626142234</v>
      </c>
      <c r="E307" s="35">
        <v>102.2795805984</v>
      </c>
      <c r="F307" s="35">
        <v>61258.400000000001</v>
      </c>
      <c r="G307" s="36">
        <v>-2.6816</v>
      </c>
      <c r="H307" s="35">
        <v>99.536851365073304</v>
      </c>
      <c r="I307" s="36">
        <v>-2.6815999999999951</v>
      </c>
      <c r="Q307" s="35">
        <v>1.999718674748119</v>
      </c>
      <c r="R307" s="35">
        <v>103.19433519900799</v>
      </c>
      <c r="S307" s="35">
        <v>103.19433519900799</v>
      </c>
      <c r="T307" s="35"/>
      <c r="U307" s="35">
        <v>0</v>
      </c>
      <c r="V307" s="35">
        <v>0.2772</v>
      </c>
      <c r="W307" s="35">
        <v>101.45164245614539</v>
      </c>
      <c r="X307" s="35">
        <v>0.27719999999999972</v>
      </c>
      <c r="AF307" s="35">
        <v>-0.5534</v>
      </c>
      <c r="AG307" s="35">
        <v>102.88153722939261</v>
      </c>
      <c r="AH307" s="35">
        <v>103.4540519529</v>
      </c>
      <c r="AI307" s="35">
        <v>-0.57251472350735355</v>
      </c>
      <c r="AJ307" s="35">
        <v>-5.5340000000000484E-3</v>
      </c>
      <c r="AK307" s="35">
        <v>-0.56710000000000005</v>
      </c>
      <c r="AL307" s="35">
        <v>102.8673640242751</v>
      </c>
      <c r="AM307" s="35">
        <v>-0.56709999999999816</v>
      </c>
    </row>
    <row r="308" spans="1:39" x14ac:dyDescent="0.25">
      <c r="A308" s="35" t="s">
        <v>554</v>
      </c>
      <c r="B308" s="35" t="s">
        <v>555</v>
      </c>
      <c r="C308" s="35">
        <v>1.8677999999999999</v>
      </c>
      <c r="D308" s="35">
        <v>101.5298847716773</v>
      </c>
      <c r="E308" s="35">
        <v>102.2795805984</v>
      </c>
      <c r="F308" s="35">
        <v>59704.65</v>
      </c>
      <c r="G308" s="36">
        <v>-0.25779999999999997</v>
      </c>
      <c r="H308" s="35">
        <v>99.411335798688043</v>
      </c>
      <c r="I308" s="36">
        <v>-2.804318108199999</v>
      </c>
      <c r="Q308" s="35">
        <v>-1.477573349358734</v>
      </c>
      <c r="R308" s="35">
        <v>101.6695632040595</v>
      </c>
      <c r="S308" s="35">
        <v>103.19433519900799</v>
      </c>
      <c r="T308" s="35">
        <v>-1.5247719949484519</v>
      </c>
      <c r="U308" s="35">
        <v>-1.477573349358725E-2</v>
      </c>
      <c r="V308" s="35">
        <v>-2.0813000000000001</v>
      </c>
      <c r="W308" s="35">
        <v>101.046551500511</v>
      </c>
      <c r="X308" s="35">
        <v>-2.081299999999997</v>
      </c>
      <c r="AF308" s="35">
        <v>0.39019999999999999</v>
      </c>
      <c r="AG308" s="35">
        <v>103.2829809876617</v>
      </c>
      <c r="AH308" s="35">
        <v>103.4540519529</v>
      </c>
      <c r="AI308" s="35">
        <v>-0.1710709652382576</v>
      </c>
      <c r="AJ308" s="35">
        <v>-1.653593667999992E-3</v>
      </c>
      <c r="AK308" s="35">
        <v>-4.6199999999999998E-2</v>
      </c>
      <c r="AL308" s="35">
        <v>102.83400595919269</v>
      </c>
      <c r="AM308" s="35">
        <v>-0.59934432920001335</v>
      </c>
    </row>
    <row r="309" spans="1:39" x14ac:dyDescent="0.25">
      <c r="A309" s="35" t="s">
        <v>555</v>
      </c>
      <c r="B309" s="35" t="s">
        <v>556</v>
      </c>
      <c r="C309" s="35">
        <v>-0.66810000000000003</v>
      </c>
      <c r="D309" s="35">
        <v>100.8515636115177</v>
      </c>
      <c r="E309" s="35">
        <v>102.2795805984</v>
      </c>
      <c r="F309" s="35">
        <v>60839.7</v>
      </c>
      <c r="G309" s="36">
        <v>-2.3367</v>
      </c>
      <c r="H309" s="35">
        <v>99.157435954217533</v>
      </c>
      <c r="I309" s="36">
        <v>-3.052559099202345</v>
      </c>
      <c r="Q309" s="35">
        <v>0.41051769552883971</v>
      </c>
      <c r="R309" s="35">
        <v>102.0869347519791</v>
      </c>
      <c r="S309" s="35">
        <v>103.19433519900799</v>
      </c>
      <c r="T309" s="35">
        <v>-1.1074004470289081</v>
      </c>
      <c r="U309" s="35">
        <v>-1.0731213538934199E-2</v>
      </c>
      <c r="V309" s="35">
        <v>-0.76</v>
      </c>
      <c r="W309" s="35">
        <v>100.8968745237087</v>
      </c>
      <c r="X309" s="35">
        <v>-2.226343791903596</v>
      </c>
      <c r="AF309" s="35">
        <v>-0.2576</v>
      </c>
      <c r="AG309" s="35">
        <v>103.0169240286375</v>
      </c>
      <c r="AH309" s="35">
        <v>103.4540519529</v>
      </c>
      <c r="AI309" s="35">
        <v>-0.43712792426246949</v>
      </c>
      <c r="AJ309" s="35">
        <v>-4.2253340107111783E-3</v>
      </c>
      <c r="AK309" s="35">
        <v>-0.62609999999999999</v>
      </c>
      <c r="AL309" s="35">
        <v>102.63632624369799</v>
      </c>
      <c r="AM309" s="35">
        <v>-0.7904240518044614</v>
      </c>
    </row>
    <row r="310" spans="1:39" x14ac:dyDescent="0.25">
      <c r="A310" s="35" t="s">
        <v>556</v>
      </c>
      <c r="B310" s="35" t="s">
        <v>557</v>
      </c>
      <c r="C310" s="35">
        <v>2.3517999999999999</v>
      </c>
      <c r="D310" s="35">
        <v>103.2233906845334</v>
      </c>
      <c r="E310" s="35">
        <v>103.2233906845334</v>
      </c>
      <c r="F310" s="35">
        <v>60473.8</v>
      </c>
      <c r="G310" s="36">
        <v>-2.5700000000000001E-2</v>
      </c>
      <c r="H310" s="35">
        <v>100.8256447596696</v>
      </c>
      <c r="I310" s="36">
        <v>-1.4215308962199249</v>
      </c>
      <c r="Q310" s="35">
        <v>-2.3723094551996931</v>
      </c>
      <c r="R310" s="35">
        <v>99.66511674633432</v>
      </c>
      <c r="S310" s="35">
        <v>103.19433519900799</v>
      </c>
      <c r="T310" s="35">
        <v>-3.5292184526736459</v>
      </c>
      <c r="U310" s="35">
        <v>-3.4199730497489297E-2</v>
      </c>
      <c r="V310" s="35">
        <v>-2.7254</v>
      </c>
      <c r="W310" s="35">
        <v>99.304657432248618</v>
      </c>
      <c r="X310" s="35">
        <v>-3.7692745045144078</v>
      </c>
      <c r="AF310" s="35">
        <v>-2.0500000000000001E-2</v>
      </c>
      <c r="AG310" s="35">
        <v>102.9958055592116</v>
      </c>
      <c r="AH310" s="35">
        <v>103.4540519529</v>
      </c>
      <c r="AI310" s="35">
        <v>-0.45824639368834141</v>
      </c>
      <c r="AJ310" s="35">
        <v>-4.4294678172389938E-3</v>
      </c>
      <c r="AK310" s="35">
        <v>-0.26379999999999998</v>
      </c>
      <c r="AL310" s="35">
        <v>102.74516538304999</v>
      </c>
      <c r="AM310" s="35">
        <v>-0.68521875795909404</v>
      </c>
    </row>
    <row r="311" spans="1:39" x14ac:dyDescent="0.25">
      <c r="A311" s="35" t="s">
        <v>557</v>
      </c>
      <c r="B311" s="35" t="s">
        <v>558</v>
      </c>
      <c r="C311" s="35">
        <v>-0.45850000000000002</v>
      </c>
      <c r="D311" s="35">
        <v>102.7501114382448</v>
      </c>
      <c r="E311" s="35">
        <v>103.2233906845334</v>
      </c>
      <c r="F311" s="35">
        <v>61966.6</v>
      </c>
      <c r="G311" s="36">
        <v>-0.68720000000000003</v>
      </c>
      <c r="H311" s="35">
        <v>102.51403954374931</v>
      </c>
      <c r="I311" s="36">
        <v>-0.68719999999999892</v>
      </c>
      <c r="Q311" s="35">
        <v>1.4680609361801289</v>
      </c>
      <c r="R311" s="35">
        <v>101.12826139228559</v>
      </c>
      <c r="S311" s="35">
        <v>103.19433519900799</v>
      </c>
      <c r="T311" s="35">
        <v>-2.0660738067223998</v>
      </c>
      <c r="U311" s="35">
        <v>-2.0021194019400609E-2</v>
      </c>
      <c r="V311" s="35">
        <v>-0.14080000000000001</v>
      </c>
      <c r="W311" s="35">
        <v>99.524788261955479</v>
      </c>
      <c r="X311" s="35">
        <v>-3.5559577276948811</v>
      </c>
      <c r="AF311" s="35">
        <v>1.0096000000000001</v>
      </c>
      <c r="AG311" s="35">
        <v>104.03565121213749</v>
      </c>
      <c r="AH311" s="35">
        <v>104.03565121213749</v>
      </c>
      <c r="AI311" s="35"/>
      <c r="AJ311" s="35">
        <v>0</v>
      </c>
      <c r="AK311" s="35">
        <v>0.90549999999999997</v>
      </c>
      <c r="AL311" s="35">
        <v>103.9284325785503</v>
      </c>
      <c r="AM311" s="35">
        <v>0.4585423351675999</v>
      </c>
    </row>
    <row r="312" spans="1:39" x14ac:dyDescent="0.25">
      <c r="A312" s="35" t="s">
        <v>558</v>
      </c>
      <c r="B312" s="35" t="s">
        <v>559</v>
      </c>
      <c r="C312" s="35">
        <v>-1.5014000000000001</v>
      </c>
      <c r="D312" s="35">
        <v>101.20742126511099</v>
      </c>
      <c r="E312" s="35">
        <v>103.2233906845334</v>
      </c>
      <c r="F312" s="35">
        <v>61723.8</v>
      </c>
      <c r="G312" s="36">
        <v>-1.6497999999999999</v>
      </c>
      <c r="H312" s="35">
        <v>101.0549400997367</v>
      </c>
      <c r="I312" s="36">
        <v>-2.1007356669999981</v>
      </c>
      <c r="Q312" s="35">
        <v>1.64941448758374</v>
      </c>
      <c r="R312" s="35">
        <v>102.7962855867315</v>
      </c>
      <c r="S312" s="35">
        <v>103.19433519900799</v>
      </c>
      <c r="T312" s="35">
        <v>-0.39804961227649471</v>
      </c>
      <c r="U312" s="35">
        <v>-3.8572816183065181E-3</v>
      </c>
      <c r="V312" s="35">
        <v>-0.2379</v>
      </c>
      <c r="W312" s="35">
        <v>100.8876772584333</v>
      </c>
      <c r="X312" s="35">
        <v>-2.235256359882853</v>
      </c>
      <c r="AF312" s="35">
        <v>0.14799999999999999</v>
      </c>
      <c r="AG312" s="35">
        <v>104.1896239759314</v>
      </c>
      <c r="AH312" s="35">
        <v>104.1896239759314</v>
      </c>
      <c r="AI312" s="35"/>
      <c r="AJ312" s="35">
        <v>0</v>
      </c>
      <c r="AK312" s="35">
        <v>0.14799999999999999</v>
      </c>
      <c r="AL312" s="35">
        <v>104.1896239759314</v>
      </c>
      <c r="AM312" s="35">
        <v>0.14799999999999261</v>
      </c>
    </row>
    <row r="313" spans="1:39" x14ac:dyDescent="0.25">
      <c r="A313" s="35" t="s">
        <v>559</v>
      </c>
      <c r="B313" s="35" t="s">
        <v>560</v>
      </c>
      <c r="C313" s="35">
        <v>-1.6329</v>
      </c>
      <c r="D313" s="35">
        <v>99.554805283273012</v>
      </c>
      <c r="E313" s="35">
        <v>103.2233906845334</v>
      </c>
      <c r="F313" s="35">
        <v>60827.95</v>
      </c>
      <c r="G313" s="36">
        <v>-2.0527000000000002</v>
      </c>
      <c r="H313" s="35">
        <v>99.129936528802077</v>
      </c>
      <c r="I313" s="36">
        <v>-3.965626519905308</v>
      </c>
      <c r="Q313" s="35">
        <v>1.8823826263974071</v>
      </c>
      <c r="R313" s="35">
        <v>104.731305007198</v>
      </c>
      <c r="S313" s="35">
        <v>104.731305007198</v>
      </c>
      <c r="T313" s="35"/>
      <c r="U313" s="35">
        <v>0</v>
      </c>
      <c r="V313" s="35">
        <v>-0.91179999999999994</v>
      </c>
      <c r="W313" s="35">
        <v>101.8589890547517</v>
      </c>
      <c r="X313" s="35">
        <v>-1.294011092451075</v>
      </c>
      <c r="AF313" s="35">
        <v>0.2495</v>
      </c>
      <c r="AG313" s="35">
        <v>104.44957708775139</v>
      </c>
      <c r="AH313" s="35">
        <v>104.44957708775139</v>
      </c>
      <c r="AI313" s="35"/>
      <c r="AJ313" s="35">
        <v>0</v>
      </c>
      <c r="AK313" s="35">
        <v>-0.1057</v>
      </c>
      <c r="AL313" s="35">
        <v>104.0794955433889</v>
      </c>
      <c r="AM313" s="35">
        <v>-0.1056999999999975</v>
      </c>
    </row>
    <row r="314" spans="1:39" x14ac:dyDescent="0.25">
      <c r="A314" s="35" t="s">
        <v>560</v>
      </c>
      <c r="B314" s="35" t="s">
        <v>561</v>
      </c>
      <c r="C314" s="35">
        <v>1.373</v>
      </c>
      <c r="D314" s="35">
        <v>100.9216927598124</v>
      </c>
      <c r="E314" s="35">
        <v>103.2233906845334</v>
      </c>
      <c r="F314" s="35">
        <v>59905.65</v>
      </c>
      <c r="G314" s="36">
        <v>-1.1987000000000001</v>
      </c>
      <c r="H314" s="35">
        <v>98.361441832342422</v>
      </c>
      <c r="I314" s="36">
        <v>-4.710123180365045</v>
      </c>
      <c r="Q314" s="35">
        <v>-3.2030878346235352</v>
      </c>
      <c r="R314" s="35">
        <v>101.3766693174699</v>
      </c>
      <c r="S314" s="35">
        <v>104.731305007198</v>
      </c>
      <c r="T314" s="35">
        <v>-3.3546356897280281</v>
      </c>
      <c r="U314" s="35">
        <v>-3.2030878346235352E-2</v>
      </c>
      <c r="V314" s="35">
        <v>-3.4794</v>
      </c>
      <c r="W314" s="35">
        <v>101.0872839807775</v>
      </c>
      <c r="X314" s="35">
        <v>-3.4793999999999992</v>
      </c>
      <c r="AF314" s="35">
        <v>-1.8301000000000001</v>
      </c>
      <c r="AG314" s="35">
        <v>102.53804537746841</v>
      </c>
      <c r="AH314" s="35">
        <v>104.44957708775139</v>
      </c>
      <c r="AI314" s="35">
        <v>-1.9115317102829441</v>
      </c>
      <c r="AJ314" s="35">
        <v>-1.830100000000006E-2</v>
      </c>
      <c r="AK314" s="35">
        <v>-1.9978</v>
      </c>
      <c r="AL314" s="35">
        <v>102.3628834366922</v>
      </c>
      <c r="AM314" s="35">
        <v>-1.9978000000000049</v>
      </c>
    </row>
    <row r="315" spans="1:39" x14ac:dyDescent="0.25">
      <c r="A315" s="35" t="s">
        <v>561</v>
      </c>
      <c r="B315" s="35" t="s">
        <v>562</v>
      </c>
      <c r="C315" s="35">
        <v>1.2361</v>
      </c>
      <c r="D315" s="35">
        <v>102.16918580401639</v>
      </c>
      <c r="E315" s="35">
        <v>103.2233906845334</v>
      </c>
      <c r="F315" s="35">
        <v>60768.1</v>
      </c>
      <c r="G315" s="36">
        <v>1.0663</v>
      </c>
      <c r="H315" s="35">
        <v>101.9978207697102</v>
      </c>
      <c r="I315" s="36">
        <v>-1.187298641030587</v>
      </c>
      <c r="Q315" s="35">
        <v>-1.1935452463499401</v>
      </c>
      <c r="R315" s="35">
        <v>100.1666928999234</v>
      </c>
      <c r="S315" s="35">
        <v>104.731305007198</v>
      </c>
      <c r="T315" s="35">
        <v>-4.5646121072745842</v>
      </c>
      <c r="U315" s="35">
        <v>-4.3584027783869092E-2</v>
      </c>
      <c r="V315" s="35">
        <v>-2.0036</v>
      </c>
      <c r="W315" s="35">
        <v>99.345486371025117</v>
      </c>
      <c r="X315" s="35">
        <v>-5.1425107667690151</v>
      </c>
      <c r="AF315" s="35">
        <v>4.2599999999999999E-2</v>
      </c>
      <c r="AG315" s="35">
        <v>102.5817265847992</v>
      </c>
      <c r="AH315" s="35">
        <v>104.44957708775139</v>
      </c>
      <c r="AI315" s="35">
        <v>-1.8678505029521379</v>
      </c>
      <c r="AJ315" s="35">
        <v>-1.788279622600002E-2</v>
      </c>
      <c r="AK315" s="35">
        <v>-0.21410000000000001</v>
      </c>
      <c r="AL315" s="35">
        <v>102.3185114223153</v>
      </c>
      <c r="AM315" s="35">
        <v>-2.0402817558999971</v>
      </c>
    </row>
    <row r="316" spans="1:39" x14ac:dyDescent="0.25">
      <c r="A316" s="35" t="s">
        <v>562</v>
      </c>
      <c r="B316" s="35" t="s">
        <v>563</v>
      </c>
      <c r="C316" s="35">
        <v>1.2979000000000001</v>
      </c>
      <c r="D316" s="35">
        <v>103.4952396665667</v>
      </c>
      <c r="E316" s="35">
        <v>103.4952396665667</v>
      </c>
      <c r="F316" s="35">
        <v>61549.65</v>
      </c>
      <c r="G316" s="36">
        <v>-0.2465</v>
      </c>
      <c r="H316" s="35">
        <v>101.9173387610095</v>
      </c>
      <c r="I316" s="36">
        <v>-1.265267411642568</v>
      </c>
      <c r="Q316" s="35">
        <v>-1.2090266161927401</v>
      </c>
      <c r="R316" s="35">
        <v>98.955650922203276</v>
      </c>
      <c r="S316" s="35">
        <v>104.731305007198</v>
      </c>
      <c r="T316" s="35">
        <v>-5.7756540849946987</v>
      </c>
      <c r="U316" s="35">
        <v>-5.5147351449480637E-2</v>
      </c>
      <c r="V316" s="35">
        <v>-1.3253999999999999</v>
      </c>
      <c r="W316" s="35">
        <v>98.839083552227805</v>
      </c>
      <c r="X316" s="35">
        <v>-5.6260365079621728</v>
      </c>
      <c r="AF316" s="35">
        <v>8.8900000000000007E-2</v>
      </c>
      <c r="AG316" s="35">
        <v>102.6729217397331</v>
      </c>
      <c r="AH316" s="35">
        <v>104.44957708775139</v>
      </c>
      <c r="AI316" s="35">
        <v>-1.776655348018267</v>
      </c>
      <c r="AJ316" s="35">
        <v>-1.7009694031845081E-2</v>
      </c>
      <c r="AK316" s="35">
        <v>-0.22220000000000001</v>
      </c>
      <c r="AL316" s="35">
        <v>102.3537899883278</v>
      </c>
      <c r="AM316" s="35">
        <v>-2.0065060652785789</v>
      </c>
    </row>
    <row r="317" spans="1:39" x14ac:dyDescent="0.25">
      <c r="A317" s="35" t="s">
        <v>563</v>
      </c>
      <c r="B317" s="35" t="s">
        <v>564</v>
      </c>
      <c r="C317" s="35">
        <v>0.49419999999999997</v>
      </c>
      <c r="D317" s="35">
        <v>104.0067131409989</v>
      </c>
      <c r="E317" s="35">
        <v>104.0067131409989</v>
      </c>
      <c r="F317" s="35">
        <v>62379.25</v>
      </c>
      <c r="G317" s="36">
        <v>-0.70909999999999995</v>
      </c>
      <c r="H317" s="35">
        <v>102.7613549220911</v>
      </c>
      <c r="I317" s="36">
        <v>-0.70909999999999584</v>
      </c>
      <c r="Q317" s="35">
        <v>0.25715822575306191</v>
      </c>
      <c r="R317" s="35">
        <v>99.210123518397197</v>
      </c>
      <c r="S317" s="35">
        <v>104.731305007198</v>
      </c>
      <c r="T317" s="35">
        <v>-5.521181488800778</v>
      </c>
      <c r="U317" s="35">
        <v>-5.2717585142487422E-2</v>
      </c>
      <c r="V317" s="35">
        <v>7.5300000000000006E-2</v>
      </c>
      <c r="W317" s="35">
        <v>99.030164527347694</v>
      </c>
      <c r="X317" s="35">
        <v>-5.4435877405122124</v>
      </c>
      <c r="AF317" s="35">
        <v>0.75139999999999996</v>
      </c>
      <c r="AG317" s="35">
        <v>103.4444060736854</v>
      </c>
      <c r="AH317" s="35">
        <v>104.44957708775139</v>
      </c>
      <c r="AI317" s="35">
        <v>-1.005171014065908</v>
      </c>
      <c r="AJ317" s="35">
        <v>-9.6235048728003248E-3</v>
      </c>
      <c r="AK317" s="35">
        <v>9.9400000000000002E-2</v>
      </c>
      <c r="AL317" s="35">
        <v>102.7749786239424</v>
      </c>
      <c r="AM317" s="35">
        <v>-1.6032601667712809</v>
      </c>
    </row>
    <row r="318" spans="1:39" x14ac:dyDescent="0.25">
      <c r="A318" s="35" t="s">
        <v>564</v>
      </c>
      <c r="B318" s="35" t="s">
        <v>565</v>
      </c>
      <c r="C318" s="35">
        <v>-1.0668</v>
      </c>
      <c r="D318" s="35">
        <v>102.8971695252107</v>
      </c>
      <c r="E318" s="35">
        <v>104.0067131409989</v>
      </c>
      <c r="F318" s="35">
        <v>62729.1</v>
      </c>
      <c r="G318" s="36">
        <v>-1.1997</v>
      </c>
      <c r="H318" s="35">
        <v>102.75894460344639</v>
      </c>
      <c r="I318" s="36">
        <v>-1.1997000000000151</v>
      </c>
      <c r="Q318" s="35">
        <v>1.014815644590485</v>
      </c>
      <c r="R318" s="35">
        <v>100.21692337287941</v>
      </c>
      <c r="S318" s="35">
        <v>104.731305007198</v>
      </c>
      <c r="T318" s="35">
        <v>-4.514381634318525</v>
      </c>
      <c r="U318" s="35">
        <v>-4.3104414998058713E-2</v>
      </c>
      <c r="V318" s="35">
        <v>-7.1800000000000003E-2</v>
      </c>
      <c r="W318" s="35">
        <v>99.138890649710987</v>
      </c>
      <c r="X318" s="35">
        <v>-5.3397733916355161</v>
      </c>
      <c r="AF318" s="35">
        <v>-5.1999999999999998E-2</v>
      </c>
      <c r="AG318" s="35">
        <v>103.3906149825271</v>
      </c>
      <c r="AH318" s="35">
        <v>104.44957708775139</v>
      </c>
      <c r="AI318" s="35">
        <v>-1.0589621052242251</v>
      </c>
      <c r="AJ318" s="35">
        <v>-1.0138500650266471E-2</v>
      </c>
      <c r="AK318" s="35">
        <v>-5.1999999999999998E-2</v>
      </c>
      <c r="AL318" s="35">
        <v>103.3906149825271</v>
      </c>
      <c r="AM318" s="35">
        <v>-1.0138500650266451</v>
      </c>
    </row>
    <row r="319" spans="1:39" x14ac:dyDescent="0.25">
      <c r="A319" s="35" t="s">
        <v>565</v>
      </c>
      <c r="B319" s="35" t="s">
        <v>264</v>
      </c>
      <c r="C319" s="35">
        <v>-0.91049999999999998</v>
      </c>
      <c r="D319" s="35">
        <v>101.96029079668369</v>
      </c>
      <c r="E319" s="35">
        <v>104.0067131409989</v>
      </c>
      <c r="F319" s="35">
        <v>62070.35</v>
      </c>
      <c r="G319" s="36">
        <v>-1.5027999999999999</v>
      </c>
      <c r="H319" s="35">
        <v>101.35083086158591</v>
      </c>
      <c r="I319" s="36">
        <v>-2.553568129600003</v>
      </c>
      <c r="Q319" s="35">
        <v>-0.63444159485562934</v>
      </c>
      <c r="R319" s="35">
        <v>99.581105525917309</v>
      </c>
      <c r="S319" s="35">
        <v>104.731305007198</v>
      </c>
      <c r="T319" s="35">
        <v>-5.1501994812806657</v>
      </c>
      <c r="U319" s="35">
        <v>-4.9175358608648127E-2</v>
      </c>
      <c r="V319" s="35">
        <v>-2.1627000000000001</v>
      </c>
      <c r="W319" s="35">
        <v>98.049531971094197</v>
      </c>
      <c r="X319" s="35">
        <v>-6.3799195814895571</v>
      </c>
      <c r="AF319" s="35">
        <v>-1.5448999999999999</v>
      </c>
      <c r="AG319" s="35">
        <v>101.7933333716621</v>
      </c>
      <c r="AH319" s="35">
        <v>104.44957708775139</v>
      </c>
      <c r="AI319" s="35">
        <v>-2.6562437160892931</v>
      </c>
      <c r="AJ319" s="35">
        <v>-2.5430870953720559E-2</v>
      </c>
      <c r="AK319" s="35">
        <v>-1.5448999999999999</v>
      </c>
      <c r="AL319" s="35">
        <v>101.7933333716621</v>
      </c>
      <c r="AM319" s="35">
        <v>-2.5430870953720541</v>
      </c>
    </row>
  </sheetData>
  <mergeCells count="6">
    <mergeCell ref="A2:I2"/>
    <mergeCell ref="Q1:X1"/>
    <mergeCell ref="Q2:X2"/>
    <mergeCell ref="A1:I1"/>
    <mergeCell ref="AF1:AM1"/>
    <mergeCell ref="AF2:A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4"/>
  <sheetViews>
    <sheetView workbookViewId="0">
      <pane xSplit="1" topLeftCell="B1" activePane="topRight" state="frozen"/>
      <selection pane="topRight"/>
    </sheetView>
  </sheetViews>
  <sheetFormatPr defaultRowHeight="15" x14ac:dyDescent="0.25"/>
  <cols>
    <col min="1" max="1" width="16" customWidth="1"/>
    <col min="2" max="54" width="7" customWidth="1"/>
    <col min="55" max="58" width="8" customWidth="1"/>
  </cols>
  <sheetData>
    <row r="1" spans="1:58" x14ac:dyDescent="0.25">
      <c r="A1" s="86" t="s">
        <v>566</v>
      </c>
      <c r="B1" s="84"/>
      <c r="C1" s="84"/>
      <c r="D1" s="84"/>
      <c r="E1" s="85"/>
      <c r="G1" s="37" t="s">
        <v>111</v>
      </c>
      <c r="H1" s="37" t="s">
        <v>567</v>
      </c>
      <c r="I1" s="37" t="s">
        <v>113</v>
      </c>
      <c r="J1" s="37" t="s">
        <v>568</v>
      </c>
      <c r="K1" s="37" t="s">
        <v>569</v>
      </c>
      <c r="L1" s="37" t="s">
        <v>110</v>
      </c>
      <c r="M1" s="37" t="s">
        <v>570</v>
      </c>
      <c r="N1" s="37" t="s">
        <v>571</v>
      </c>
      <c r="O1" s="37" t="s">
        <v>572</v>
      </c>
      <c r="P1" s="37" t="s">
        <v>573</v>
      </c>
      <c r="Q1" s="37" t="s">
        <v>574</v>
      </c>
      <c r="R1" s="37" t="s">
        <v>575</v>
      </c>
      <c r="S1" s="37" t="s">
        <v>237</v>
      </c>
    </row>
    <row r="2" spans="1:58" x14ac:dyDescent="0.25">
      <c r="A2" s="83"/>
      <c r="B2" s="84"/>
      <c r="C2" s="84"/>
      <c r="D2" s="84"/>
      <c r="E2" s="85"/>
      <c r="G2" s="38">
        <v>0.56666666666666665</v>
      </c>
      <c r="H2" s="38">
        <v>1.097809803921569E-2</v>
      </c>
      <c r="I2" s="38">
        <v>0.43333333333333329</v>
      </c>
      <c r="J2" s="38">
        <v>-1.044379487179487E-2</v>
      </c>
      <c r="K2" s="39">
        <v>0.16232392521957181</v>
      </c>
      <c r="L2" s="40">
        <v>315</v>
      </c>
      <c r="M2" s="41">
        <v>0.29001599692340418</v>
      </c>
      <c r="N2" s="41">
        <v>0.43048447504234888</v>
      </c>
      <c r="O2" s="39">
        <v>3.095216970316832</v>
      </c>
      <c r="P2" s="39">
        <v>0.2307038516913128</v>
      </c>
      <c r="Q2" s="39">
        <v>3.6623101084796512</v>
      </c>
      <c r="R2" s="41">
        <v>1.689482840634408</v>
      </c>
      <c r="S2" s="38">
        <v>8.6939415040345747E-2</v>
      </c>
    </row>
    <row r="3" spans="1:58" x14ac:dyDescent="0.25">
      <c r="A3" s="42" t="s">
        <v>166</v>
      </c>
      <c r="B3" s="43" t="s">
        <v>576</v>
      </c>
      <c r="C3" s="43" t="s">
        <v>577</v>
      </c>
      <c r="D3" s="43" t="s">
        <v>578</v>
      </c>
      <c r="E3" s="43" t="s">
        <v>579</v>
      </c>
      <c r="F3" s="44" t="s">
        <v>580</v>
      </c>
      <c r="G3" s="43" t="s">
        <v>581</v>
      </c>
      <c r="H3" s="43" t="s">
        <v>582</v>
      </c>
      <c r="I3" s="43" t="s">
        <v>583</v>
      </c>
      <c r="J3" s="44" t="s">
        <v>584</v>
      </c>
      <c r="K3" s="43" t="s">
        <v>585</v>
      </c>
      <c r="L3" s="43" t="s">
        <v>586</v>
      </c>
      <c r="M3" s="43" t="s">
        <v>587</v>
      </c>
      <c r="N3" s="44" t="s">
        <v>588</v>
      </c>
      <c r="O3" s="43" t="s">
        <v>589</v>
      </c>
      <c r="P3" s="43" t="s">
        <v>590</v>
      </c>
      <c r="Q3" s="43" t="s">
        <v>591</v>
      </c>
      <c r="R3" s="44" t="s">
        <v>592</v>
      </c>
      <c r="S3" s="43" t="s">
        <v>593</v>
      </c>
      <c r="T3" s="43" t="s">
        <v>594</v>
      </c>
      <c r="U3" s="43" t="s">
        <v>595</v>
      </c>
      <c r="V3" s="43" t="s">
        <v>596</v>
      </c>
      <c r="W3" s="44" t="s">
        <v>597</v>
      </c>
      <c r="X3" s="43" t="s">
        <v>598</v>
      </c>
      <c r="Y3" s="43" t="s">
        <v>599</v>
      </c>
      <c r="Z3" s="43" t="s">
        <v>600</v>
      </c>
      <c r="AA3" s="44" t="s">
        <v>601</v>
      </c>
      <c r="AB3" s="43" t="s">
        <v>602</v>
      </c>
      <c r="AC3" s="43" t="s">
        <v>603</v>
      </c>
      <c r="AD3" s="43" t="s">
        <v>604</v>
      </c>
      <c r="AE3" s="44" t="s">
        <v>605</v>
      </c>
      <c r="AF3" s="43" t="s">
        <v>606</v>
      </c>
      <c r="AG3" s="43" t="s">
        <v>607</v>
      </c>
      <c r="AH3" s="43" t="s">
        <v>608</v>
      </c>
      <c r="AI3" s="43" t="s">
        <v>609</v>
      </c>
      <c r="AJ3" s="44" t="s">
        <v>610</v>
      </c>
      <c r="AK3" s="43" t="s">
        <v>611</v>
      </c>
      <c r="AL3" s="43" t="s">
        <v>612</v>
      </c>
      <c r="AM3" s="43" t="s">
        <v>613</v>
      </c>
      <c r="AN3" s="44" t="s">
        <v>614</v>
      </c>
      <c r="AO3" s="43" t="s">
        <v>615</v>
      </c>
      <c r="AP3" s="43" t="s">
        <v>616</v>
      </c>
      <c r="AQ3" s="43" t="s">
        <v>617</v>
      </c>
      <c r="AR3" s="43" t="s">
        <v>618</v>
      </c>
      <c r="AS3" s="44" t="s">
        <v>619</v>
      </c>
      <c r="AT3" s="43" t="s">
        <v>620</v>
      </c>
      <c r="AU3" s="43" t="s">
        <v>621</v>
      </c>
      <c r="AV3" s="43" t="s">
        <v>622</v>
      </c>
      <c r="AW3" s="44" t="s">
        <v>623</v>
      </c>
      <c r="AX3" s="43" t="s">
        <v>624</v>
      </c>
      <c r="AY3" s="43" t="s">
        <v>625</v>
      </c>
      <c r="AZ3" s="43" t="s">
        <v>626</v>
      </c>
      <c r="BA3" s="43" t="s">
        <v>627</v>
      </c>
      <c r="BB3" s="44" t="s">
        <v>628</v>
      </c>
      <c r="BC3" s="81" t="s">
        <v>179</v>
      </c>
      <c r="BD3" s="81" t="s">
        <v>180</v>
      </c>
      <c r="BE3" s="81" t="s">
        <v>629</v>
      </c>
      <c r="BF3" s="81" t="s">
        <v>181</v>
      </c>
    </row>
    <row r="4" spans="1:58" x14ac:dyDescent="0.25">
      <c r="A4" s="45" t="s">
        <v>630</v>
      </c>
      <c r="B4" s="45" t="s">
        <v>167</v>
      </c>
      <c r="C4" s="46"/>
      <c r="D4" s="46"/>
      <c r="E4" s="46"/>
      <c r="F4" s="47"/>
      <c r="G4" s="45" t="s">
        <v>168</v>
      </c>
      <c r="H4" s="46"/>
      <c r="I4" s="46"/>
      <c r="J4" s="47"/>
      <c r="K4" s="45" t="s">
        <v>169</v>
      </c>
      <c r="L4" s="46"/>
      <c r="M4" s="46"/>
      <c r="N4" s="47"/>
      <c r="O4" s="45" t="s">
        <v>170</v>
      </c>
      <c r="P4" s="46"/>
      <c r="Q4" s="46"/>
      <c r="R4" s="47"/>
      <c r="S4" s="45" t="s">
        <v>171</v>
      </c>
      <c r="T4" s="46"/>
      <c r="U4" s="46"/>
      <c r="V4" s="46"/>
      <c r="W4" s="47"/>
      <c r="X4" s="45" t="s">
        <v>172</v>
      </c>
      <c r="Y4" s="46"/>
      <c r="Z4" s="46"/>
      <c r="AA4" s="47"/>
      <c r="AB4" s="45" t="s">
        <v>173</v>
      </c>
      <c r="AC4" s="46"/>
      <c r="AD4" s="46"/>
      <c r="AE4" s="47"/>
      <c r="AF4" s="45" t="s">
        <v>174</v>
      </c>
      <c r="AG4" s="46"/>
      <c r="AH4" s="46"/>
      <c r="AI4" s="46"/>
      <c r="AJ4" s="47"/>
      <c r="AK4" s="45" t="s">
        <v>175</v>
      </c>
      <c r="AL4" s="46"/>
      <c r="AM4" s="46"/>
      <c r="AN4" s="47"/>
      <c r="AO4" s="45" t="s">
        <v>176</v>
      </c>
      <c r="AP4" s="46"/>
      <c r="AQ4" s="46"/>
      <c r="AR4" s="46"/>
      <c r="AS4" s="47"/>
      <c r="AT4" s="45" t="s">
        <v>177</v>
      </c>
      <c r="AU4" s="46"/>
      <c r="AV4" s="46"/>
      <c r="AW4" s="47"/>
      <c r="AX4" s="45" t="s">
        <v>178</v>
      </c>
      <c r="AY4" s="46"/>
      <c r="AZ4" s="46"/>
      <c r="BA4" s="46"/>
      <c r="BB4" s="47"/>
      <c r="BC4" s="82"/>
      <c r="BD4" s="82"/>
      <c r="BE4" s="82"/>
      <c r="BF4" s="82"/>
    </row>
    <row r="5" spans="1:58" x14ac:dyDescent="0.25">
      <c r="A5" s="48">
        <v>2019</v>
      </c>
      <c r="B5" s="49"/>
      <c r="C5" s="49"/>
      <c r="D5" s="49"/>
      <c r="E5" s="49"/>
      <c r="F5" s="50"/>
      <c r="G5" s="49"/>
      <c r="H5" s="49"/>
      <c r="I5" s="49"/>
      <c r="J5" s="50"/>
      <c r="K5" s="49"/>
      <c r="L5" s="49"/>
      <c r="M5" s="49"/>
      <c r="N5" s="50"/>
      <c r="O5" s="51">
        <v>-9.2910000000000006E-3</v>
      </c>
      <c r="P5" s="52">
        <v>4.0530000000000002E-3</v>
      </c>
      <c r="Q5" s="53">
        <v>-6.5420000000000001E-3</v>
      </c>
      <c r="R5" s="53">
        <v>-2.3938999999999998E-2</v>
      </c>
      <c r="S5" s="53">
        <v>-1.6676E-2</v>
      </c>
      <c r="T5" s="53">
        <v>-4.8060000000000004E-3</v>
      </c>
      <c r="U5" s="52">
        <v>1.2723999999999999E-2</v>
      </c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3">
        <v>-1.0416999999999999E-2</v>
      </c>
      <c r="AP5" s="52">
        <v>7.1349999999999998E-3</v>
      </c>
      <c r="AQ5" s="55">
        <v>-1.5754000000000001E-2</v>
      </c>
      <c r="AR5" s="56">
        <v>3.5427E-2</v>
      </c>
      <c r="AS5" s="57">
        <v>1.0460000000000001E-2</v>
      </c>
      <c r="AT5" s="58">
        <v>-5.4299999999999999E-3</v>
      </c>
      <c r="AU5" s="56">
        <v>8.5389999999999997E-3</v>
      </c>
      <c r="AV5" s="56">
        <v>2.4160000000000002E-3</v>
      </c>
      <c r="AW5" s="59">
        <v>-2.055E-3</v>
      </c>
      <c r="AX5" s="56">
        <v>3.1189999999999998E-3</v>
      </c>
      <c r="AY5" s="58">
        <v>-7.4450000000000002E-3</v>
      </c>
      <c r="AZ5" s="58">
        <v>-1.6626999999999999E-2</v>
      </c>
      <c r="BA5" s="58">
        <v>-1.9980000000000002E-3</v>
      </c>
      <c r="BB5" s="50"/>
      <c r="BC5" s="60">
        <v>-3.7107000000000001E-2</v>
      </c>
      <c r="BD5" s="61">
        <v>-6.3500000000000001E-2</v>
      </c>
      <c r="BE5" s="61">
        <v>-5.6399999999999999E-2</v>
      </c>
      <c r="BF5" s="62">
        <v>-0.57999999999999996</v>
      </c>
    </row>
    <row r="6" spans="1:58" x14ac:dyDescent="0.25">
      <c r="A6" s="48">
        <v>2020</v>
      </c>
      <c r="B6" s="56">
        <v>2.0775999999999999E-2</v>
      </c>
      <c r="C6" s="56">
        <v>9.9360000000000004E-3</v>
      </c>
      <c r="D6" s="56">
        <v>1.2207000000000001E-2</v>
      </c>
      <c r="E6" s="56">
        <v>1.9584000000000001E-2</v>
      </c>
      <c r="F6" s="57">
        <v>1.8145000000000001E-2</v>
      </c>
      <c r="G6" s="51">
        <v>-4.8469999999999997E-3</v>
      </c>
      <c r="H6" s="53">
        <v>-4.3179999999999998E-3</v>
      </c>
      <c r="I6" s="53">
        <v>-8.5579999999999996E-3</v>
      </c>
      <c r="J6" s="55">
        <v>-8.8690000000000001E-3</v>
      </c>
      <c r="K6" s="56">
        <v>6.1200000000000002E-4</v>
      </c>
      <c r="L6" s="49"/>
      <c r="M6" s="49"/>
      <c r="N6" s="50"/>
      <c r="O6" s="49"/>
      <c r="P6" s="49"/>
      <c r="Q6" s="49"/>
      <c r="R6" s="50"/>
      <c r="S6" s="49"/>
      <c r="T6" s="49"/>
      <c r="U6" s="49"/>
      <c r="V6" s="49"/>
      <c r="W6" s="50"/>
      <c r="X6" s="49"/>
      <c r="Y6" s="49"/>
      <c r="Z6" s="49"/>
      <c r="AA6" s="50"/>
      <c r="AB6" s="49"/>
      <c r="AC6" s="49"/>
      <c r="AD6" s="49"/>
      <c r="AE6" s="50"/>
      <c r="AF6" s="49"/>
      <c r="AG6" s="49"/>
      <c r="AH6" s="49"/>
      <c r="AI6" s="49"/>
      <c r="AJ6" s="50"/>
      <c r="AK6" s="49"/>
      <c r="AL6" s="49"/>
      <c r="AM6" s="49"/>
      <c r="AN6" s="50"/>
      <c r="AO6" s="49"/>
      <c r="AP6" s="49"/>
      <c r="AQ6" s="49"/>
      <c r="AR6" s="49"/>
      <c r="AS6" s="50"/>
      <c r="AT6" s="49"/>
      <c r="AU6" s="49"/>
      <c r="AV6" s="49"/>
      <c r="AW6" s="50"/>
      <c r="AX6" s="49"/>
      <c r="AY6" s="49"/>
      <c r="AZ6" s="49"/>
      <c r="BA6" s="49"/>
      <c r="BB6" s="50"/>
      <c r="BC6" s="63">
        <v>5.4668000000000001E-2</v>
      </c>
      <c r="BD6" s="61">
        <v>-2.6599999999999999E-2</v>
      </c>
      <c r="BE6" s="61">
        <v>-3.0268E-2</v>
      </c>
      <c r="BF6" s="64">
        <v>2.06</v>
      </c>
    </row>
    <row r="7" spans="1:58" x14ac:dyDescent="0.25">
      <c r="A7" s="48">
        <v>2022</v>
      </c>
      <c r="B7" s="49"/>
      <c r="C7" s="49"/>
      <c r="D7" s="49"/>
      <c r="E7" s="49"/>
      <c r="F7" s="50"/>
      <c r="G7" s="49"/>
      <c r="H7" s="49"/>
      <c r="I7" s="49"/>
      <c r="J7" s="50"/>
      <c r="K7" s="49"/>
      <c r="L7" s="49"/>
      <c r="M7" s="49"/>
      <c r="N7" s="50"/>
      <c r="O7" s="49"/>
      <c r="P7" s="49"/>
      <c r="Q7" s="49"/>
      <c r="R7" s="50"/>
      <c r="S7" s="49"/>
      <c r="T7" s="49"/>
      <c r="U7" s="49"/>
      <c r="V7" s="49"/>
      <c r="W7" s="50"/>
      <c r="X7" s="49"/>
      <c r="Y7" s="49"/>
      <c r="Z7" s="49"/>
      <c r="AA7" s="50"/>
      <c r="AB7" s="49"/>
      <c r="AC7" s="49"/>
      <c r="AD7" s="49"/>
      <c r="AE7" s="50"/>
      <c r="AF7" s="56">
        <v>3.1580000000000002E-3</v>
      </c>
      <c r="AG7" s="56">
        <v>4.3429999999999996E-3</v>
      </c>
      <c r="AH7" s="56">
        <v>1.1868E-2</v>
      </c>
      <c r="AI7" s="58">
        <v>-1.6750000000000001E-3</v>
      </c>
      <c r="AJ7" s="59">
        <v>-2.81E-4</v>
      </c>
      <c r="AK7" s="56">
        <v>2.1353E-2</v>
      </c>
      <c r="AL7" s="51">
        <v>-8.6499999999999997E-3</v>
      </c>
      <c r="AM7" s="53">
        <v>-1.3254999999999999E-2</v>
      </c>
      <c r="AN7" s="53">
        <v>-1.1280000000000001E-3</v>
      </c>
      <c r="AO7" s="52">
        <v>5.2379999999999996E-3</v>
      </c>
      <c r="AP7" s="53">
        <v>-5.8170000000000001E-3</v>
      </c>
      <c r="AQ7" s="53">
        <v>-1.0834999999999999E-2</v>
      </c>
      <c r="AR7" s="53">
        <v>-1.1716000000000001E-2</v>
      </c>
      <c r="AS7" s="53">
        <v>-2.7920000000000002E-3</v>
      </c>
      <c r="AT7" s="52">
        <v>1.689E-3</v>
      </c>
      <c r="AU7" s="53">
        <v>-2.9152000000000001E-2</v>
      </c>
      <c r="AV7" s="52">
        <v>1.848E-3</v>
      </c>
      <c r="AW7" s="52">
        <v>5.0140000000000002E-3</v>
      </c>
      <c r="AX7" s="52">
        <v>1.3782000000000001E-2</v>
      </c>
      <c r="AY7" s="52">
        <v>1.5514999999999999E-2</v>
      </c>
      <c r="AZ7" s="53">
        <v>-2.1635999999999999E-2</v>
      </c>
      <c r="BA7" s="55">
        <v>-2.0985E-2</v>
      </c>
      <c r="BB7" s="50"/>
      <c r="BC7" s="60">
        <v>-4.4114E-2</v>
      </c>
      <c r="BD7" s="61">
        <v>-8.2900000000000001E-2</v>
      </c>
      <c r="BE7" s="61">
        <v>-8.0993999999999997E-2</v>
      </c>
      <c r="BF7" s="62">
        <v>-0.53</v>
      </c>
    </row>
    <row r="8" spans="1:58" x14ac:dyDescent="0.25">
      <c r="A8" s="48">
        <v>2023</v>
      </c>
      <c r="B8" s="49"/>
      <c r="C8" s="49"/>
      <c r="D8" s="49"/>
      <c r="E8" s="49"/>
      <c r="F8" s="50"/>
      <c r="G8" s="49"/>
      <c r="H8" s="49"/>
      <c r="I8" s="49"/>
      <c r="J8" s="50"/>
      <c r="K8" s="49"/>
      <c r="L8" s="49"/>
      <c r="M8" s="49"/>
      <c r="N8" s="50"/>
      <c r="O8" s="49"/>
      <c r="P8" s="49"/>
      <c r="Q8" s="49"/>
      <c r="R8" s="50"/>
      <c r="S8" s="56">
        <v>1.0609E-2</v>
      </c>
      <c r="T8" s="58">
        <v>-2.0140000000000002E-3</v>
      </c>
      <c r="U8" s="56">
        <v>1.2855999999999999E-2</v>
      </c>
      <c r="V8" s="56">
        <v>4.529E-3</v>
      </c>
      <c r="W8" s="57">
        <v>9.1540000000000007E-3</v>
      </c>
      <c r="X8" s="56">
        <v>1.0796999999999999E-2</v>
      </c>
      <c r="Y8" s="56">
        <v>1.3355000000000001E-2</v>
      </c>
      <c r="Z8" s="56">
        <v>2.1196E-2</v>
      </c>
      <c r="AA8" s="59">
        <v>-7.5630000000000003E-3</v>
      </c>
      <c r="AB8" s="58">
        <v>-7.757E-3</v>
      </c>
      <c r="AC8" s="56">
        <v>1.0505E-2</v>
      </c>
      <c r="AD8" s="58">
        <v>-8.0029999999999997E-3</v>
      </c>
      <c r="AE8" s="57">
        <v>1.1167E-2</v>
      </c>
      <c r="AF8" s="56">
        <v>1.5671999999999998E-2</v>
      </c>
      <c r="AG8" s="56">
        <v>1.5211000000000001E-2</v>
      </c>
      <c r="AH8" s="56">
        <v>6.1840000000000003E-3</v>
      </c>
      <c r="AI8" s="56">
        <v>2.734E-2</v>
      </c>
      <c r="AJ8" s="57">
        <v>1.8207999999999998E-2</v>
      </c>
      <c r="AK8" s="56">
        <v>1.8377000000000001E-2</v>
      </c>
      <c r="AL8" s="58">
        <v>-1.9421999999999998E-2</v>
      </c>
      <c r="AM8" s="56">
        <v>1.2597000000000001E-2</v>
      </c>
      <c r="AN8" s="57">
        <v>1.8206E-2</v>
      </c>
      <c r="AO8" s="58">
        <v>-9.3199999999999999E-4</v>
      </c>
      <c r="AP8" s="58">
        <v>-1.2578000000000001E-2</v>
      </c>
      <c r="AQ8" s="56">
        <v>3.4840000000000001E-3</v>
      </c>
      <c r="AR8" s="58">
        <v>-1.4341E-2</v>
      </c>
      <c r="AS8" s="57">
        <v>1.3115999999999999E-2</v>
      </c>
      <c r="AT8" s="56">
        <v>1.8053E-2</v>
      </c>
      <c r="AU8" s="56">
        <v>1.3043000000000001E-2</v>
      </c>
      <c r="AV8" s="56">
        <v>9.8440000000000003E-3</v>
      </c>
      <c r="AW8" s="57">
        <v>6.3199999999999997E-4</v>
      </c>
      <c r="AX8" s="56">
        <v>1.0660000000000001E-3</v>
      </c>
      <c r="AY8" s="56">
        <v>1.8286E-2</v>
      </c>
      <c r="AZ8" s="65">
        <v>-3.7364000000000001E-2</v>
      </c>
      <c r="BA8" s="56">
        <v>1.7798000000000001E-2</v>
      </c>
      <c r="BB8" s="50"/>
      <c r="BC8" s="63">
        <v>0.22131100000000001</v>
      </c>
      <c r="BD8" s="61">
        <v>-3.7400000000000003E-2</v>
      </c>
      <c r="BE8" s="61">
        <v>-4.7837999999999999E-2</v>
      </c>
      <c r="BF8" s="64">
        <v>5.92</v>
      </c>
    </row>
    <row r="9" spans="1:58" x14ac:dyDescent="0.25">
      <c r="A9" s="48">
        <v>2024</v>
      </c>
      <c r="B9" s="56">
        <v>3.1385000000000003E-2</v>
      </c>
      <c r="C9" s="56">
        <v>5.8040000000000001E-3</v>
      </c>
      <c r="D9" s="56">
        <v>8.2799999999999996E-4</v>
      </c>
      <c r="E9" s="56">
        <v>3.7330000000000002E-3</v>
      </c>
      <c r="F9" s="57">
        <v>1.6945999999999999E-2</v>
      </c>
      <c r="G9" s="56">
        <v>1.0276E-2</v>
      </c>
      <c r="H9" s="51">
        <v>-2.0929E-2</v>
      </c>
      <c r="I9" s="52">
        <v>1.874E-3</v>
      </c>
      <c r="J9" s="53">
        <v>-5.4739999999999997E-3</v>
      </c>
      <c r="K9" s="53">
        <v>-6.9459999999999999E-3</v>
      </c>
      <c r="L9" s="55">
        <v>-4.7798E-2</v>
      </c>
      <c r="M9" s="56">
        <v>6.803E-3</v>
      </c>
      <c r="N9" s="57">
        <v>2.6769000000000001E-2</v>
      </c>
      <c r="O9" s="58">
        <v>-9.6000000000000002E-5</v>
      </c>
      <c r="P9" s="49"/>
      <c r="Q9" s="49"/>
      <c r="R9" s="50"/>
      <c r="S9" s="49"/>
      <c r="T9" s="58">
        <v>-1.8680000000000001E-3</v>
      </c>
      <c r="U9" s="56">
        <v>1.7701000000000001E-2</v>
      </c>
      <c r="V9" s="56">
        <v>8.2050000000000005E-3</v>
      </c>
      <c r="W9" s="59">
        <v>-1.107E-2</v>
      </c>
      <c r="X9" s="58">
        <v>-2.7647000000000001E-2</v>
      </c>
      <c r="Y9" s="56">
        <v>3.4743000000000003E-2</v>
      </c>
      <c r="Z9" s="56">
        <v>9.8209999999999999E-3</v>
      </c>
      <c r="AA9" s="59">
        <v>-4.8409999999999998E-3</v>
      </c>
      <c r="AB9" s="56">
        <v>3.3839999999999999E-3</v>
      </c>
      <c r="AC9" s="56">
        <v>1.3042E-2</v>
      </c>
      <c r="AD9" s="56">
        <v>3.0010000000000002E-3</v>
      </c>
      <c r="AE9" s="59">
        <v>-4.9969999999999997E-3</v>
      </c>
      <c r="AF9" s="56">
        <v>1.5802E-2</v>
      </c>
      <c r="AG9" s="58">
        <v>-2.4267E-2</v>
      </c>
      <c r="AH9" s="56">
        <v>8.9510000000000006E-3</v>
      </c>
      <c r="AI9" s="58">
        <v>-3.5899999999999999E-3</v>
      </c>
      <c r="AJ9" s="57">
        <v>5.2290000000000001E-3</v>
      </c>
      <c r="AK9" s="58">
        <v>-3.7300000000000001E-4</v>
      </c>
      <c r="AL9" s="56">
        <v>5.1789999999999996E-3</v>
      </c>
      <c r="AM9" s="58">
        <v>-7.6509999999999998E-3</v>
      </c>
      <c r="AN9" s="59">
        <v>-7.1710000000000003E-3</v>
      </c>
      <c r="AO9" s="56">
        <v>3.6219999999999998E-3</v>
      </c>
      <c r="AP9" s="56">
        <v>1.6732E-2</v>
      </c>
      <c r="AQ9" s="56">
        <v>7.4799999999999997E-3</v>
      </c>
      <c r="AR9" s="58">
        <v>-2.7272000000000001E-2</v>
      </c>
      <c r="AS9" s="59">
        <v>-4.712E-3</v>
      </c>
      <c r="AT9" s="49"/>
      <c r="AU9" s="49"/>
      <c r="AV9" s="49"/>
      <c r="AW9" s="50"/>
      <c r="AX9" s="49"/>
      <c r="AY9" s="49"/>
      <c r="AZ9" s="49"/>
      <c r="BA9" s="49"/>
      <c r="BB9" s="50"/>
      <c r="BC9" s="63">
        <v>5.0608E-2</v>
      </c>
      <c r="BD9" s="61">
        <v>-7.9299999999999995E-2</v>
      </c>
      <c r="BE9" s="61">
        <v>-8.1710000000000005E-2</v>
      </c>
      <c r="BF9" s="64">
        <v>0.64</v>
      </c>
    </row>
    <row r="10" spans="1:58" x14ac:dyDescent="0.25">
      <c r="A10" s="48">
        <v>2025</v>
      </c>
      <c r="B10" s="49"/>
      <c r="C10" s="49"/>
      <c r="D10" s="49"/>
      <c r="E10" s="49"/>
      <c r="F10" s="50"/>
      <c r="G10" s="49"/>
      <c r="H10" s="49"/>
      <c r="I10" s="49"/>
      <c r="J10" s="50"/>
      <c r="K10" s="49"/>
      <c r="L10" s="49"/>
      <c r="M10" s="49"/>
      <c r="N10" s="50"/>
      <c r="O10" s="56">
        <v>1.3559E-2</v>
      </c>
      <c r="P10" s="58">
        <v>-4.3179999999999998E-3</v>
      </c>
      <c r="Q10" s="56">
        <v>1.6355999999999999E-2</v>
      </c>
      <c r="R10" s="57">
        <v>1.8852000000000001E-2</v>
      </c>
      <c r="S10" s="58">
        <v>-7.5339999999999999E-3</v>
      </c>
      <c r="T10" s="58">
        <v>-3.1159999999999998E-3</v>
      </c>
      <c r="U10" s="56">
        <v>9.8019999999999999E-3</v>
      </c>
      <c r="V10" s="56">
        <v>3.7390000000000001E-3</v>
      </c>
      <c r="W10" s="57">
        <v>1.3032E-2</v>
      </c>
      <c r="X10" s="56">
        <v>2.0327999999999999E-2</v>
      </c>
      <c r="Y10" s="56">
        <v>4.2770000000000004E-3</v>
      </c>
      <c r="Z10" s="58">
        <v>-9.1199999999999996E-3</v>
      </c>
      <c r="AA10" s="59">
        <v>-2.3319999999999999E-3</v>
      </c>
      <c r="AB10" s="56">
        <v>5.4520000000000002E-3</v>
      </c>
      <c r="AC10" s="58">
        <v>-5.0689999999999997E-3</v>
      </c>
      <c r="AD10" s="56">
        <v>1.1861E-2</v>
      </c>
      <c r="AE10" s="51">
        <v>-5.555E-3</v>
      </c>
      <c r="AF10" s="53">
        <v>-7.9900000000000006E-3</v>
      </c>
      <c r="AG10" s="53">
        <v>-8.4939999999999998E-3</v>
      </c>
      <c r="AH10" s="53">
        <v>-3.594E-3</v>
      </c>
      <c r="AI10" s="52">
        <v>3.0219999999999999E-3</v>
      </c>
      <c r="AJ10" s="53">
        <v>-1.1417999999999999E-2</v>
      </c>
      <c r="AK10" s="52">
        <v>1.279E-3</v>
      </c>
      <c r="AL10" s="52">
        <v>2.8370000000000001E-3</v>
      </c>
      <c r="AM10" s="52">
        <v>8.3370000000000007E-3</v>
      </c>
      <c r="AN10" s="53">
        <v>-1.07E-4</v>
      </c>
      <c r="AO10" s="55">
        <v>-2.5291999999999999E-2</v>
      </c>
      <c r="AP10" s="56">
        <v>9.4039999999999992E-3</v>
      </c>
      <c r="AQ10" s="56">
        <v>1.0069E-2</v>
      </c>
      <c r="AR10" s="58">
        <v>-1.2692999999999999E-2</v>
      </c>
      <c r="AS10" s="57">
        <v>4.7699999999999999E-3</v>
      </c>
      <c r="AT10" s="56">
        <v>1.8513999999999999E-2</v>
      </c>
      <c r="AU10" s="56">
        <v>3.4559999999999999E-3</v>
      </c>
      <c r="AV10" s="58">
        <v>-4.1100000000000002E-4</v>
      </c>
      <c r="AW10" s="59">
        <v>-1.6766E-2</v>
      </c>
      <c r="AX10" s="56">
        <v>1.0489E-2</v>
      </c>
      <c r="AY10" s="58">
        <v>-1.8408000000000001E-2</v>
      </c>
      <c r="AZ10" s="56">
        <v>1.1157E-2</v>
      </c>
      <c r="BA10" s="56">
        <v>6.2779999999999997E-3</v>
      </c>
      <c r="BB10" s="50"/>
      <c r="BC10" s="63">
        <v>6.4653000000000002E-2</v>
      </c>
      <c r="BD10" s="61">
        <v>-4.7E-2</v>
      </c>
      <c r="BE10" s="61">
        <v>-4.7721E-2</v>
      </c>
      <c r="BF10" s="64">
        <v>1.38</v>
      </c>
    </row>
    <row r="11" spans="1:58" x14ac:dyDescent="0.25">
      <c r="A11" s="48">
        <v>2026</v>
      </c>
      <c r="B11" s="58">
        <v>-9.2399999999999999E-3</v>
      </c>
      <c r="C11" s="56">
        <v>9.1739999999999999E-3</v>
      </c>
      <c r="D11" s="58">
        <v>-1.4647E-2</v>
      </c>
      <c r="E11" s="56">
        <v>9.2580000000000006E-3</v>
      </c>
      <c r="F11" s="59">
        <v>-1.8085E-2</v>
      </c>
      <c r="G11" s="49"/>
      <c r="H11" s="49"/>
      <c r="I11" s="49"/>
      <c r="J11" s="50"/>
      <c r="K11" s="49"/>
      <c r="L11" s="49"/>
      <c r="M11" s="49"/>
      <c r="N11" s="50"/>
      <c r="O11" s="49"/>
      <c r="P11" s="49"/>
      <c r="Q11" s="49"/>
      <c r="R11" s="50"/>
      <c r="S11" s="49"/>
      <c r="T11" s="56">
        <v>2.7269999999999998E-3</v>
      </c>
      <c r="U11" s="56">
        <v>3.1726999999999998E-2</v>
      </c>
      <c r="V11" s="58">
        <v>-4.2079999999999999E-3</v>
      </c>
      <c r="W11" s="59">
        <v>-2.05E-4</v>
      </c>
      <c r="X11" s="56">
        <v>1.1575999999999999E-2</v>
      </c>
      <c r="Y11" s="56">
        <v>2.4949999999999998E-3</v>
      </c>
      <c r="Z11" s="51">
        <v>-1.7874999999999999E-2</v>
      </c>
      <c r="AA11" s="52">
        <v>8.4030000000000007E-3</v>
      </c>
      <c r="AB11" s="55">
        <v>-1.5969000000000001E-2</v>
      </c>
      <c r="AC11" s="49"/>
      <c r="AD11" s="49"/>
      <c r="AE11" s="50"/>
      <c r="AF11" s="49"/>
      <c r="AG11" s="49"/>
      <c r="AH11" s="49"/>
      <c r="AI11" s="49"/>
      <c r="AJ11" s="50"/>
      <c r="AK11" s="49"/>
      <c r="AL11" s="49"/>
      <c r="AM11" s="49"/>
      <c r="AN11" s="50"/>
      <c r="AO11" s="49"/>
      <c r="AP11" s="49"/>
      <c r="AQ11" s="49"/>
      <c r="AR11" s="49"/>
      <c r="AS11" s="50"/>
      <c r="AT11" s="49"/>
      <c r="AU11" s="49"/>
      <c r="AV11" s="49"/>
      <c r="AW11" s="50"/>
      <c r="AX11" s="49"/>
      <c r="AY11" s="49"/>
      <c r="AZ11" s="49"/>
      <c r="BA11" s="49"/>
      <c r="BB11" s="50"/>
      <c r="BC11" s="60">
        <v>-4.8690000000000001E-3</v>
      </c>
      <c r="BD11" s="61">
        <v>-2.5399999999999999E-2</v>
      </c>
      <c r="BE11" s="61">
        <v>-4.5622999999999997E-2</v>
      </c>
      <c r="BF11" s="62">
        <v>-0.19</v>
      </c>
    </row>
    <row r="12" spans="1:58" x14ac:dyDescent="0.25">
      <c r="A12" s="42" t="s">
        <v>179</v>
      </c>
      <c r="BC12" s="66">
        <v>0.30514999999999998</v>
      </c>
      <c r="BD12" s="61">
        <v>-5.1728999999999997E-2</v>
      </c>
      <c r="BE12" s="61">
        <v>-5.5793000000000002E-2</v>
      </c>
      <c r="BF12" s="64">
        <v>1.24</v>
      </c>
    </row>
    <row r="14" spans="1:58" x14ac:dyDescent="0.25">
      <c r="A14" s="86" t="s">
        <v>566</v>
      </c>
      <c r="B14" s="84"/>
      <c r="C14" s="84"/>
      <c r="D14" s="85"/>
      <c r="F14" s="37" t="s">
        <v>111</v>
      </c>
      <c r="G14" s="37" t="s">
        <v>567</v>
      </c>
      <c r="H14" s="37" t="s">
        <v>113</v>
      </c>
      <c r="I14" s="37" t="s">
        <v>568</v>
      </c>
      <c r="J14" s="37" t="s">
        <v>569</v>
      </c>
      <c r="K14" s="37" t="s">
        <v>110</v>
      </c>
      <c r="L14" s="37" t="s">
        <v>570</v>
      </c>
      <c r="M14" s="37" t="s">
        <v>571</v>
      </c>
      <c r="N14" s="37" t="s">
        <v>572</v>
      </c>
      <c r="O14" s="37" t="s">
        <v>573</v>
      </c>
      <c r="P14" s="37" t="s">
        <v>574</v>
      </c>
      <c r="Q14" s="37" t="s">
        <v>575</v>
      </c>
      <c r="R14" s="37" t="s">
        <v>237</v>
      </c>
    </row>
    <row r="15" spans="1:58" x14ac:dyDescent="0.25">
      <c r="A15" s="83"/>
      <c r="B15" s="84"/>
      <c r="C15" s="84"/>
      <c r="D15" s="85"/>
      <c r="F15" s="38">
        <v>0.58536585365853655</v>
      </c>
      <c r="G15" s="38">
        <v>2.5900083333333331E-2</v>
      </c>
      <c r="H15" s="38">
        <v>0.41463414634146339</v>
      </c>
      <c r="I15" s="38">
        <v>-1.861482352941176E-2</v>
      </c>
      <c r="J15" s="39">
        <v>0.39982559679223889</v>
      </c>
      <c r="K15" s="40">
        <v>315</v>
      </c>
      <c r="L15" s="41">
        <v>0.29265957172565399</v>
      </c>
      <c r="M15" s="41">
        <v>0.69002185820296857</v>
      </c>
      <c r="N15" s="39">
        <v>2.9176309161123668</v>
      </c>
      <c r="O15" s="39">
        <v>0.45565739597176841</v>
      </c>
      <c r="P15" s="39">
        <v>7.2333369167315009</v>
      </c>
      <c r="Q15" s="41">
        <v>1.6482628063280851</v>
      </c>
      <c r="R15" s="38">
        <v>8.7725027368034114E-2</v>
      </c>
    </row>
    <row r="16" spans="1:58" x14ac:dyDescent="0.25">
      <c r="A16" s="67" t="s">
        <v>166</v>
      </c>
      <c r="B16" s="67" t="s">
        <v>167</v>
      </c>
      <c r="C16" s="67" t="s">
        <v>168</v>
      </c>
      <c r="D16" s="67" t="s">
        <v>169</v>
      </c>
      <c r="E16" s="67" t="s">
        <v>170</v>
      </c>
      <c r="F16" s="67" t="s">
        <v>171</v>
      </c>
      <c r="G16" s="67" t="s">
        <v>172</v>
      </c>
      <c r="H16" s="67" t="s">
        <v>173</v>
      </c>
      <c r="I16" s="67" t="s">
        <v>174</v>
      </c>
      <c r="J16" s="67" t="s">
        <v>175</v>
      </c>
      <c r="K16" s="67" t="s">
        <v>176</v>
      </c>
      <c r="L16" s="67" t="s">
        <v>177</v>
      </c>
      <c r="M16" s="67" t="s">
        <v>178</v>
      </c>
      <c r="N16" s="67" t="s">
        <v>179</v>
      </c>
      <c r="O16" s="67" t="s">
        <v>180</v>
      </c>
      <c r="P16" s="67" t="s">
        <v>629</v>
      </c>
      <c r="Q16" s="67" t="s">
        <v>181</v>
      </c>
    </row>
    <row r="17" spans="1:17" x14ac:dyDescent="0.25">
      <c r="A17" s="48">
        <v>2019</v>
      </c>
      <c r="B17" s="68"/>
      <c r="C17" s="68"/>
      <c r="D17" s="68"/>
      <c r="E17" s="61">
        <v>-5.2394999999999997E-2</v>
      </c>
      <c r="F17" s="66">
        <v>7.9179999999999997E-3</v>
      </c>
      <c r="G17" s="68"/>
      <c r="H17" s="68"/>
      <c r="I17" s="68"/>
      <c r="J17" s="68"/>
      <c r="K17" s="66">
        <v>2.6851E-2</v>
      </c>
      <c r="L17" s="66">
        <v>3.47E-3</v>
      </c>
      <c r="M17" s="61">
        <v>-2.2950999999999999E-2</v>
      </c>
      <c r="N17" s="61">
        <v>-3.7107000000000001E-2</v>
      </c>
      <c r="O17" s="61">
        <v>-5.5995000000000003E-2</v>
      </c>
      <c r="P17" s="61">
        <v>-5.6399999999999999E-2</v>
      </c>
      <c r="Q17" s="62">
        <v>-0.66</v>
      </c>
    </row>
    <row r="18" spans="1:17" x14ac:dyDescent="0.25">
      <c r="A18" s="48">
        <v>2020</v>
      </c>
      <c r="B18" s="66">
        <v>7.8247999999999998E-2</v>
      </c>
      <c r="C18" s="61">
        <v>-2.358E-2</v>
      </c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6">
        <v>5.4668000000000001E-2</v>
      </c>
      <c r="O18" s="61">
        <v>-2.6421E-2</v>
      </c>
      <c r="P18" s="61">
        <v>-3.0268E-2</v>
      </c>
      <c r="Q18" s="64">
        <v>2.0699999999999998</v>
      </c>
    </row>
    <row r="19" spans="1:17" x14ac:dyDescent="0.25">
      <c r="A19" s="48">
        <v>2022</v>
      </c>
      <c r="B19" s="68"/>
      <c r="C19" s="68"/>
      <c r="D19" s="68"/>
      <c r="E19" s="68"/>
      <c r="F19" s="68"/>
      <c r="G19" s="68"/>
      <c r="H19" s="68"/>
      <c r="I19" s="66">
        <v>1.7413000000000001E-2</v>
      </c>
      <c r="J19" s="66">
        <v>5.0299999999999997E-3</v>
      </c>
      <c r="K19" s="61">
        <v>-3.7137000000000003E-2</v>
      </c>
      <c r="L19" s="61">
        <v>-1.6095999999999999E-2</v>
      </c>
      <c r="M19" s="61">
        <v>-1.3324000000000001E-2</v>
      </c>
      <c r="N19" s="61">
        <v>-4.4114E-2</v>
      </c>
      <c r="O19" s="61">
        <v>-8.0993999999999997E-2</v>
      </c>
      <c r="P19" s="61">
        <v>-8.0993999999999997E-2</v>
      </c>
      <c r="Q19" s="62">
        <v>-0.54</v>
      </c>
    </row>
    <row r="20" spans="1:17" x14ac:dyDescent="0.25">
      <c r="A20" s="48">
        <v>2023</v>
      </c>
      <c r="B20" s="68"/>
      <c r="C20" s="68"/>
      <c r="D20" s="68"/>
      <c r="E20" s="68"/>
      <c r="F20" s="66">
        <v>3.5133999999999999E-2</v>
      </c>
      <c r="G20" s="66">
        <v>3.1016999999999999E-2</v>
      </c>
      <c r="H20" s="66">
        <v>1.268E-2</v>
      </c>
      <c r="I20" s="66">
        <v>8.2614999999999994E-2</v>
      </c>
      <c r="J20" s="66">
        <v>2.9758E-2</v>
      </c>
      <c r="K20" s="61">
        <v>-1.8194999999999999E-2</v>
      </c>
      <c r="L20" s="66">
        <v>4.8515999999999997E-2</v>
      </c>
      <c r="M20" s="61">
        <v>-2.14E-4</v>
      </c>
      <c r="N20" s="66">
        <v>0.22131100000000001</v>
      </c>
      <c r="O20" s="61">
        <v>-3.7109999999999997E-2</v>
      </c>
      <c r="P20" s="61">
        <v>-4.7837999999999999E-2</v>
      </c>
      <c r="Q20" s="64">
        <v>5.96</v>
      </c>
    </row>
    <row r="21" spans="1:17" x14ac:dyDescent="0.25">
      <c r="A21" s="48">
        <v>2024</v>
      </c>
      <c r="B21" s="66">
        <v>5.8695999999999998E-2</v>
      </c>
      <c r="C21" s="61">
        <v>-1.4253E-2</v>
      </c>
      <c r="D21" s="61">
        <v>-2.1267999999999999E-2</v>
      </c>
      <c r="E21" s="68"/>
      <c r="F21" s="66">
        <v>1.2968E-2</v>
      </c>
      <c r="G21" s="66">
        <v>1.2076E-2</v>
      </c>
      <c r="H21" s="66">
        <v>3.0231999999999998E-2</v>
      </c>
      <c r="I21" s="61">
        <v>-1.3677E-2</v>
      </c>
      <c r="J21" s="61">
        <v>-1.0016000000000001E-2</v>
      </c>
      <c r="K21" s="61">
        <v>-4.15E-3</v>
      </c>
      <c r="L21" s="68"/>
      <c r="M21" s="68"/>
      <c r="N21" s="66">
        <v>5.0608E-2</v>
      </c>
      <c r="O21" s="61">
        <v>-7.7684000000000003E-2</v>
      </c>
      <c r="P21" s="61">
        <v>-8.1710000000000005E-2</v>
      </c>
      <c r="Q21" s="64">
        <v>0.65</v>
      </c>
    </row>
    <row r="22" spans="1:17" x14ac:dyDescent="0.25">
      <c r="A22" s="48">
        <v>2025</v>
      </c>
      <c r="B22" s="68"/>
      <c r="C22" s="68"/>
      <c r="D22" s="68"/>
      <c r="E22" s="66">
        <v>3.6915000000000003E-2</v>
      </c>
      <c r="F22" s="66">
        <v>2.3456999999999999E-2</v>
      </c>
      <c r="G22" s="66">
        <v>7.672E-3</v>
      </c>
      <c r="H22" s="66">
        <v>4.1799999999999997E-3</v>
      </c>
      <c r="I22" s="61">
        <v>-2.8718E-2</v>
      </c>
      <c r="J22" s="61">
        <v>-4.712E-3</v>
      </c>
      <c r="K22" s="66">
        <v>1.155E-2</v>
      </c>
      <c r="L22" s="66">
        <v>4.7930000000000004E-3</v>
      </c>
      <c r="M22" s="66">
        <v>2.7599999999999999E-4</v>
      </c>
      <c r="N22" s="66">
        <v>5.5412999999999997E-2</v>
      </c>
      <c r="O22" s="61">
        <v>-4.6377000000000002E-2</v>
      </c>
      <c r="P22" s="61">
        <v>-4.7721E-2</v>
      </c>
      <c r="Q22" s="64">
        <v>1.19</v>
      </c>
    </row>
    <row r="23" spans="1:17" x14ac:dyDescent="0.25">
      <c r="A23" s="48">
        <v>2026</v>
      </c>
      <c r="B23" s="61">
        <v>-1.43E-2</v>
      </c>
      <c r="C23" s="68"/>
      <c r="D23" s="68"/>
      <c r="E23" s="68"/>
      <c r="F23" s="66">
        <v>4.0136999999999999E-2</v>
      </c>
      <c r="G23" s="61">
        <v>-2.1465999999999999E-2</v>
      </c>
      <c r="H23" s="68"/>
      <c r="I23" s="68"/>
      <c r="J23" s="68"/>
      <c r="K23" s="68"/>
      <c r="L23" s="68"/>
      <c r="M23" s="68"/>
      <c r="N23" s="66">
        <v>4.3709999999999999E-3</v>
      </c>
      <c r="O23" s="61">
        <v>-4.5157000000000003E-2</v>
      </c>
      <c r="P23" s="61">
        <v>-4.5622999999999997E-2</v>
      </c>
      <c r="Q23" s="64">
        <v>0.1</v>
      </c>
    </row>
    <row r="24" spans="1:17" x14ac:dyDescent="0.25">
      <c r="A24" s="42" t="s">
        <v>179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66">
        <v>0.30514999999999998</v>
      </c>
      <c r="O24" s="61">
        <v>-5.2819999999999999E-2</v>
      </c>
      <c r="P24" s="61">
        <v>-5.5793000000000002E-2</v>
      </c>
      <c r="Q24" s="64">
        <v>1.25</v>
      </c>
    </row>
  </sheetData>
  <mergeCells count="8">
    <mergeCell ref="BF3:BF4"/>
    <mergeCell ref="A14:D14"/>
    <mergeCell ref="BE3:BE4"/>
    <mergeCell ref="BD3:BD4"/>
    <mergeCell ref="A2:E2"/>
    <mergeCell ref="A15:D15"/>
    <mergeCell ref="BC3:BC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Rules</vt:lpstr>
      <vt:lpstr>Trade Sheet</vt:lpstr>
      <vt:lpstr>Summary</vt:lpstr>
      <vt:lpstr>Patch wise</vt:lpstr>
      <vt:lpstr>WOW &amp; MOM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AFF55</cp:lastModifiedBy>
  <dcterms:created xsi:type="dcterms:W3CDTF">2026-07-29T05:28:29Z</dcterms:created>
  <dcterms:modified xsi:type="dcterms:W3CDTF">2026-07-29T06:17:02Z</dcterms:modified>
</cp:coreProperties>
</file>