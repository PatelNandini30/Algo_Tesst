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Nandini Patel\Algo test\Yearly Expiry\"/>
    </mc:Choice>
  </mc:AlternateContent>
  <bookViews>
    <workbookView xWindow="0" yWindow="0" windowWidth="20490" windowHeight="7560" activeTab="1"/>
  </bookViews>
  <sheets>
    <sheet name="Rules" sheetId="1" r:id="rId1"/>
    <sheet name="Trade Sheet" sheetId="2" r:id="rId2"/>
    <sheet name="Summary" sheetId="3" r:id="rId3"/>
    <sheet name="Patch wise" sheetId="4" r:id="rId4"/>
    <sheet name="WOW &amp; MOM Summary" sheetId="5" r:id="rId5"/>
  </sheets>
  <definedNames>
    <definedName name="_xlnm._FilterDatabase" localSheetId="1" hidden="1">'Trade Sheet'!$A$1:$AV$411</definedName>
  </definedNames>
  <calcPr calcId="162913"/>
</workbook>
</file>

<file path=xl/calcChain.xml><?xml version="1.0" encoding="utf-8"?>
<calcChain xmlns="http://schemas.openxmlformats.org/spreadsheetml/2006/main">
  <c r="M330" i="2" l="1"/>
  <c r="N404" i="2"/>
  <c r="N396" i="2"/>
  <c r="N372" i="2"/>
  <c r="N364" i="2"/>
  <c r="N340" i="2"/>
  <c r="N332" i="2"/>
  <c r="N308" i="2"/>
  <c r="N300" i="2"/>
  <c r="N276" i="2"/>
  <c r="N268" i="2"/>
  <c r="N244" i="2"/>
  <c r="N212" i="2"/>
  <c r="N180" i="2"/>
  <c r="N148" i="2"/>
  <c r="N116" i="2"/>
  <c r="N84" i="2"/>
  <c r="N52" i="2"/>
  <c r="N20" i="2"/>
  <c r="M410" i="2"/>
  <c r="N410" i="2" s="1"/>
  <c r="M408" i="2"/>
  <c r="N408" i="2" s="1"/>
  <c r="M406" i="2"/>
  <c r="N406" i="2" s="1"/>
  <c r="M404" i="2"/>
  <c r="M402" i="2"/>
  <c r="N402" i="2" s="1"/>
  <c r="M400" i="2"/>
  <c r="N400" i="2" s="1"/>
  <c r="M398" i="2"/>
  <c r="N398" i="2" s="1"/>
  <c r="M396" i="2"/>
  <c r="M394" i="2"/>
  <c r="N394" i="2" s="1"/>
  <c r="M392" i="2"/>
  <c r="N392" i="2" s="1"/>
  <c r="M390" i="2"/>
  <c r="N390" i="2" s="1"/>
  <c r="M388" i="2"/>
  <c r="N388" i="2" s="1"/>
  <c r="M386" i="2"/>
  <c r="N386" i="2" s="1"/>
  <c r="M384" i="2"/>
  <c r="N384" i="2" s="1"/>
  <c r="M382" i="2"/>
  <c r="N382" i="2" s="1"/>
  <c r="M380" i="2"/>
  <c r="N380" i="2" s="1"/>
  <c r="M378" i="2"/>
  <c r="N378" i="2" s="1"/>
  <c r="M376" i="2"/>
  <c r="N376" i="2" s="1"/>
  <c r="M374" i="2"/>
  <c r="N374" i="2" s="1"/>
  <c r="M372" i="2"/>
  <c r="M370" i="2"/>
  <c r="N370" i="2" s="1"/>
  <c r="M368" i="2"/>
  <c r="N368" i="2" s="1"/>
  <c r="M366" i="2"/>
  <c r="N366" i="2" s="1"/>
  <c r="M364" i="2"/>
  <c r="M362" i="2"/>
  <c r="N362" i="2" s="1"/>
  <c r="M360" i="2"/>
  <c r="N360" i="2" s="1"/>
  <c r="M358" i="2"/>
  <c r="N358" i="2" s="1"/>
  <c r="M356" i="2"/>
  <c r="N356" i="2" s="1"/>
  <c r="M354" i="2"/>
  <c r="N354" i="2" s="1"/>
  <c r="M352" i="2"/>
  <c r="N352" i="2" s="1"/>
  <c r="M350" i="2"/>
  <c r="N350" i="2" s="1"/>
  <c r="M348" i="2"/>
  <c r="N348" i="2" s="1"/>
  <c r="M346" i="2"/>
  <c r="N346" i="2" s="1"/>
  <c r="M344" i="2"/>
  <c r="N344" i="2" s="1"/>
  <c r="M342" i="2"/>
  <c r="N342" i="2" s="1"/>
  <c r="M340" i="2"/>
  <c r="M338" i="2"/>
  <c r="N338" i="2" s="1"/>
  <c r="M336" i="2"/>
  <c r="N336" i="2" s="1"/>
  <c r="M334" i="2"/>
  <c r="N334" i="2" s="1"/>
  <c r="M332" i="2"/>
  <c r="N330" i="2"/>
  <c r="M328" i="2"/>
  <c r="N328" i="2" s="1"/>
  <c r="M326" i="2"/>
  <c r="N326" i="2" s="1"/>
  <c r="M324" i="2"/>
  <c r="N324" i="2" s="1"/>
  <c r="M322" i="2"/>
  <c r="N322" i="2" s="1"/>
  <c r="M320" i="2"/>
  <c r="N320" i="2" s="1"/>
  <c r="M318" i="2"/>
  <c r="N318" i="2" s="1"/>
  <c r="M316" i="2"/>
  <c r="N316" i="2" s="1"/>
  <c r="M314" i="2"/>
  <c r="N314" i="2" s="1"/>
  <c r="M312" i="2"/>
  <c r="N312" i="2" s="1"/>
  <c r="M310" i="2"/>
  <c r="N310" i="2" s="1"/>
  <c r="M308" i="2"/>
  <c r="M306" i="2"/>
  <c r="N306" i="2" s="1"/>
  <c r="M304" i="2"/>
  <c r="N304" i="2" s="1"/>
  <c r="M302" i="2"/>
  <c r="N302" i="2" s="1"/>
  <c r="M300" i="2"/>
  <c r="M298" i="2"/>
  <c r="N298" i="2" s="1"/>
  <c r="M296" i="2"/>
  <c r="N296" i="2" s="1"/>
  <c r="M294" i="2"/>
  <c r="N294" i="2" s="1"/>
  <c r="M292" i="2"/>
  <c r="N292" i="2" s="1"/>
  <c r="M290" i="2"/>
  <c r="N290" i="2" s="1"/>
  <c r="M288" i="2"/>
  <c r="N288" i="2" s="1"/>
  <c r="M286" i="2"/>
  <c r="N286" i="2" s="1"/>
  <c r="M284" i="2"/>
  <c r="N284" i="2" s="1"/>
  <c r="M282" i="2"/>
  <c r="N282" i="2" s="1"/>
  <c r="M280" i="2"/>
  <c r="N280" i="2" s="1"/>
  <c r="M278" i="2"/>
  <c r="N278" i="2" s="1"/>
  <c r="M276" i="2"/>
  <c r="M274" i="2"/>
  <c r="N274" i="2" s="1"/>
  <c r="M272" i="2"/>
  <c r="N272" i="2" s="1"/>
  <c r="M270" i="2"/>
  <c r="N270" i="2" s="1"/>
  <c r="M268" i="2"/>
  <c r="M266" i="2"/>
  <c r="N266" i="2" s="1"/>
  <c r="M264" i="2"/>
  <c r="N264" i="2" s="1"/>
  <c r="M262" i="2"/>
  <c r="N262" i="2" s="1"/>
  <c r="M260" i="2"/>
  <c r="N260" i="2" s="1"/>
  <c r="M258" i="2"/>
  <c r="N258" i="2" s="1"/>
  <c r="M256" i="2"/>
  <c r="N256" i="2" s="1"/>
  <c r="M254" i="2"/>
  <c r="N254" i="2" s="1"/>
  <c r="M252" i="2"/>
  <c r="N252" i="2" s="1"/>
  <c r="M250" i="2"/>
  <c r="N250" i="2" s="1"/>
  <c r="M248" i="2"/>
  <c r="N248" i="2" s="1"/>
  <c r="M246" i="2"/>
  <c r="N246" i="2" s="1"/>
  <c r="M244" i="2"/>
  <c r="M242" i="2"/>
  <c r="N242" i="2" s="1"/>
  <c r="M240" i="2"/>
  <c r="N240" i="2" s="1"/>
  <c r="M238" i="2"/>
  <c r="N238" i="2" s="1"/>
  <c r="M236" i="2"/>
  <c r="N236" i="2" s="1"/>
  <c r="M234" i="2"/>
  <c r="N234" i="2" s="1"/>
  <c r="M232" i="2"/>
  <c r="N232" i="2" s="1"/>
  <c r="M230" i="2"/>
  <c r="N230" i="2" s="1"/>
  <c r="M228" i="2"/>
  <c r="N228" i="2" s="1"/>
  <c r="M226" i="2"/>
  <c r="N226" i="2" s="1"/>
  <c r="M224" i="2"/>
  <c r="N224" i="2" s="1"/>
  <c r="M222" i="2"/>
  <c r="N222" i="2" s="1"/>
  <c r="M220" i="2"/>
  <c r="N220" i="2" s="1"/>
  <c r="M218" i="2"/>
  <c r="N218" i="2" s="1"/>
  <c r="M216" i="2"/>
  <c r="N216" i="2" s="1"/>
  <c r="M214" i="2"/>
  <c r="N214" i="2" s="1"/>
  <c r="M212" i="2"/>
  <c r="M210" i="2"/>
  <c r="N210" i="2" s="1"/>
  <c r="M208" i="2"/>
  <c r="N208" i="2" s="1"/>
  <c r="M206" i="2"/>
  <c r="N206" i="2" s="1"/>
  <c r="M204" i="2"/>
  <c r="N204" i="2" s="1"/>
  <c r="M202" i="2"/>
  <c r="N202" i="2" s="1"/>
  <c r="M200" i="2"/>
  <c r="N200" i="2" s="1"/>
  <c r="M198" i="2"/>
  <c r="N198" i="2" s="1"/>
  <c r="M196" i="2"/>
  <c r="N196" i="2" s="1"/>
  <c r="M194" i="2"/>
  <c r="N194" i="2" s="1"/>
  <c r="M192" i="2"/>
  <c r="N192" i="2" s="1"/>
  <c r="M190" i="2"/>
  <c r="N190" i="2" s="1"/>
  <c r="M188" i="2"/>
  <c r="N188" i="2" s="1"/>
  <c r="M186" i="2"/>
  <c r="N186" i="2" s="1"/>
  <c r="M184" i="2"/>
  <c r="N184" i="2" s="1"/>
  <c r="M182" i="2"/>
  <c r="N182" i="2" s="1"/>
  <c r="M180" i="2"/>
  <c r="M178" i="2"/>
  <c r="N178" i="2" s="1"/>
  <c r="M176" i="2"/>
  <c r="N176" i="2" s="1"/>
  <c r="M174" i="2"/>
  <c r="N174" i="2" s="1"/>
  <c r="M172" i="2"/>
  <c r="N172" i="2" s="1"/>
  <c r="M170" i="2"/>
  <c r="N170" i="2" s="1"/>
  <c r="M168" i="2"/>
  <c r="N168" i="2" s="1"/>
  <c r="M166" i="2"/>
  <c r="N166" i="2" s="1"/>
  <c r="M164" i="2"/>
  <c r="N164" i="2" s="1"/>
  <c r="M162" i="2"/>
  <c r="N162" i="2" s="1"/>
  <c r="M160" i="2"/>
  <c r="N160" i="2" s="1"/>
  <c r="M158" i="2"/>
  <c r="N158" i="2" s="1"/>
  <c r="M156" i="2"/>
  <c r="N156" i="2" s="1"/>
  <c r="M154" i="2"/>
  <c r="N154" i="2" s="1"/>
  <c r="M152" i="2"/>
  <c r="N152" i="2" s="1"/>
  <c r="M150" i="2"/>
  <c r="N150" i="2" s="1"/>
  <c r="M148" i="2"/>
  <c r="M146" i="2"/>
  <c r="N146" i="2" s="1"/>
  <c r="M144" i="2"/>
  <c r="N144" i="2" s="1"/>
  <c r="M142" i="2"/>
  <c r="N142" i="2" s="1"/>
  <c r="M140" i="2"/>
  <c r="N140" i="2" s="1"/>
  <c r="M138" i="2"/>
  <c r="N138" i="2" s="1"/>
  <c r="M136" i="2"/>
  <c r="N136" i="2" s="1"/>
  <c r="M134" i="2"/>
  <c r="N134" i="2" s="1"/>
  <c r="M132" i="2"/>
  <c r="N132" i="2" s="1"/>
  <c r="M130" i="2"/>
  <c r="N130" i="2" s="1"/>
  <c r="M128" i="2"/>
  <c r="N128" i="2" s="1"/>
  <c r="M126" i="2"/>
  <c r="N126" i="2" s="1"/>
  <c r="M124" i="2"/>
  <c r="N124" i="2" s="1"/>
  <c r="M122" i="2"/>
  <c r="N122" i="2" s="1"/>
  <c r="M120" i="2"/>
  <c r="N120" i="2" s="1"/>
  <c r="M118" i="2"/>
  <c r="N118" i="2" s="1"/>
  <c r="M116" i="2"/>
  <c r="M114" i="2"/>
  <c r="N114" i="2" s="1"/>
  <c r="M112" i="2"/>
  <c r="N112" i="2" s="1"/>
  <c r="M110" i="2"/>
  <c r="N110" i="2" s="1"/>
  <c r="M108" i="2"/>
  <c r="N108" i="2" s="1"/>
  <c r="M106" i="2"/>
  <c r="N106" i="2" s="1"/>
  <c r="M104" i="2"/>
  <c r="N104" i="2" s="1"/>
  <c r="M102" i="2"/>
  <c r="N102" i="2" s="1"/>
  <c r="M100" i="2"/>
  <c r="N100" i="2" s="1"/>
  <c r="M98" i="2"/>
  <c r="N98" i="2" s="1"/>
  <c r="M96" i="2"/>
  <c r="N96" i="2" s="1"/>
  <c r="M94" i="2"/>
  <c r="N94" i="2" s="1"/>
  <c r="M92" i="2"/>
  <c r="N92" i="2" s="1"/>
  <c r="M90" i="2"/>
  <c r="N90" i="2" s="1"/>
  <c r="M88" i="2"/>
  <c r="N88" i="2" s="1"/>
  <c r="M86" i="2"/>
  <c r="N86" i="2" s="1"/>
  <c r="M84" i="2"/>
  <c r="M82" i="2"/>
  <c r="N82" i="2" s="1"/>
  <c r="M80" i="2"/>
  <c r="N80" i="2" s="1"/>
  <c r="M78" i="2"/>
  <c r="N78" i="2" s="1"/>
  <c r="M76" i="2"/>
  <c r="N76" i="2" s="1"/>
  <c r="M74" i="2"/>
  <c r="N74" i="2" s="1"/>
  <c r="M72" i="2"/>
  <c r="N72" i="2" s="1"/>
  <c r="M70" i="2"/>
  <c r="N70" i="2" s="1"/>
  <c r="M68" i="2"/>
  <c r="N68" i="2" s="1"/>
  <c r="M66" i="2"/>
  <c r="N66" i="2" s="1"/>
  <c r="M64" i="2"/>
  <c r="N64" i="2" s="1"/>
  <c r="M62" i="2"/>
  <c r="N62" i="2" s="1"/>
  <c r="M60" i="2"/>
  <c r="N60" i="2" s="1"/>
  <c r="M58" i="2"/>
  <c r="N58" i="2" s="1"/>
  <c r="M56" i="2"/>
  <c r="N56" i="2" s="1"/>
  <c r="M54" i="2"/>
  <c r="N54" i="2" s="1"/>
  <c r="M52" i="2"/>
  <c r="M50" i="2"/>
  <c r="N50" i="2" s="1"/>
  <c r="M48" i="2"/>
  <c r="N48" i="2" s="1"/>
  <c r="M46" i="2"/>
  <c r="N46" i="2" s="1"/>
  <c r="M44" i="2"/>
  <c r="N44" i="2" s="1"/>
  <c r="M42" i="2"/>
  <c r="N42" i="2" s="1"/>
  <c r="M40" i="2"/>
  <c r="N40" i="2" s="1"/>
  <c r="M38" i="2"/>
  <c r="N38" i="2" s="1"/>
  <c r="M36" i="2"/>
  <c r="N36" i="2" s="1"/>
  <c r="M34" i="2"/>
  <c r="N34" i="2" s="1"/>
  <c r="M32" i="2"/>
  <c r="N32" i="2" s="1"/>
  <c r="M30" i="2"/>
  <c r="N30" i="2" s="1"/>
  <c r="M28" i="2"/>
  <c r="N28" i="2" s="1"/>
  <c r="M26" i="2"/>
  <c r="N26" i="2" s="1"/>
  <c r="M24" i="2"/>
  <c r="N24" i="2" s="1"/>
  <c r="M22" i="2"/>
  <c r="N22" i="2" s="1"/>
  <c r="M20" i="2"/>
  <c r="M18" i="2"/>
  <c r="N18" i="2" s="1"/>
  <c r="M16" i="2"/>
  <c r="N16" i="2" s="1"/>
  <c r="M14" i="2"/>
  <c r="N14" i="2" s="1"/>
  <c r="M12" i="2"/>
  <c r="N12" i="2" s="1"/>
  <c r="M10" i="2"/>
  <c r="N10" i="2" s="1"/>
  <c r="M8" i="2"/>
  <c r="N8" i="2" s="1"/>
  <c r="M6" i="2"/>
  <c r="N6" i="2" s="1"/>
  <c r="M4" i="2"/>
  <c r="N4" i="2" s="1"/>
  <c r="M2" i="2"/>
  <c r="N2" i="2" s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3" i="2"/>
  <c r="F2" i="2"/>
</calcChain>
</file>

<file path=xl/sharedStrings.xml><?xml version="1.0" encoding="utf-8"?>
<sst xmlns="http://schemas.openxmlformats.org/spreadsheetml/2006/main" count="2127" uniqueCount="521">
  <si>
    <t>STRATEGY RULES</t>
  </si>
  <si>
    <t xml:space="preserve">  Strategy</t>
  </si>
  <si>
    <t>Index</t>
  </si>
  <si>
    <t>NIFTY</t>
  </si>
  <si>
    <t>Backtest Date Range</t>
  </si>
  <si>
    <t>2019-03-29 → 2026-06-30</t>
  </si>
  <si>
    <t>Expiry</t>
  </si>
  <si>
    <t>Yearly (December)</t>
  </si>
  <si>
    <t>Entry / Exit DTE</t>
  </si>
  <si>
    <t>T-1 to T-1</t>
  </si>
  <si>
    <t>Square-off Mode</t>
  </si>
  <si>
    <t>partial</t>
  </si>
  <si>
    <t>Roll Cadence</t>
  </si>
  <si>
    <t>Weekly</t>
  </si>
  <si>
    <t>Yearly Exit</t>
  </si>
  <si>
    <t>T-1 (1 month before the long-dated expiry)</t>
  </si>
  <si>
    <t>Roll Through</t>
  </si>
  <si>
    <t>June + December</t>
  </si>
  <si>
    <t>Rollover</t>
  </si>
  <si>
    <t>Yes (roll weekly within the December contract)</t>
  </si>
  <si>
    <t>Spot Adjustment</t>
  </si>
  <si>
    <t>No</t>
  </si>
  <si>
    <t>Strike Shift Fallback</t>
  </si>
  <si>
    <t>1 step(s)</t>
  </si>
  <si>
    <t>Cost / Charges</t>
  </si>
  <si>
    <t>Disabled</t>
  </si>
  <si>
    <t>Filter</t>
  </si>
  <si>
    <t>Base 2 Bull With MFI_Ex TROC_Ex 1st Month</t>
  </si>
  <si>
    <t xml:space="preserve">  Leg 1 — CE Sell (Options)</t>
  </si>
  <si>
    <t>Position</t>
  </si>
  <si>
    <t>Sell</t>
  </si>
  <si>
    <t>Lots</t>
  </si>
  <si>
    <t>1</t>
  </si>
  <si>
    <t>Option Type</t>
  </si>
  <si>
    <t>CE</t>
  </si>
  <si>
    <t>Strike Selection</t>
  </si>
  <si>
    <t>ITM1</t>
  </si>
  <si>
    <t>Strike Gap</t>
  </si>
  <si>
    <t>100</t>
  </si>
  <si>
    <t>Rollover Strike Mode</t>
  </si>
  <si>
    <t>Fresh</t>
  </si>
  <si>
    <t>Slippage</t>
  </si>
  <si>
    <t xml:space="preserve">  Leg 2 — PE Buy (Options)</t>
  </si>
  <si>
    <t>Buy</t>
  </si>
  <si>
    <t>PE</t>
  </si>
  <si>
    <t>ATM</t>
  </si>
  <si>
    <t>1000</t>
  </si>
  <si>
    <t xml:space="preserve">  Leg 3 — NIFTYMIDCAP100 Buy (Midcap Overlay)</t>
  </si>
  <si>
    <t>Pricing Mode</t>
  </si>
  <si>
    <t>Hypothetical Future</t>
  </si>
  <si>
    <t>Cost % / month</t>
  </si>
  <si>
    <t>0.5</t>
  </si>
  <si>
    <t>Trade</t>
  </si>
  <si>
    <t>Leg</t>
  </si>
  <si>
    <t>Entry Date</t>
  </si>
  <si>
    <t>Exit Date</t>
  </si>
  <si>
    <t>Entry Spot</t>
  </si>
  <si>
    <t>Exit Spot</t>
  </si>
  <si>
    <t>Spot P&amp;L</t>
  </si>
  <si>
    <t>Spot P&amp;L %</t>
  </si>
  <si>
    <t>Type</t>
  </si>
  <si>
    <t>Strike</t>
  </si>
  <si>
    <t>B/S</t>
  </si>
  <si>
    <t>Qty</t>
  </si>
  <si>
    <t>Entry Price</t>
  </si>
  <si>
    <t>Exit Price</t>
  </si>
  <si>
    <t>MAE</t>
  </si>
  <si>
    <t>MFE</t>
  </si>
  <si>
    <t>CE P&amp;L</t>
  </si>
  <si>
    <t>CE P&amp;L %</t>
  </si>
  <si>
    <t>PE P&amp;L</t>
  </si>
  <si>
    <t>PE P&amp;L %</t>
  </si>
  <si>
    <t>Midcap Entry Spot</t>
  </si>
  <si>
    <t>Midcap Exit Spot</t>
  </si>
  <si>
    <t>Midcap Spot P&amp;L</t>
  </si>
  <si>
    <t>Midcap Spot P&amp;L %</t>
  </si>
  <si>
    <t>Midcap No Of Days</t>
  </si>
  <si>
    <t>Midcap Rollover Cost %</t>
  </si>
  <si>
    <t>Midcap Hypo P&amp;L</t>
  </si>
  <si>
    <t>Midcap Hypo P&amp;L %</t>
  </si>
  <si>
    <t>Midcap MAE</t>
  </si>
  <si>
    <t>Midcap MFE</t>
  </si>
  <si>
    <t>Combined Net P&amp;L</t>
  </si>
  <si>
    <t>Combined Net P&amp;L %</t>
  </si>
  <si>
    <t>Combined Cumulative</t>
  </si>
  <si>
    <t>Combined Peak</t>
  </si>
  <si>
    <t>Combined DD</t>
  </si>
  <si>
    <t>Combined %DD</t>
  </si>
  <si>
    <t>Combined Net MAE 1</t>
  </si>
  <si>
    <t>Combined Net MAE 2</t>
  </si>
  <si>
    <t>Combined Final MAE</t>
  </si>
  <si>
    <t>Combined Lowest NAV</t>
  </si>
  <si>
    <t>Combined Actual Live DD</t>
  </si>
  <si>
    <t>Exit Reason</t>
  </si>
  <si>
    <t>Strike Shift Reason</t>
  </si>
  <si>
    <t>SELL</t>
  </si>
  <si>
    <t>SCHEDULED_EXIT</t>
  </si>
  <si>
    <t>BUY</t>
  </si>
  <si>
    <t>FILTER_END</t>
  </si>
  <si>
    <t>SCHEDULED_EXIT+SPOT_ADJ_RISE (Leg 1 CE Weekly)</t>
  </si>
  <si>
    <t>12000→9400 (zero turnover, 26 steps outward)</t>
  </si>
  <si>
    <t>12000→11500 (zero turnover, 5 steps outward)</t>
  </si>
  <si>
    <t>SPOT_ADJ_RISE (Leg 1 CE Weekly)</t>
  </si>
  <si>
    <t>SPOT_ADJ_RISE (Leg 2 PE Yearly)</t>
  </si>
  <si>
    <t xml:space="preserve">  BACKTEST SUMMARY REPORT</t>
  </si>
  <si>
    <t>NIFTY_SELL_CE_ITM1_WEEKLY_BUY_PE_ATM_YEARLY_BUY_MIDCAP100_Hypothetical_Future_T1_T1_WOW_YT1_ROLL_JUN-DEC   ·   2019-03-29 → 2026-06-30   ·   Generated: 22 Jul 2026</t>
  </si>
  <si>
    <t xml:space="preserve">  PERFORMANCE OVERVIEW</t>
  </si>
  <si>
    <t>Overall Profit</t>
  </si>
  <si>
    <t>+35.75%</t>
  </si>
  <si>
    <t>No. of Trades</t>
  </si>
  <si>
    <t>Win %</t>
  </si>
  <si>
    <t>59.02%</t>
  </si>
  <si>
    <t>Loss %</t>
  </si>
  <si>
    <t>40.98%</t>
  </si>
  <si>
    <t>Avg Profit on Winners</t>
  </si>
  <si>
    <t>0.99%</t>
  </si>
  <si>
    <t>Avg Loss on Losers</t>
  </si>
  <si>
    <t>-1.00%</t>
  </si>
  <si>
    <t>Avg Profit per Trade</t>
  </si>
  <si>
    <t>+81.98</t>
  </si>
  <si>
    <t>Expectancy Ratio</t>
  </si>
  <si>
    <t>0.1736</t>
  </si>
  <si>
    <t>Net P/L Avg %</t>
  </si>
  <si>
    <t>+0.1744%</t>
  </si>
  <si>
    <t>Max Profit (Single Trade)</t>
  </si>
  <si>
    <t>₹1,561.38</t>
  </si>
  <si>
    <t>Max Loss (Single Trade)</t>
  </si>
  <si>
    <t>₹-2,631.75</t>
  </si>
  <si>
    <t>CAGR (Options)</t>
  </si>
  <si>
    <t>+0.44%</t>
  </si>
  <si>
    <t>CAGR (Spot)</t>
  </si>
  <si>
    <t>+10.47%</t>
  </si>
  <si>
    <t>Sum</t>
  </si>
  <si>
    <t>%</t>
  </si>
  <si>
    <t>ROI vs Spot</t>
  </si>
  <si>
    <t>7,346.70</t>
  </si>
  <si>
    <t>+34.61%</t>
  </si>
  <si>
    <t>-373.80</t>
  </si>
  <si>
    <t>-1.28%</t>
  </si>
  <si>
    <t>-2,039.70</t>
  </si>
  <si>
    <t>-8.71%</t>
  </si>
  <si>
    <t>CE + PE P&amp;L</t>
  </si>
  <si>
    <t>-2,413.50</t>
  </si>
  <si>
    <t>-9.99%</t>
  </si>
  <si>
    <t>NIFTYMIDCAP100 Hypothetical Future P&amp;L</t>
  </si>
  <si>
    <t>19,218.66</t>
  </si>
  <si>
    <t>+45.74%</t>
  </si>
  <si>
    <t>CE + PE + NIFTYMIDCAP100 Hypothetical Future P&amp;L</t>
  </si>
  <si>
    <t>16,805.16</t>
  </si>
  <si>
    <t>Net P&amp;L</t>
  </si>
  <si>
    <t xml:space="preserve">  RISK METRICS</t>
  </si>
  <si>
    <t>Max Drawdown</t>
  </si>
  <si>
    <t>-8.15%</t>
  </si>
  <si>
    <t>Max DD Days</t>
  </si>
  <si>
    <t>107</t>
  </si>
  <si>
    <t>Drawdown Period:  2022-09-07  →  2022-12-23</t>
  </si>
  <si>
    <t>Return / MaxDD</t>
  </si>
  <si>
    <t>0.0005</t>
  </si>
  <si>
    <t xml:space="preserve">  CONSISTENCY &amp; STREAKS</t>
  </si>
  <si>
    <t>Max Win Streak</t>
  </si>
  <si>
    <t>8 trades</t>
  </si>
  <si>
    <t>Max Losing Streak</t>
  </si>
  <si>
    <t>4 trades</t>
  </si>
  <si>
    <t xml:space="preserve">  MONTHLY RETURNS (₹ Net P&amp;L)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</si>
  <si>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</si>
  <si>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</si>
  <si>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</si>
  <si>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</si>
  <si>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</si>
  <si>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</si>
  <si>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</si>
  <si>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</si>
  <si>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</si>
  <si>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</si>
  <si>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</si>
  <si>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</si>
  <si>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</si>
  <si>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</si>
  <si>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Max DD</t>
  </si>
  <si>
    <t>R/MDD</t>
  </si>
  <si>
    <t>2019</t>
  </si>
  <si>
    <t>2020</t>
  </si>
  <si>
    <t>2022</t>
  </si>
  <si>
    <t>2023</t>
  </si>
  <si>
    <t>2024</t>
  </si>
  <si>
    <t>2025</t>
  </si>
  <si>
    <t>2026</t>
  </si>
  <si>
    <t xml:space="preserve">  MONTHLY RETURNS (% Net P&amp;L)</t>
  </si>
  <si>
    <t xml:space="preserve">  LIVE DD &amp; OUTLIER ANALYSIS</t>
  </si>
  <si>
    <t>Actual Live DD (min)</t>
  </si>
  <si>
    <t>Avg Actual Live DD</t>
  </si>
  <si>
    <t>-1.95%</t>
  </si>
  <si>
    <t>Avg Combined Final MAE</t>
  </si>
  <si>
    <t>-0.61%</t>
  </si>
  <si>
    <t>CAR/MDD (Booked)</t>
  </si>
  <si>
    <t>CAR/MDD Live</t>
  </si>
  <si>
    <t>+ve Outlier 1</t>
  </si>
  <si>
    <t>+3.43%</t>
  </si>
  <si>
    <t>-ve Outlier 1</t>
  </si>
  <si>
    <t>-4.64%</t>
  </si>
  <si>
    <t>Actual Live DD Without Outlier 1</t>
  </si>
  <si>
    <t>-8.14%</t>
  </si>
  <si>
    <t>Avg Actual Live DD Without Outlier 1</t>
  </si>
  <si>
    <t>-1.87%</t>
  </si>
  <si>
    <t>+ve Outlier 2</t>
  </si>
  <si>
    <t>+6.82%</t>
  </si>
  <si>
    <t>-ve Outlier 2</t>
  </si>
  <si>
    <t>-7.80%</t>
  </si>
  <si>
    <t>Actual Live DD Without Outlier 2</t>
  </si>
  <si>
    <t>Avg Actual Live DD Without Outlier 2</t>
  </si>
  <si>
    <t>-1.88%</t>
  </si>
  <si>
    <t>+ve Outlier 3</t>
  </si>
  <si>
    <t>+9.85%</t>
  </si>
  <si>
    <t>-ve Outlier 3</t>
  </si>
  <si>
    <t>-10.84%</t>
  </si>
  <si>
    <t>Actual Live DD Without Outlier 3</t>
  </si>
  <si>
    <t>-5.92%</t>
  </si>
  <si>
    <t>Avg Actual Live DD Without Outlier 3</t>
  </si>
  <si>
    <t>-1.81%</t>
  </si>
  <si>
    <t>CE + PE + NIFTYMIDCAP100 Hypothetical Future P&amp;L % Without Top 1 Outliers</t>
  </si>
  <si>
    <t>+36.95%</t>
  </si>
  <si>
    <t>CE + PE + NIFTYMIDCAP100 Hypothetical Future P&amp;L % Without Top 2 Outliers</t>
  </si>
  <si>
    <t>+36.73%</t>
  </si>
  <si>
    <t>CE + PE + NIFTYMIDCAP100 Hypothetical Future P&amp;L % Without Top 3 Outliers</t>
  </si>
  <si>
    <t>+36.74%</t>
  </si>
  <si>
    <t>Midcap Future</t>
  </si>
  <si>
    <t>Nifty CE + PE</t>
  </si>
  <si>
    <t>Nifty CE + PE + Midcap Future</t>
  </si>
  <si>
    <t>Phase wise Distribution</t>
  </si>
  <si>
    <t>cumm</t>
  </si>
  <si>
    <t>Peak</t>
  </si>
  <si>
    <t>Close</t>
  </si>
  <si>
    <t>Hypo MAE</t>
  </si>
  <si>
    <t>Lowest NAV</t>
  </si>
  <si>
    <t>Live DD</t>
  </si>
  <si>
    <t>Entry</t>
  </si>
  <si>
    <t>Exit</t>
  </si>
  <si>
    <t>CAGR</t>
  </si>
  <si>
    <t>Future P&amp;L %</t>
  </si>
  <si>
    <t>Net P&amp;L %</t>
  </si>
  <si>
    <t>Cumulative</t>
  </si>
  <si>
    <t>DD</t>
  </si>
  <si>
    <t>%DD</t>
  </si>
  <si>
    <t>Actual Live DD</t>
  </si>
  <si>
    <t>29-03-2019</t>
  </si>
  <si>
    <t>03-04-2019</t>
  </si>
  <si>
    <t>10-05-2019</t>
  </si>
  <si>
    <t>10-04-2019</t>
  </si>
  <si>
    <t>30-09-2019</t>
  </si>
  <si>
    <t>28-02-2020</t>
  </si>
  <si>
    <t>16-04-2019</t>
  </si>
  <si>
    <t>29-07-2022</t>
  </si>
  <si>
    <t>23-12-2022</t>
  </si>
  <si>
    <t>24-04-2019</t>
  </si>
  <si>
    <t>28-04-2023</t>
  </si>
  <si>
    <t>28-03-2024</t>
  </si>
  <si>
    <t>30-04-2019</t>
  </si>
  <si>
    <t>30-04-2024</t>
  </si>
  <si>
    <t>25-10-2024</t>
  </si>
  <si>
    <t>08-05-2019</t>
  </si>
  <si>
    <t>28-03-2025</t>
  </si>
  <si>
    <t>23-01-2026</t>
  </si>
  <si>
    <t>30-04-2026</t>
  </si>
  <si>
    <t>29-06-2026</t>
  </si>
  <si>
    <t>01-10-2019</t>
  </si>
  <si>
    <t>09-10-2019</t>
  </si>
  <si>
    <t>16-10-2019</t>
  </si>
  <si>
    <t>23-10-2019</t>
  </si>
  <si>
    <t>30-10-2019</t>
  </si>
  <si>
    <t>06-11-2019</t>
  </si>
  <si>
    <t>13-11-2019</t>
  </si>
  <si>
    <t>20-11-2019</t>
  </si>
  <si>
    <t>27-11-2019</t>
  </si>
  <si>
    <t>04-12-2019</t>
  </si>
  <si>
    <t>11-12-2019</t>
  </si>
  <si>
    <t>17-12-2019</t>
  </si>
  <si>
    <t>18-12-2019</t>
  </si>
  <si>
    <t>24-12-2019</t>
  </si>
  <si>
    <t>01-01-2020</t>
  </si>
  <si>
    <t>08-01-2020</t>
  </si>
  <si>
    <t>13-01-2020</t>
  </si>
  <si>
    <t>15-01-2020</t>
  </si>
  <si>
    <t>22-01-2020</t>
  </si>
  <si>
    <t>29-01-2020</t>
  </si>
  <si>
    <t>05-02-2020</t>
  </si>
  <si>
    <t>12-02-2020</t>
  </si>
  <si>
    <t>19-02-2020</t>
  </si>
  <si>
    <t>26-02-2020</t>
  </si>
  <si>
    <t>03-08-2022</t>
  </si>
  <si>
    <t>10-08-2022</t>
  </si>
  <si>
    <t>17-08-2022</t>
  </si>
  <si>
    <t>24-08-2022</t>
  </si>
  <si>
    <t>30-08-2022</t>
  </si>
  <si>
    <t>07-09-2022</t>
  </si>
  <si>
    <t>13-09-2022</t>
  </si>
  <si>
    <t>14-09-2022</t>
  </si>
  <si>
    <t>21-09-2022</t>
  </si>
  <si>
    <t>28-09-2022</t>
  </si>
  <si>
    <t>04-10-2022</t>
  </si>
  <si>
    <t>12-10-2022</t>
  </si>
  <si>
    <t>18-10-2022</t>
  </si>
  <si>
    <t>19-10-2022</t>
  </si>
  <si>
    <t>25-10-2022</t>
  </si>
  <si>
    <t>31-10-2022</t>
  </si>
  <si>
    <t>02-11-2022</t>
  </si>
  <si>
    <t>07-11-2022</t>
  </si>
  <si>
    <t>09-11-2022</t>
  </si>
  <si>
    <t>16-11-2022</t>
  </si>
  <si>
    <t>23-11-2022</t>
  </si>
  <si>
    <t>30-11-2022</t>
  </si>
  <si>
    <t>07-12-2022</t>
  </si>
  <si>
    <t>14-12-2022</t>
  </si>
  <si>
    <t>21-12-2022</t>
  </si>
  <si>
    <t>03-05-2023</t>
  </si>
  <si>
    <t>10-05-2023</t>
  </si>
  <si>
    <t>17-05-2023</t>
  </si>
  <si>
    <t>24-05-2023</t>
  </si>
  <si>
    <t>31-05-2023</t>
  </si>
  <si>
    <t>07-06-2023</t>
  </si>
  <si>
    <t>14-06-2023</t>
  </si>
  <si>
    <t>21-06-2023</t>
  </si>
  <si>
    <t>27-06-2023</t>
  </si>
  <si>
    <t>03-07-2023</t>
  </si>
  <si>
    <t>05-07-2023</t>
  </si>
  <si>
    <t>12-07-2023</t>
  </si>
  <si>
    <t>14-07-2023</t>
  </si>
  <si>
    <t>19-07-2023</t>
  </si>
  <si>
    <t>26-07-2023</t>
  </si>
  <si>
    <t>02-08-2023</t>
  </si>
  <si>
    <t>09-08-2023</t>
  </si>
  <si>
    <t>16-08-2023</t>
  </si>
  <si>
    <t>23-08-2023</t>
  </si>
  <si>
    <t>30-08-2023</t>
  </si>
  <si>
    <t>06-09-2023</t>
  </si>
  <si>
    <t>13-09-2023</t>
  </si>
  <si>
    <t>20-09-2023</t>
  </si>
  <si>
    <t>27-09-2023</t>
  </si>
  <si>
    <t>04-10-2023</t>
  </si>
  <si>
    <t>11-10-2023</t>
  </si>
  <si>
    <t>18-10-2023</t>
  </si>
  <si>
    <t>25-10-2023</t>
  </si>
  <si>
    <t>01-11-2023</t>
  </si>
  <si>
    <t>06-11-2023</t>
  </si>
  <si>
    <t>08-11-2023</t>
  </si>
  <si>
    <t>15-11-2023</t>
  </si>
  <si>
    <t>22-11-2023</t>
  </si>
  <si>
    <t>29-11-2023</t>
  </si>
  <si>
    <t>04-12-2023</t>
  </si>
  <si>
    <t>06-12-2023</t>
  </si>
  <si>
    <t>13-12-2023</t>
  </si>
  <si>
    <t>15-12-2023</t>
  </si>
  <si>
    <t>20-12-2023</t>
  </si>
  <si>
    <t>27-12-2023</t>
  </si>
  <si>
    <t>03-01-2024</t>
  </si>
  <si>
    <t>10-01-2024</t>
  </si>
  <si>
    <t>15-01-2024</t>
  </si>
  <si>
    <t>17-01-2024</t>
  </si>
  <si>
    <t>24-01-2024</t>
  </si>
  <si>
    <t>31-01-2024</t>
  </si>
  <si>
    <t>07-02-2024</t>
  </si>
  <si>
    <t>14-02-2024</t>
  </si>
  <si>
    <t>21-02-2024</t>
  </si>
  <si>
    <t>28-02-2024</t>
  </si>
  <si>
    <t>04-03-2024</t>
  </si>
  <si>
    <t>06-03-2024</t>
  </si>
  <si>
    <t>13-03-2024</t>
  </si>
  <si>
    <t>20-03-2024</t>
  </si>
  <si>
    <t>27-03-2024</t>
  </si>
  <si>
    <t>08-05-2024</t>
  </si>
  <si>
    <t>15-05-2024</t>
  </si>
  <si>
    <t>22-05-2024</t>
  </si>
  <si>
    <t>29-05-2024</t>
  </si>
  <si>
    <t>03-06-2024</t>
  </si>
  <si>
    <t>05-06-2024</t>
  </si>
  <si>
    <t>07-06-2024</t>
  </si>
  <si>
    <t>12-06-2024</t>
  </si>
  <si>
    <t>19-06-2024</t>
  </si>
  <si>
    <t>25-06-2024</t>
  </si>
  <si>
    <t>26-06-2024</t>
  </si>
  <si>
    <t>03-07-2024</t>
  </si>
  <si>
    <t>10-07-2024</t>
  </si>
  <si>
    <t>16-07-2024</t>
  </si>
  <si>
    <t>18-07-2024</t>
  </si>
  <si>
    <t>24-07-2024</t>
  </si>
  <si>
    <t>31-07-2024</t>
  </si>
  <si>
    <t>07-08-2024</t>
  </si>
  <si>
    <t>13-08-2024</t>
  </si>
  <si>
    <t>20-08-2024</t>
  </si>
  <si>
    <t>21-08-2024</t>
  </si>
  <si>
    <t>28-08-2024</t>
  </si>
  <si>
    <t>04-09-2024</t>
  </si>
  <si>
    <t>11-09-2024</t>
  </si>
  <si>
    <t>17-09-2024</t>
  </si>
  <si>
    <t>18-09-2024</t>
  </si>
  <si>
    <t>23-09-2024</t>
  </si>
  <si>
    <t>25-09-2024</t>
  </si>
  <si>
    <t>01-10-2024</t>
  </si>
  <si>
    <t>09-10-2024</t>
  </si>
  <si>
    <t>16-10-2024</t>
  </si>
  <si>
    <t>23-10-2024</t>
  </si>
  <si>
    <t>02-04-2025</t>
  </si>
  <si>
    <t>08-04-2025</t>
  </si>
  <si>
    <t>15-04-2025</t>
  </si>
  <si>
    <t>16-04-2025</t>
  </si>
  <si>
    <t>21-04-2025</t>
  </si>
  <si>
    <t>23-04-2025</t>
  </si>
  <si>
    <t>29-04-2025</t>
  </si>
  <si>
    <t>07-05-2025</t>
  </si>
  <si>
    <t>12-05-2025</t>
  </si>
  <si>
    <t>14-05-2025</t>
  </si>
  <si>
    <t>21-05-2025</t>
  </si>
  <si>
    <t>28-05-2025</t>
  </si>
  <si>
    <t>04-06-2025</t>
  </si>
  <si>
    <t>11-06-2025</t>
  </si>
  <si>
    <t>18-06-2025</t>
  </si>
  <si>
    <t>25-06-2025</t>
  </si>
  <si>
    <t>27-06-2025</t>
  </si>
  <si>
    <t>02-07-2025</t>
  </si>
  <si>
    <t>09-07-2025</t>
  </si>
  <si>
    <t>16-07-2025</t>
  </si>
  <si>
    <t>23-07-2025</t>
  </si>
  <si>
    <t>30-07-2025</t>
  </si>
  <si>
    <t>06-08-2025</t>
  </si>
  <si>
    <t>13-08-2025</t>
  </si>
  <si>
    <t>20-08-2025</t>
  </si>
  <si>
    <t>26-08-2025</t>
  </si>
  <si>
    <t>01-09-2025</t>
  </si>
  <si>
    <t>08-09-2025</t>
  </si>
  <si>
    <t>15-09-2025</t>
  </si>
  <si>
    <t>22-09-2025</t>
  </si>
  <si>
    <t>29-09-2025</t>
  </si>
  <si>
    <t>06-10-2025</t>
  </si>
  <si>
    <t>13-10-2025</t>
  </si>
  <si>
    <t>17-10-2025</t>
  </si>
  <si>
    <t>27-10-2025</t>
  </si>
  <si>
    <t>03-11-2025</t>
  </si>
  <si>
    <t>10-11-2025</t>
  </si>
  <si>
    <t>17-11-2025</t>
  </si>
  <si>
    <t>24-11-2025</t>
  </si>
  <si>
    <t>01-12-2025</t>
  </si>
  <si>
    <t>08-12-2025</t>
  </si>
  <si>
    <t>15-12-2025</t>
  </si>
  <si>
    <t>22-12-2025</t>
  </si>
  <si>
    <t>29-12-2025</t>
  </si>
  <si>
    <t>05-01-2026</t>
  </si>
  <si>
    <t>12-01-2026</t>
  </si>
  <si>
    <t>19-01-2026</t>
  </si>
  <si>
    <t>04-05-2026</t>
  </si>
  <si>
    <t>11-05-2026</t>
  </si>
  <si>
    <t>18-05-2026</t>
  </si>
  <si>
    <t>25-05-2026</t>
  </si>
  <si>
    <t>01-06-2026</t>
  </si>
  <si>
    <t>08-06-2026</t>
  </si>
  <si>
    <t>12-06-2026</t>
  </si>
  <si>
    <t>15-06-2026</t>
  </si>
  <si>
    <t>22-06-2026</t>
  </si>
  <si>
    <t>NIFTY_SELL_CE_ITM1_WEEKLY_BUY_PE_ATM_YEARLY_BUY_MIDCAP100_Hypothetical_Future_T1_T1_WOW_YT1_ROLL_JUN-DEC</t>
  </si>
  <si>
    <t>Win avg</t>
  </si>
  <si>
    <t>Loss Avg</t>
  </si>
  <si>
    <t>Expectancy</t>
  </si>
  <si>
    <t>Sharpe</t>
  </si>
  <si>
    <t>Sortino</t>
  </si>
  <si>
    <t>K1</t>
  </si>
  <si>
    <t>K2</t>
  </si>
  <si>
    <t>K3</t>
  </si>
  <si>
    <t>SQN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</si>
  <si>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</si>
  <si>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</si>
  <si>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</si>
  <si>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</si>
  <si>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</si>
  <si>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</si>
  <si>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</si>
  <si>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</si>
  <si>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</si>
  <si>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</si>
  <si>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</si>
  <si>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</si>
  <si>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</si>
  <si>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</si>
  <si>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</si>
  <si>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</si>
  <si>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</si>
  <si>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</si>
  <si>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</si>
  <si>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</si>
  <si>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</si>
  <si>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</si>
  <si>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</si>
  <si>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</si>
  <si>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</si>
  <si>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</si>
  <si>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</si>
  <si>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</si>
  <si>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</si>
  <si>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</si>
  <si>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</si>
  <si>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</si>
  <si>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</si>
  <si>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</si>
  <si>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</si>
  <si>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</si>
  <si>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</si>
  <si>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</si>
  <si>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</si>
  <si>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</si>
  <si>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</si>
  <si>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</si>
  <si>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</si>
  <si>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</si>
  <si>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</si>
  <si>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</si>
  <si>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</si>
  <si>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</si>
  <si>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</si>
  <si>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</si>
  <si>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</si>
  <si>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</si>
  <si>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</si>
  <si>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Live DD %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</si>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</sst>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6" formatCode="#,##0.0000"/>
    <numFmt numFmtId="167" formatCode="0.00&quot;%&quot;"/>
    <numFmt numFmtId="168" formatCode="0.0000"/>
  </numFmts>
  <fonts count="2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C0392B"/>
      <name val="Calibri"/>
    </font>
    <font>
      <b/>
      <sz val="10"/>
      <color rgb="FF1E7E34"/>
      <name val="Calibri"/>
    </font>
    <font>
      <b/>
      <sz val="13"/>
      <color rgb="FFFFFFFF"/>
      <name val="Calibri"/>
    </font>
    <font>
      <sz val="10"/>
      <color rgb="FF555555"/>
      <name val="Calibri"/>
    </font>
    <font>
      <b/>
      <sz val="11"/>
      <color rgb="FFFFFFFF"/>
      <name val="Calibri"/>
    </font>
    <font>
      <b/>
      <sz val="10"/>
      <color rgb="FF2C3E50"/>
      <name val="Calibri"/>
    </font>
    <font>
      <b/>
      <sz val="10"/>
      <color rgb="FF1A1A2E"/>
      <name val="Calibri"/>
    </font>
    <font>
      <b/>
      <sz val="11"/>
      <color rgb="FF1E7E34"/>
      <name val="Calibri"/>
    </font>
    <font>
      <b/>
      <sz val="10"/>
      <color rgb="FF1F3864"/>
      <name val="Calibri"/>
    </font>
    <font>
      <b/>
      <sz val="9"/>
      <color rgb="FF1F3864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7"/>
      <color rgb="FFFFFFFF"/>
      <name val="Calibri"/>
    </font>
    <font>
      <b/>
      <sz val="8"/>
      <color rgb="FF1F3864"/>
      <name val="Calibri"/>
    </font>
    <font>
      <b/>
      <sz val="9"/>
      <color rgb="FF1F3864"/>
      <name val="Calibri"/>
    </font>
    <font>
      <sz val="7"/>
      <color rgb="FF000000"/>
      <name val="Calibri"/>
    </font>
    <font>
      <sz val="7"/>
      <color rgb="FFC0392B"/>
      <name val="Calibri"/>
    </font>
    <font>
      <sz val="7"/>
      <color rgb="FF1E7E34"/>
      <name val="Calibri"/>
    </font>
    <font>
      <sz val="9"/>
      <color rgb="FFC0392B"/>
      <name val="Calibri"/>
    </font>
    <font>
      <sz val="9"/>
      <color rgb="FF1E7E34"/>
      <name val="Calibri"/>
    </font>
    <font>
      <b/>
      <sz val="8"/>
      <color rgb="FFFFFFFF"/>
      <name val="Calibri"/>
    </font>
    <font>
      <b/>
      <sz val="14"/>
      <color rgb="FFFFFFFF"/>
      <name val="Calibri"/>
    </font>
    <font>
      <sz val="10"/>
      <color rgb="FF1A1A2E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FFFFF"/>
      </patternFill>
    </fill>
    <fill>
      <patternFill patternType="solid">
        <fgColor rgb="FFFDE8E8"/>
      </patternFill>
    </fill>
    <fill>
      <patternFill patternType="solid">
        <fgColor rgb="FFF9FBFD"/>
      </patternFill>
    </fill>
    <fill>
      <patternFill patternType="solid">
        <fgColor rgb="FFD4EFDF"/>
      </patternFill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1F3864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34495E"/>
      </patternFill>
    </fill>
    <fill>
      <patternFill patternType="solid">
        <fgColor rgb="FFD6E4F7"/>
      </patternFill>
    </fill>
    <fill>
      <patternFill patternType="solid">
        <fgColor rgb="FFFDE8E8"/>
      </patternFill>
    </fill>
    <fill>
      <patternFill patternType="solid">
        <fgColor rgb="FFD4EFD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medium">
        <color rgb="FF000000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8" fillId="10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10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left" vertical="center"/>
    </xf>
    <xf numFmtId="4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66" fontId="2" fillId="5" borderId="1" xfId="0" applyNumberFormat="1" applyFont="1" applyFill="1" applyBorder="1" applyAlignment="1">
      <alignment horizontal="left" vertical="center"/>
    </xf>
    <xf numFmtId="10" fontId="2" fillId="5" borderId="1" xfId="0" applyNumberFormat="1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10" fontId="15" fillId="13" borderId="2" xfId="0" applyNumberFormat="1" applyFont="1" applyFill="1" applyBorder="1" applyAlignment="1">
      <alignment horizontal="center" vertical="center"/>
    </xf>
    <xf numFmtId="168" fontId="15" fillId="13" borderId="2" xfId="0" applyNumberFormat="1" applyFont="1" applyFill="1" applyBorder="1" applyAlignment="1">
      <alignment horizontal="center" vertical="center"/>
    </xf>
    <xf numFmtId="1" fontId="15" fillId="13" borderId="2" xfId="0" applyNumberFormat="1" applyFont="1" applyFill="1" applyBorder="1" applyAlignment="1">
      <alignment horizontal="center" vertical="center"/>
    </xf>
    <xf numFmtId="2" fontId="15" fillId="13" borderId="2" xfId="0" applyNumberFormat="1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6" fillId="14" borderId="5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0" fontId="20" fillId="16" borderId="7" xfId="0" applyNumberFormat="1" applyFont="1" applyFill="1" applyBorder="1" applyAlignment="1">
      <alignment horizontal="center" vertical="center"/>
    </xf>
    <xf numFmtId="10" fontId="21" fillId="17" borderId="8" xfId="0" applyNumberFormat="1" applyFont="1" applyFill="1" applyBorder="1" applyAlignment="1">
      <alignment horizontal="center" vertical="center"/>
    </xf>
    <xf numFmtId="10" fontId="20" fillId="16" borderId="8" xfId="0" applyNumberFormat="1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0" fontId="20" fillId="16" borderId="9" xfId="0" applyNumberFormat="1" applyFont="1" applyFill="1" applyBorder="1" applyAlignment="1">
      <alignment horizontal="center" vertical="center"/>
    </xf>
    <xf numFmtId="10" fontId="21" fillId="17" borderId="2" xfId="0" applyNumberFormat="1" applyFont="1" applyFill="1" applyBorder="1" applyAlignment="1">
      <alignment horizontal="center" vertical="center"/>
    </xf>
    <xf numFmtId="10" fontId="21" fillId="17" borderId="5" xfId="0" applyNumberFormat="1" applyFont="1" applyFill="1" applyBorder="1" applyAlignment="1">
      <alignment horizontal="center" vertical="center"/>
    </xf>
    <xf numFmtId="10" fontId="20" fillId="16" borderId="2" xfId="0" applyNumberFormat="1" applyFont="1" applyFill="1" applyBorder="1" applyAlignment="1">
      <alignment horizontal="center" vertical="center"/>
    </xf>
    <xf numFmtId="10" fontId="20" fillId="16" borderId="5" xfId="0" applyNumberFormat="1" applyFont="1" applyFill="1" applyBorder="1" applyAlignment="1">
      <alignment horizontal="center" vertical="center"/>
    </xf>
    <xf numFmtId="10" fontId="22" fillId="13" borderId="2" xfId="0" applyNumberFormat="1" applyFont="1" applyFill="1" applyBorder="1" applyAlignment="1">
      <alignment horizontal="center" vertical="center"/>
    </xf>
    <xf numFmtId="10" fontId="22" fillId="16" borderId="2" xfId="0" applyNumberFormat="1" applyFont="1" applyFill="1" applyBorder="1" applyAlignment="1">
      <alignment horizontal="center" vertical="center"/>
    </xf>
    <xf numFmtId="2" fontId="22" fillId="16" borderId="2" xfId="0" applyNumberFormat="1" applyFont="1" applyFill="1" applyBorder="1" applyAlignment="1">
      <alignment horizontal="center" vertical="center"/>
    </xf>
    <xf numFmtId="10" fontId="23" fillId="13" borderId="2" xfId="0" applyNumberFormat="1" applyFont="1" applyFill="1" applyBorder="1" applyAlignment="1">
      <alignment horizontal="center" vertical="center"/>
    </xf>
    <xf numFmtId="2" fontId="23" fillId="17" borderId="2" xfId="0" applyNumberFormat="1" applyFont="1" applyFill="1" applyBorder="1" applyAlignment="1">
      <alignment horizontal="center" vertical="center"/>
    </xf>
    <xf numFmtId="10" fontId="23" fillId="17" borderId="2" xfId="0" applyNumberFormat="1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7" fillId="9" borderId="0" xfId="0" applyFont="1" applyFill="1" applyAlignment="1">
      <alignment horizontal="left" vertical="center"/>
    </xf>
    <xf numFmtId="0" fontId="0" fillId="0" borderId="0" xfId="0"/>
    <xf numFmtId="0" fontId="25" fillId="7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14" fillId="14" borderId="2" xfId="0" applyFont="1" applyFill="1" applyBorder="1" applyAlignment="1">
      <alignment horizontal="center" vertical="center"/>
    </xf>
    <xf numFmtId="0" fontId="0" fillId="0" borderId="6" xfId="0" applyBorder="1"/>
    <xf numFmtId="0" fontId="14" fillId="11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3" fillId="11" borderId="2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14" fontId="2" fillId="5" borderId="1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left" vertical="center"/>
    </xf>
    <xf numFmtId="14" fontId="2" fillId="18" borderId="1" xfId="0" applyNumberFormat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4" fontId="2" fillId="3" borderId="2" xfId="0" applyNumberFormat="1" applyFont="1" applyFill="1" applyBorder="1" applyAlignment="1">
      <alignment horizontal="left" vertical="center"/>
    </xf>
    <xf numFmtId="1" fontId="2" fillId="18" borderId="1" xfId="0" applyNumberFormat="1" applyFont="1" applyFill="1" applyBorder="1" applyAlignment="1">
      <alignment horizontal="left" vertical="center"/>
    </xf>
    <xf numFmtId="14" fontId="2" fillId="18" borderId="2" xfId="0" applyNumberFormat="1" applyFont="1" applyFill="1" applyBorder="1" applyAlignment="1">
      <alignment horizontal="left" vertical="center"/>
    </xf>
    <xf numFmtId="4" fontId="2" fillId="18" borderId="1" xfId="0" applyNumberFormat="1" applyFont="1" applyFill="1" applyBorder="1" applyAlignment="1">
      <alignment horizontal="left" vertical="center"/>
    </xf>
    <xf numFmtId="10" fontId="2" fillId="18" borderId="1" xfId="0" applyNumberFormat="1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/>
    </xf>
    <xf numFmtId="4" fontId="2" fillId="18" borderId="2" xfId="0" applyNumberFormat="1" applyFont="1" applyFill="1" applyBorder="1" applyAlignment="1">
      <alignment horizontal="left" vertical="center"/>
    </xf>
    <xf numFmtId="166" fontId="2" fillId="18" borderId="1" xfId="0" applyNumberFormat="1" applyFont="1" applyFill="1" applyBorder="1" applyAlignment="1">
      <alignment horizontal="left" vertical="center"/>
    </xf>
    <xf numFmtId="4" fontId="4" fillId="18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workbookViewId="0">
      <pane ySplit="1" topLeftCell="A2" activePane="bottomLeft" state="frozen"/>
      <selection pane="bottomLeft" sqref="A1:B1"/>
    </sheetView>
  </sheetViews>
  <sheetFormatPr defaultRowHeight="15" x14ac:dyDescent="0.25"/>
  <cols>
    <col min="1" max="1" width="34" customWidth="1"/>
    <col min="2" max="2" width="58" customWidth="1"/>
  </cols>
  <sheetData>
    <row r="1" spans="1:2" ht="27.95" customHeight="1" x14ac:dyDescent="0.25">
      <c r="A1" s="69" t="s">
        <v>0</v>
      </c>
      <c r="B1" s="68"/>
    </row>
    <row r="2" spans="1:2" ht="20.100000000000001" customHeight="1" x14ac:dyDescent="0.25">
      <c r="A2" s="67" t="s">
        <v>1</v>
      </c>
      <c r="B2" s="68"/>
    </row>
    <row r="3" spans="1:2" ht="18" customHeight="1" x14ac:dyDescent="0.25">
      <c r="A3" s="1" t="s">
        <v>2</v>
      </c>
      <c r="B3" s="2" t="s">
        <v>3</v>
      </c>
    </row>
    <row r="4" spans="1:2" ht="18" customHeight="1" x14ac:dyDescent="0.25">
      <c r="A4" s="1" t="s">
        <v>4</v>
      </c>
      <c r="B4" s="2" t="s">
        <v>5</v>
      </c>
    </row>
    <row r="5" spans="1:2" ht="18" customHeight="1" x14ac:dyDescent="0.25">
      <c r="A5" s="1" t="s">
        <v>6</v>
      </c>
      <c r="B5" s="2" t="s">
        <v>7</v>
      </c>
    </row>
    <row r="6" spans="1:2" ht="18" customHeight="1" x14ac:dyDescent="0.25">
      <c r="A6" s="1" t="s">
        <v>8</v>
      </c>
      <c r="B6" s="2" t="s">
        <v>9</v>
      </c>
    </row>
    <row r="7" spans="1:2" ht="18" customHeight="1" x14ac:dyDescent="0.25">
      <c r="A7" s="1" t="s">
        <v>10</v>
      </c>
      <c r="B7" s="2" t="s">
        <v>11</v>
      </c>
    </row>
    <row r="8" spans="1:2" ht="18" customHeight="1" x14ac:dyDescent="0.25">
      <c r="A8" s="1" t="s">
        <v>12</v>
      </c>
      <c r="B8" s="2" t="s">
        <v>13</v>
      </c>
    </row>
    <row r="9" spans="1:2" ht="18" customHeight="1" x14ac:dyDescent="0.25">
      <c r="A9" s="1" t="s">
        <v>14</v>
      </c>
      <c r="B9" s="2" t="s">
        <v>15</v>
      </c>
    </row>
    <row r="10" spans="1:2" ht="18" customHeight="1" x14ac:dyDescent="0.25">
      <c r="A10" s="1" t="s">
        <v>16</v>
      </c>
      <c r="B10" s="2" t="s">
        <v>17</v>
      </c>
    </row>
    <row r="11" spans="1:2" ht="18" customHeight="1" x14ac:dyDescent="0.25">
      <c r="A11" s="1" t="s">
        <v>18</v>
      </c>
      <c r="B11" s="2" t="s">
        <v>19</v>
      </c>
    </row>
    <row r="12" spans="1:2" ht="18" customHeight="1" x14ac:dyDescent="0.25">
      <c r="A12" s="1" t="s">
        <v>20</v>
      </c>
      <c r="B12" s="2" t="s">
        <v>21</v>
      </c>
    </row>
    <row r="13" spans="1:2" ht="18" customHeight="1" x14ac:dyDescent="0.25">
      <c r="A13" s="1" t="s">
        <v>22</v>
      </c>
      <c r="B13" s="2" t="s">
        <v>23</v>
      </c>
    </row>
    <row r="14" spans="1:2" ht="18" customHeight="1" x14ac:dyDescent="0.25">
      <c r="A14" s="1" t="s">
        <v>24</v>
      </c>
      <c r="B14" s="2" t="s">
        <v>25</v>
      </c>
    </row>
    <row r="15" spans="1:2" ht="18" customHeight="1" x14ac:dyDescent="0.25">
      <c r="A15" s="1" t="s">
        <v>26</v>
      </c>
      <c r="B15" s="2" t="s">
        <v>27</v>
      </c>
    </row>
    <row r="16" spans="1:2" ht="6" customHeight="1" x14ac:dyDescent="0.25"/>
    <row r="17" spans="1:2" ht="20.100000000000001" customHeight="1" x14ac:dyDescent="0.25">
      <c r="A17" s="67" t="s">
        <v>28</v>
      </c>
      <c r="B17" s="68"/>
    </row>
    <row r="18" spans="1:2" ht="18" customHeight="1" x14ac:dyDescent="0.25">
      <c r="A18" s="1" t="s">
        <v>29</v>
      </c>
      <c r="B18" s="2" t="s">
        <v>30</v>
      </c>
    </row>
    <row r="19" spans="1:2" ht="18" customHeight="1" x14ac:dyDescent="0.25">
      <c r="A19" s="1" t="s">
        <v>31</v>
      </c>
      <c r="B19" s="2" t="s">
        <v>32</v>
      </c>
    </row>
    <row r="20" spans="1:2" ht="18" customHeight="1" x14ac:dyDescent="0.25">
      <c r="A20" s="1" t="s">
        <v>2</v>
      </c>
      <c r="B20" s="2" t="s">
        <v>3</v>
      </c>
    </row>
    <row r="21" spans="1:2" ht="18" customHeight="1" x14ac:dyDescent="0.25">
      <c r="A21" s="1" t="s">
        <v>6</v>
      </c>
      <c r="B21" s="2" t="s">
        <v>13</v>
      </c>
    </row>
    <row r="22" spans="1:2" ht="18" customHeight="1" x14ac:dyDescent="0.25">
      <c r="A22" s="1" t="s">
        <v>33</v>
      </c>
      <c r="B22" s="2" t="s">
        <v>34</v>
      </c>
    </row>
    <row r="23" spans="1:2" ht="18" customHeight="1" x14ac:dyDescent="0.25">
      <c r="A23" s="1" t="s">
        <v>35</v>
      </c>
      <c r="B23" s="2" t="s">
        <v>36</v>
      </c>
    </row>
    <row r="24" spans="1:2" ht="18" customHeight="1" x14ac:dyDescent="0.25">
      <c r="A24" s="1" t="s">
        <v>37</v>
      </c>
      <c r="B24" s="2" t="s">
        <v>38</v>
      </c>
    </row>
    <row r="25" spans="1:2" ht="18" customHeight="1" x14ac:dyDescent="0.25">
      <c r="A25" s="1" t="s">
        <v>39</v>
      </c>
      <c r="B25" s="2" t="s">
        <v>40</v>
      </c>
    </row>
    <row r="26" spans="1:2" ht="18" customHeight="1" x14ac:dyDescent="0.25">
      <c r="A26" s="1" t="s">
        <v>41</v>
      </c>
      <c r="B26" s="2" t="s">
        <v>21</v>
      </c>
    </row>
    <row r="27" spans="1:2" ht="20.100000000000001" customHeight="1" x14ac:dyDescent="0.25">
      <c r="A27" s="67" t="s">
        <v>42</v>
      </c>
      <c r="B27" s="68"/>
    </row>
    <row r="28" spans="1:2" ht="18" customHeight="1" x14ac:dyDescent="0.25">
      <c r="A28" s="1" t="s">
        <v>29</v>
      </c>
      <c r="B28" s="2" t="s">
        <v>43</v>
      </c>
    </row>
    <row r="29" spans="1:2" ht="18" customHeight="1" x14ac:dyDescent="0.25">
      <c r="A29" s="1" t="s">
        <v>31</v>
      </c>
      <c r="B29" s="2" t="s">
        <v>32</v>
      </c>
    </row>
    <row r="30" spans="1:2" ht="18" customHeight="1" x14ac:dyDescent="0.25">
      <c r="A30" s="1" t="s">
        <v>2</v>
      </c>
      <c r="B30" s="2" t="s">
        <v>3</v>
      </c>
    </row>
    <row r="31" spans="1:2" ht="18" customHeight="1" x14ac:dyDescent="0.25">
      <c r="A31" s="1" t="s">
        <v>6</v>
      </c>
      <c r="B31" s="2" t="s">
        <v>7</v>
      </c>
    </row>
    <row r="32" spans="1:2" ht="18" customHeight="1" x14ac:dyDescent="0.25">
      <c r="A32" s="1" t="s">
        <v>33</v>
      </c>
      <c r="B32" s="2" t="s">
        <v>44</v>
      </c>
    </row>
    <row r="33" spans="1:2" ht="18" customHeight="1" x14ac:dyDescent="0.25">
      <c r="A33" s="1" t="s">
        <v>35</v>
      </c>
      <c r="B33" s="2" t="s">
        <v>45</v>
      </c>
    </row>
    <row r="34" spans="1:2" ht="18" customHeight="1" x14ac:dyDescent="0.25">
      <c r="A34" s="1" t="s">
        <v>37</v>
      </c>
      <c r="B34" s="2" t="s">
        <v>46</v>
      </c>
    </row>
    <row r="35" spans="1:2" ht="18" customHeight="1" x14ac:dyDescent="0.25">
      <c r="A35" s="1" t="s">
        <v>39</v>
      </c>
      <c r="B35" s="2" t="s">
        <v>40</v>
      </c>
    </row>
    <row r="36" spans="1:2" ht="18" customHeight="1" x14ac:dyDescent="0.25">
      <c r="A36" s="1" t="s">
        <v>41</v>
      </c>
      <c r="B36" s="2" t="s">
        <v>21</v>
      </c>
    </row>
    <row r="37" spans="1:2" ht="20.100000000000001" customHeight="1" x14ac:dyDescent="0.25">
      <c r="A37" s="67" t="s">
        <v>47</v>
      </c>
      <c r="B37" s="68"/>
    </row>
    <row r="38" spans="1:2" ht="18" customHeight="1" x14ac:dyDescent="0.25">
      <c r="A38" s="1" t="s">
        <v>29</v>
      </c>
      <c r="B38" s="2" t="s">
        <v>43</v>
      </c>
    </row>
    <row r="39" spans="1:2" ht="18" customHeight="1" x14ac:dyDescent="0.25">
      <c r="A39" s="1" t="s">
        <v>31</v>
      </c>
      <c r="B39" s="2" t="s">
        <v>32</v>
      </c>
    </row>
    <row r="40" spans="1:2" ht="18" customHeight="1" x14ac:dyDescent="0.25">
      <c r="A40" s="1" t="s">
        <v>48</v>
      </c>
      <c r="B40" s="2" t="s">
        <v>49</v>
      </c>
    </row>
    <row r="41" spans="1:2" ht="18" customHeight="1" x14ac:dyDescent="0.25">
      <c r="A41" s="1" t="s">
        <v>50</v>
      </c>
      <c r="B41" s="2" t="s">
        <v>51</v>
      </c>
    </row>
    <row r="42" spans="1:2" ht="18" customHeight="1" x14ac:dyDescent="0.25">
      <c r="A42" s="1" t="s">
        <v>41</v>
      </c>
      <c r="B42" s="2" t="s">
        <v>21</v>
      </c>
    </row>
  </sheetData>
  <mergeCells count="5">
    <mergeCell ref="A2:B2"/>
    <mergeCell ref="A37:B37"/>
    <mergeCell ref="A1:B1"/>
    <mergeCell ref="A17:B17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11"/>
  <sheetViews>
    <sheetView tabSelected="1" topLeftCell="B1" workbookViewId="0">
      <pane ySplit="1" topLeftCell="A321" activePane="bottomLeft" state="frozen"/>
      <selection pane="bottomLeft" activeCell="M330" sqref="M330"/>
    </sheetView>
  </sheetViews>
  <sheetFormatPr defaultRowHeight="15" x14ac:dyDescent="0.25"/>
  <cols>
    <col min="1" max="1" width="10" customWidth="1"/>
    <col min="2" max="2" width="12" customWidth="1"/>
    <col min="3" max="3" width="10" customWidth="1"/>
    <col min="4" max="6" width="13" customWidth="1"/>
    <col min="7" max="9" width="12" customWidth="1"/>
    <col min="10" max="17" width="10" customWidth="1"/>
    <col min="18" max="19" width="12" customWidth="1"/>
    <col min="20" max="21" width="9" customWidth="1"/>
    <col min="22" max="25" width="10" customWidth="1"/>
    <col min="26" max="27" width="15" customWidth="1"/>
    <col min="28" max="28" width="14" customWidth="1"/>
    <col min="29" max="30" width="15" customWidth="1"/>
    <col min="31" max="31" width="18" customWidth="1"/>
    <col min="32" max="32" width="15" customWidth="1"/>
    <col min="33" max="33" width="16" customWidth="1"/>
    <col min="34" max="35" width="12" customWidth="1"/>
    <col min="36" max="36" width="15" customWidth="1"/>
    <col min="37" max="37" width="16" customWidth="1"/>
    <col min="38" max="38" width="17" customWidth="1"/>
    <col min="39" max="39" width="13" customWidth="1"/>
    <col min="40" max="41" width="12" customWidth="1"/>
    <col min="42" max="43" width="16" customWidth="1"/>
    <col min="44" max="44" width="15" customWidth="1"/>
    <col min="45" max="45" width="16" customWidth="1"/>
    <col min="46" max="46" width="18" customWidth="1"/>
    <col min="47" max="47" width="14" customWidth="1"/>
    <col min="48" max="48" width="40" customWidth="1"/>
  </cols>
  <sheetData>
    <row r="1" spans="1:48" ht="21.95" customHeight="1" x14ac:dyDescent="0.25">
      <c r="A1" s="3" t="s">
        <v>52</v>
      </c>
      <c r="B1" s="3" t="s">
        <v>53</v>
      </c>
      <c r="C1" s="3" t="s">
        <v>2</v>
      </c>
      <c r="D1" s="3" t="s">
        <v>54</v>
      </c>
      <c r="E1" s="3" t="s">
        <v>55</v>
      </c>
      <c r="F1" s="87"/>
      <c r="G1" s="3" t="s">
        <v>6</v>
      </c>
      <c r="H1" s="3" t="s">
        <v>56</v>
      </c>
      <c r="I1" s="3" t="s">
        <v>57</v>
      </c>
      <c r="J1" s="3" t="s">
        <v>58</v>
      </c>
      <c r="K1" s="3" t="s">
        <v>59</v>
      </c>
      <c r="L1" s="3" t="s">
        <v>60</v>
      </c>
      <c r="M1" s="87"/>
      <c r="N1" s="87"/>
      <c r="O1" s="3" t="s">
        <v>61</v>
      </c>
      <c r="P1" s="3" t="s">
        <v>62</v>
      </c>
      <c r="Q1" s="3" t="s">
        <v>63</v>
      </c>
      <c r="R1" s="3" t="s">
        <v>64</v>
      </c>
      <c r="S1" s="3" t="s">
        <v>65</v>
      </c>
      <c r="T1" s="3" t="s">
        <v>66</v>
      </c>
      <c r="U1" s="3" t="s">
        <v>67</v>
      </c>
      <c r="V1" s="3" t="s">
        <v>68</v>
      </c>
      <c r="W1" s="3" t="s">
        <v>69</v>
      </c>
      <c r="X1" s="3" t="s">
        <v>70</v>
      </c>
      <c r="Y1" s="3" t="s">
        <v>71</v>
      </c>
      <c r="Z1" s="3" t="s">
        <v>72</v>
      </c>
      <c r="AA1" s="3" t="s">
        <v>73</v>
      </c>
      <c r="AB1" s="3" t="s">
        <v>74</v>
      </c>
      <c r="AC1" s="3" t="s">
        <v>75</v>
      </c>
      <c r="AD1" s="3" t="s">
        <v>76</v>
      </c>
      <c r="AE1" s="3" t="s">
        <v>77</v>
      </c>
      <c r="AF1" s="3" t="s">
        <v>78</v>
      </c>
      <c r="AG1" s="3" t="s">
        <v>79</v>
      </c>
      <c r="AH1" s="3" t="s">
        <v>80</v>
      </c>
      <c r="AI1" s="3" t="s">
        <v>81</v>
      </c>
      <c r="AJ1" s="3" t="s">
        <v>82</v>
      </c>
      <c r="AK1" s="3" t="s">
        <v>83</v>
      </c>
      <c r="AL1" s="3" t="s">
        <v>84</v>
      </c>
      <c r="AM1" s="3" t="s">
        <v>85</v>
      </c>
      <c r="AN1" s="3" t="s">
        <v>86</v>
      </c>
      <c r="AO1" s="3" t="s">
        <v>87</v>
      </c>
      <c r="AP1" s="3" t="s">
        <v>88</v>
      </c>
      <c r="AQ1" s="3" t="s">
        <v>89</v>
      </c>
      <c r="AR1" s="3" t="s">
        <v>90</v>
      </c>
      <c r="AS1" s="3" t="s">
        <v>91</v>
      </c>
      <c r="AT1" s="3" t="s">
        <v>92</v>
      </c>
      <c r="AU1" s="3" t="s">
        <v>93</v>
      </c>
      <c r="AV1" s="3" t="s">
        <v>94</v>
      </c>
    </row>
    <row r="2" spans="1:48" ht="18" customHeight="1" x14ac:dyDescent="0.25">
      <c r="A2" s="4">
        <v>1</v>
      </c>
      <c r="B2" s="4">
        <v>1</v>
      </c>
      <c r="C2" s="4">
        <v>1</v>
      </c>
      <c r="D2" s="85">
        <v>43553</v>
      </c>
      <c r="E2" s="85">
        <v>43558</v>
      </c>
      <c r="F2" s="88" t="b">
        <f>E2=D4</f>
        <v>1</v>
      </c>
      <c r="G2" s="85">
        <v>43559</v>
      </c>
      <c r="H2" s="5">
        <v>11623.9</v>
      </c>
      <c r="I2" s="5">
        <v>11643.95</v>
      </c>
      <c r="J2" s="5">
        <v>20.05</v>
      </c>
      <c r="K2" s="6">
        <v>1.7248943986097609E-3</v>
      </c>
      <c r="L2" s="7" t="s">
        <v>34</v>
      </c>
      <c r="M2" s="91">
        <f>MROUND(H2,100)-100</f>
        <v>11500</v>
      </c>
      <c r="N2" s="91">
        <f>M2-O2</f>
        <v>0</v>
      </c>
      <c r="O2" s="4">
        <v>11500</v>
      </c>
      <c r="P2" s="7" t="s">
        <v>95</v>
      </c>
      <c r="Q2" s="4">
        <v>65</v>
      </c>
      <c r="R2" s="5">
        <v>159.80000000000001</v>
      </c>
      <c r="S2" s="5">
        <v>164.3</v>
      </c>
      <c r="T2" s="8">
        <v>-0.92610000000000003</v>
      </c>
      <c r="U2" s="8">
        <v>8.43E-2</v>
      </c>
      <c r="V2" s="5">
        <v>-4.5</v>
      </c>
      <c r="W2" s="6">
        <v>-3.871334061717668E-4</v>
      </c>
      <c r="X2" s="4">
        <v>0</v>
      </c>
      <c r="Y2" s="6">
        <v>0</v>
      </c>
      <c r="Z2" s="5">
        <v>18258.5</v>
      </c>
      <c r="AA2" s="5">
        <v>18136.2</v>
      </c>
      <c r="AB2" s="5">
        <v>-122.3</v>
      </c>
      <c r="AC2" s="5">
        <v>-0.66979999999999995</v>
      </c>
      <c r="AD2" s="4">
        <v>5</v>
      </c>
      <c r="AE2" s="5">
        <v>-8.3333000000000004E-2</v>
      </c>
      <c r="AF2" s="5">
        <v>-137.5154</v>
      </c>
      <c r="AG2" s="5">
        <v>-0.75319999999999998</v>
      </c>
      <c r="AH2" s="8">
        <v>-0.90410000000000001</v>
      </c>
      <c r="AI2" s="8">
        <v>1.0361</v>
      </c>
      <c r="AJ2" s="9">
        <v>-174.7654</v>
      </c>
      <c r="AK2" s="9">
        <v>-1.0737000000000001</v>
      </c>
      <c r="AL2" s="5">
        <v>98.926299999999998</v>
      </c>
      <c r="AM2" s="4">
        <v>100</v>
      </c>
      <c r="AN2" s="5">
        <v>-1.0737000000000001</v>
      </c>
      <c r="AO2" s="5">
        <v>-1.0737000000000001</v>
      </c>
      <c r="AP2" s="8">
        <v>-0.61699999999999999</v>
      </c>
      <c r="AQ2" s="8">
        <v>-1.022</v>
      </c>
      <c r="AR2" s="8">
        <v>-1.0737000000000001</v>
      </c>
      <c r="AS2" s="5">
        <v>98.926299999999998</v>
      </c>
      <c r="AT2" s="5">
        <v>-1.0737000000000001</v>
      </c>
      <c r="AU2" s="7" t="s">
        <v>96</v>
      </c>
      <c r="AV2" s="7"/>
    </row>
    <row r="3" spans="1:48" ht="18" customHeight="1" x14ac:dyDescent="0.25">
      <c r="A3" s="10">
        <v>1</v>
      </c>
      <c r="B3" s="10">
        <v>2</v>
      </c>
      <c r="C3" s="10">
        <v>1</v>
      </c>
      <c r="D3" s="86">
        <v>43553</v>
      </c>
      <c r="E3" s="86">
        <v>43558</v>
      </c>
      <c r="F3" s="88" t="b">
        <f>E3=D5</f>
        <v>1</v>
      </c>
      <c r="G3" s="86">
        <v>43643</v>
      </c>
      <c r="H3" s="11">
        <v>11623.9</v>
      </c>
      <c r="I3" s="11">
        <v>11643.95</v>
      </c>
      <c r="J3" s="12"/>
      <c r="K3" s="12"/>
      <c r="L3" s="12" t="s">
        <v>44</v>
      </c>
      <c r="M3" s="90"/>
      <c r="N3" s="90"/>
      <c r="O3" s="10">
        <v>12000</v>
      </c>
      <c r="P3" s="12" t="s">
        <v>97</v>
      </c>
      <c r="Q3" s="10">
        <v>65</v>
      </c>
      <c r="R3" s="11">
        <v>547.5</v>
      </c>
      <c r="S3" s="11">
        <v>514.75</v>
      </c>
      <c r="T3" s="13">
        <v>-0.72699999999999998</v>
      </c>
      <c r="U3" s="13">
        <v>-0.20219999999999999</v>
      </c>
      <c r="V3" s="10">
        <v>0</v>
      </c>
      <c r="W3" s="14">
        <v>0</v>
      </c>
      <c r="X3" s="11">
        <v>-32.75</v>
      </c>
      <c r="Y3" s="14">
        <v>-2.8174709004723029E-3</v>
      </c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 t="s">
        <v>96</v>
      </c>
      <c r="AV3" s="12"/>
    </row>
    <row r="4" spans="1:48" ht="18" customHeight="1" x14ac:dyDescent="0.25">
      <c r="A4" s="4">
        <v>2</v>
      </c>
      <c r="B4" s="4">
        <v>1</v>
      </c>
      <c r="C4" s="4">
        <v>2</v>
      </c>
      <c r="D4" s="85">
        <v>43558</v>
      </c>
      <c r="E4" s="85">
        <v>43565</v>
      </c>
      <c r="F4" s="88" t="b">
        <f t="shared" ref="F4:F67" si="0">E4=D6</f>
        <v>1</v>
      </c>
      <c r="G4" s="85">
        <v>43566</v>
      </c>
      <c r="H4" s="5">
        <v>11643.95</v>
      </c>
      <c r="I4" s="5">
        <v>11584.3</v>
      </c>
      <c r="J4" s="5">
        <v>-59.65</v>
      </c>
      <c r="K4" s="6">
        <v>-5.1228320286500709E-3</v>
      </c>
      <c r="L4" s="7" t="s">
        <v>34</v>
      </c>
      <c r="M4" s="91">
        <f>MROUND(H4,100)-100</f>
        <v>11500</v>
      </c>
      <c r="N4" s="91">
        <f>M4-O4</f>
        <v>0</v>
      </c>
      <c r="O4" s="4">
        <v>11500</v>
      </c>
      <c r="P4" s="7" t="s">
        <v>95</v>
      </c>
      <c r="Q4" s="4">
        <v>65</v>
      </c>
      <c r="R4" s="5">
        <v>214.85</v>
      </c>
      <c r="S4" s="5">
        <v>102.25</v>
      </c>
      <c r="T4" s="8">
        <v>-0.14940000000000001</v>
      </c>
      <c r="U4" s="8">
        <v>1.0516000000000001</v>
      </c>
      <c r="V4" s="5">
        <v>112.6</v>
      </c>
      <c r="W4" s="6">
        <v>9.6702579451131265E-3</v>
      </c>
      <c r="X4" s="4">
        <v>0</v>
      </c>
      <c r="Y4" s="6">
        <v>0</v>
      </c>
      <c r="Z4" s="5">
        <v>18136.2</v>
      </c>
      <c r="AA4" s="5">
        <v>18075.650000000001</v>
      </c>
      <c r="AB4" s="5">
        <v>-60.55</v>
      </c>
      <c r="AC4" s="5">
        <v>-0.33389999999999997</v>
      </c>
      <c r="AD4" s="4">
        <v>7</v>
      </c>
      <c r="AE4" s="5">
        <v>-0.11666700000000001</v>
      </c>
      <c r="AF4" s="5">
        <v>-81.7089</v>
      </c>
      <c r="AG4" s="5">
        <v>-0.45050000000000001</v>
      </c>
      <c r="AH4" s="8">
        <v>-1.1991000000000001</v>
      </c>
      <c r="AI4" s="8">
        <v>0.9093</v>
      </c>
      <c r="AJ4" s="15">
        <v>84.591099999999997</v>
      </c>
      <c r="AK4" s="15">
        <v>0.97770000000000001</v>
      </c>
      <c r="AL4" s="5">
        <v>99.893500000000003</v>
      </c>
      <c r="AM4" s="4">
        <v>100</v>
      </c>
      <c r="AN4" s="5">
        <v>-0.1065</v>
      </c>
      <c r="AO4" s="5">
        <v>-0.1065</v>
      </c>
      <c r="AP4" s="8">
        <v>0.48039999999999999</v>
      </c>
      <c r="AQ4" s="8">
        <v>0.41239999999999999</v>
      </c>
      <c r="AR4" s="8">
        <v>0.41239999999999999</v>
      </c>
      <c r="AS4" s="5">
        <v>99.334299999999999</v>
      </c>
      <c r="AT4" s="5">
        <v>-0.66569999999999996</v>
      </c>
      <c r="AU4" s="7" t="s">
        <v>96</v>
      </c>
      <c r="AV4" s="7"/>
    </row>
    <row r="5" spans="1:48" ht="18" customHeight="1" x14ac:dyDescent="0.25">
      <c r="A5" s="10">
        <v>2</v>
      </c>
      <c r="B5" s="10">
        <v>2</v>
      </c>
      <c r="C5" s="10">
        <v>2</v>
      </c>
      <c r="D5" s="86">
        <v>43558</v>
      </c>
      <c r="E5" s="86">
        <v>43565</v>
      </c>
      <c r="F5" s="88" t="b">
        <f t="shared" si="0"/>
        <v>1</v>
      </c>
      <c r="G5" s="86">
        <v>43643</v>
      </c>
      <c r="H5" s="11">
        <v>11643.95</v>
      </c>
      <c r="I5" s="11">
        <v>11584.3</v>
      </c>
      <c r="J5" s="12"/>
      <c r="K5" s="12"/>
      <c r="L5" s="12" t="s">
        <v>44</v>
      </c>
      <c r="M5" s="90"/>
      <c r="N5" s="90"/>
      <c r="O5" s="10">
        <v>12000</v>
      </c>
      <c r="P5" s="12" t="s">
        <v>97</v>
      </c>
      <c r="Q5" s="10">
        <v>65</v>
      </c>
      <c r="R5" s="11">
        <v>514.75</v>
      </c>
      <c r="S5" s="11">
        <v>568.45000000000005</v>
      </c>
      <c r="T5" s="13">
        <v>-0.27950000000000003</v>
      </c>
      <c r="U5" s="13">
        <v>0.55989999999999995</v>
      </c>
      <c r="V5" s="10">
        <v>0</v>
      </c>
      <c r="W5" s="14">
        <v>0</v>
      </c>
      <c r="X5" s="11">
        <v>53.7</v>
      </c>
      <c r="Y5" s="14">
        <v>4.6118370484242886E-3</v>
      </c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 t="s">
        <v>96</v>
      </c>
      <c r="AV5" s="12"/>
    </row>
    <row r="6" spans="1:48" ht="18" customHeight="1" x14ac:dyDescent="0.25">
      <c r="A6" s="4">
        <v>3</v>
      </c>
      <c r="B6" s="4">
        <v>1</v>
      </c>
      <c r="C6" s="4">
        <v>3</v>
      </c>
      <c r="D6" s="85">
        <v>43565</v>
      </c>
      <c r="E6" s="85">
        <v>43571</v>
      </c>
      <c r="F6" s="88" t="b">
        <f t="shared" si="0"/>
        <v>1</v>
      </c>
      <c r="G6" s="85">
        <v>43573</v>
      </c>
      <c r="H6" s="5">
        <v>11584.3</v>
      </c>
      <c r="I6" s="5">
        <v>11787.15</v>
      </c>
      <c r="J6" s="5">
        <v>202.85</v>
      </c>
      <c r="K6" s="6">
        <v>1.7510768885474311E-2</v>
      </c>
      <c r="L6" s="7" t="s">
        <v>34</v>
      </c>
      <c r="M6" s="91">
        <f>MROUND(H6,100)-100</f>
        <v>11500</v>
      </c>
      <c r="N6" s="91">
        <f>M6-O6</f>
        <v>0</v>
      </c>
      <c r="O6" s="4">
        <v>11500</v>
      </c>
      <c r="P6" s="7" t="s">
        <v>95</v>
      </c>
      <c r="Q6" s="4">
        <v>65</v>
      </c>
      <c r="R6" s="5">
        <v>160.25</v>
      </c>
      <c r="S6" s="5">
        <v>289.60000000000002</v>
      </c>
      <c r="T6" s="8">
        <v>-1.3271999999999999</v>
      </c>
      <c r="U6" s="8">
        <v>0.37209999999999999</v>
      </c>
      <c r="V6" s="5">
        <v>-129.35</v>
      </c>
      <c r="W6" s="6">
        <v>-1.116597463808776E-2</v>
      </c>
      <c r="X6" s="4">
        <v>0</v>
      </c>
      <c r="Y6" s="6">
        <v>0</v>
      </c>
      <c r="Z6" s="5">
        <v>18075.650000000001</v>
      </c>
      <c r="AA6" s="5">
        <v>18248.45</v>
      </c>
      <c r="AB6" s="5">
        <v>172.8</v>
      </c>
      <c r="AC6" s="5">
        <v>0.95599999999999996</v>
      </c>
      <c r="AD6" s="4">
        <v>6</v>
      </c>
      <c r="AE6" s="5">
        <v>-0.1</v>
      </c>
      <c r="AF6" s="5">
        <v>154.7243</v>
      </c>
      <c r="AG6" s="5">
        <v>0.85599999999999998</v>
      </c>
      <c r="AH6" s="8">
        <v>-0.49790000000000001</v>
      </c>
      <c r="AI6" s="8">
        <v>1.2597</v>
      </c>
      <c r="AJ6" s="9">
        <v>-85.225700000000003</v>
      </c>
      <c r="AK6" s="9">
        <v>-1.2153</v>
      </c>
      <c r="AL6" s="5">
        <v>98.679500000000004</v>
      </c>
      <c r="AM6" s="4">
        <v>100</v>
      </c>
      <c r="AN6" s="5">
        <v>-1.3205</v>
      </c>
      <c r="AO6" s="5">
        <v>-1.3205</v>
      </c>
      <c r="AP6" s="8">
        <v>-1.0878000000000001</v>
      </c>
      <c r="AQ6" s="8">
        <v>8.3999999999999995E-3</v>
      </c>
      <c r="AR6" s="8">
        <v>-1.2153</v>
      </c>
      <c r="AS6" s="5">
        <v>98.679500000000004</v>
      </c>
      <c r="AT6" s="5">
        <v>-1.3205</v>
      </c>
      <c r="AU6" s="7" t="s">
        <v>96</v>
      </c>
      <c r="AV6" s="7"/>
    </row>
    <row r="7" spans="1:48" ht="18" customHeight="1" x14ac:dyDescent="0.25">
      <c r="A7" s="10">
        <v>3</v>
      </c>
      <c r="B7" s="10">
        <v>2</v>
      </c>
      <c r="C7" s="10">
        <v>3</v>
      </c>
      <c r="D7" s="86">
        <v>43565</v>
      </c>
      <c r="E7" s="86">
        <v>43571</v>
      </c>
      <c r="F7" s="88" t="b">
        <f t="shared" si="0"/>
        <v>1</v>
      </c>
      <c r="G7" s="86">
        <v>43643</v>
      </c>
      <c r="H7" s="11">
        <v>11584.3</v>
      </c>
      <c r="I7" s="11">
        <v>11787.15</v>
      </c>
      <c r="J7" s="12"/>
      <c r="K7" s="12"/>
      <c r="L7" s="12" t="s">
        <v>44</v>
      </c>
      <c r="M7" s="90"/>
      <c r="N7" s="90"/>
      <c r="O7" s="10">
        <v>12000</v>
      </c>
      <c r="P7" s="12" t="s">
        <v>97</v>
      </c>
      <c r="Q7" s="10">
        <v>65</v>
      </c>
      <c r="R7" s="11">
        <v>568.45000000000005</v>
      </c>
      <c r="S7" s="11">
        <v>457.85</v>
      </c>
      <c r="T7" s="13">
        <v>-1.0203</v>
      </c>
      <c r="U7" s="13">
        <v>0.13420000000000001</v>
      </c>
      <c r="V7" s="10">
        <v>0</v>
      </c>
      <c r="W7" s="14">
        <v>0</v>
      </c>
      <c r="X7" s="11">
        <v>-110.6</v>
      </c>
      <c r="Y7" s="14">
        <v>-9.5474046770197604E-3</v>
      </c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 t="s">
        <v>96</v>
      </c>
      <c r="AV7" s="12"/>
    </row>
    <row r="8" spans="1:48" ht="18" customHeight="1" x14ac:dyDescent="0.25">
      <c r="A8" s="4">
        <v>4</v>
      </c>
      <c r="B8" s="4">
        <v>1</v>
      </c>
      <c r="C8" s="4">
        <v>4</v>
      </c>
      <c r="D8" s="85">
        <v>43571</v>
      </c>
      <c r="E8" s="85">
        <v>43579</v>
      </c>
      <c r="F8" s="88" t="b">
        <f t="shared" si="0"/>
        <v>1</v>
      </c>
      <c r="G8" s="85">
        <v>43580</v>
      </c>
      <c r="H8" s="5">
        <v>11787.15</v>
      </c>
      <c r="I8" s="5">
        <v>11726.15</v>
      </c>
      <c r="J8" s="4">
        <v>-61</v>
      </c>
      <c r="K8" s="6">
        <v>-5.1751271511773413E-3</v>
      </c>
      <c r="L8" s="7" t="s">
        <v>34</v>
      </c>
      <c r="M8" s="91">
        <f>MROUND(H8,100)-100</f>
        <v>11700</v>
      </c>
      <c r="N8" s="91">
        <f>M8-O8</f>
        <v>0</v>
      </c>
      <c r="O8" s="4">
        <v>11700</v>
      </c>
      <c r="P8" s="7" t="s">
        <v>95</v>
      </c>
      <c r="Q8" s="4">
        <v>65</v>
      </c>
      <c r="R8" s="5">
        <v>152.15</v>
      </c>
      <c r="S8" s="5">
        <v>49.35</v>
      </c>
      <c r="T8" s="8">
        <v>-0.21</v>
      </c>
      <c r="U8" s="8">
        <v>1.2385999999999999</v>
      </c>
      <c r="V8" s="5">
        <v>102.8</v>
      </c>
      <c r="W8" s="6">
        <v>8.7213618219841096E-3</v>
      </c>
      <c r="X8" s="4">
        <v>0</v>
      </c>
      <c r="Y8" s="6">
        <v>0</v>
      </c>
      <c r="Z8" s="5">
        <v>18248.45</v>
      </c>
      <c r="AA8" s="5">
        <v>17844.45</v>
      </c>
      <c r="AB8" s="4">
        <v>-404</v>
      </c>
      <c r="AC8" s="5">
        <v>-2.2139000000000002</v>
      </c>
      <c r="AD8" s="4">
        <v>8</v>
      </c>
      <c r="AE8" s="5">
        <v>-0.13333300000000001</v>
      </c>
      <c r="AF8" s="5">
        <v>-428.3313</v>
      </c>
      <c r="AG8" s="5">
        <v>-2.3472</v>
      </c>
      <c r="AH8" s="8">
        <v>-3.1349</v>
      </c>
      <c r="AI8" s="8">
        <v>0.27429999999999999</v>
      </c>
      <c r="AJ8" s="9">
        <v>-310.48129999999998</v>
      </c>
      <c r="AK8" s="9">
        <v>-1.3473999999999999</v>
      </c>
      <c r="AL8" s="5">
        <v>97.349900000000005</v>
      </c>
      <c r="AM8" s="4">
        <v>100</v>
      </c>
      <c r="AN8" s="5">
        <v>-2.6501000000000001</v>
      </c>
      <c r="AO8" s="5">
        <v>-2.6501000000000001</v>
      </c>
      <c r="AP8" s="8">
        <v>5.4100000000000002E-2</v>
      </c>
      <c r="AQ8" s="8">
        <v>-0.88080000000000003</v>
      </c>
      <c r="AR8" s="8">
        <v>-1.3473999999999999</v>
      </c>
      <c r="AS8" s="5">
        <v>97.349900000000005</v>
      </c>
      <c r="AT8" s="5">
        <v>-2.6501000000000001</v>
      </c>
      <c r="AU8" s="7" t="s">
        <v>96</v>
      </c>
      <c r="AV8" s="7"/>
    </row>
    <row r="9" spans="1:48" ht="18" customHeight="1" x14ac:dyDescent="0.25">
      <c r="A9" s="10">
        <v>4</v>
      </c>
      <c r="B9" s="10">
        <v>2</v>
      </c>
      <c r="C9" s="10">
        <v>4</v>
      </c>
      <c r="D9" s="86">
        <v>43571</v>
      </c>
      <c r="E9" s="86">
        <v>43579</v>
      </c>
      <c r="F9" s="88" t="b">
        <f t="shared" si="0"/>
        <v>1</v>
      </c>
      <c r="G9" s="86">
        <v>43643</v>
      </c>
      <c r="H9" s="11">
        <v>11787.15</v>
      </c>
      <c r="I9" s="11">
        <v>11726.15</v>
      </c>
      <c r="J9" s="12"/>
      <c r="K9" s="12"/>
      <c r="L9" s="12" t="s">
        <v>44</v>
      </c>
      <c r="M9" s="90"/>
      <c r="N9" s="90"/>
      <c r="O9" s="10">
        <v>12000</v>
      </c>
      <c r="P9" s="12" t="s">
        <v>97</v>
      </c>
      <c r="Q9" s="10">
        <v>65</v>
      </c>
      <c r="R9" s="11">
        <v>457.85</v>
      </c>
      <c r="S9" s="11">
        <v>472.9</v>
      </c>
      <c r="T9" s="13">
        <v>-1.0200000000000001E-2</v>
      </c>
      <c r="U9" s="13">
        <v>1.0155000000000001</v>
      </c>
      <c r="V9" s="10">
        <v>0</v>
      </c>
      <c r="W9" s="14">
        <v>0</v>
      </c>
      <c r="X9" s="11">
        <v>15.05</v>
      </c>
      <c r="Y9" s="14">
        <v>1.2768141577904749E-3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 t="s">
        <v>96</v>
      </c>
      <c r="AV9" s="12"/>
    </row>
    <row r="10" spans="1:48" ht="18" customHeight="1" x14ac:dyDescent="0.25">
      <c r="A10" s="4">
        <v>5</v>
      </c>
      <c r="B10" s="4">
        <v>1</v>
      </c>
      <c r="C10" s="4">
        <v>5</v>
      </c>
      <c r="D10" s="85">
        <v>43579</v>
      </c>
      <c r="E10" s="85">
        <v>43585</v>
      </c>
      <c r="F10" s="88" t="b">
        <f t="shared" si="0"/>
        <v>1</v>
      </c>
      <c r="G10" s="85">
        <v>43587</v>
      </c>
      <c r="H10" s="5">
        <v>11726.15</v>
      </c>
      <c r="I10" s="5">
        <v>11748.15</v>
      </c>
      <c r="J10" s="4">
        <v>22</v>
      </c>
      <c r="K10" s="6">
        <v>1.876148608025652E-3</v>
      </c>
      <c r="L10" s="7" t="s">
        <v>34</v>
      </c>
      <c r="M10" s="91">
        <f>MROUND(H10,100)-100</f>
        <v>11600</v>
      </c>
      <c r="N10" s="91">
        <f>M10-O10</f>
        <v>0</v>
      </c>
      <c r="O10" s="4">
        <v>11600</v>
      </c>
      <c r="P10" s="7" t="s">
        <v>95</v>
      </c>
      <c r="Q10" s="4">
        <v>65</v>
      </c>
      <c r="R10" s="5">
        <v>161.9</v>
      </c>
      <c r="S10" s="5">
        <v>137.1</v>
      </c>
      <c r="T10" s="8">
        <v>-0.38550000000000001</v>
      </c>
      <c r="U10" s="8">
        <v>0.7198</v>
      </c>
      <c r="V10" s="5">
        <v>24.8</v>
      </c>
      <c r="W10" s="6">
        <v>2.1149311581380079E-3</v>
      </c>
      <c r="X10" s="4">
        <v>0</v>
      </c>
      <c r="Y10" s="6">
        <v>0</v>
      </c>
      <c r="Z10" s="5">
        <v>17844.45</v>
      </c>
      <c r="AA10" s="5">
        <v>17566.400000000001</v>
      </c>
      <c r="AB10" s="5">
        <v>-278.05</v>
      </c>
      <c r="AC10" s="5">
        <v>-1.5582</v>
      </c>
      <c r="AD10" s="4">
        <v>6</v>
      </c>
      <c r="AE10" s="5">
        <v>-0.1</v>
      </c>
      <c r="AF10" s="5">
        <v>-295.89440000000002</v>
      </c>
      <c r="AG10" s="5">
        <v>-1.6581999999999999</v>
      </c>
      <c r="AH10" s="8">
        <v>-2.4403000000000001</v>
      </c>
      <c r="AI10" s="8">
        <v>0.59299999999999997</v>
      </c>
      <c r="AJ10" s="9">
        <v>-311.59440000000001</v>
      </c>
      <c r="AK10" s="9">
        <v>-1.7921</v>
      </c>
      <c r="AL10" s="5">
        <v>95.6053</v>
      </c>
      <c r="AM10" s="4">
        <v>100</v>
      </c>
      <c r="AN10" s="5">
        <v>-4.3947000000000003</v>
      </c>
      <c r="AO10" s="5">
        <v>-4.3947000000000003</v>
      </c>
      <c r="AP10" s="8">
        <v>-0.16819999999999999</v>
      </c>
      <c r="AQ10" s="8">
        <v>-1.4459</v>
      </c>
      <c r="AR10" s="8">
        <v>-1.7921</v>
      </c>
      <c r="AS10" s="5">
        <v>95.6053</v>
      </c>
      <c r="AT10" s="5">
        <v>-4.3947000000000003</v>
      </c>
      <c r="AU10" s="7" t="s">
        <v>96</v>
      </c>
      <c r="AV10" s="7"/>
    </row>
    <row r="11" spans="1:48" ht="18" customHeight="1" x14ac:dyDescent="0.25">
      <c r="A11" s="10">
        <v>5</v>
      </c>
      <c r="B11" s="10">
        <v>2</v>
      </c>
      <c r="C11" s="10">
        <v>5</v>
      </c>
      <c r="D11" s="86">
        <v>43579</v>
      </c>
      <c r="E11" s="86">
        <v>43585</v>
      </c>
      <c r="F11" s="88" t="b">
        <f t="shared" si="0"/>
        <v>1</v>
      </c>
      <c r="G11" s="86">
        <v>43643</v>
      </c>
      <c r="H11" s="11">
        <v>11726.15</v>
      </c>
      <c r="I11" s="11">
        <v>11748.15</v>
      </c>
      <c r="J11" s="12"/>
      <c r="K11" s="12"/>
      <c r="L11" s="12" t="s">
        <v>44</v>
      </c>
      <c r="M11" s="90"/>
      <c r="N11" s="90"/>
      <c r="O11" s="10">
        <v>12000</v>
      </c>
      <c r="P11" s="12" t="s">
        <v>97</v>
      </c>
      <c r="Q11" s="10">
        <v>65</v>
      </c>
      <c r="R11" s="11">
        <v>472.9</v>
      </c>
      <c r="S11" s="11">
        <v>432.4</v>
      </c>
      <c r="T11" s="13">
        <v>-0.37569999999999998</v>
      </c>
      <c r="U11" s="13">
        <v>0.27460000000000001</v>
      </c>
      <c r="V11" s="10">
        <v>0</v>
      </c>
      <c r="W11" s="14">
        <v>0</v>
      </c>
      <c r="X11" s="11">
        <v>-40.5</v>
      </c>
      <c r="Y11" s="14">
        <v>-3.4538190284108599E-3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 t="s">
        <v>96</v>
      </c>
      <c r="AV11" s="12"/>
    </row>
    <row r="12" spans="1:48" ht="18" customHeight="1" x14ac:dyDescent="0.25">
      <c r="A12" s="4">
        <v>6</v>
      </c>
      <c r="B12" s="4">
        <v>1</v>
      </c>
      <c r="C12" s="4">
        <v>6</v>
      </c>
      <c r="D12" s="85">
        <v>43585</v>
      </c>
      <c r="E12" s="85">
        <v>43593</v>
      </c>
      <c r="F12" s="88" t="b">
        <f t="shared" si="0"/>
        <v>1</v>
      </c>
      <c r="G12" s="85">
        <v>43594</v>
      </c>
      <c r="H12" s="5">
        <v>11748.15</v>
      </c>
      <c r="I12" s="5">
        <v>11359.45</v>
      </c>
      <c r="J12" s="5">
        <v>-388.7</v>
      </c>
      <c r="K12" s="6">
        <v>-3.3086060358439411E-2</v>
      </c>
      <c r="L12" s="7" t="s">
        <v>34</v>
      </c>
      <c r="M12" s="91">
        <f>MROUND(H12,100)-100</f>
        <v>11600</v>
      </c>
      <c r="N12" s="91">
        <f>M12-O12</f>
        <v>0</v>
      </c>
      <c r="O12" s="4">
        <v>11600</v>
      </c>
      <c r="P12" s="7" t="s">
        <v>95</v>
      </c>
      <c r="Q12" s="4">
        <v>65</v>
      </c>
      <c r="R12" s="5">
        <v>172.75</v>
      </c>
      <c r="S12" s="5">
        <v>1.75</v>
      </c>
      <c r="T12" s="8">
        <v>-0.18090000000000001</v>
      </c>
      <c r="U12" s="8">
        <v>1.4590000000000001</v>
      </c>
      <c r="V12" s="4">
        <v>171</v>
      </c>
      <c r="W12" s="6">
        <v>1.4555483203738459E-2</v>
      </c>
      <c r="X12" s="4">
        <v>0</v>
      </c>
      <c r="Y12" s="6">
        <v>0</v>
      </c>
      <c r="Z12" s="5">
        <v>17566.400000000001</v>
      </c>
      <c r="AA12" s="5">
        <v>16965.2</v>
      </c>
      <c r="AB12" s="5">
        <v>-601.20000000000005</v>
      </c>
      <c r="AC12" s="5">
        <v>-3.4224000000000001</v>
      </c>
      <c r="AD12" s="4">
        <v>8</v>
      </c>
      <c r="AE12" s="5">
        <v>-0.13333300000000001</v>
      </c>
      <c r="AF12" s="5">
        <v>-624.62189999999998</v>
      </c>
      <c r="AG12" s="5">
        <v>-3.5558000000000001</v>
      </c>
      <c r="AH12" s="8">
        <v>-3.6911999999999998</v>
      </c>
      <c r="AI12" s="8">
        <v>0.1804</v>
      </c>
      <c r="AJ12" s="9">
        <v>-203.92189999999999</v>
      </c>
      <c r="AK12" s="9">
        <v>2.52E-2</v>
      </c>
      <c r="AL12" s="5">
        <v>95.629400000000004</v>
      </c>
      <c r="AM12" s="4">
        <v>100</v>
      </c>
      <c r="AN12" s="5">
        <v>-4.3705999999999996</v>
      </c>
      <c r="AO12" s="5">
        <v>-4.3705999999999996</v>
      </c>
      <c r="AP12" s="8">
        <v>-9.3299999999999994E-2</v>
      </c>
      <c r="AQ12" s="8">
        <v>-3.95E-2</v>
      </c>
      <c r="AR12" s="8">
        <v>-9.3299999999999994E-2</v>
      </c>
      <c r="AS12" s="5">
        <v>95.516099999999994</v>
      </c>
      <c r="AT12" s="5">
        <v>-4.4839000000000002</v>
      </c>
      <c r="AU12" s="7" t="s">
        <v>96</v>
      </c>
      <c r="AV12" s="7"/>
    </row>
    <row r="13" spans="1:48" ht="18" customHeight="1" x14ac:dyDescent="0.25">
      <c r="A13" s="10">
        <v>6</v>
      </c>
      <c r="B13" s="10">
        <v>2</v>
      </c>
      <c r="C13" s="10">
        <v>6</v>
      </c>
      <c r="D13" s="86">
        <v>43585</v>
      </c>
      <c r="E13" s="86">
        <v>43593</v>
      </c>
      <c r="F13" s="88" t="b">
        <f t="shared" si="0"/>
        <v>1</v>
      </c>
      <c r="G13" s="86">
        <v>43643</v>
      </c>
      <c r="H13" s="11">
        <v>11748.15</v>
      </c>
      <c r="I13" s="11">
        <v>11359.45</v>
      </c>
      <c r="J13" s="12"/>
      <c r="K13" s="12"/>
      <c r="L13" s="12" t="s">
        <v>44</v>
      </c>
      <c r="M13" s="90"/>
      <c r="N13" s="90"/>
      <c r="O13" s="10">
        <v>12000</v>
      </c>
      <c r="P13" s="12" t="s">
        <v>97</v>
      </c>
      <c r="Q13" s="10">
        <v>65</v>
      </c>
      <c r="R13" s="11">
        <v>432.4</v>
      </c>
      <c r="S13" s="11">
        <v>682.1</v>
      </c>
      <c r="T13" s="13">
        <v>-9.2799999999999994E-2</v>
      </c>
      <c r="U13" s="13">
        <v>2.1926999999999999</v>
      </c>
      <c r="V13" s="10">
        <v>0</v>
      </c>
      <c r="W13" s="14">
        <v>0</v>
      </c>
      <c r="X13" s="11">
        <v>249.7</v>
      </c>
      <c r="Y13" s="14">
        <v>2.1254410268850839E-2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 t="s">
        <v>96</v>
      </c>
      <c r="AV13" s="12"/>
    </row>
    <row r="14" spans="1:48" ht="18" customHeight="1" x14ac:dyDescent="0.25">
      <c r="A14" s="4">
        <v>7</v>
      </c>
      <c r="B14" s="4">
        <v>1</v>
      </c>
      <c r="C14" s="4">
        <v>7</v>
      </c>
      <c r="D14" s="85">
        <v>43593</v>
      </c>
      <c r="E14" s="89">
        <v>43595</v>
      </c>
      <c r="F14" s="88" t="b">
        <f t="shared" si="0"/>
        <v>0</v>
      </c>
      <c r="G14" s="85">
        <v>43601</v>
      </c>
      <c r="H14" s="5">
        <v>11359.45</v>
      </c>
      <c r="I14" s="5">
        <v>11278.9</v>
      </c>
      <c r="J14" s="5">
        <v>-80.55</v>
      </c>
      <c r="K14" s="6">
        <v>-7.0910123289419811E-3</v>
      </c>
      <c r="L14" s="7" t="s">
        <v>34</v>
      </c>
      <c r="M14" s="91">
        <f>MROUND(H14,100)-100</f>
        <v>11300</v>
      </c>
      <c r="N14" s="91">
        <f>M14-O14</f>
        <v>0</v>
      </c>
      <c r="O14" s="4">
        <v>11300</v>
      </c>
      <c r="P14" s="7" t="s">
        <v>95</v>
      </c>
      <c r="Q14" s="4">
        <v>65</v>
      </c>
      <c r="R14" s="5">
        <v>157.35</v>
      </c>
      <c r="S14" s="5">
        <v>93.85</v>
      </c>
      <c r="T14" s="8">
        <v>0.2135</v>
      </c>
      <c r="U14" s="8">
        <v>0.67649999999999999</v>
      </c>
      <c r="V14" s="5">
        <v>63.5</v>
      </c>
      <c r="W14" s="6">
        <v>5.5900593778748084E-3</v>
      </c>
      <c r="X14" s="4">
        <v>0</v>
      </c>
      <c r="Y14" s="6">
        <v>0</v>
      </c>
      <c r="Z14" s="5">
        <v>16965.2</v>
      </c>
      <c r="AA14" s="5">
        <v>17029.45</v>
      </c>
      <c r="AB14" s="5">
        <v>64.25</v>
      </c>
      <c r="AC14" s="5">
        <v>0.37869999999999998</v>
      </c>
      <c r="AD14" s="4">
        <v>2</v>
      </c>
      <c r="AE14" s="5">
        <v>-3.3333000000000002E-2</v>
      </c>
      <c r="AF14" s="5">
        <v>58.594900000000003</v>
      </c>
      <c r="AG14" s="5">
        <v>0.34539999999999998</v>
      </c>
      <c r="AH14" s="8">
        <v>-0.77839999999999998</v>
      </c>
      <c r="AI14" s="8">
        <v>0.64700000000000002</v>
      </c>
      <c r="AJ14" s="15">
        <v>152.89490000000001</v>
      </c>
      <c r="AK14" s="15">
        <v>1.1755</v>
      </c>
      <c r="AL14" s="5">
        <v>96.753500000000003</v>
      </c>
      <c r="AM14" s="4">
        <v>100</v>
      </c>
      <c r="AN14" s="5">
        <v>-3.2465000000000002</v>
      </c>
      <c r="AO14" s="5">
        <v>-3.2465000000000002</v>
      </c>
      <c r="AP14" s="8">
        <v>0.81689999999999996</v>
      </c>
      <c r="AQ14" s="8">
        <v>0.26300000000000001</v>
      </c>
      <c r="AR14" s="8">
        <v>0.26300000000000001</v>
      </c>
      <c r="AS14" s="5">
        <v>95.880899999999997</v>
      </c>
      <c r="AT14" s="5">
        <v>-4.1191000000000004</v>
      </c>
      <c r="AU14" s="7" t="s">
        <v>98</v>
      </c>
      <c r="AV14" s="7"/>
    </row>
    <row r="15" spans="1:48" ht="18" customHeight="1" x14ac:dyDescent="0.25">
      <c r="A15" s="10">
        <v>7</v>
      </c>
      <c r="B15" s="10">
        <v>2</v>
      </c>
      <c r="C15" s="10">
        <v>7</v>
      </c>
      <c r="D15" s="86">
        <v>43593</v>
      </c>
      <c r="E15" s="89">
        <v>43595</v>
      </c>
      <c r="F15" s="88" t="b">
        <f t="shared" si="0"/>
        <v>0</v>
      </c>
      <c r="G15" s="86">
        <v>43643</v>
      </c>
      <c r="H15" s="11">
        <v>11359.45</v>
      </c>
      <c r="I15" s="11">
        <v>11278.9</v>
      </c>
      <c r="J15" s="12"/>
      <c r="K15" s="12"/>
      <c r="L15" s="12" t="s">
        <v>44</v>
      </c>
      <c r="M15" s="90"/>
      <c r="N15" s="90"/>
      <c r="O15" s="10">
        <v>11000</v>
      </c>
      <c r="P15" s="12" t="s">
        <v>97</v>
      </c>
      <c r="Q15" s="10">
        <v>65</v>
      </c>
      <c r="R15" s="11">
        <v>196.95</v>
      </c>
      <c r="S15" s="11">
        <v>227.75</v>
      </c>
      <c r="T15" s="13">
        <v>-4.36E-2</v>
      </c>
      <c r="U15" s="13">
        <v>0.3649</v>
      </c>
      <c r="V15" s="10">
        <v>0</v>
      </c>
      <c r="W15" s="14">
        <v>0</v>
      </c>
      <c r="X15" s="11">
        <v>30.8</v>
      </c>
      <c r="Y15" s="14">
        <v>2.7113988793471509E-3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 t="s">
        <v>98</v>
      </c>
      <c r="AV15" s="12"/>
    </row>
    <row r="16" spans="1:48" ht="18" customHeight="1" x14ac:dyDescent="0.25">
      <c r="A16" s="4">
        <v>8</v>
      </c>
      <c r="B16" s="4">
        <v>1</v>
      </c>
      <c r="C16" s="4">
        <v>8</v>
      </c>
      <c r="D16" s="85">
        <v>43738</v>
      </c>
      <c r="E16" s="85">
        <v>43739</v>
      </c>
      <c r="F16" s="88" t="b">
        <f t="shared" si="0"/>
        <v>1</v>
      </c>
      <c r="G16" s="85">
        <v>43741</v>
      </c>
      <c r="H16" s="5">
        <v>11474.45</v>
      </c>
      <c r="I16" s="5">
        <v>11359.9</v>
      </c>
      <c r="J16" s="5">
        <v>-114.55</v>
      </c>
      <c r="K16" s="6">
        <v>-9.9830492964804399E-3</v>
      </c>
      <c r="L16" s="7" t="s">
        <v>34</v>
      </c>
      <c r="M16" s="91">
        <f>MROUND(H16,100)-100</f>
        <v>11400</v>
      </c>
      <c r="N16" s="91">
        <f>M16-O16</f>
        <v>0</v>
      </c>
      <c r="O16" s="4">
        <v>11400</v>
      </c>
      <c r="P16" s="7" t="s">
        <v>95</v>
      </c>
      <c r="Q16" s="4">
        <v>65</v>
      </c>
      <c r="R16" s="4">
        <v>116</v>
      </c>
      <c r="S16" s="5">
        <v>39.700000000000003</v>
      </c>
      <c r="T16" s="8">
        <v>-0.49370000000000003</v>
      </c>
      <c r="U16" s="8">
        <v>0.84399999999999997</v>
      </c>
      <c r="V16" s="5">
        <v>76.3</v>
      </c>
      <c r="W16" s="6">
        <v>6.649556187878285E-3</v>
      </c>
      <c r="X16" s="4">
        <v>0</v>
      </c>
      <c r="Y16" s="6">
        <v>0</v>
      </c>
      <c r="Z16" s="4">
        <v>16026</v>
      </c>
      <c r="AA16" s="5">
        <v>15725.35</v>
      </c>
      <c r="AB16" s="5">
        <v>-300.64999999999998</v>
      </c>
      <c r="AC16" s="5">
        <v>-1.8759999999999999</v>
      </c>
      <c r="AD16" s="4">
        <v>1</v>
      </c>
      <c r="AE16" s="5">
        <v>-1.6667000000000001E-2</v>
      </c>
      <c r="AF16" s="5">
        <v>-303.32100000000003</v>
      </c>
      <c r="AG16" s="5">
        <v>-1.8927</v>
      </c>
      <c r="AH16" s="8">
        <v>-3.2715000000000001</v>
      </c>
      <c r="AI16" s="8">
        <v>0.53239999999999998</v>
      </c>
      <c r="AJ16" s="9">
        <v>-195.571</v>
      </c>
      <c r="AK16" s="9">
        <v>-0.95369999999999999</v>
      </c>
      <c r="AL16" s="5">
        <v>99.046300000000002</v>
      </c>
      <c r="AM16" s="4">
        <v>100</v>
      </c>
      <c r="AN16" s="5">
        <v>-0.95369999999999999</v>
      </c>
      <c r="AO16" s="5">
        <v>-0.95369999999999999</v>
      </c>
      <c r="AP16" s="8">
        <v>-0.1103</v>
      </c>
      <c r="AQ16" s="8">
        <v>-1.8008999999999999</v>
      </c>
      <c r="AR16" s="8">
        <v>-1.8008999999999999</v>
      </c>
      <c r="AS16" s="5">
        <v>98.199100000000001</v>
      </c>
      <c r="AT16" s="5">
        <v>-1.8008999999999999</v>
      </c>
      <c r="AU16" s="7" t="s">
        <v>96</v>
      </c>
      <c r="AV16" s="7"/>
    </row>
    <row r="17" spans="1:48" ht="18" customHeight="1" x14ac:dyDescent="0.25">
      <c r="A17" s="10">
        <v>8</v>
      </c>
      <c r="B17" s="10">
        <v>2</v>
      </c>
      <c r="C17" s="10">
        <v>8</v>
      </c>
      <c r="D17" s="86">
        <v>43738</v>
      </c>
      <c r="E17" s="86">
        <v>43739</v>
      </c>
      <c r="F17" s="88" t="b">
        <f t="shared" si="0"/>
        <v>1</v>
      </c>
      <c r="G17" s="86">
        <v>43825</v>
      </c>
      <c r="H17" s="11">
        <v>11474.45</v>
      </c>
      <c r="I17" s="11">
        <v>11359.9</v>
      </c>
      <c r="J17" s="12"/>
      <c r="K17" s="12"/>
      <c r="L17" s="12" t="s">
        <v>44</v>
      </c>
      <c r="M17" s="90"/>
      <c r="N17" s="90"/>
      <c r="O17" s="10">
        <v>11000</v>
      </c>
      <c r="P17" s="12" t="s">
        <v>97</v>
      </c>
      <c r="Q17" s="10">
        <v>65</v>
      </c>
      <c r="R17" s="11">
        <v>127.1</v>
      </c>
      <c r="S17" s="11">
        <v>158.55000000000001</v>
      </c>
      <c r="T17" s="13">
        <v>-0.14899999999999999</v>
      </c>
      <c r="U17" s="13">
        <v>0.62660000000000005</v>
      </c>
      <c r="V17" s="10">
        <v>0</v>
      </c>
      <c r="W17" s="14">
        <v>0</v>
      </c>
      <c r="X17" s="11">
        <v>31.45</v>
      </c>
      <c r="Y17" s="14">
        <v>2.740872111517328E-3</v>
      </c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 t="s">
        <v>96</v>
      </c>
      <c r="AV17" s="12"/>
    </row>
    <row r="18" spans="1:48" ht="18" customHeight="1" x14ac:dyDescent="0.25">
      <c r="A18" s="4">
        <v>9</v>
      </c>
      <c r="B18" s="4">
        <v>1</v>
      </c>
      <c r="C18" s="4">
        <v>9</v>
      </c>
      <c r="D18" s="85">
        <v>43739</v>
      </c>
      <c r="E18" s="85">
        <v>43747</v>
      </c>
      <c r="F18" s="88" t="b">
        <f t="shared" si="0"/>
        <v>1</v>
      </c>
      <c r="G18" s="85">
        <v>43748</v>
      </c>
      <c r="H18" s="5">
        <v>11359.9</v>
      </c>
      <c r="I18" s="5">
        <v>11313.3</v>
      </c>
      <c r="J18" s="5">
        <v>-46.6</v>
      </c>
      <c r="K18" s="6">
        <v>-4.102148786521008E-3</v>
      </c>
      <c r="L18" s="7" t="s">
        <v>34</v>
      </c>
      <c r="M18" s="91">
        <f>MROUND(H18,100)-100</f>
        <v>11300</v>
      </c>
      <c r="N18" s="91">
        <f>M18-O18</f>
        <v>0</v>
      </c>
      <c r="O18" s="4">
        <v>11300</v>
      </c>
      <c r="P18" s="7" t="s">
        <v>95</v>
      </c>
      <c r="Q18" s="4">
        <v>65</v>
      </c>
      <c r="R18" s="5">
        <v>176.05</v>
      </c>
      <c r="S18" s="5">
        <v>49.95</v>
      </c>
      <c r="T18" s="8">
        <v>4.0099999999999997E-2</v>
      </c>
      <c r="U18" s="8">
        <v>1.5075000000000001</v>
      </c>
      <c r="V18" s="5">
        <v>126.1</v>
      </c>
      <c r="W18" s="6">
        <v>1.1100449827903411E-2</v>
      </c>
      <c r="X18" s="4">
        <v>0</v>
      </c>
      <c r="Y18" s="6">
        <v>0</v>
      </c>
      <c r="Z18" s="5">
        <v>15725.35</v>
      </c>
      <c r="AA18" s="5">
        <v>15722.55</v>
      </c>
      <c r="AB18" s="5">
        <v>-2.8</v>
      </c>
      <c r="AC18" s="5">
        <v>-1.78E-2</v>
      </c>
      <c r="AD18" s="4">
        <v>8</v>
      </c>
      <c r="AE18" s="5">
        <v>-0.13333300000000001</v>
      </c>
      <c r="AF18" s="5">
        <v>-23.767099999999999</v>
      </c>
      <c r="AG18" s="5">
        <v>-0.15110000000000001</v>
      </c>
      <c r="AH18" s="8">
        <v>-2.1023000000000001</v>
      </c>
      <c r="AI18" s="8">
        <v>0.59519999999999995</v>
      </c>
      <c r="AJ18" s="15">
        <v>109.2829</v>
      </c>
      <c r="AK18" s="15">
        <v>1.0201</v>
      </c>
      <c r="AL18" s="5">
        <v>100.05670000000001</v>
      </c>
      <c r="AM18" s="5">
        <v>100.05670000000001</v>
      </c>
      <c r="AN18" s="4">
        <v>0</v>
      </c>
      <c r="AO18" s="4">
        <v>0</v>
      </c>
      <c r="AP18" s="8">
        <v>0.57809999999999995</v>
      </c>
      <c r="AQ18" s="8">
        <v>0.13100000000000001</v>
      </c>
      <c r="AR18" s="8">
        <v>0.13100000000000001</v>
      </c>
      <c r="AS18" s="5">
        <v>99.176100000000005</v>
      </c>
      <c r="AT18" s="5">
        <v>-0.82389999999999997</v>
      </c>
      <c r="AU18" s="7" t="s">
        <v>96</v>
      </c>
      <c r="AV18" s="7"/>
    </row>
    <row r="19" spans="1:48" ht="18" customHeight="1" x14ac:dyDescent="0.25">
      <c r="A19" s="10">
        <v>9</v>
      </c>
      <c r="B19" s="10">
        <v>2</v>
      </c>
      <c r="C19" s="10">
        <v>9</v>
      </c>
      <c r="D19" s="86">
        <v>43739</v>
      </c>
      <c r="E19" s="86">
        <v>43747</v>
      </c>
      <c r="F19" s="88" t="b">
        <f t="shared" si="0"/>
        <v>1</v>
      </c>
      <c r="G19" s="86">
        <v>43825</v>
      </c>
      <c r="H19" s="11">
        <v>11359.9</v>
      </c>
      <c r="I19" s="11">
        <v>11313.3</v>
      </c>
      <c r="J19" s="12"/>
      <c r="K19" s="12"/>
      <c r="L19" s="12" t="s">
        <v>44</v>
      </c>
      <c r="M19" s="90"/>
      <c r="N19" s="90"/>
      <c r="O19" s="10">
        <v>11000</v>
      </c>
      <c r="P19" s="12" t="s">
        <v>97</v>
      </c>
      <c r="Q19" s="10">
        <v>65</v>
      </c>
      <c r="R19" s="11">
        <v>158.55000000000001</v>
      </c>
      <c r="S19" s="11">
        <v>165.5</v>
      </c>
      <c r="T19" s="13">
        <v>-5.7200000000000001E-2</v>
      </c>
      <c r="U19" s="13">
        <v>0.7258</v>
      </c>
      <c r="V19" s="10">
        <v>0</v>
      </c>
      <c r="W19" s="14">
        <v>0</v>
      </c>
      <c r="X19" s="11">
        <v>6.95</v>
      </c>
      <c r="Y19" s="14">
        <v>6.1180116022148086E-4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 t="s">
        <v>96</v>
      </c>
      <c r="AV19" s="12"/>
    </row>
    <row r="20" spans="1:48" ht="18" customHeight="1" x14ac:dyDescent="0.25">
      <c r="A20" s="4">
        <v>10</v>
      </c>
      <c r="B20" s="4">
        <v>1</v>
      </c>
      <c r="C20" s="4">
        <v>10</v>
      </c>
      <c r="D20" s="85">
        <v>43747</v>
      </c>
      <c r="E20" s="85">
        <v>43754</v>
      </c>
      <c r="F20" s="88" t="b">
        <f t="shared" si="0"/>
        <v>1</v>
      </c>
      <c r="G20" s="85">
        <v>43755</v>
      </c>
      <c r="H20" s="5">
        <v>11313.3</v>
      </c>
      <c r="I20" s="4">
        <v>11464</v>
      </c>
      <c r="J20" s="5">
        <v>150.69999999999999</v>
      </c>
      <c r="K20" s="6">
        <v>1.332060495169402E-2</v>
      </c>
      <c r="L20" s="7" t="s">
        <v>34</v>
      </c>
      <c r="M20" s="91">
        <f>MROUND(H20,100)-100</f>
        <v>11200</v>
      </c>
      <c r="N20" s="91">
        <f>M20-O20</f>
        <v>0</v>
      </c>
      <c r="O20" s="4">
        <v>11200</v>
      </c>
      <c r="P20" s="7" t="s">
        <v>95</v>
      </c>
      <c r="Q20" s="4">
        <v>65</v>
      </c>
      <c r="R20" s="5">
        <v>189.25</v>
      </c>
      <c r="S20" s="5">
        <v>261.8</v>
      </c>
      <c r="T20" s="8">
        <v>-0.75490000000000002</v>
      </c>
      <c r="U20" s="8">
        <v>0.78800000000000003</v>
      </c>
      <c r="V20" s="5">
        <v>-72.55</v>
      </c>
      <c r="W20" s="6">
        <v>-6.4128061661937723E-3</v>
      </c>
      <c r="X20" s="4">
        <v>0</v>
      </c>
      <c r="Y20" s="6">
        <v>0</v>
      </c>
      <c r="Z20" s="5">
        <v>15722.55</v>
      </c>
      <c r="AA20" s="5">
        <v>15605.35</v>
      </c>
      <c r="AB20" s="5">
        <v>-117.2</v>
      </c>
      <c r="AC20" s="5">
        <v>-0.74539999999999995</v>
      </c>
      <c r="AD20" s="4">
        <v>7</v>
      </c>
      <c r="AE20" s="5">
        <v>-0.11666700000000001</v>
      </c>
      <c r="AF20" s="5">
        <v>-135.54300000000001</v>
      </c>
      <c r="AG20" s="5">
        <v>-0.86209999999999998</v>
      </c>
      <c r="AH20" s="8">
        <v>-1.7430000000000001</v>
      </c>
      <c r="AI20" s="8">
        <v>2.3099999999999999E-2</v>
      </c>
      <c r="AJ20" s="9">
        <v>-252.04300000000001</v>
      </c>
      <c r="AK20" s="9">
        <v>-1.8918999999999999</v>
      </c>
      <c r="AL20" s="5">
        <v>98.163700000000006</v>
      </c>
      <c r="AM20" s="5">
        <v>100.05670000000001</v>
      </c>
      <c r="AN20" s="5">
        <v>-1.893</v>
      </c>
      <c r="AO20" s="5">
        <v>-1.8918999999999999</v>
      </c>
      <c r="AP20" s="8">
        <v>-1.1344000000000001</v>
      </c>
      <c r="AQ20" s="8">
        <v>-0.47949999999999998</v>
      </c>
      <c r="AR20" s="8">
        <v>-1.8918999999999999</v>
      </c>
      <c r="AS20" s="5">
        <v>98.163700000000006</v>
      </c>
      <c r="AT20" s="5">
        <v>-1.8918999999999999</v>
      </c>
      <c r="AU20" s="7" t="s">
        <v>96</v>
      </c>
      <c r="AV20" s="7"/>
    </row>
    <row r="21" spans="1:48" ht="18" customHeight="1" x14ac:dyDescent="0.25">
      <c r="A21" s="10">
        <v>10</v>
      </c>
      <c r="B21" s="10">
        <v>2</v>
      </c>
      <c r="C21" s="10">
        <v>10</v>
      </c>
      <c r="D21" s="86">
        <v>43747</v>
      </c>
      <c r="E21" s="86">
        <v>43754</v>
      </c>
      <c r="F21" s="88" t="b">
        <f t="shared" si="0"/>
        <v>1</v>
      </c>
      <c r="G21" s="86">
        <v>43825</v>
      </c>
      <c r="H21" s="11">
        <v>11313.3</v>
      </c>
      <c r="I21" s="10">
        <v>11464</v>
      </c>
      <c r="J21" s="12"/>
      <c r="K21" s="12"/>
      <c r="L21" s="12" t="s">
        <v>44</v>
      </c>
      <c r="M21" s="90"/>
      <c r="N21" s="90"/>
      <c r="O21" s="10">
        <v>11000</v>
      </c>
      <c r="P21" s="12" t="s">
        <v>97</v>
      </c>
      <c r="Q21" s="10">
        <v>65</v>
      </c>
      <c r="R21" s="11">
        <v>165.5</v>
      </c>
      <c r="S21" s="11">
        <v>121.55</v>
      </c>
      <c r="T21" s="13">
        <v>-0.40260000000000001</v>
      </c>
      <c r="U21" s="13">
        <v>0.47549999999999998</v>
      </c>
      <c r="V21" s="10">
        <v>0</v>
      </c>
      <c r="W21" s="14">
        <v>0</v>
      </c>
      <c r="X21" s="11">
        <v>-43.95</v>
      </c>
      <c r="Y21" s="14">
        <v>-3.88480814616425E-3</v>
      </c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 t="s">
        <v>96</v>
      </c>
      <c r="AV21" s="12"/>
    </row>
    <row r="22" spans="1:48" ht="18" customHeight="1" x14ac:dyDescent="0.25">
      <c r="A22" s="4">
        <v>11</v>
      </c>
      <c r="B22" s="4">
        <v>1</v>
      </c>
      <c r="C22" s="4">
        <v>11</v>
      </c>
      <c r="D22" s="85">
        <v>43754</v>
      </c>
      <c r="E22" s="85">
        <v>43761</v>
      </c>
      <c r="F22" s="88" t="b">
        <f t="shared" si="0"/>
        <v>1</v>
      </c>
      <c r="G22" s="85">
        <v>43762</v>
      </c>
      <c r="H22" s="4">
        <v>11464</v>
      </c>
      <c r="I22" s="5">
        <v>11604.1</v>
      </c>
      <c r="J22" s="5">
        <v>140.1</v>
      </c>
      <c r="K22" s="6">
        <v>1.22208653175157E-2</v>
      </c>
      <c r="L22" s="7" t="s">
        <v>34</v>
      </c>
      <c r="M22" s="91">
        <f>MROUND(H22,100)-100</f>
        <v>11400</v>
      </c>
      <c r="N22" s="91">
        <f>M22-O22</f>
        <v>0</v>
      </c>
      <c r="O22" s="4">
        <v>11400</v>
      </c>
      <c r="P22" s="7" t="s">
        <v>95</v>
      </c>
      <c r="Q22" s="4">
        <v>65</v>
      </c>
      <c r="R22" s="5">
        <v>136.44999999999999</v>
      </c>
      <c r="S22" s="5">
        <v>213.6</v>
      </c>
      <c r="T22" s="8">
        <v>-1.5007999999999999</v>
      </c>
      <c r="U22" s="8">
        <v>0.1492</v>
      </c>
      <c r="V22" s="5">
        <v>-77.150000000000006</v>
      </c>
      <c r="W22" s="6">
        <v>-6.7297627355198892E-3</v>
      </c>
      <c r="X22" s="4">
        <v>0</v>
      </c>
      <c r="Y22" s="6">
        <v>0</v>
      </c>
      <c r="Z22" s="5">
        <v>15605.35</v>
      </c>
      <c r="AA22" s="5">
        <v>16247.7</v>
      </c>
      <c r="AB22" s="5">
        <v>642.35</v>
      </c>
      <c r="AC22" s="5">
        <v>4.1162000000000001</v>
      </c>
      <c r="AD22" s="4">
        <v>7</v>
      </c>
      <c r="AE22" s="5">
        <v>-0.11666700000000001</v>
      </c>
      <c r="AF22" s="5">
        <v>624.14380000000006</v>
      </c>
      <c r="AG22" s="5">
        <v>3.9994999999999998</v>
      </c>
      <c r="AH22" s="8">
        <v>-0.1547</v>
      </c>
      <c r="AI22" s="8">
        <v>4.6581000000000001</v>
      </c>
      <c r="AJ22" s="15">
        <v>512.49379999999996</v>
      </c>
      <c r="AK22" s="15">
        <v>3.0255999999999998</v>
      </c>
      <c r="AL22" s="5">
        <v>101.1337</v>
      </c>
      <c r="AM22" s="5">
        <v>101.1337</v>
      </c>
      <c r="AN22" s="4">
        <v>0</v>
      </c>
      <c r="AO22" s="4">
        <v>0</v>
      </c>
      <c r="AP22" s="8">
        <v>2.76</v>
      </c>
      <c r="AQ22" s="8">
        <v>-1.5100000000000001E-2</v>
      </c>
      <c r="AR22" s="8">
        <v>-1.5100000000000001E-2</v>
      </c>
      <c r="AS22" s="5">
        <v>98.148899999999998</v>
      </c>
      <c r="AT22" s="5">
        <v>-1.9067000000000001</v>
      </c>
      <c r="AU22" s="7" t="s">
        <v>96</v>
      </c>
      <c r="AV22" s="7"/>
    </row>
    <row r="23" spans="1:48" ht="18" customHeight="1" x14ac:dyDescent="0.25">
      <c r="A23" s="10">
        <v>11</v>
      </c>
      <c r="B23" s="10">
        <v>2</v>
      </c>
      <c r="C23" s="10">
        <v>11</v>
      </c>
      <c r="D23" s="86">
        <v>43754</v>
      </c>
      <c r="E23" s="86">
        <v>43761</v>
      </c>
      <c r="F23" s="88" t="b">
        <f t="shared" si="0"/>
        <v>1</v>
      </c>
      <c r="G23" s="86">
        <v>43825</v>
      </c>
      <c r="H23" s="10">
        <v>11464</v>
      </c>
      <c r="I23" s="11">
        <v>11604.1</v>
      </c>
      <c r="J23" s="12"/>
      <c r="K23" s="12"/>
      <c r="L23" s="12" t="s">
        <v>44</v>
      </c>
      <c r="M23" s="90"/>
      <c r="N23" s="90"/>
      <c r="O23" s="10">
        <v>11000</v>
      </c>
      <c r="P23" s="12" t="s">
        <v>97</v>
      </c>
      <c r="Q23" s="10">
        <v>65</v>
      </c>
      <c r="R23" s="11">
        <v>121.55</v>
      </c>
      <c r="S23" s="11">
        <v>87.05</v>
      </c>
      <c r="T23" s="13">
        <v>-0.39729999999999999</v>
      </c>
      <c r="U23" s="13">
        <v>-9.5999999999999992E-3</v>
      </c>
      <c r="V23" s="10">
        <v>0</v>
      </c>
      <c r="W23" s="14">
        <v>0</v>
      </c>
      <c r="X23" s="11">
        <v>-34.5</v>
      </c>
      <c r="Y23" s="14">
        <v>-3.009420795533845E-3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 t="s">
        <v>96</v>
      </c>
      <c r="AV23" s="12"/>
    </row>
    <row r="24" spans="1:48" ht="18" customHeight="1" x14ac:dyDescent="0.25">
      <c r="A24" s="4">
        <v>12</v>
      </c>
      <c r="B24" s="4">
        <v>1</v>
      </c>
      <c r="C24" s="4">
        <v>12</v>
      </c>
      <c r="D24" s="85">
        <v>43761</v>
      </c>
      <c r="E24" s="85">
        <v>43768</v>
      </c>
      <c r="F24" s="88" t="b">
        <f t="shared" si="0"/>
        <v>1</v>
      </c>
      <c r="G24" s="85">
        <v>43769</v>
      </c>
      <c r="H24" s="5">
        <v>11604.1</v>
      </c>
      <c r="I24" s="5">
        <v>11844.1</v>
      </c>
      <c r="J24" s="4">
        <v>240</v>
      </c>
      <c r="K24" s="6">
        <v>2.0682345033221021E-2</v>
      </c>
      <c r="L24" s="7" t="s">
        <v>34</v>
      </c>
      <c r="M24" s="91">
        <f>MROUND(H24,100)-100</f>
        <v>11500</v>
      </c>
      <c r="N24" s="91">
        <f>M24-O24</f>
        <v>0</v>
      </c>
      <c r="O24" s="4">
        <v>11500</v>
      </c>
      <c r="P24" s="7" t="s">
        <v>95</v>
      </c>
      <c r="Q24" s="4">
        <v>65</v>
      </c>
      <c r="R24" s="5">
        <v>179.65</v>
      </c>
      <c r="S24" s="5">
        <v>339.75</v>
      </c>
      <c r="T24" s="8">
        <v>-1.7149000000000001</v>
      </c>
      <c r="U24" s="8">
        <v>0.83850000000000002</v>
      </c>
      <c r="V24" s="5">
        <v>-160.1</v>
      </c>
      <c r="W24" s="6">
        <v>-1.379684766591118E-2</v>
      </c>
      <c r="X24" s="4">
        <v>0</v>
      </c>
      <c r="Y24" s="6">
        <v>0</v>
      </c>
      <c r="Z24" s="5">
        <v>16247.7</v>
      </c>
      <c r="AA24" s="5">
        <v>16583.45</v>
      </c>
      <c r="AB24" s="5">
        <v>335.75</v>
      </c>
      <c r="AC24" s="5">
        <v>2.0663999999999998</v>
      </c>
      <c r="AD24" s="4">
        <v>7</v>
      </c>
      <c r="AE24" s="5">
        <v>-0.11666700000000001</v>
      </c>
      <c r="AF24" s="5">
        <v>316.7944</v>
      </c>
      <c r="AG24" s="5">
        <v>1.9498</v>
      </c>
      <c r="AH24" s="8">
        <v>-0.98970000000000002</v>
      </c>
      <c r="AI24" s="8">
        <v>2.1332</v>
      </c>
      <c r="AJ24" s="15">
        <v>135.1944</v>
      </c>
      <c r="AK24" s="15">
        <v>0.38479999999999998</v>
      </c>
      <c r="AL24" s="5">
        <v>101.52290000000001</v>
      </c>
      <c r="AM24" s="5">
        <v>101.52290000000001</v>
      </c>
      <c r="AN24" s="4">
        <v>0</v>
      </c>
      <c r="AO24" s="4">
        <v>0</v>
      </c>
      <c r="AP24" s="8">
        <v>0.1641</v>
      </c>
      <c r="AQ24" s="8">
        <v>-4.2599999999999999E-2</v>
      </c>
      <c r="AR24" s="8">
        <v>-4.2599999999999999E-2</v>
      </c>
      <c r="AS24" s="5">
        <v>101.0907</v>
      </c>
      <c r="AT24" s="5">
        <v>-4.2599999999999999E-2</v>
      </c>
      <c r="AU24" s="7" t="s">
        <v>99</v>
      </c>
      <c r="AV24" s="7"/>
    </row>
    <row r="25" spans="1:48" ht="18" customHeight="1" x14ac:dyDescent="0.25">
      <c r="A25" s="10">
        <v>12</v>
      </c>
      <c r="B25" s="10">
        <v>2</v>
      </c>
      <c r="C25" s="10">
        <v>12</v>
      </c>
      <c r="D25" s="86">
        <v>43761</v>
      </c>
      <c r="E25" s="86">
        <v>43768</v>
      </c>
      <c r="F25" s="88" t="b">
        <f t="shared" si="0"/>
        <v>1</v>
      </c>
      <c r="G25" s="86">
        <v>43825</v>
      </c>
      <c r="H25" s="11">
        <v>11604.1</v>
      </c>
      <c r="I25" s="11">
        <v>11844.1</v>
      </c>
      <c r="J25" s="12"/>
      <c r="K25" s="12"/>
      <c r="L25" s="12" t="s">
        <v>44</v>
      </c>
      <c r="M25" s="90"/>
      <c r="N25" s="90"/>
      <c r="O25" s="10">
        <v>11000</v>
      </c>
      <c r="P25" s="12" t="s">
        <v>97</v>
      </c>
      <c r="Q25" s="10">
        <v>65</v>
      </c>
      <c r="R25" s="11">
        <v>87.05</v>
      </c>
      <c r="S25" s="11">
        <v>65.55</v>
      </c>
      <c r="T25" s="13">
        <v>-0.25419999999999998</v>
      </c>
      <c r="U25" s="13">
        <v>0.1086</v>
      </c>
      <c r="V25" s="10">
        <v>0</v>
      </c>
      <c r="W25" s="14">
        <v>0</v>
      </c>
      <c r="X25" s="11">
        <v>-21.5</v>
      </c>
      <c r="Y25" s="14">
        <v>-1.852793409226049E-3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 t="s">
        <v>99</v>
      </c>
      <c r="AV25" s="12"/>
    </row>
    <row r="26" spans="1:48" ht="18" customHeight="1" x14ac:dyDescent="0.25">
      <c r="A26" s="4">
        <v>13</v>
      </c>
      <c r="B26" s="4">
        <v>1</v>
      </c>
      <c r="C26" s="4">
        <v>13</v>
      </c>
      <c r="D26" s="85">
        <v>43768</v>
      </c>
      <c r="E26" s="85">
        <v>43775</v>
      </c>
      <c r="F26" s="88" t="b">
        <f t="shared" si="0"/>
        <v>1</v>
      </c>
      <c r="G26" s="85">
        <v>43776</v>
      </c>
      <c r="H26" s="5">
        <v>11844.1</v>
      </c>
      <c r="I26" s="5">
        <v>11966.05</v>
      </c>
      <c r="J26" s="5">
        <v>121.95</v>
      </c>
      <c r="K26" s="6">
        <v>1.029626565125252E-2</v>
      </c>
      <c r="L26" s="7" t="s">
        <v>34</v>
      </c>
      <c r="M26" s="91">
        <f>MROUND(H26,100)-100</f>
        <v>11700</v>
      </c>
      <c r="N26" s="91">
        <f>M26-O26</f>
        <v>0</v>
      </c>
      <c r="O26" s="4">
        <v>11700</v>
      </c>
      <c r="P26" s="7" t="s">
        <v>95</v>
      </c>
      <c r="Q26" s="4">
        <v>65</v>
      </c>
      <c r="R26" s="5">
        <v>198.4</v>
      </c>
      <c r="S26" s="5">
        <v>274.55</v>
      </c>
      <c r="T26" s="8">
        <v>-0.99670000000000003</v>
      </c>
      <c r="U26" s="8">
        <v>0.34949999999999998</v>
      </c>
      <c r="V26" s="5">
        <v>-76.150000000000006</v>
      </c>
      <c r="W26" s="6">
        <v>-6.4293614542261547E-3</v>
      </c>
      <c r="X26" s="4">
        <v>0</v>
      </c>
      <c r="Y26" s="6">
        <v>0</v>
      </c>
      <c r="Z26" s="5">
        <v>16583.45</v>
      </c>
      <c r="AA26" s="5">
        <v>16681.599999999999</v>
      </c>
      <c r="AB26" s="5">
        <v>98.15</v>
      </c>
      <c r="AC26" s="5">
        <v>0.59189999999999998</v>
      </c>
      <c r="AD26" s="4">
        <v>7</v>
      </c>
      <c r="AE26" s="5">
        <v>-0.11666700000000001</v>
      </c>
      <c r="AF26" s="5">
        <v>78.802599999999998</v>
      </c>
      <c r="AG26" s="5">
        <v>0.47520000000000001</v>
      </c>
      <c r="AH26" s="8">
        <v>0.1163</v>
      </c>
      <c r="AI26" s="8">
        <v>2.6175000000000002</v>
      </c>
      <c r="AJ26" s="9">
        <v>-22.147400000000001</v>
      </c>
      <c r="AK26" s="9">
        <v>-0.37709999999999999</v>
      </c>
      <c r="AL26" s="5">
        <v>101.1401</v>
      </c>
      <c r="AM26" s="5">
        <v>101.52290000000001</v>
      </c>
      <c r="AN26" s="5">
        <v>-0.38279999999999997</v>
      </c>
      <c r="AO26" s="5">
        <v>-0.37709999999999999</v>
      </c>
      <c r="AP26" s="8">
        <v>1.3978999999999999</v>
      </c>
      <c r="AQ26" s="8">
        <v>0.47760000000000002</v>
      </c>
      <c r="AR26" s="8">
        <v>-0.37709999999999999</v>
      </c>
      <c r="AS26" s="5">
        <v>101.1401</v>
      </c>
      <c r="AT26" s="5">
        <v>-0.37709999999999999</v>
      </c>
      <c r="AU26" s="7" t="s">
        <v>96</v>
      </c>
      <c r="AV26" s="7"/>
    </row>
    <row r="27" spans="1:48" ht="18" customHeight="1" x14ac:dyDescent="0.25">
      <c r="A27" s="10">
        <v>13</v>
      </c>
      <c r="B27" s="10">
        <v>2</v>
      </c>
      <c r="C27" s="10">
        <v>13</v>
      </c>
      <c r="D27" s="86">
        <v>43768</v>
      </c>
      <c r="E27" s="86">
        <v>43775</v>
      </c>
      <c r="F27" s="88" t="b">
        <f t="shared" si="0"/>
        <v>1</v>
      </c>
      <c r="G27" s="86">
        <v>43825</v>
      </c>
      <c r="H27" s="11">
        <v>11844.1</v>
      </c>
      <c r="I27" s="11">
        <v>11966.05</v>
      </c>
      <c r="J27" s="12"/>
      <c r="K27" s="12"/>
      <c r="L27" s="12" t="s">
        <v>44</v>
      </c>
      <c r="M27" s="90"/>
      <c r="N27" s="90"/>
      <c r="O27" s="10">
        <v>11000</v>
      </c>
      <c r="P27" s="12" t="s">
        <v>97</v>
      </c>
      <c r="Q27" s="10">
        <v>65</v>
      </c>
      <c r="R27" s="11">
        <v>65.55</v>
      </c>
      <c r="S27" s="11">
        <v>40.75</v>
      </c>
      <c r="T27" s="13">
        <v>-0.22289999999999999</v>
      </c>
      <c r="U27" s="13">
        <v>1.18E-2</v>
      </c>
      <c r="V27" s="10">
        <v>0</v>
      </c>
      <c r="W27" s="14">
        <v>0</v>
      </c>
      <c r="X27" s="11">
        <v>-24.8</v>
      </c>
      <c r="Y27" s="14">
        <v>-2.093869521533928E-3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 t="s">
        <v>96</v>
      </c>
      <c r="AV27" s="12"/>
    </row>
    <row r="28" spans="1:48" ht="18" customHeight="1" x14ac:dyDescent="0.25">
      <c r="A28" s="4">
        <v>14</v>
      </c>
      <c r="B28" s="4">
        <v>1</v>
      </c>
      <c r="C28" s="4">
        <v>14</v>
      </c>
      <c r="D28" s="85">
        <v>43775</v>
      </c>
      <c r="E28" s="85">
        <v>43782</v>
      </c>
      <c r="F28" s="88" t="b">
        <f t="shared" si="0"/>
        <v>1</v>
      </c>
      <c r="G28" s="85">
        <v>43783</v>
      </c>
      <c r="H28" s="5">
        <v>11966.05</v>
      </c>
      <c r="I28" s="5">
        <v>11840.45</v>
      </c>
      <c r="J28" s="5">
        <v>-125.6</v>
      </c>
      <c r="K28" s="6">
        <v>-1.0496362625929191E-2</v>
      </c>
      <c r="L28" s="7" t="s">
        <v>34</v>
      </c>
      <c r="M28" s="91">
        <f>MROUND(H28,100)-100</f>
        <v>11900</v>
      </c>
      <c r="N28" s="91">
        <f>M28-O28</f>
        <v>0</v>
      </c>
      <c r="O28" s="4">
        <v>11900</v>
      </c>
      <c r="P28" s="7" t="s">
        <v>95</v>
      </c>
      <c r="Q28" s="4">
        <v>65</v>
      </c>
      <c r="R28" s="4">
        <v>143</v>
      </c>
      <c r="S28" s="5">
        <v>14.8</v>
      </c>
      <c r="T28" s="8">
        <v>-0.24690000000000001</v>
      </c>
      <c r="U28" s="8">
        <v>1.0906</v>
      </c>
      <c r="V28" s="5">
        <v>128.19999999999999</v>
      </c>
      <c r="W28" s="6">
        <v>1.0713644017867219E-2</v>
      </c>
      <c r="X28" s="4">
        <v>0</v>
      </c>
      <c r="Y28" s="6">
        <v>0</v>
      </c>
      <c r="Z28" s="5">
        <v>16681.599999999999</v>
      </c>
      <c r="AA28" s="5">
        <v>16698.599999999999</v>
      </c>
      <c r="AB28" s="4">
        <v>17</v>
      </c>
      <c r="AC28" s="5">
        <v>0.1019</v>
      </c>
      <c r="AD28" s="4">
        <v>7</v>
      </c>
      <c r="AE28" s="5">
        <v>-0.11666700000000001</v>
      </c>
      <c r="AF28" s="5">
        <v>-2.4619</v>
      </c>
      <c r="AG28" s="5">
        <v>-1.4800000000000001E-2</v>
      </c>
      <c r="AH28" s="8">
        <v>-0.22520000000000001</v>
      </c>
      <c r="AI28" s="8">
        <v>1.2839</v>
      </c>
      <c r="AJ28" s="15">
        <v>174.38810000000001</v>
      </c>
      <c r="AK28" s="15">
        <v>1.4631000000000001</v>
      </c>
      <c r="AL28" s="5">
        <v>102.6198</v>
      </c>
      <c r="AM28" s="5">
        <v>102.6198</v>
      </c>
      <c r="AN28" s="4">
        <v>0</v>
      </c>
      <c r="AO28" s="4">
        <v>0</v>
      </c>
      <c r="AP28" s="8">
        <v>0.75329999999999997</v>
      </c>
      <c r="AQ28" s="8">
        <v>1.343</v>
      </c>
      <c r="AR28" s="8">
        <v>0.75329999999999997</v>
      </c>
      <c r="AS28" s="5">
        <v>101.9019</v>
      </c>
      <c r="AT28" s="5">
        <v>0.37340000000000001</v>
      </c>
      <c r="AU28" s="7" t="s">
        <v>96</v>
      </c>
      <c r="AV28" s="7"/>
    </row>
    <row r="29" spans="1:48" ht="18" customHeight="1" x14ac:dyDescent="0.25">
      <c r="A29" s="10">
        <v>14</v>
      </c>
      <c r="B29" s="10">
        <v>2</v>
      </c>
      <c r="C29" s="10">
        <v>14</v>
      </c>
      <c r="D29" s="86">
        <v>43775</v>
      </c>
      <c r="E29" s="86">
        <v>43782</v>
      </c>
      <c r="F29" s="88" t="b">
        <f t="shared" si="0"/>
        <v>1</v>
      </c>
      <c r="G29" s="86">
        <v>43825</v>
      </c>
      <c r="H29" s="11">
        <v>11966.05</v>
      </c>
      <c r="I29" s="11">
        <v>11840.45</v>
      </c>
      <c r="J29" s="12"/>
      <c r="K29" s="12"/>
      <c r="L29" s="12" t="s">
        <v>44</v>
      </c>
      <c r="M29" s="90"/>
      <c r="N29" s="90"/>
      <c r="O29" s="10">
        <v>12000</v>
      </c>
      <c r="P29" s="12" t="s">
        <v>97</v>
      </c>
      <c r="Q29" s="10">
        <v>65</v>
      </c>
      <c r="R29" s="11">
        <v>227.85</v>
      </c>
      <c r="S29" s="11">
        <v>276.5</v>
      </c>
      <c r="T29" s="13">
        <v>-0.28370000000000001</v>
      </c>
      <c r="U29" s="13">
        <v>0.47760000000000002</v>
      </c>
      <c r="V29" s="10">
        <v>0</v>
      </c>
      <c r="W29" s="14">
        <v>0</v>
      </c>
      <c r="X29" s="11">
        <v>48.65</v>
      </c>
      <c r="Y29" s="14">
        <v>4.065669122224962E-3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 t="s">
        <v>96</v>
      </c>
      <c r="AV29" s="12"/>
    </row>
    <row r="30" spans="1:48" ht="18" customHeight="1" x14ac:dyDescent="0.25">
      <c r="A30" s="4">
        <v>15</v>
      </c>
      <c r="B30" s="4">
        <v>1</v>
      </c>
      <c r="C30" s="4">
        <v>15</v>
      </c>
      <c r="D30" s="85">
        <v>43782</v>
      </c>
      <c r="E30" s="85">
        <v>43789</v>
      </c>
      <c r="F30" s="88" t="b">
        <f t="shared" si="0"/>
        <v>1</v>
      </c>
      <c r="G30" s="85">
        <v>43790</v>
      </c>
      <c r="H30" s="5">
        <v>11840.45</v>
      </c>
      <c r="I30" s="5">
        <v>11999.1</v>
      </c>
      <c r="J30" s="5">
        <v>158.65</v>
      </c>
      <c r="K30" s="6">
        <v>1.3398983991317901E-2</v>
      </c>
      <c r="L30" s="7" t="s">
        <v>34</v>
      </c>
      <c r="M30" s="91">
        <f>MROUND(H30,100)-100</f>
        <v>11700</v>
      </c>
      <c r="N30" s="91">
        <f>M30-O30</f>
        <v>0</v>
      </c>
      <c r="O30" s="4">
        <v>11700</v>
      </c>
      <c r="P30" s="7" t="s">
        <v>95</v>
      </c>
      <c r="Q30" s="4">
        <v>65</v>
      </c>
      <c r="R30" s="5">
        <v>187.35</v>
      </c>
      <c r="S30" s="5">
        <v>305.5</v>
      </c>
      <c r="T30" s="8">
        <v>-1.3736999999999999</v>
      </c>
      <c r="U30" s="8">
        <v>0.39019999999999999</v>
      </c>
      <c r="V30" s="5">
        <v>-118.15</v>
      </c>
      <c r="W30" s="6">
        <v>-9.9785058844891871E-3</v>
      </c>
      <c r="X30" s="4">
        <v>0</v>
      </c>
      <c r="Y30" s="6">
        <v>0</v>
      </c>
      <c r="Z30" s="5">
        <v>16698.599999999999</v>
      </c>
      <c r="AA30" s="5">
        <v>16994.099999999999</v>
      </c>
      <c r="AB30" s="5">
        <v>295.5</v>
      </c>
      <c r="AC30" s="5">
        <v>1.7696000000000001</v>
      </c>
      <c r="AD30" s="4">
        <v>7</v>
      </c>
      <c r="AE30" s="5">
        <v>-0.11666700000000001</v>
      </c>
      <c r="AF30" s="5">
        <v>276.01830000000001</v>
      </c>
      <c r="AG30" s="5">
        <v>1.6529</v>
      </c>
      <c r="AH30" s="8">
        <v>-0.56120000000000003</v>
      </c>
      <c r="AI30" s="8">
        <v>2.0548000000000002</v>
      </c>
      <c r="AJ30" s="15">
        <v>54.968299999999999</v>
      </c>
      <c r="AK30" s="15">
        <v>-0.214</v>
      </c>
      <c r="AL30" s="5">
        <v>102.4002</v>
      </c>
      <c r="AM30" s="5">
        <v>102.6198</v>
      </c>
      <c r="AN30" s="5">
        <v>-0.21959999999999999</v>
      </c>
      <c r="AO30" s="5">
        <v>-0.214</v>
      </c>
      <c r="AP30" s="8">
        <v>-0.31130000000000002</v>
      </c>
      <c r="AQ30" s="8">
        <v>-4.8500000000000001E-2</v>
      </c>
      <c r="AR30" s="8">
        <v>-0.31130000000000002</v>
      </c>
      <c r="AS30" s="5">
        <v>102.3004</v>
      </c>
      <c r="AT30" s="5">
        <v>-0.31130000000000002</v>
      </c>
      <c r="AU30" s="7" t="s">
        <v>96</v>
      </c>
      <c r="AV30" s="7"/>
    </row>
    <row r="31" spans="1:48" ht="18" customHeight="1" x14ac:dyDescent="0.25">
      <c r="A31" s="10">
        <v>15</v>
      </c>
      <c r="B31" s="10">
        <v>2</v>
      </c>
      <c r="C31" s="10">
        <v>15</v>
      </c>
      <c r="D31" s="86">
        <v>43782</v>
      </c>
      <c r="E31" s="86">
        <v>43789</v>
      </c>
      <c r="F31" s="88" t="b">
        <f t="shared" si="0"/>
        <v>1</v>
      </c>
      <c r="G31" s="86">
        <v>43825</v>
      </c>
      <c r="H31" s="11">
        <v>11840.45</v>
      </c>
      <c r="I31" s="11">
        <v>11999.1</v>
      </c>
      <c r="J31" s="12"/>
      <c r="K31" s="12"/>
      <c r="L31" s="12" t="s">
        <v>44</v>
      </c>
      <c r="M31" s="90"/>
      <c r="N31" s="90"/>
      <c r="O31" s="10">
        <v>12000</v>
      </c>
      <c r="P31" s="12" t="s">
        <v>97</v>
      </c>
      <c r="Q31" s="10">
        <v>65</v>
      </c>
      <c r="R31" s="11">
        <v>276.5</v>
      </c>
      <c r="S31" s="11">
        <v>173.6</v>
      </c>
      <c r="T31" s="13">
        <v>-0.99239999999999995</v>
      </c>
      <c r="U31" s="13">
        <v>0.1225</v>
      </c>
      <c r="V31" s="10">
        <v>0</v>
      </c>
      <c r="W31" s="14">
        <v>0</v>
      </c>
      <c r="X31" s="11">
        <v>-102.9</v>
      </c>
      <c r="Y31" s="14">
        <v>-8.6905480788314633E-3</v>
      </c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 t="s">
        <v>96</v>
      </c>
      <c r="AV31" s="12"/>
    </row>
    <row r="32" spans="1:48" ht="18" customHeight="1" x14ac:dyDescent="0.25">
      <c r="A32" s="4">
        <v>16</v>
      </c>
      <c r="B32" s="4">
        <v>1</v>
      </c>
      <c r="C32" s="4">
        <v>16</v>
      </c>
      <c r="D32" s="85">
        <v>43789</v>
      </c>
      <c r="E32" s="85">
        <v>43796</v>
      </c>
      <c r="F32" s="88" t="b">
        <f t="shared" si="0"/>
        <v>1</v>
      </c>
      <c r="G32" s="85">
        <v>43797</v>
      </c>
      <c r="H32" s="5">
        <v>11999.1</v>
      </c>
      <c r="I32" s="5">
        <v>12100.7</v>
      </c>
      <c r="J32" s="5">
        <v>101.6</v>
      </c>
      <c r="K32" s="6">
        <v>8.4673017142952375E-3</v>
      </c>
      <c r="L32" s="7" t="s">
        <v>34</v>
      </c>
      <c r="M32" s="91">
        <f>MROUND(H32,100)-100</f>
        <v>11900</v>
      </c>
      <c r="N32" s="91">
        <f>M32-O32</f>
        <v>0</v>
      </c>
      <c r="O32" s="4">
        <v>11900</v>
      </c>
      <c r="P32" s="7" t="s">
        <v>95</v>
      </c>
      <c r="Q32" s="4">
        <v>65</v>
      </c>
      <c r="R32" s="5">
        <v>165.35</v>
      </c>
      <c r="S32" s="5">
        <v>212.55</v>
      </c>
      <c r="T32" s="8">
        <v>-0.61050000000000004</v>
      </c>
      <c r="U32" s="8">
        <v>0.84630000000000005</v>
      </c>
      <c r="V32" s="5">
        <v>-47.2</v>
      </c>
      <c r="W32" s="6">
        <v>-3.9336283554599928E-3</v>
      </c>
      <c r="X32" s="4">
        <v>0</v>
      </c>
      <c r="Y32" s="6">
        <v>0</v>
      </c>
      <c r="Z32" s="5">
        <v>16994.099999999999</v>
      </c>
      <c r="AA32" s="5">
        <v>17042.95</v>
      </c>
      <c r="AB32" s="5">
        <v>48.85</v>
      </c>
      <c r="AC32" s="5">
        <v>0.28749999999999998</v>
      </c>
      <c r="AD32" s="4">
        <v>7</v>
      </c>
      <c r="AE32" s="5">
        <v>-0.11666700000000001</v>
      </c>
      <c r="AF32" s="5">
        <v>29.023599999999998</v>
      </c>
      <c r="AG32" s="5">
        <v>0.17080000000000001</v>
      </c>
      <c r="AH32" s="8">
        <v>-1.4095</v>
      </c>
      <c r="AI32" s="8">
        <v>0.94089999999999996</v>
      </c>
      <c r="AJ32" s="9">
        <v>-73.726399999999998</v>
      </c>
      <c r="AK32" s="9">
        <v>-0.6855</v>
      </c>
      <c r="AL32" s="5">
        <v>101.6983</v>
      </c>
      <c r="AM32" s="5">
        <v>102.6198</v>
      </c>
      <c r="AN32" s="5">
        <v>-0.92159999999999997</v>
      </c>
      <c r="AO32" s="5">
        <v>-0.89800000000000002</v>
      </c>
      <c r="AP32" s="8">
        <v>-0.17419999999999999</v>
      </c>
      <c r="AQ32" s="8">
        <v>-0.11609999999999999</v>
      </c>
      <c r="AR32" s="8">
        <v>-0.6855</v>
      </c>
      <c r="AS32" s="5">
        <v>101.6983</v>
      </c>
      <c r="AT32" s="5">
        <v>-0.89800000000000002</v>
      </c>
      <c r="AU32" s="7" t="s">
        <v>96</v>
      </c>
      <c r="AV32" s="7"/>
    </row>
    <row r="33" spans="1:48" ht="18" customHeight="1" x14ac:dyDescent="0.25">
      <c r="A33" s="10">
        <v>16</v>
      </c>
      <c r="B33" s="10">
        <v>2</v>
      </c>
      <c r="C33" s="10">
        <v>16</v>
      </c>
      <c r="D33" s="86">
        <v>43789</v>
      </c>
      <c r="E33" s="86">
        <v>43796</v>
      </c>
      <c r="F33" s="88" t="b">
        <f t="shared" si="0"/>
        <v>1</v>
      </c>
      <c r="G33" s="86">
        <v>43825</v>
      </c>
      <c r="H33" s="11">
        <v>11999.1</v>
      </c>
      <c r="I33" s="11">
        <v>12100.7</v>
      </c>
      <c r="J33" s="12"/>
      <c r="K33" s="12"/>
      <c r="L33" s="12" t="s">
        <v>44</v>
      </c>
      <c r="M33" s="90"/>
      <c r="N33" s="90"/>
      <c r="O33" s="10">
        <v>12000</v>
      </c>
      <c r="P33" s="12" t="s">
        <v>97</v>
      </c>
      <c r="Q33" s="10">
        <v>65</v>
      </c>
      <c r="R33" s="11">
        <v>173.6</v>
      </c>
      <c r="S33" s="11">
        <v>118.05</v>
      </c>
      <c r="T33" s="13">
        <v>-0.50460000000000005</v>
      </c>
      <c r="U33" s="13">
        <v>0.4471</v>
      </c>
      <c r="V33" s="10">
        <v>0</v>
      </c>
      <c r="W33" s="14">
        <v>0</v>
      </c>
      <c r="X33" s="11">
        <v>-55.55</v>
      </c>
      <c r="Y33" s="14">
        <v>-4.6295138802076819E-3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 t="s">
        <v>96</v>
      </c>
      <c r="AV33" s="12"/>
    </row>
    <row r="34" spans="1:48" ht="18" customHeight="1" x14ac:dyDescent="0.25">
      <c r="A34" s="4">
        <v>17</v>
      </c>
      <c r="B34" s="4">
        <v>1</v>
      </c>
      <c r="C34" s="4">
        <v>17</v>
      </c>
      <c r="D34" s="85">
        <v>43796</v>
      </c>
      <c r="E34" s="85">
        <v>43803</v>
      </c>
      <c r="F34" s="88" t="b">
        <f t="shared" si="0"/>
        <v>1</v>
      </c>
      <c r="G34" s="85">
        <v>43804</v>
      </c>
      <c r="H34" s="5">
        <v>12100.7</v>
      </c>
      <c r="I34" s="5">
        <v>12043.2</v>
      </c>
      <c r="J34" s="5">
        <v>-57.5</v>
      </c>
      <c r="K34" s="6">
        <v>-4.7517912186898284E-3</v>
      </c>
      <c r="L34" s="7" t="s">
        <v>34</v>
      </c>
      <c r="M34" s="91">
        <f>MROUND(H34,100)-100</f>
        <v>12000</v>
      </c>
      <c r="N34" s="91">
        <f>M34-O34</f>
        <v>0</v>
      </c>
      <c r="O34" s="4">
        <v>12000</v>
      </c>
      <c r="P34" s="7" t="s">
        <v>95</v>
      </c>
      <c r="Q34" s="4">
        <v>65</v>
      </c>
      <c r="R34" s="4">
        <v>158</v>
      </c>
      <c r="S34" s="5">
        <v>62.7</v>
      </c>
      <c r="T34" s="8">
        <v>-0.18590000000000001</v>
      </c>
      <c r="U34" s="8">
        <v>1.1685000000000001</v>
      </c>
      <c r="V34" s="5">
        <v>95.3</v>
      </c>
      <c r="W34" s="6">
        <v>7.8755774459328791E-3</v>
      </c>
      <c r="X34" s="4">
        <v>0</v>
      </c>
      <c r="Y34" s="6">
        <v>0</v>
      </c>
      <c r="Z34" s="5">
        <v>17042.95</v>
      </c>
      <c r="AA34" s="5">
        <v>17010.650000000001</v>
      </c>
      <c r="AB34" s="5">
        <v>-32.299999999999997</v>
      </c>
      <c r="AC34" s="5">
        <v>-0.1895</v>
      </c>
      <c r="AD34" s="4">
        <v>7</v>
      </c>
      <c r="AE34" s="5">
        <v>-0.11666700000000001</v>
      </c>
      <c r="AF34" s="5">
        <v>-52.183399999999999</v>
      </c>
      <c r="AG34" s="5">
        <v>-0.30620000000000003</v>
      </c>
      <c r="AH34" s="8">
        <v>-1.3818999999999999</v>
      </c>
      <c r="AI34" s="8">
        <v>1.6976</v>
      </c>
      <c r="AJ34" s="15">
        <v>43.116599999999998</v>
      </c>
      <c r="AK34" s="15">
        <v>0.48139999999999999</v>
      </c>
      <c r="AL34" s="5">
        <v>102.1879</v>
      </c>
      <c r="AM34" s="5">
        <v>102.6198</v>
      </c>
      <c r="AN34" s="5">
        <v>-0.432</v>
      </c>
      <c r="AO34" s="5">
        <v>-0.42099999999999999</v>
      </c>
      <c r="AP34" s="8">
        <v>1.3674999999999999</v>
      </c>
      <c r="AQ34" s="8">
        <v>-0.35260000000000002</v>
      </c>
      <c r="AR34" s="8">
        <v>-0.35260000000000002</v>
      </c>
      <c r="AS34" s="5">
        <v>101.33969999999999</v>
      </c>
      <c r="AT34" s="5">
        <v>-1.2475000000000001</v>
      </c>
      <c r="AU34" s="7" t="s">
        <v>96</v>
      </c>
      <c r="AV34" s="7"/>
    </row>
    <row r="35" spans="1:48" ht="18" customHeight="1" x14ac:dyDescent="0.25">
      <c r="A35" s="10">
        <v>17</v>
      </c>
      <c r="B35" s="10">
        <v>2</v>
      </c>
      <c r="C35" s="10">
        <v>17</v>
      </c>
      <c r="D35" s="86">
        <v>43796</v>
      </c>
      <c r="E35" s="86">
        <v>43803</v>
      </c>
      <c r="F35" s="88" t="b">
        <f t="shared" si="0"/>
        <v>1</v>
      </c>
      <c r="G35" s="86">
        <v>44007</v>
      </c>
      <c r="H35" s="11">
        <v>12100.7</v>
      </c>
      <c r="I35" s="11">
        <v>12043.2</v>
      </c>
      <c r="J35" s="12"/>
      <c r="K35" s="12"/>
      <c r="L35" s="12" t="s">
        <v>44</v>
      </c>
      <c r="M35" s="90"/>
      <c r="N35" s="90"/>
      <c r="O35" s="10">
        <v>9400</v>
      </c>
      <c r="P35" s="12" t="s">
        <v>97</v>
      </c>
      <c r="Q35" s="10">
        <v>65</v>
      </c>
      <c r="R35" s="10">
        <v>18</v>
      </c>
      <c r="S35" s="10">
        <v>18</v>
      </c>
      <c r="T35" s="13">
        <v>-0.14419999999999999</v>
      </c>
      <c r="U35" s="13">
        <v>-0.13919999999999999</v>
      </c>
      <c r="V35" s="10">
        <v>0</v>
      </c>
      <c r="W35" s="14">
        <v>0</v>
      </c>
      <c r="X35" s="10">
        <v>0</v>
      </c>
      <c r="Y35" s="14">
        <v>0</v>
      </c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 t="s">
        <v>96</v>
      </c>
      <c r="AV35" s="12" t="s">
        <v>100</v>
      </c>
    </row>
    <row r="36" spans="1:48" ht="18" customHeight="1" x14ac:dyDescent="0.25">
      <c r="A36" s="4">
        <v>18</v>
      </c>
      <c r="B36" s="4">
        <v>1</v>
      </c>
      <c r="C36" s="4">
        <v>18</v>
      </c>
      <c r="D36" s="85">
        <v>43803</v>
      </c>
      <c r="E36" s="85">
        <v>43810</v>
      </c>
      <c r="F36" s="88" t="b">
        <f t="shared" si="0"/>
        <v>1</v>
      </c>
      <c r="G36" s="85">
        <v>43811</v>
      </c>
      <c r="H36" s="5">
        <v>12043.2</v>
      </c>
      <c r="I36" s="5">
        <v>11910.15</v>
      </c>
      <c r="J36" s="5">
        <v>-133.05000000000001</v>
      </c>
      <c r="K36" s="6">
        <v>-1.104772817855719E-2</v>
      </c>
      <c r="L36" s="7" t="s">
        <v>34</v>
      </c>
      <c r="M36" s="91">
        <f>MROUND(H36,100)-100</f>
        <v>11900</v>
      </c>
      <c r="N36" s="91">
        <f>M36-O36</f>
        <v>0</v>
      </c>
      <c r="O36" s="4">
        <v>11900</v>
      </c>
      <c r="P36" s="7" t="s">
        <v>95</v>
      </c>
      <c r="Q36" s="4">
        <v>65</v>
      </c>
      <c r="R36" s="5">
        <v>185.4</v>
      </c>
      <c r="S36" s="5">
        <v>35.35</v>
      </c>
      <c r="T36" s="8">
        <v>-0.1744</v>
      </c>
      <c r="U36" s="8">
        <v>1.4302999999999999</v>
      </c>
      <c r="V36" s="5">
        <v>150.05000000000001</v>
      </c>
      <c r="W36" s="6">
        <v>1.245931313936495E-2</v>
      </c>
      <c r="X36" s="4">
        <v>0</v>
      </c>
      <c r="Y36" s="6">
        <v>0</v>
      </c>
      <c r="Z36" s="5">
        <v>17010.650000000001</v>
      </c>
      <c r="AA36" s="5">
        <v>16635.8</v>
      </c>
      <c r="AB36" s="5">
        <v>-374.85</v>
      </c>
      <c r="AC36" s="5">
        <v>-2.2035999999999998</v>
      </c>
      <c r="AD36" s="4">
        <v>7</v>
      </c>
      <c r="AE36" s="5">
        <v>-0.11666700000000001</v>
      </c>
      <c r="AF36" s="5">
        <v>-394.69580000000002</v>
      </c>
      <c r="AG36" s="5">
        <v>-2.3203</v>
      </c>
      <c r="AH36" s="8">
        <v>-3.2166000000000001</v>
      </c>
      <c r="AI36" s="8">
        <v>0.28050000000000003</v>
      </c>
      <c r="AJ36" s="9">
        <v>-209.4958</v>
      </c>
      <c r="AK36" s="9">
        <v>-0.78249999999999997</v>
      </c>
      <c r="AL36" s="5">
        <v>101.3882</v>
      </c>
      <c r="AM36" s="5">
        <v>102.6198</v>
      </c>
      <c r="AN36" s="5">
        <v>-1.2316</v>
      </c>
      <c r="AO36" s="5">
        <v>-1.2001999999999999</v>
      </c>
      <c r="AP36" s="8">
        <v>-0.54610000000000003</v>
      </c>
      <c r="AQ36" s="8">
        <v>-1.472</v>
      </c>
      <c r="AR36" s="8">
        <v>-1.472</v>
      </c>
      <c r="AS36" s="5">
        <v>100.6837</v>
      </c>
      <c r="AT36" s="5">
        <v>-1.8868</v>
      </c>
      <c r="AU36" s="7" t="s">
        <v>96</v>
      </c>
      <c r="AV36" s="7"/>
    </row>
    <row r="37" spans="1:48" ht="18" customHeight="1" x14ac:dyDescent="0.25">
      <c r="A37" s="10">
        <v>18</v>
      </c>
      <c r="B37" s="10">
        <v>2</v>
      </c>
      <c r="C37" s="10">
        <v>18</v>
      </c>
      <c r="D37" s="86">
        <v>43803</v>
      </c>
      <c r="E37" s="86">
        <v>43810</v>
      </c>
      <c r="F37" s="88" t="b">
        <f t="shared" si="0"/>
        <v>1</v>
      </c>
      <c r="G37" s="86">
        <v>44007</v>
      </c>
      <c r="H37" s="11">
        <v>12043.2</v>
      </c>
      <c r="I37" s="11">
        <v>11910.15</v>
      </c>
      <c r="J37" s="12"/>
      <c r="K37" s="12"/>
      <c r="L37" s="12" t="s">
        <v>44</v>
      </c>
      <c r="M37" s="90"/>
      <c r="N37" s="90"/>
      <c r="O37" s="10">
        <v>11500</v>
      </c>
      <c r="P37" s="12" t="s">
        <v>97</v>
      </c>
      <c r="Q37" s="10">
        <v>65</v>
      </c>
      <c r="R37" s="11">
        <v>234.85</v>
      </c>
      <c r="S37" s="10">
        <v>270</v>
      </c>
      <c r="T37" s="13">
        <v>-0.6522</v>
      </c>
      <c r="U37" s="13">
        <v>0.31430000000000002</v>
      </c>
      <c r="V37" s="10">
        <v>0</v>
      </c>
      <c r="W37" s="14">
        <v>0</v>
      </c>
      <c r="X37" s="11">
        <v>35.15</v>
      </c>
      <c r="Y37" s="14">
        <v>2.9186594924936892E-3</v>
      </c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 t="s">
        <v>96</v>
      </c>
      <c r="AV37" s="12" t="s">
        <v>101</v>
      </c>
    </row>
    <row r="38" spans="1:48" ht="18" customHeight="1" x14ac:dyDescent="0.25">
      <c r="A38" s="4">
        <v>19</v>
      </c>
      <c r="B38" s="4">
        <v>1</v>
      </c>
      <c r="C38" s="4">
        <v>19</v>
      </c>
      <c r="D38" s="85">
        <v>43810</v>
      </c>
      <c r="E38" s="85">
        <v>43816</v>
      </c>
      <c r="F38" s="88" t="b">
        <f t="shared" si="0"/>
        <v>1</v>
      </c>
      <c r="G38" s="85">
        <v>43818</v>
      </c>
      <c r="H38" s="5">
        <v>11910.15</v>
      </c>
      <c r="I38" s="4">
        <v>12165</v>
      </c>
      <c r="J38" s="5">
        <v>254.85</v>
      </c>
      <c r="K38" s="6">
        <v>2.1397715394012671E-2</v>
      </c>
      <c r="L38" s="7" t="s">
        <v>34</v>
      </c>
      <c r="M38" s="91">
        <f>MROUND(H38,100)-100</f>
        <v>11800</v>
      </c>
      <c r="N38" s="91">
        <f>M38-O38</f>
        <v>0</v>
      </c>
      <c r="O38" s="4">
        <v>11800</v>
      </c>
      <c r="P38" s="7" t="s">
        <v>95</v>
      </c>
      <c r="Q38" s="4">
        <v>65</v>
      </c>
      <c r="R38" s="4">
        <v>154</v>
      </c>
      <c r="S38" s="5">
        <v>360.4</v>
      </c>
      <c r="T38" s="8">
        <v>-1.8581000000000001</v>
      </c>
      <c r="U38" s="8">
        <v>-0.15740000000000001</v>
      </c>
      <c r="V38" s="5">
        <v>-206.4</v>
      </c>
      <c r="W38" s="6">
        <v>-1.732975655218448E-2</v>
      </c>
      <c r="X38" s="4">
        <v>0</v>
      </c>
      <c r="Y38" s="6">
        <v>0</v>
      </c>
      <c r="Z38" s="5">
        <v>16635.8</v>
      </c>
      <c r="AA38" s="5">
        <v>16938.95</v>
      </c>
      <c r="AB38" s="5">
        <v>303.14999999999998</v>
      </c>
      <c r="AC38" s="5">
        <v>1.8223</v>
      </c>
      <c r="AD38" s="4">
        <v>6</v>
      </c>
      <c r="AE38" s="5">
        <v>-0.1</v>
      </c>
      <c r="AF38" s="5">
        <v>286.51420000000002</v>
      </c>
      <c r="AG38" s="5">
        <v>1.7222999999999999</v>
      </c>
      <c r="AH38" s="8">
        <v>0.22109999999999999</v>
      </c>
      <c r="AI38" s="8">
        <v>2.0859000000000001</v>
      </c>
      <c r="AJ38" s="15">
        <v>7.6142000000000003</v>
      </c>
      <c r="AK38" s="15">
        <v>-0.61939999999999995</v>
      </c>
      <c r="AL38" s="5">
        <v>100.7602</v>
      </c>
      <c r="AM38" s="5">
        <v>102.6198</v>
      </c>
      <c r="AN38" s="5">
        <v>-1.8595999999999999</v>
      </c>
      <c r="AO38" s="5">
        <v>-1.8121</v>
      </c>
      <c r="AP38" s="8">
        <v>-1.2218</v>
      </c>
      <c r="AQ38" s="8">
        <v>-0.31409999999999999</v>
      </c>
      <c r="AR38" s="8">
        <v>-1.2218</v>
      </c>
      <c r="AS38" s="5">
        <v>100.1495</v>
      </c>
      <c r="AT38" s="5">
        <v>-2.4073000000000002</v>
      </c>
      <c r="AU38" s="7" t="s">
        <v>102</v>
      </c>
      <c r="AV38" s="7"/>
    </row>
    <row r="39" spans="1:48" ht="18" customHeight="1" x14ac:dyDescent="0.25">
      <c r="A39" s="10">
        <v>19</v>
      </c>
      <c r="B39" s="10">
        <v>2</v>
      </c>
      <c r="C39" s="10">
        <v>19</v>
      </c>
      <c r="D39" s="86">
        <v>43810</v>
      </c>
      <c r="E39" s="86">
        <v>43816</v>
      </c>
      <c r="F39" s="88" t="b">
        <f t="shared" si="0"/>
        <v>1</v>
      </c>
      <c r="G39" s="86">
        <v>44007</v>
      </c>
      <c r="H39" s="11">
        <v>11910.15</v>
      </c>
      <c r="I39" s="10">
        <v>12165</v>
      </c>
      <c r="J39" s="12"/>
      <c r="K39" s="12"/>
      <c r="L39" s="12" t="s">
        <v>44</v>
      </c>
      <c r="M39" s="90"/>
      <c r="N39" s="90"/>
      <c r="O39" s="10">
        <v>11500</v>
      </c>
      <c r="P39" s="12" t="s">
        <v>97</v>
      </c>
      <c r="Q39" s="10">
        <v>65</v>
      </c>
      <c r="R39" s="10">
        <v>270</v>
      </c>
      <c r="S39" s="11">
        <v>197.5</v>
      </c>
      <c r="T39" s="13">
        <v>-1.4496</v>
      </c>
      <c r="U39" s="13">
        <v>-0.37780000000000002</v>
      </c>
      <c r="V39" s="10">
        <v>0</v>
      </c>
      <c r="W39" s="14">
        <v>0</v>
      </c>
      <c r="X39" s="11">
        <v>-72.5</v>
      </c>
      <c r="Y39" s="14">
        <v>-6.087244912952398E-3</v>
      </c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 t="s">
        <v>102</v>
      </c>
      <c r="AV39" s="12"/>
    </row>
    <row r="40" spans="1:48" ht="18" customHeight="1" x14ac:dyDescent="0.25">
      <c r="A40" s="4">
        <v>20</v>
      </c>
      <c r="B40" s="4">
        <v>1</v>
      </c>
      <c r="C40" s="4">
        <v>20</v>
      </c>
      <c r="D40" s="85">
        <v>43816</v>
      </c>
      <c r="E40" s="85">
        <v>43817</v>
      </c>
      <c r="F40" s="88" t="b">
        <f t="shared" si="0"/>
        <v>1</v>
      </c>
      <c r="G40" s="85">
        <v>43818</v>
      </c>
      <c r="H40" s="4">
        <v>12165</v>
      </c>
      <c r="I40" s="5">
        <v>12221.65</v>
      </c>
      <c r="J40" s="5">
        <v>56.65</v>
      </c>
      <c r="K40" s="6">
        <v>4.6568023016851619E-3</v>
      </c>
      <c r="L40" s="7" t="s">
        <v>34</v>
      </c>
      <c r="M40" s="91">
        <f>MROUND(H40,100)-100</f>
        <v>12100</v>
      </c>
      <c r="N40" s="91">
        <f>M40-O40</f>
        <v>0</v>
      </c>
      <c r="O40" s="4">
        <v>12100</v>
      </c>
      <c r="P40" s="7" t="s">
        <v>95</v>
      </c>
      <c r="Q40" s="4">
        <v>65</v>
      </c>
      <c r="R40" s="5">
        <v>81.05</v>
      </c>
      <c r="S40" s="5">
        <v>126.25</v>
      </c>
      <c r="T40" s="8">
        <v>-0.45700000000000002</v>
      </c>
      <c r="U40" s="8">
        <v>9.9900000000000003E-2</v>
      </c>
      <c r="V40" s="5">
        <v>-45.2</v>
      </c>
      <c r="W40" s="6">
        <v>-3.7155774763666261E-3</v>
      </c>
      <c r="X40" s="4">
        <v>0</v>
      </c>
      <c r="Y40" s="6">
        <v>0</v>
      </c>
      <c r="Z40" s="5">
        <v>16938.95</v>
      </c>
      <c r="AA40" s="5">
        <v>16892.75</v>
      </c>
      <c r="AB40" s="5">
        <v>-46.2</v>
      </c>
      <c r="AC40" s="5">
        <v>-0.2727</v>
      </c>
      <c r="AD40" s="4">
        <v>1</v>
      </c>
      <c r="AE40" s="5">
        <v>-1.6667000000000001E-2</v>
      </c>
      <c r="AF40" s="5">
        <v>-49.023200000000003</v>
      </c>
      <c r="AG40" s="5">
        <v>-0.28939999999999999</v>
      </c>
      <c r="AH40" s="8">
        <v>-0.67830000000000001</v>
      </c>
      <c r="AI40" s="8">
        <v>0.21529999999999999</v>
      </c>
      <c r="AJ40" s="9">
        <v>-101.8232</v>
      </c>
      <c r="AK40" s="9">
        <v>-0.72340000000000004</v>
      </c>
      <c r="AL40" s="5">
        <v>100.0313</v>
      </c>
      <c r="AM40" s="5">
        <v>102.6198</v>
      </c>
      <c r="AN40" s="5">
        <v>-2.5884999999999998</v>
      </c>
      <c r="AO40" s="5">
        <v>-2.5224000000000002</v>
      </c>
      <c r="AP40" s="8">
        <v>-0.30420000000000003</v>
      </c>
      <c r="AQ40" s="8">
        <v>-0.64090000000000003</v>
      </c>
      <c r="AR40" s="8">
        <v>-0.72340000000000004</v>
      </c>
      <c r="AS40" s="5">
        <v>100.0313</v>
      </c>
      <c r="AT40" s="5">
        <v>-2.5224000000000002</v>
      </c>
      <c r="AU40" s="7" t="s">
        <v>96</v>
      </c>
      <c r="AV40" s="7"/>
    </row>
    <row r="41" spans="1:48" ht="18" customHeight="1" x14ac:dyDescent="0.25">
      <c r="A41" s="10">
        <v>20</v>
      </c>
      <c r="B41" s="10">
        <v>2</v>
      </c>
      <c r="C41" s="10">
        <v>20</v>
      </c>
      <c r="D41" s="86">
        <v>43816</v>
      </c>
      <c r="E41" s="86">
        <v>43817</v>
      </c>
      <c r="F41" s="88" t="b">
        <f t="shared" si="0"/>
        <v>1</v>
      </c>
      <c r="G41" s="86">
        <v>44007</v>
      </c>
      <c r="H41" s="10">
        <v>12165</v>
      </c>
      <c r="I41" s="11">
        <v>12221.65</v>
      </c>
      <c r="J41" s="12"/>
      <c r="K41" s="12"/>
      <c r="L41" s="12" t="s">
        <v>44</v>
      </c>
      <c r="M41" s="90"/>
      <c r="N41" s="90"/>
      <c r="O41" s="10">
        <v>11500</v>
      </c>
      <c r="P41" s="12" t="s">
        <v>97</v>
      </c>
      <c r="Q41" s="10">
        <v>65</v>
      </c>
      <c r="R41" s="11">
        <v>197.5</v>
      </c>
      <c r="S41" s="11">
        <v>189.9</v>
      </c>
      <c r="T41" s="13">
        <v>-6.25E-2</v>
      </c>
      <c r="U41" s="13">
        <v>-6.25E-2</v>
      </c>
      <c r="V41" s="10">
        <v>0</v>
      </c>
      <c r="W41" s="14">
        <v>0</v>
      </c>
      <c r="X41" s="11">
        <v>-7.6</v>
      </c>
      <c r="Y41" s="14">
        <v>-6.2474311549527326E-4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 t="s">
        <v>96</v>
      </c>
      <c r="AV41" s="12"/>
    </row>
    <row r="42" spans="1:48" ht="18" customHeight="1" x14ac:dyDescent="0.25">
      <c r="A42" s="4">
        <v>21</v>
      </c>
      <c r="B42" s="4">
        <v>1</v>
      </c>
      <c r="C42" s="4">
        <v>21</v>
      </c>
      <c r="D42" s="85">
        <v>43817</v>
      </c>
      <c r="E42" s="85">
        <v>43823</v>
      </c>
      <c r="F42" s="88" t="b">
        <f t="shared" si="0"/>
        <v>1</v>
      </c>
      <c r="G42" s="85">
        <v>43825</v>
      </c>
      <c r="H42" s="5">
        <v>12221.65</v>
      </c>
      <c r="I42" s="5">
        <v>12214.55</v>
      </c>
      <c r="J42" s="5">
        <v>-7.1</v>
      </c>
      <c r="K42" s="6">
        <v>-5.8093628928990767E-4</v>
      </c>
      <c r="L42" s="7" t="s">
        <v>34</v>
      </c>
      <c r="M42" s="91">
        <f>MROUND(H42,100)-100</f>
        <v>12100</v>
      </c>
      <c r="N42" s="91">
        <f>M42-O42</f>
        <v>0</v>
      </c>
      <c r="O42" s="4">
        <v>12100</v>
      </c>
      <c r="P42" s="7" t="s">
        <v>95</v>
      </c>
      <c r="Q42" s="4">
        <v>65</v>
      </c>
      <c r="R42" s="5">
        <v>173.25</v>
      </c>
      <c r="S42" s="5">
        <v>140.80000000000001</v>
      </c>
      <c r="T42" s="8">
        <v>-0.51670000000000005</v>
      </c>
      <c r="U42" s="8">
        <v>0.33750000000000002</v>
      </c>
      <c r="V42" s="5">
        <v>32.450000000000003</v>
      </c>
      <c r="W42" s="6">
        <v>2.655124308092607E-3</v>
      </c>
      <c r="X42" s="4">
        <v>0</v>
      </c>
      <c r="Y42" s="6">
        <v>0</v>
      </c>
      <c r="Z42" s="5">
        <v>16892.75</v>
      </c>
      <c r="AA42" s="5">
        <v>16852.05</v>
      </c>
      <c r="AB42" s="5">
        <v>-40.700000000000003</v>
      </c>
      <c r="AC42" s="5">
        <v>-0.2409</v>
      </c>
      <c r="AD42" s="4">
        <v>6</v>
      </c>
      <c r="AE42" s="5">
        <v>-0.1</v>
      </c>
      <c r="AF42" s="5">
        <v>-57.592799999999997</v>
      </c>
      <c r="AG42" s="5">
        <v>-0.34089999999999998</v>
      </c>
      <c r="AH42" s="8">
        <v>-0.45650000000000002</v>
      </c>
      <c r="AI42" s="8">
        <v>0.4612</v>
      </c>
      <c r="AJ42" s="9">
        <v>-65.0428</v>
      </c>
      <c r="AK42" s="9">
        <v>-0.40189999999999998</v>
      </c>
      <c r="AL42" s="5">
        <v>99.629300000000001</v>
      </c>
      <c r="AM42" s="5">
        <v>102.6198</v>
      </c>
      <c r="AN42" s="5">
        <v>-2.9904999999999999</v>
      </c>
      <c r="AO42" s="5">
        <v>-2.9142000000000001</v>
      </c>
      <c r="AP42" s="8">
        <v>-0.38200000000000001</v>
      </c>
      <c r="AQ42" s="8">
        <v>-0.2409</v>
      </c>
      <c r="AR42" s="8">
        <v>-0.40189999999999998</v>
      </c>
      <c r="AS42" s="5">
        <v>99.629300000000001</v>
      </c>
      <c r="AT42" s="5">
        <v>-2.9142000000000001</v>
      </c>
      <c r="AU42" s="7" t="s">
        <v>96</v>
      </c>
      <c r="AV42" s="7"/>
    </row>
    <row r="43" spans="1:48" ht="18" customHeight="1" x14ac:dyDescent="0.25">
      <c r="A43" s="10">
        <v>21</v>
      </c>
      <c r="B43" s="10">
        <v>2</v>
      </c>
      <c r="C43" s="10">
        <v>21</v>
      </c>
      <c r="D43" s="86">
        <v>43817</v>
      </c>
      <c r="E43" s="86">
        <v>43823</v>
      </c>
      <c r="F43" s="88" t="b">
        <f t="shared" si="0"/>
        <v>1</v>
      </c>
      <c r="G43" s="86">
        <v>44007</v>
      </c>
      <c r="H43" s="11">
        <v>12221.65</v>
      </c>
      <c r="I43" s="11">
        <v>12214.55</v>
      </c>
      <c r="J43" s="12"/>
      <c r="K43" s="12"/>
      <c r="L43" s="12" t="s">
        <v>44</v>
      </c>
      <c r="M43" s="90"/>
      <c r="N43" s="90"/>
      <c r="O43" s="10">
        <v>11500</v>
      </c>
      <c r="P43" s="12" t="s">
        <v>97</v>
      </c>
      <c r="Q43" s="10">
        <v>65</v>
      </c>
      <c r="R43" s="11">
        <v>189.9</v>
      </c>
      <c r="S43" s="10">
        <v>150</v>
      </c>
      <c r="T43" s="13">
        <v>-0.32650000000000001</v>
      </c>
      <c r="U43" s="13">
        <v>-0.12189999999999999</v>
      </c>
      <c r="V43" s="10">
        <v>0</v>
      </c>
      <c r="W43" s="14">
        <v>0</v>
      </c>
      <c r="X43" s="11">
        <v>-39.9</v>
      </c>
      <c r="Y43" s="14">
        <v>-3.2646983017841288E-3</v>
      </c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 t="s">
        <v>96</v>
      </c>
      <c r="AV43" s="12"/>
    </row>
    <row r="44" spans="1:48" ht="18" customHeight="1" x14ac:dyDescent="0.25">
      <c r="A44" s="4">
        <v>22</v>
      </c>
      <c r="B44" s="4">
        <v>1</v>
      </c>
      <c r="C44" s="4">
        <v>22</v>
      </c>
      <c r="D44" s="85">
        <v>43823</v>
      </c>
      <c r="E44" s="85">
        <v>43831</v>
      </c>
      <c r="F44" s="88" t="b">
        <f t="shared" si="0"/>
        <v>1</v>
      </c>
      <c r="G44" s="85">
        <v>43832</v>
      </c>
      <c r="H44" s="5">
        <v>12214.55</v>
      </c>
      <c r="I44" s="5">
        <v>12182.5</v>
      </c>
      <c r="J44" s="5">
        <v>-32.049999999999997</v>
      </c>
      <c r="K44" s="6">
        <v>-2.6239198333135481E-3</v>
      </c>
      <c r="L44" s="7" t="s">
        <v>34</v>
      </c>
      <c r="M44" s="91">
        <f>MROUND(H44,100)-100</f>
        <v>12100</v>
      </c>
      <c r="N44" s="91">
        <f>M44-O44</f>
        <v>0</v>
      </c>
      <c r="O44" s="4">
        <v>12100</v>
      </c>
      <c r="P44" s="7" t="s">
        <v>95</v>
      </c>
      <c r="Q44" s="4">
        <v>65</v>
      </c>
      <c r="R44" s="5">
        <v>166.3</v>
      </c>
      <c r="S44" s="5">
        <v>95.6</v>
      </c>
      <c r="T44" s="8">
        <v>-0.24399999999999999</v>
      </c>
      <c r="U44" s="8">
        <v>0.69140000000000001</v>
      </c>
      <c r="V44" s="5">
        <v>70.7</v>
      </c>
      <c r="W44" s="6">
        <v>5.7881788522704484E-3</v>
      </c>
      <c r="X44" s="4">
        <v>0</v>
      </c>
      <c r="Y44" s="6">
        <v>0</v>
      </c>
      <c r="Z44" s="5">
        <v>16852.05</v>
      </c>
      <c r="AA44" s="5">
        <v>17143.25</v>
      </c>
      <c r="AB44" s="5">
        <v>291.2</v>
      </c>
      <c r="AC44" s="5">
        <v>1.728</v>
      </c>
      <c r="AD44" s="4">
        <v>8</v>
      </c>
      <c r="AE44" s="5">
        <v>-0.13333300000000001</v>
      </c>
      <c r="AF44" s="5">
        <v>268.73059999999998</v>
      </c>
      <c r="AG44" s="5">
        <v>1.5946</v>
      </c>
      <c r="AH44" s="8">
        <v>-0.1018</v>
      </c>
      <c r="AI44" s="8">
        <v>1.7827999999999999</v>
      </c>
      <c r="AJ44" s="15">
        <v>316.63060000000002</v>
      </c>
      <c r="AK44" s="15">
        <v>1.9867999999999999</v>
      </c>
      <c r="AL44" s="5">
        <v>101.6087</v>
      </c>
      <c r="AM44" s="5">
        <v>102.6198</v>
      </c>
      <c r="AN44" s="5">
        <v>-1.0111000000000001</v>
      </c>
      <c r="AO44" s="5">
        <v>-0.98529999999999995</v>
      </c>
      <c r="AP44" s="8">
        <v>0.92849999999999999</v>
      </c>
      <c r="AQ44" s="8">
        <v>0.5081</v>
      </c>
      <c r="AR44" s="8">
        <v>0.5081</v>
      </c>
      <c r="AS44" s="5">
        <v>100.13549999999999</v>
      </c>
      <c r="AT44" s="5">
        <v>-2.4209000000000001</v>
      </c>
      <c r="AU44" s="7" t="s">
        <v>96</v>
      </c>
      <c r="AV44" s="7"/>
    </row>
    <row r="45" spans="1:48" ht="18" customHeight="1" x14ac:dyDescent="0.25">
      <c r="A45" s="10">
        <v>22</v>
      </c>
      <c r="B45" s="10">
        <v>2</v>
      </c>
      <c r="C45" s="10">
        <v>22</v>
      </c>
      <c r="D45" s="86">
        <v>43823</v>
      </c>
      <c r="E45" s="86">
        <v>43831</v>
      </c>
      <c r="F45" s="88" t="b">
        <f t="shared" si="0"/>
        <v>1</v>
      </c>
      <c r="G45" s="86">
        <v>44007</v>
      </c>
      <c r="H45" s="11">
        <v>12214.55</v>
      </c>
      <c r="I45" s="11">
        <v>12182.5</v>
      </c>
      <c r="J45" s="12"/>
      <c r="K45" s="12"/>
      <c r="L45" s="12" t="s">
        <v>44</v>
      </c>
      <c r="M45" s="90"/>
      <c r="N45" s="90"/>
      <c r="O45" s="10">
        <v>11500</v>
      </c>
      <c r="P45" s="12" t="s">
        <v>97</v>
      </c>
      <c r="Q45" s="10">
        <v>65</v>
      </c>
      <c r="R45" s="10">
        <v>150</v>
      </c>
      <c r="S45" s="11">
        <v>127.2</v>
      </c>
      <c r="T45" s="13">
        <v>-0.61029999999999995</v>
      </c>
      <c r="U45" s="13">
        <v>-8.1500000000000003E-2</v>
      </c>
      <c r="V45" s="10">
        <v>0</v>
      </c>
      <c r="W45" s="14">
        <v>0</v>
      </c>
      <c r="X45" s="11">
        <v>-22.8</v>
      </c>
      <c r="Y45" s="14">
        <v>-1.866626277677033E-3</v>
      </c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 t="s">
        <v>96</v>
      </c>
      <c r="AV45" s="12"/>
    </row>
    <row r="46" spans="1:48" ht="18" customHeight="1" x14ac:dyDescent="0.25">
      <c r="A46" s="4">
        <v>23</v>
      </c>
      <c r="B46" s="4">
        <v>1</v>
      </c>
      <c r="C46" s="4">
        <v>23</v>
      </c>
      <c r="D46" s="85">
        <v>43831</v>
      </c>
      <c r="E46" s="85">
        <v>43838</v>
      </c>
      <c r="F46" s="88" t="b">
        <f t="shared" si="0"/>
        <v>1</v>
      </c>
      <c r="G46" s="85">
        <v>43839</v>
      </c>
      <c r="H46" s="5">
        <v>12182.5</v>
      </c>
      <c r="I46" s="5">
        <v>12025.35</v>
      </c>
      <c r="J46" s="5">
        <v>-157.15</v>
      </c>
      <c r="K46" s="6">
        <v>-1.289965113892879E-2</v>
      </c>
      <c r="L46" s="7" t="s">
        <v>34</v>
      </c>
      <c r="M46" s="91">
        <f>MROUND(H46,100)-100</f>
        <v>12100</v>
      </c>
      <c r="N46" s="91">
        <f>M46-O46</f>
        <v>0</v>
      </c>
      <c r="O46" s="4">
        <v>12100</v>
      </c>
      <c r="P46" s="7" t="s">
        <v>95</v>
      </c>
      <c r="Q46" s="4">
        <v>65</v>
      </c>
      <c r="R46" s="4">
        <v>135</v>
      </c>
      <c r="S46" s="5">
        <v>15.3</v>
      </c>
      <c r="T46" s="8">
        <v>-0.64639999999999997</v>
      </c>
      <c r="U46" s="8">
        <v>1.0659000000000001</v>
      </c>
      <c r="V46" s="5">
        <v>119.7</v>
      </c>
      <c r="W46" s="6">
        <v>9.8255694643956497E-3</v>
      </c>
      <c r="X46" s="4">
        <v>0</v>
      </c>
      <c r="Y46" s="6">
        <v>0</v>
      </c>
      <c r="Z46" s="5">
        <v>17143.25</v>
      </c>
      <c r="AA46" s="5">
        <v>17074.3</v>
      </c>
      <c r="AB46" s="5">
        <v>-68.95</v>
      </c>
      <c r="AC46" s="5">
        <v>-0.4022</v>
      </c>
      <c r="AD46" s="4">
        <v>7</v>
      </c>
      <c r="AE46" s="5">
        <v>-0.11666700000000001</v>
      </c>
      <c r="AF46" s="5">
        <v>-88.950500000000005</v>
      </c>
      <c r="AG46" s="5">
        <v>-0.51890000000000003</v>
      </c>
      <c r="AH46" s="8">
        <v>-1.9891000000000001</v>
      </c>
      <c r="AI46" s="8">
        <v>1.5283</v>
      </c>
      <c r="AJ46" s="15">
        <v>95.749499999999998</v>
      </c>
      <c r="AK46" s="15">
        <v>0.99719999999999998</v>
      </c>
      <c r="AL46" s="5">
        <v>102.622</v>
      </c>
      <c r="AM46" s="5">
        <v>102.622</v>
      </c>
      <c r="AN46" s="4">
        <v>0</v>
      </c>
      <c r="AO46" s="4">
        <v>0</v>
      </c>
      <c r="AP46" s="8">
        <v>-0.1368</v>
      </c>
      <c r="AQ46" s="8">
        <v>-0.3896</v>
      </c>
      <c r="AR46" s="8">
        <v>-0.3896</v>
      </c>
      <c r="AS46" s="5">
        <v>101.2129</v>
      </c>
      <c r="AT46" s="5">
        <v>-1.371</v>
      </c>
      <c r="AU46" s="7" t="s">
        <v>96</v>
      </c>
      <c r="AV46" s="7"/>
    </row>
    <row r="47" spans="1:48" ht="18" customHeight="1" x14ac:dyDescent="0.25">
      <c r="A47" s="10">
        <v>23</v>
      </c>
      <c r="B47" s="10">
        <v>2</v>
      </c>
      <c r="C47" s="10">
        <v>23</v>
      </c>
      <c r="D47" s="86">
        <v>43831</v>
      </c>
      <c r="E47" s="86">
        <v>43838</v>
      </c>
      <c r="F47" s="88" t="b">
        <f t="shared" si="0"/>
        <v>1</v>
      </c>
      <c r="G47" s="86">
        <v>44007</v>
      </c>
      <c r="H47" s="11">
        <v>12182.5</v>
      </c>
      <c r="I47" s="11">
        <v>12025.35</v>
      </c>
      <c r="J47" s="12"/>
      <c r="K47" s="12"/>
      <c r="L47" s="12" t="s">
        <v>44</v>
      </c>
      <c r="M47" s="90"/>
      <c r="N47" s="90"/>
      <c r="O47" s="10">
        <v>12000</v>
      </c>
      <c r="P47" s="12" t="s">
        <v>97</v>
      </c>
      <c r="Q47" s="10">
        <v>65</v>
      </c>
      <c r="R47" s="10">
        <v>280</v>
      </c>
      <c r="S47" s="10">
        <v>345</v>
      </c>
      <c r="T47" s="13">
        <v>-1.0186999999999999</v>
      </c>
      <c r="U47" s="13">
        <v>0.53359999999999996</v>
      </c>
      <c r="V47" s="10">
        <v>0</v>
      </c>
      <c r="W47" s="14">
        <v>0</v>
      </c>
      <c r="X47" s="10">
        <v>65</v>
      </c>
      <c r="Y47" s="14">
        <v>5.3355222655448393E-3</v>
      </c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 t="s">
        <v>96</v>
      </c>
      <c r="AV47" s="12"/>
    </row>
    <row r="48" spans="1:48" ht="18" customHeight="1" x14ac:dyDescent="0.25">
      <c r="A48" s="4">
        <v>24</v>
      </c>
      <c r="B48" s="4">
        <v>1</v>
      </c>
      <c r="C48" s="4">
        <v>24</v>
      </c>
      <c r="D48" s="85">
        <v>43838</v>
      </c>
      <c r="E48" s="85">
        <v>43843</v>
      </c>
      <c r="F48" s="88" t="b">
        <f t="shared" si="0"/>
        <v>1</v>
      </c>
      <c r="G48" s="85">
        <v>43846</v>
      </c>
      <c r="H48" s="5">
        <v>12025.35</v>
      </c>
      <c r="I48" s="5">
        <v>12329.55</v>
      </c>
      <c r="J48" s="5">
        <v>304.2</v>
      </c>
      <c r="K48" s="6">
        <v>2.5296561014856112E-2</v>
      </c>
      <c r="L48" s="7" t="s">
        <v>34</v>
      </c>
      <c r="M48" s="91">
        <f>MROUND(H48,100)-100</f>
        <v>11900</v>
      </c>
      <c r="N48" s="91">
        <f>M48-O48</f>
        <v>0</v>
      </c>
      <c r="O48" s="4">
        <v>11900</v>
      </c>
      <c r="P48" s="7" t="s">
        <v>95</v>
      </c>
      <c r="Q48" s="4">
        <v>65</v>
      </c>
      <c r="R48" s="5">
        <v>200.85</v>
      </c>
      <c r="S48" s="4">
        <v>431</v>
      </c>
      <c r="T48" s="8">
        <v>-1.9796</v>
      </c>
      <c r="U48" s="8">
        <v>-0.6341</v>
      </c>
      <c r="V48" s="5">
        <v>-230.15</v>
      </c>
      <c r="W48" s="6">
        <v>-1.9138736086683549E-2</v>
      </c>
      <c r="X48" s="4">
        <v>0</v>
      </c>
      <c r="Y48" s="6">
        <v>0</v>
      </c>
      <c r="Z48" s="5">
        <v>17074.3</v>
      </c>
      <c r="AA48" s="5">
        <v>17527.5</v>
      </c>
      <c r="AB48" s="5">
        <v>453.2</v>
      </c>
      <c r="AC48" s="5">
        <v>2.6543000000000001</v>
      </c>
      <c r="AD48" s="4">
        <v>5</v>
      </c>
      <c r="AE48" s="5">
        <v>-8.3333000000000004E-2</v>
      </c>
      <c r="AF48" s="5">
        <v>438.97140000000002</v>
      </c>
      <c r="AG48" s="5">
        <v>2.5709</v>
      </c>
      <c r="AH48" s="8">
        <v>0.88429999999999997</v>
      </c>
      <c r="AI48" s="8">
        <v>2.6642000000000001</v>
      </c>
      <c r="AJ48" s="15">
        <v>157.62139999999999</v>
      </c>
      <c r="AK48" s="15">
        <v>0.23130000000000001</v>
      </c>
      <c r="AL48" s="5">
        <v>102.85939999999999</v>
      </c>
      <c r="AM48" s="5">
        <v>102.85939999999999</v>
      </c>
      <c r="AN48" s="4">
        <v>0</v>
      </c>
      <c r="AO48" s="4">
        <v>0</v>
      </c>
      <c r="AP48" s="8">
        <v>-0.3644</v>
      </c>
      <c r="AQ48" s="8">
        <v>-0.17560000000000001</v>
      </c>
      <c r="AR48" s="8">
        <v>-0.3644</v>
      </c>
      <c r="AS48" s="5">
        <v>102.248</v>
      </c>
      <c r="AT48" s="5">
        <v>-0.3644</v>
      </c>
      <c r="AU48" s="7" t="s">
        <v>102</v>
      </c>
      <c r="AV48" s="7"/>
    </row>
    <row r="49" spans="1:48" ht="18" customHeight="1" x14ac:dyDescent="0.25">
      <c r="A49" s="10">
        <v>24</v>
      </c>
      <c r="B49" s="10">
        <v>2</v>
      </c>
      <c r="C49" s="10">
        <v>24</v>
      </c>
      <c r="D49" s="86">
        <v>43838</v>
      </c>
      <c r="E49" s="86">
        <v>43843</v>
      </c>
      <c r="F49" s="88" t="b">
        <f t="shared" si="0"/>
        <v>1</v>
      </c>
      <c r="G49" s="86">
        <v>44007</v>
      </c>
      <c r="H49" s="11">
        <v>12025.35</v>
      </c>
      <c r="I49" s="11">
        <v>12329.55</v>
      </c>
      <c r="J49" s="12"/>
      <c r="K49" s="12"/>
      <c r="L49" s="12" t="s">
        <v>44</v>
      </c>
      <c r="M49" s="90"/>
      <c r="N49" s="90"/>
      <c r="O49" s="10">
        <v>12000</v>
      </c>
      <c r="P49" s="12" t="s">
        <v>97</v>
      </c>
      <c r="Q49" s="10">
        <v>65</v>
      </c>
      <c r="R49" s="10">
        <v>345</v>
      </c>
      <c r="S49" s="11">
        <v>293.8</v>
      </c>
      <c r="T49" s="13">
        <v>-1.0489999999999999</v>
      </c>
      <c r="U49" s="13">
        <v>-0.42580000000000001</v>
      </c>
      <c r="V49" s="10">
        <v>0</v>
      </c>
      <c r="W49" s="14">
        <v>0</v>
      </c>
      <c r="X49" s="11">
        <v>-51.2</v>
      </c>
      <c r="Y49" s="14">
        <v>-4.2576723338613844E-3</v>
      </c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 t="s">
        <v>102</v>
      </c>
      <c r="AV49" s="12"/>
    </row>
    <row r="50" spans="1:48" ht="18" customHeight="1" x14ac:dyDescent="0.25">
      <c r="A50" s="4">
        <v>25</v>
      </c>
      <c r="B50" s="4">
        <v>1</v>
      </c>
      <c r="C50" s="4">
        <v>25</v>
      </c>
      <c r="D50" s="85">
        <v>43843</v>
      </c>
      <c r="E50" s="85">
        <v>43845</v>
      </c>
      <c r="F50" s="88" t="b">
        <f t="shared" si="0"/>
        <v>1</v>
      </c>
      <c r="G50" s="85">
        <v>43846</v>
      </c>
      <c r="H50" s="5">
        <v>12329.55</v>
      </c>
      <c r="I50" s="5">
        <v>12343.3</v>
      </c>
      <c r="J50" s="5">
        <v>13.75</v>
      </c>
      <c r="K50" s="6">
        <v>1.115206962135682E-3</v>
      </c>
      <c r="L50" s="7" t="s">
        <v>34</v>
      </c>
      <c r="M50" s="91">
        <f>MROUND(H50,100)-100</f>
        <v>12200</v>
      </c>
      <c r="N50" s="91">
        <f>M50-O50</f>
        <v>0</v>
      </c>
      <c r="O50" s="4">
        <v>12200</v>
      </c>
      <c r="P50" s="7" t="s">
        <v>95</v>
      </c>
      <c r="Q50" s="4">
        <v>65</v>
      </c>
      <c r="R50" s="5">
        <v>146.19999999999999</v>
      </c>
      <c r="S50" s="5">
        <v>144.4</v>
      </c>
      <c r="T50" s="8">
        <v>-0.30499999999999999</v>
      </c>
      <c r="U50" s="8">
        <v>0.4461</v>
      </c>
      <c r="V50" s="5">
        <v>1.8</v>
      </c>
      <c r="W50" s="6">
        <v>1.4599072958867111E-4</v>
      </c>
      <c r="X50" s="4">
        <v>0</v>
      </c>
      <c r="Y50" s="6">
        <v>0</v>
      </c>
      <c r="Z50" s="5">
        <v>17527.5</v>
      </c>
      <c r="AA50" s="5">
        <v>17836.099999999999</v>
      </c>
      <c r="AB50" s="5">
        <v>308.60000000000002</v>
      </c>
      <c r="AC50" s="5">
        <v>1.7606999999999999</v>
      </c>
      <c r="AD50" s="4">
        <v>2</v>
      </c>
      <c r="AE50" s="5">
        <v>-3.3333000000000002E-2</v>
      </c>
      <c r="AF50" s="5">
        <v>302.75749999999999</v>
      </c>
      <c r="AG50" s="5">
        <v>1.7273000000000001</v>
      </c>
      <c r="AH50" s="8">
        <v>1.0999999999999999E-2</v>
      </c>
      <c r="AI50" s="8">
        <v>1.8206</v>
      </c>
      <c r="AJ50" s="15">
        <v>287.45749999999998</v>
      </c>
      <c r="AK50" s="15">
        <v>1.6032</v>
      </c>
      <c r="AL50" s="5">
        <v>104.50839999999999</v>
      </c>
      <c r="AM50" s="5">
        <v>104.50839999999999</v>
      </c>
      <c r="AN50" s="4">
        <v>0</v>
      </c>
      <c r="AO50" s="4">
        <v>0</v>
      </c>
      <c r="AP50" s="8">
        <v>1.3364</v>
      </c>
      <c r="AQ50" s="8">
        <v>0.4758</v>
      </c>
      <c r="AR50" s="8">
        <v>0.4758</v>
      </c>
      <c r="AS50" s="5">
        <v>103.3488</v>
      </c>
      <c r="AT50" s="5">
        <v>0.4758</v>
      </c>
      <c r="AU50" s="7" t="s">
        <v>96</v>
      </c>
      <c r="AV50" s="7"/>
    </row>
    <row r="51" spans="1:48" ht="18" customHeight="1" x14ac:dyDescent="0.25">
      <c r="A51" s="10">
        <v>25</v>
      </c>
      <c r="B51" s="10">
        <v>2</v>
      </c>
      <c r="C51" s="10">
        <v>25</v>
      </c>
      <c r="D51" s="86">
        <v>43843</v>
      </c>
      <c r="E51" s="86">
        <v>43845</v>
      </c>
      <c r="F51" s="88" t="b">
        <f t="shared" si="0"/>
        <v>1</v>
      </c>
      <c r="G51" s="86">
        <v>44007</v>
      </c>
      <c r="H51" s="11">
        <v>12329.55</v>
      </c>
      <c r="I51" s="11">
        <v>12343.3</v>
      </c>
      <c r="J51" s="12"/>
      <c r="K51" s="12"/>
      <c r="L51" s="12" t="s">
        <v>44</v>
      </c>
      <c r="M51" s="90"/>
      <c r="N51" s="90"/>
      <c r="O51" s="10">
        <v>11500</v>
      </c>
      <c r="P51" s="12" t="s">
        <v>97</v>
      </c>
      <c r="Q51" s="10">
        <v>65</v>
      </c>
      <c r="R51" s="11">
        <v>162.1</v>
      </c>
      <c r="S51" s="10">
        <v>145</v>
      </c>
      <c r="T51" s="13">
        <v>-0.1792</v>
      </c>
      <c r="U51" s="13">
        <v>1.8700000000000001E-2</v>
      </c>
      <c r="V51" s="10">
        <v>0</v>
      </c>
      <c r="W51" s="14">
        <v>0</v>
      </c>
      <c r="X51" s="11">
        <v>-17.100000000000001</v>
      </c>
      <c r="Y51" s="14">
        <v>-1.3869119310923759E-3</v>
      </c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 t="s">
        <v>96</v>
      </c>
      <c r="AV51" s="12" t="s">
        <v>101</v>
      </c>
    </row>
    <row r="52" spans="1:48" ht="18" customHeight="1" x14ac:dyDescent="0.25">
      <c r="A52" s="4">
        <v>26</v>
      </c>
      <c r="B52" s="4">
        <v>1</v>
      </c>
      <c r="C52" s="4">
        <v>26</v>
      </c>
      <c r="D52" s="85">
        <v>43845</v>
      </c>
      <c r="E52" s="85">
        <v>43852</v>
      </c>
      <c r="F52" s="88" t="b">
        <f t="shared" si="0"/>
        <v>1</v>
      </c>
      <c r="G52" s="85">
        <v>43853</v>
      </c>
      <c r="H52" s="5">
        <v>12343.3</v>
      </c>
      <c r="I52" s="5">
        <v>12106.9</v>
      </c>
      <c r="J52" s="5">
        <v>-236.4</v>
      </c>
      <c r="K52" s="6">
        <v>-1.9152090607860141E-2</v>
      </c>
      <c r="L52" s="7" t="s">
        <v>34</v>
      </c>
      <c r="M52" s="91">
        <f>MROUND(H52,100)-100</f>
        <v>12200</v>
      </c>
      <c r="N52" s="91">
        <f>M52-O52</f>
        <v>0</v>
      </c>
      <c r="O52" s="4">
        <v>12200</v>
      </c>
      <c r="P52" s="7" t="s">
        <v>95</v>
      </c>
      <c r="Q52" s="4">
        <v>65</v>
      </c>
      <c r="R52" s="4">
        <v>180</v>
      </c>
      <c r="S52" s="5">
        <v>10.65</v>
      </c>
      <c r="T52" s="8">
        <v>-0.33300000000000002</v>
      </c>
      <c r="U52" s="8">
        <v>1.3951</v>
      </c>
      <c r="V52" s="5">
        <v>169.35</v>
      </c>
      <c r="W52" s="6">
        <v>1.371999384281351E-2</v>
      </c>
      <c r="X52" s="4">
        <v>0</v>
      </c>
      <c r="Y52" s="6">
        <v>0</v>
      </c>
      <c r="Z52" s="5">
        <v>17836.099999999999</v>
      </c>
      <c r="AA52" s="4">
        <v>17931</v>
      </c>
      <c r="AB52" s="5">
        <v>94.9</v>
      </c>
      <c r="AC52" s="5">
        <v>0.53210000000000002</v>
      </c>
      <c r="AD52" s="4">
        <v>7</v>
      </c>
      <c r="AE52" s="5">
        <v>-0.11666700000000001</v>
      </c>
      <c r="AF52" s="5">
        <v>74.091200000000001</v>
      </c>
      <c r="AG52" s="5">
        <v>0.41539999999999999</v>
      </c>
      <c r="AH52" s="8">
        <v>0.2054</v>
      </c>
      <c r="AI52" s="8">
        <v>1.6007</v>
      </c>
      <c r="AJ52" s="15">
        <v>268.64120000000003</v>
      </c>
      <c r="AK52" s="15">
        <v>1.9916</v>
      </c>
      <c r="AL52" s="5">
        <v>106.5898</v>
      </c>
      <c r="AM52" s="5">
        <v>106.5898</v>
      </c>
      <c r="AN52" s="4">
        <v>0</v>
      </c>
      <c r="AO52" s="4">
        <v>0</v>
      </c>
      <c r="AP52" s="8">
        <v>0.68920000000000003</v>
      </c>
      <c r="AQ52" s="8">
        <v>1.8434999999999999</v>
      </c>
      <c r="AR52" s="8">
        <v>0.68920000000000003</v>
      </c>
      <c r="AS52" s="5">
        <v>105.2287</v>
      </c>
      <c r="AT52" s="5">
        <v>0.68920000000000003</v>
      </c>
      <c r="AU52" s="7" t="s">
        <v>96</v>
      </c>
      <c r="AV52" s="7"/>
    </row>
    <row r="53" spans="1:48" ht="18" customHeight="1" x14ac:dyDescent="0.25">
      <c r="A53" s="10">
        <v>26</v>
      </c>
      <c r="B53" s="10">
        <v>2</v>
      </c>
      <c r="C53" s="10">
        <v>26</v>
      </c>
      <c r="D53" s="86">
        <v>43845</v>
      </c>
      <c r="E53" s="86">
        <v>43852</v>
      </c>
      <c r="F53" s="88" t="b">
        <f t="shared" si="0"/>
        <v>1</v>
      </c>
      <c r="G53" s="86">
        <v>44007</v>
      </c>
      <c r="H53" s="11">
        <v>12343.3</v>
      </c>
      <c r="I53" s="11">
        <v>12106.9</v>
      </c>
      <c r="J53" s="12"/>
      <c r="K53" s="12"/>
      <c r="L53" s="12" t="s">
        <v>44</v>
      </c>
      <c r="M53" s="90"/>
      <c r="N53" s="90"/>
      <c r="O53" s="10">
        <v>11500</v>
      </c>
      <c r="P53" s="12" t="s">
        <v>97</v>
      </c>
      <c r="Q53" s="10">
        <v>65</v>
      </c>
      <c r="R53" s="10">
        <v>145</v>
      </c>
      <c r="S53" s="11">
        <v>170.2</v>
      </c>
      <c r="T53" s="13">
        <v>-0.57850000000000001</v>
      </c>
      <c r="U53" s="13">
        <v>0.24299999999999999</v>
      </c>
      <c r="V53" s="10">
        <v>0</v>
      </c>
      <c r="W53" s="14">
        <v>0</v>
      </c>
      <c r="X53" s="11">
        <v>25.2</v>
      </c>
      <c r="Y53" s="14">
        <v>2.0415934150510798E-3</v>
      </c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 t="s">
        <v>96</v>
      </c>
      <c r="AV53" s="12" t="s">
        <v>101</v>
      </c>
    </row>
    <row r="54" spans="1:48" ht="18" customHeight="1" x14ac:dyDescent="0.25">
      <c r="A54" s="4">
        <v>27</v>
      </c>
      <c r="B54" s="4">
        <v>1</v>
      </c>
      <c r="C54" s="4">
        <v>27</v>
      </c>
      <c r="D54" s="85">
        <v>43852</v>
      </c>
      <c r="E54" s="85">
        <v>43859</v>
      </c>
      <c r="F54" s="88" t="b">
        <f t="shared" si="0"/>
        <v>1</v>
      </c>
      <c r="G54" s="85">
        <v>43860</v>
      </c>
      <c r="H54" s="5">
        <v>12106.9</v>
      </c>
      <c r="I54" s="5">
        <v>12129.5</v>
      </c>
      <c r="J54" s="5">
        <v>22.6</v>
      </c>
      <c r="K54" s="6">
        <v>1.86670411087892E-3</v>
      </c>
      <c r="L54" s="7" t="s">
        <v>34</v>
      </c>
      <c r="M54" s="91">
        <f>MROUND(H54,100)-100</f>
        <v>12000</v>
      </c>
      <c r="N54" s="91">
        <f>M54-O54</f>
        <v>0</v>
      </c>
      <c r="O54" s="4">
        <v>12000</v>
      </c>
      <c r="P54" s="7" t="s">
        <v>95</v>
      </c>
      <c r="Q54" s="4">
        <v>65</v>
      </c>
      <c r="R54" s="5">
        <v>184.4</v>
      </c>
      <c r="S54" s="5">
        <v>126.05</v>
      </c>
      <c r="T54" s="8">
        <v>-0.95479999999999998</v>
      </c>
      <c r="U54" s="8">
        <v>0.87590000000000001</v>
      </c>
      <c r="V54" s="5">
        <v>58.35</v>
      </c>
      <c r="W54" s="6">
        <v>4.8195657022028762E-3</v>
      </c>
      <c r="X54" s="4">
        <v>0</v>
      </c>
      <c r="Y54" s="6">
        <v>0</v>
      </c>
      <c r="Z54" s="4">
        <v>17931</v>
      </c>
      <c r="AA54" s="5">
        <v>18273.099999999999</v>
      </c>
      <c r="AB54" s="5">
        <v>342.1</v>
      </c>
      <c r="AC54" s="5">
        <v>1.9078999999999999</v>
      </c>
      <c r="AD54" s="4">
        <v>7</v>
      </c>
      <c r="AE54" s="5">
        <v>-0.11666700000000001</v>
      </c>
      <c r="AF54" s="5">
        <v>321.18049999999999</v>
      </c>
      <c r="AG54" s="5">
        <v>1.7911999999999999</v>
      </c>
      <c r="AH54" s="8">
        <v>6.9500000000000006E-2</v>
      </c>
      <c r="AI54" s="8">
        <v>3.0646</v>
      </c>
      <c r="AJ54" s="15">
        <v>394.88049999999998</v>
      </c>
      <c r="AK54" s="15">
        <v>2.3999000000000001</v>
      </c>
      <c r="AL54" s="5">
        <v>109.1478</v>
      </c>
      <c r="AM54" s="5">
        <v>109.1478</v>
      </c>
      <c r="AN54" s="4">
        <v>0</v>
      </c>
      <c r="AO54" s="4">
        <v>0</v>
      </c>
      <c r="AP54" s="8">
        <v>1.9098999999999999</v>
      </c>
      <c r="AQ54" s="8">
        <v>1.1089</v>
      </c>
      <c r="AR54" s="8">
        <v>1.1089</v>
      </c>
      <c r="AS54" s="5">
        <v>107.7718</v>
      </c>
      <c r="AT54" s="5">
        <v>1.1089</v>
      </c>
      <c r="AU54" s="7" t="s">
        <v>96</v>
      </c>
      <c r="AV54" s="7"/>
    </row>
    <row r="55" spans="1:48" ht="18" customHeight="1" x14ac:dyDescent="0.25">
      <c r="A55" s="10">
        <v>27</v>
      </c>
      <c r="B55" s="10">
        <v>2</v>
      </c>
      <c r="C55" s="10">
        <v>27</v>
      </c>
      <c r="D55" s="86">
        <v>43852</v>
      </c>
      <c r="E55" s="86">
        <v>43859</v>
      </c>
      <c r="F55" s="88" t="b">
        <f t="shared" si="0"/>
        <v>1</v>
      </c>
      <c r="G55" s="86">
        <v>44007</v>
      </c>
      <c r="H55" s="11">
        <v>12106.9</v>
      </c>
      <c r="I55" s="11">
        <v>12129.5</v>
      </c>
      <c r="J55" s="12"/>
      <c r="K55" s="12"/>
      <c r="L55" s="12" t="s">
        <v>44</v>
      </c>
      <c r="M55" s="90"/>
      <c r="N55" s="90"/>
      <c r="O55" s="10">
        <v>11500</v>
      </c>
      <c r="P55" s="12" t="s">
        <v>97</v>
      </c>
      <c r="Q55" s="10">
        <v>65</v>
      </c>
      <c r="R55" s="11">
        <v>170.2</v>
      </c>
      <c r="S55" s="11">
        <v>185.55</v>
      </c>
      <c r="T55" s="13">
        <v>-0.19989999999999999</v>
      </c>
      <c r="U55" s="13">
        <v>0.16350000000000001</v>
      </c>
      <c r="V55" s="10">
        <v>0</v>
      </c>
      <c r="W55" s="14">
        <v>0</v>
      </c>
      <c r="X55" s="11">
        <v>15.35</v>
      </c>
      <c r="Y55" s="14">
        <v>1.2678720399111249E-3</v>
      </c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 t="s">
        <v>96</v>
      </c>
      <c r="AV55" s="12"/>
    </row>
    <row r="56" spans="1:48" ht="18" customHeight="1" x14ac:dyDescent="0.25">
      <c r="A56" s="4">
        <v>28</v>
      </c>
      <c r="B56" s="4">
        <v>1</v>
      </c>
      <c r="C56" s="4">
        <v>28</v>
      </c>
      <c r="D56" s="85">
        <v>43859</v>
      </c>
      <c r="E56" s="85">
        <v>43866</v>
      </c>
      <c r="F56" s="88" t="b">
        <f t="shared" si="0"/>
        <v>1</v>
      </c>
      <c r="G56" s="85">
        <v>43867</v>
      </c>
      <c r="H56" s="5">
        <v>12129.5</v>
      </c>
      <c r="I56" s="5">
        <v>12089.15</v>
      </c>
      <c r="J56" s="5">
        <v>-40.35</v>
      </c>
      <c r="K56" s="6">
        <v>-3.326600436951235E-3</v>
      </c>
      <c r="L56" s="7" t="s">
        <v>34</v>
      </c>
      <c r="M56" s="91">
        <f>MROUND(H56,100)-100</f>
        <v>12000</v>
      </c>
      <c r="N56" s="91">
        <f>M56-O56</f>
        <v>0</v>
      </c>
      <c r="O56" s="4">
        <v>12000</v>
      </c>
      <c r="P56" s="7" t="s">
        <v>95</v>
      </c>
      <c r="Q56" s="4">
        <v>65</v>
      </c>
      <c r="R56" s="5">
        <v>226.05</v>
      </c>
      <c r="S56" s="5">
        <v>93.9</v>
      </c>
      <c r="T56" s="8">
        <v>6.3500000000000001E-2</v>
      </c>
      <c r="U56" s="8">
        <v>1.8261000000000001</v>
      </c>
      <c r="V56" s="5">
        <v>132.15</v>
      </c>
      <c r="W56" s="6">
        <v>1.0894925594624681E-2</v>
      </c>
      <c r="X56" s="4">
        <v>0</v>
      </c>
      <c r="Y56" s="6">
        <v>0</v>
      </c>
      <c r="Z56" s="5">
        <v>18273.099999999999</v>
      </c>
      <c r="AA56" s="5">
        <v>18115.7</v>
      </c>
      <c r="AB56" s="5">
        <v>-157.4</v>
      </c>
      <c r="AC56" s="5">
        <v>-0.86140000000000005</v>
      </c>
      <c r="AD56" s="4">
        <v>7</v>
      </c>
      <c r="AE56" s="5">
        <v>-0.11666700000000001</v>
      </c>
      <c r="AF56" s="5">
        <v>-178.71860000000001</v>
      </c>
      <c r="AG56" s="5">
        <v>-0.97799999999999998</v>
      </c>
      <c r="AH56" s="8">
        <v>-4.8338000000000001</v>
      </c>
      <c r="AI56" s="8">
        <v>0.19670000000000001</v>
      </c>
      <c r="AJ56" s="9">
        <v>-60.918599999999998</v>
      </c>
      <c r="AK56" s="9">
        <v>-6.7999999999999996E-3</v>
      </c>
      <c r="AL56" s="5">
        <v>109.1404</v>
      </c>
      <c r="AM56" s="5">
        <v>109.1478</v>
      </c>
      <c r="AN56" s="5">
        <v>-7.4000000000000003E-3</v>
      </c>
      <c r="AO56" s="5">
        <v>-6.7999999999999996E-3</v>
      </c>
      <c r="AP56" s="8">
        <v>0.1419</v>
      </c>
      <c r="AQ56" s="8">
        <v>-2.0221</v>
      </c>
      <c r="AR56" s="8">
        <v>-2.0221</v>
      </c>
      <c r="AS56" s="5">
        <v>106.9408</v>
      </c>
      <c r="AT56" s="5">
        <v>-2.0221</v>
      </c>
      <c r="AU56" s="7" t="s">
        <v>96</v>
      </c>
      <c r="AV56" s="7"/>
    </row>
    <row r="57" spans="1:48" ht="18" customHeight="1" x14ac:dyDescent="0.25">
      <c r="A57" s="10">
        <v>28</v>
      </c>
      <c r="B57" s="10">
        <v>2</v>
      </c>
      <c r="C57" s="10">
        <v>28</v>
      </c>
      <c r="D57" s="86">
        <v>43859</v>
      </c>
      <c r="E57" s="86">
        <v>43866</v>
      </c>
      <c r="F57" s="88" t="b">
        <f t="shared" si="0"/>
        <v>1</v>
      </c>
      <c r="G57" s="86">
        <v>44007</v>
      </c>
      <c r="H57" s="11">
        <v>12129.5</v>
      </c>
      <c r="I57" s="11">
        <v>12089.15</v>
      </c>
      <c r="J57" s="12"/>
      <c r="K57" s="12"/>
      <c r="L57" s="12" t="s">
        <v>44</v>
      </c>
      <c r="M57" s="90"/>
      <c r="N57" s="90"/>
      <c r="O57" s="10">
        <v>11500</v>
      </c>
      <c r="P57" s="12" t="s">
        <v>97</v>
      </c>
      <c r="Q57" s="10">
        <v>65</v>
      </c>
      <c r="R57" s="11">
        <v>185.55</v>
      </c>
      <c r="S57" s="11">
        <v>171.2</v>
      </c>
      <c r="T57" s="13">
        <v>-0.1183</v>
      </c>
      <c r="U57" s="13">
        <v>0.98560000000000003</v>
      </c>
      <c r="V57" s="10">
        <v>0</v>
      </c>
      <c r="W57" s="14">
        <v>0</v>
      </c>
      <c r="X57" s="11">
        <v>-14.35</v>
      </c>
      <c r="Y57" s="14">
        <v>-1.1830660785687791E-3</v>
      </c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 t="s">
        <v>96</v>
      </c>
      <c r="AV57" s="12"/>
    </row>
    <row r="58" spans="1:48" ht="18" customHeight="1" x14ac:dyDescent="0.25">
      <c r="A58" s="4">
        <v>29</v>
      </c>
      <c r="B58" s="4">
        <v>1</v>
      </c>
      <c r="C58" s="4">
        <v>29</v>
      </c>
      <c r="D58" s="85">
        <v>43866</v>
      </c>
      <c r="E58" s="85">
        <v>43873</v>
      </c>
      <c r="F58" s="88" t="b">
        <f t="shared" si="0"/>
        <v>1</v>
      </c>
      <c r="G58" s="85">
        <v>43874</v>
      </c>
      <c r="H58" s="5">
        <v>12089.15</v>
      </c>
      <c r="I58" s="5">
        <v>12201.2</v>
      </c>
      <c r="J58" s="5">
        <v>112.05</v>
      </c>
      <c r="K58" s="6">
        <v>9.2686417159188201E-3</v>
      </c>
      <c r="L58" s="7" t="s">
        <v>34</v>
      </c>
      <c r="M58" s="91">
        <f>MROUND(H58,100)-100</f>
        <v>12000</v>
      </c>
      <c r="N58" s="91">
        <f>M58-O58</f>
        <v>0</v>
      </c>
      <c r="O58" s="4">
        <v>12000</v>
      </c>
      <c r="P58" s="7" t="s">
        <v>95</v>
      </c>
      <c r="Q58" s="4">
        <v>65</v>
      </c>
      <c r="R58" s="5">
        <v>127.1</v>
      </c>
      <c r="S58" s="5">
        <v>215.6</v>
      </c>
      <c r="T58" s="8">
        <v>-0.87229999999999996</v>
      </c>
      <c r="U58" s="8">
        <v>0.60299999999999998</v>
      </c>
      <c r="V58" s="5">
        <v>-88.5</v>
      </c>
      <c r="W58" s="6">
        <v>-7.3206139389452524E-3</v>
      </c>
      <c r="X58" s="4">
        <v>0</v>
      </c>
      <c r="Y58" s="6">
        <v>0</v>
      </c>
      <c r="Z58" s="5">
        <v>18115.7</v>
      </c>
      <c r="AA58" s="5">
        <v>18169.349999999999</v>
      </c>
      <c r="AB58" s="5">
        <v>53.65</v>
      </c>
      <c r="AC58" s="5">
        <v>0.29620000000000002</v>
      </c>
      <c r="AD58" s="4">
        <v>7</v>
      </c>
      <c r="AE58" s="5">
        <v>-0.11666700000000001</v>
      </c>
      <c r="AF58" s="5">
        <v>32.515000000000001</v>
      </c>
      <c r="AG58" s="5">
        <v>0.17949999999999999</v>
      </c>
      <c r="AH58" s="8">
        <v>-0.1497</v>
      </c>
      <c r="AI58" s="8">
        <v>1.4550000000000001</v>
      </c>
      <c r="AJ58" s="9">
        <v>-105.485</v>
      </c>
      <c r="AK58" s="9">
        <v>-0.96199999999999997</v>
      </c>
      <c r="AL58" s="5">
        <v>108.09050000000001</v>
      </c>
      <c r="AM58" s="5">
        <v>109.1478</v>
      </c>
      <c r="AN58" s="5">
        <v>-1.0573999999999999</v>
      </c>
      <c r="AO58" s="5">
        <v>-0.96870000000000001</v>
      </c>
      <c r="AP58" s="8">
        <v>0.17319999999999999</v>
      </c>
      <c r="AQ58" s="8">
        <v>0.63939999999999997</v>
      </c>
      <c r="AR58" s="8">
        <v>-0.96199999999999997</v>
      </c>
      <c r="AS58" s="5">
        <v>108.09050000000001</v>
      </c>
      <c r="AT58" s="5">
        <v>-0.96870000000000001</v>
      </c>
      <c r="AU58" s="7" t="s">
        <v>96</v>
      </c>
      <c r="AV58" s="7"/>
    </row>
    <row r="59" spans="1:48" ht="18" customHeight="1" x14ac:dyDescent="0.25">
      <c r="A59" s="10">
        <v>29</v>
      </c>
      <c r="B59" s="10">
        <v>2</v>
      </c>
      <c r="C59" s="10">
        <v>29</v>
      </c>
      <c r="D59" s="86">
        <v>43866</v>
      </c>
      <c r="E59" s="86">
        <v>43873</v>
      </c>
      <c r="F59" s="88" t="b">
        <f t="shared" si="0"/>
        <v>1</v>
      </c>
      <c r="G59" s="86">
        <v>44007</v>
      </c>
      <c r="H59" s="11">
        <v>12089.15</v>
      </c>
      <c r="I59" s="11">
        <v>12201.2</v>
      </c>
      <c r="J59" s="12"/>
      <c r="K59" s="12"/>
      <c r="L59" s="12" t="s">
        <v>44</v>
      </c>
      <c r="M59" s="90"/>
      <c r="N59" s="90"/>
      <c r="O59" s="10">
        <v>12000</v>
      </c>
      <c r="P59" s="12" t="s">
        <v>97</v>
      </c>
      <c r="Q59" s="10">
        <v>65</v>
      </c>
      <c r="R59" s="11">
        <v>302.5</v>
      </c>
      <c r="S59" s="10">
        <v>253</v>
      </c>
      <c r="T59" s="13">
        <v>-0.40949999999999998</v>
      </c>
      <c r="U59" s="13">
        <v>0.18609999999999999</v>
      </c>
      <c r="V59" s="10">
        <v>0</v>
      </c>
      <c r="W59" s="14">
        <v>0</v>
      </c>
      <c r="X59" s="11">
        <v>-49.5</v>
      </c>
      <c r="Y59" s="14">
        <v>-4.0945806777151414E-3</v>
      </c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 t="s">
        <v>96</v>
      </c>
      <c r="AV59" s="12"/>
    </row>
    <row r="60" spans="1:48" ht="18" customHeight="1" x14ac:dyDescent="0.25">
      <c r="A60" s="4">
        <v>30</v>
      </c>
      <c r="B60" s="4">
        <v>1</v>
      </c>
      <c r="C60" s="4">
        <v>30</v>
      </c>
      <c r="D60" s="85">
        <v>43873</v>
      </c>
      <c r="E60" s="85">
        <v>43880</v>
      </c>
      <c r="F60" s="88" t="b">
        <f t="shared" si="0"/>
        <v>1</v>
      </c>
      <c r="G60" s="85">
        <v>43881</v>
      </c>
      <c r="H60" s="5">
        <v>12201.2</v>
      </c>
      <c r="I60" s="5">
        <v>12125.9</v>
      </c>
      <c r="J60" s="5">
        <v>-75.3</v>
      </c>
      <c r="K60" s="6">
        <v>-6.1715241123823884E-3</v>
      </c>
      <c r="L60" s="7" t="s">
        <v>34</v>
      </c>
      <c r="M60" s="91">
        <f>MROUND(H60,100)-100</f>
        <v>12100</v>
      </c>
      <c r="N60" s="91">
        <f>M60-O60</f>
        <v>0</v>
      </c>
      <c r="O60" s="4">
        <v>12100</v>
      </c>
      <c r="P60" s="7" t="s">
        <v>95</v>
      </c>
      <c r="Q60" s="4">
        <v>65</v>
      </c>
      <c r="R60" s="5">
        <v>153.19999999999999</v>
      </c>
      <c r="S60" s="5">
        <v>49.1</v>
      </c>
      <c r="T60" s="8">
        <v>-0.1447</v>
      </c>
      <c r="U60" s="8">
        <v>1.2015</v>
      </c>
      <c r="V60" s="5">
        <v>104.1</v>
      </c>
      <c r="W60" s="6">
        <v>8.5319476772776435E-3</v>
      </c>
      <c r="X60" s="4">
        <v>0</v>
      </c>
      <c r="Y60" s="6">
        <v>0</v>
      </c>
      <c r="Z60" s="5">
        <v>18169.349999999999</v>
      </c>
      <c r="AA60" s="5">
        <v>17990.099999999999</v>
      </c>
      <c r="AB60" s="5">
        <v>-179.25</v>
      </c>
      <c r="AC60" s="5">
        <v>-0.98660000000000003</v>
      </c>
      <c r="AD60" s="4">
        <v>7</v>
      </c>
      <c r="AE60" s="5">
        <v>-0.11666700000000001</v>
      </c>
      <c r="AF60" s="5">
        <v>-200.44759999999999</v>
      </c>
      <c r="AG60" s="5">
        <v>-1.1032</v>
      </c>
      <c r="AH60" s="8">
        <v>-3.4460999999999999</v>
      </c>
      <c r="AI60" s="8">
        <v>0.27229999999999999</v>
      </c>
      <c r="AJ60" s="9">
        <v>-83.3476</v>
      </c>
      <c r="AK60" s="9">
        <v>-0.14349999999999999</v>
      </c>
      <c r="AL60" s="5">
        <v>107.9354</v>
      </c>
      <c r="AM60" s="5">
        <v>109.1478</v>
      </c>
      <c r="AN60" s="5">
        <v>-1.2124999999999999</v>
      </c>
      <c r="AO60" s="5">
        <v>-1.1108</v>
      </c>
      <c r="AP60" s="8">
        <v>0.21779999999999999</v>
      </c>
      <c r="AQ60" s="8">
        <v>-1.5316000000000001</v>
      </c>
      <c r="AR60" s="8">
        <v>-1.5316000000000001</v>
      </c>
      <c r="AS60" s="5">
        <v>106.435</v>
      </c>
      <c r="AT60" s="5">
        <v>-2.4855</v>
      </c>
      <c r="AU60" s="7" t="s">
        <v>96</v>
      </c>
      <c r="AV60" s="7"/>
    </row>
    <row r="61" spans="1:48" ht="18" customHeight="1" x14ac:dyDescent="0.25">
      <c r="A61" s="10">
        <v>30</v>
      </c>
      <c r="B61" s="10">
        <v>2</v>
      </c>
      <c r="C61" s="10">
        <v>30</v>
      </c>
      <c r="D61" s="86">
        <v>43873</v>
      </c>
      <c r="E61" s="86">
        <v>43880</v>
      </c>
      <c r="F61" s="88" t="b">
        <f t="shared" si="0"/>
        <v>1</v>
      </c>
      <c r="G61" s="86">
        <v>44007</v>
      </c>
      <c r="H61" s="11">
        <v>12201.2</v>
      </c>
      <c r="I61" s="11">
        <v>12125.9</v>
      </c>
      <c r="J61" s="12"/>
      <c r="K61" s="12"/>
      <c r="L61" s="12" t="s">
        <v>44</v>
      </c>
      <c r="M61" s="90"/>
      <c r="N61" s="90"/>
      <c r="O61" s="10">
        <v>12000</v>
      </c>
      <c r="P61" s="12" t="s">
        <v>97</v>
      </c>
      <c r="Q61" s="10">
        <v>65</v>
      </c>
      <c r="R61" s="10">
        <v>253</v>
      </c>
      <c r="S61" s="10">
        <v>266</v>
      </c>
      <c r="T61" s="13">
        <v>9.0200000000000002E-2</v>
      </c>
      <c r="U61" s="13">
        <v>0.71299999999999997</v>
      </c>
      <c r="V61" s="10">
        <v>0</v>
      </c>
      <c r="W61" s="14">
        <v>0</v>
      </c>
      <c r="X61" s="10">
        <v>13</v>
      </c>
      <c r="Y61" s="14">
        <v>1.0654689702652199E-3</v>
      </c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 t="s">
        <v>96</v>
      </c>
      <c r="AV61" s="12"/>
    </row>
    <row r="62" spans="1:48" ht="18" customHeight="1" x14ac:dyDescent="0.25">
      <c r="A62" s="4">
        <v>31</v>
      </c>
      <c r="B62" s="4">
        <v>1</v>
      </c>
      <c r="C62" s="4">
        <v>31</v>
      </c>
      <c r="D62" s="85">
        <v>43880</v>
      </c>
      <c r="E62" s="85">
        <v>43887</v>
      </c>
      <c r="F62" s="88" t="b">
        <f t="shared" si="0"/>
        <v>1</v>
      </c>
      <c r="G62" s="85">
        <v>43888</v>
      </c>
      <c r="H62" s="5">
        <v>12125.9</v>
      </c>
      <c r="I62" s="5">
        <v>11678.5</v>
      </c>
      <c r="J62" s="5">
        <v>-447.4</v>
      </c>
      <c r="K62" s="6">
        <v>-3.6896230382899423E-2</v>
      </c>
      <c r="L62" s="7" t="s">
        <v>34</v>
      </c>
      <c r="M62" s="91">
        <f>MROUND(H62,100)-100</f>
        <v>12000</v>
      </c>
      <c r="N62" s="91">
        <f>M62-O62</f>
        <v>0</v>
      </c>
      <c r="O62" s="4">
        <v>12000</v>
      </c>
      <c r="P62" s="7" t="s">
        <v>95</v>
      </c>
      <c r="Q62" s="4">
        <v>65</v>
      </c>
      <c r="R62" s="5">
        <v>175.2</v>
      </c>
      <c r="S62" s="5">
        <v>1.95</v>
      </c>
      <c r="T62" s="8">
        <v>-7.0900000000000005E-2</v>
      </c>
      <c r="U62" s="8">
        <v>1.4354</v>
      </c>
      <c r="V62" s="5">
        <v>173.25</v>
      </c>
      <c r="W62" s="6">
        <v>1.428759927098195E-2</v>
      </c>
      <c r="X62" s="4">
        <v>0</v>
      </c>
      <c r="Y62" s="6">
        <v>0</v>
      </c>
      <c r="Z62" s="5">
        <v>17990.099999999999</v>
      </c>
      <c r="AA62" s="5">
        <v>17512.45</v>
      </c>
      <c r="AB62" s="5">
        <v>-477.65</v>
      </c>
      <c r="AC62" s="5">
        <v>-2.6551</v>
      </c>
      <c r="AD62" s="4">
        <v>7</v>
      </c>
      <c r="AE62" s="5">
        <v>-0.11666700000000001</v>
      </c>
      <c r="AF62" s="5">
        <v>-498.63839999999999</v>
      </c>
      <c r="AG62" s="5">
        <v>-2.7717000000000001</v>
      </c>
      <c r="AH62" s="8">
        <v>-3.0558000000000001</v>
      </c>
      <c r="AI62" s="8">
        <v>1.2265999999999999</v>
      </c>
      <c r="AJ62" s="9">
        <v>-92.638400000000004</v>
      </c>
      <c r="AK62" s="9">
        <v>0.57650000000000001</v>
      </c>
      <c r="AL62" s="5">
        <v>108.55759999999999</v>
      </c>
      <c r="AM62" s="5">
        <v>109.1478</v>
      </c>
      <c r="AN62" s="5">
        <v>-0.59019999999999995</v>
      </c>
      <c r="AO62" s="5">
        <v>-0.54069999999999996</v>
      </c>
      <c r="AP62" s="8">
        <v>1.0464</v>
      </c>
      <c r="AQ62" s="8">
        <v>0.63719999999999999</v>
      </c>
      <c r="AR62" s="8">
        <v>0.57650000000000001</v>
      </c>
      <c r="AS62" s="5">
        <v>108.55759999999999</v>
      </c>
      <c r="AT62" s="5">
        <v>-0.54069999999999996</v>
      </c>
      <c r="AU62" s="7" t="s">
        <v>96</v>
      </c>
      <c r="AV62" s="7"/>
    </row>
    <row r="63" spans="1:48" ht="18" customHeight="1" x14ac:dyDescent="0.25">
      <c r="A63" s="10">
        <v>31</v>
      </c>
      <c r="B63" s="10">
        <v>2</v>
      </c>
      <c r="C63" s="10">
        <v>31</v>
      </c>
      <c r="D63" s="86">
        <v>43880</v>
      </c>
      <c r="E63" s="86">
        <v>43887</v>
      </c>
      <c r="F63" s="88" t="b">
        <f t="shared" si="0"/>
        <v>1</v>
      </c>
      <c r="G63" s="86">
        <v>44007</v>
      </c>
      <c r="H63" s="11">
        <v>12125.9</v>
      </c>
      <c r="I63" s="11">
        <v>11678.5</v>
      </c>
      <c r="J63" s="12"/>
      <c r="K63" s="12"/>
      <c r="L63" s="12" t="s">
        <v>44</v>
      </c>
      <c r="M63" s="90"/>
      <c r="N63" s="90"/>
      <c r="O63" s="10">
        <v>12000</v>
      </c>
      <c r="P63" s="12" t="s">
        <v>97</v>
      </c>
      <c r="Q63" s="10">
        <v>65</v>
      </c>
      <c r="R63" s="10">
        <v>266</v>
      </c>
      <c r="S63" s="11">
        <v>498.75</v>
      </c>
      <c r="T63" s="13">
        <v>-0.10929999999999999</v>
      </c>
      <c r="U63" s="13">
        <v>2.2576000000000001</v>
      </c>
      <c r="V63" s="10">
        <v>0</v>
      </c>
      <c r="W63" s="14">
        <v>0</v>
      </c>
      <c r="X63" s="11">
        <v>232.75</v>
      </c>
      <c r="Y63" s="14">
        <v>1.9194451545864639E-2</v>
      </c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 t="s">
        <v>96</v>
      </c>
      <c r="AV63" s="12"/>
    </row>
    <row r="64" spans="1:48" ht="18" customHeight="1" x14ac:dyDescent="0.25">
      <c r="A64" s="4">
        <v>32</v>
      </c>
      <c r="B64" s="4">
        <v>1</v>
      </c>
      <c r="C64" s="4">
        <v>32</v>
      </c>
      <c r="D64" s="85">
        <v>43887</v>
      </c>
      <c r="E64" s="89">
        <v>43889</v>
      </c>
      <c r="F64" s="88" t="b">
        <f t="shared" si="0"/>
        <v>0</v>
      </c>
      <c r="G64" s="85">
        <v>43895</v>
      </c>
      <c r="H64" s="5">
        <v>11678.5</v>
      </c>
      <c r="I64" s="5">
        <v>11201.75</v>
      </c>
      <c r="J64" s="5">
        <v>-476.75</v>
      </c>
      <c r="K64" s="6">
        <v>-4.0822879650640062E-2</v>
      </c>
      <c r="L64" s="7" t="s">
        <v>34</v>
      </c>
      <c r="M64" s="91">
        <f>MROUND(H64,100)-100</f>
        <v>11600</v>
      </c>
      <c r="N64" s="91">
        <f>M64-O64</f>
        <v>0</v>
      </c>
      <c r="O64" s="4">
        <v>11600</v>
      </c>
      <c r="P64" s="7" t="s">
        <v>95</v>
      </c>
      <c r="Q64" s="4">
        <v>65</v>
      </c>
      <c r="R64" s="5">
        <v>181.75</v>
      </c>
      <c r="S64" s="5">
        <v>21.75</v>
      </c>
      <c r="T64" s="8">
        <v>1.7100000000000001E-2</v>
      </c>
      <c r="U64" s="8">
        <v>1.4236</v>
      </c>
      <c r="V64" s="4">
        <v>160</v>
      </c>
      <c r="W64" s="6">
        <v>1.370038960482939E-2</v>
      </c>
      <c r="X64" s="4">
        <v>0</v>
      </c>
      <c r="Y64" s="6">
        <v>0</v>
      </c>
      <c r="Z64" s="5">
        <v>17512.45</v>
      </c>
      <c r="AA64" s="5">
        <v>16786.349999999999</v>
      </c>
      <c r="AB64" s="5">
        <v>-726.1</v>
      </c>
      <c r="AC64" s="5">
        <v>-4.1462000000000003</v>
      </c>
      <c r="AD64" s="4">
        <v>2</v>
      </c>
      <c r="AE64" s="5">
        <v>-3.3333000000000002E-2</v>
      </c>
      <c r="AF64" s="5">
        <v>-731.9375</v>
      </c>
      <c r="AG64" s="5">
        <v>-4.1795</v>
      </c>
      <c r="AH64" s="8">
        <v>-4.8962000000000003</v>
      </c>
      <c r="AI64" s="8">
        <v>2.7300000000000001E-2</v>
      </c>
      <c r="AJ64" s="9">
        <v>-156.38749999999999</v>
      </c>
      <c r="AK64" s="9">
        <v>0.74880000000000002</v>
      </c>
      <c r="AL64" s="5">
        <v>109.37050000000001</v>
      </c>
      <c r="AM64" s="5">
        <v>109.37050000000001</v>
      </c>
      <c r="AN64" s="4">
        <v>0</v>
      </c>
      <c r="AO64" s="4">
        <v>0</v>
      </c>
      <c r="AP64" s="8">
        <v>0.20319999999999999</v>
      </c>
      <c r="AQ64" s="8">
        <v>0.13450000000000001</v>
      </c>
      <c r="AR64" s="8">
        <v>0.13450000000000001</v>
      </c>
      <c r="AS64" s="5">
        <v>108.70359999999999</v>
      </c>
      <c r="AT64" s="5">
        <v>-0.40699999999999997</v>
      </c>
      <c r="AU64" s="7" t="s">
        <v>98</v>
      </c>
      <c r="AV64" s="7"/>
    </row>
    <row r="65" spans="1:48" ht="18" customHeight="1" x14ac:dyDescent="0.25">
      <c r="A65" s="10">
        <v>32</v>
      </c>
      <c r="B65" s="10">
        <v>2</v>
      </c>
      <c r="C65" s="10">
        <v>32</v>
      </c>
      <c r="D65" s="86">
        <v>43887</v>
      </c>
      <c r="E65" s="89">
        <v>43889</v>
      </c>
      <c r="F65" s="88" t="b">
        <f t="shared" si="0"/>
        <v>0</v>
      </c>
      <c r="G65" s="86">
        <v>44007</v>
      </c>
      <c r="H65" s="11">
        <v>11678.5</v>
      </c>
      <c r="I65" s="11">
        <v>11201.75</v>
      </c>
      <c r="J65" s="12"/>
      <c r="K65" s="12"/>
      <c r="L65" s="12" t="s">
        <v>44</v>
      </c>
      <c r="M65" s="90"/>
      <c r="N65" s="90"/>
      <c r="O65" s="10">
        <v>12000</v>
      </c>
      <c r="P65" s="12" t="s">
        <v>97</v>
      </c>
      <c r="Q65" s="10">
        <v>65</v>
      </c>
      <c r="R65" s="11">
        <v>498.75</v>
      </c>
      <c r="S65" s="11">
        <v>914.3</v>
      </c>
      <c r="T65" s="13">
        <v>0.1588</v>
      </c>
      <c r="U65" s="13">
        <v>3.6071</v>
      </c>
      <c r="V65" s="10">
        <v>0</v>
      </c>
      <c r="W65" s="14">
        <v>0</v>
      </c>
      <c r="X65" s="11">
        <v>415.55</v>
      </c>
      <c r="Y65" s="14">
        <v>3.5582480626792833E-2</v>
      </c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 t="s">
        <v>98</v>
      </c>
      <c r="AV65" s="12"/>
    </row>
    <row r="66" spans="1:48" ht="18" customHeight="1" x14ac:dyDescent="0.25">
      <c r="A66" s="4">
        <v>33</v>
      </c>
      <c r="B66" s="4">
        <v>1</v>
      </c>
      <c r="C66" s="4">
        <v>33</v>
      </c>
      <c r="D66" s="85">
        <v>44771</v>
      </c>
      <c r="E66" s="85">
        <v>44776</v>
      </c>
      <c r="F66" s="88" t="b">
        <f t="shared" si="0"/>
        <v>1</v>
      </c>
      <c r="G66" s="85">
        <v>44777</v>
      </c>
      <c r="H66" s="5">
        <v>17158.25</v>
      </c>
      <c r="I66" s="5">
        <v>17388.150000000001</v>
      </c>
      <c r="J66" s="5">
        <v>229.9</v>
      </c>
      <c r="K66" s="6">
        <v>1.339880232541197E-2</v>
      </c>
      <c r="L66" s="7" t="s">
        <v>34</v>
      </c>
      <c r="M66" s="91">
        <f>MROUND(H66,100)-100</f>
        <v>17100</v>
      </c>
      <c r="N66" s="91">
        <f>M66-O66</f>
        <v>0</v>
      </c>
      <c r="O66" s="4">
        <v>17100</v>
      </c>
      <c r="P66" s="7" t="s">
        <v>95</v>
      </c>
      <c r="Q66" s="4">
        <v>65</v>
      </c>
      <c r="R66" s="5">
        <v>162.4</v>
      </c>
      <c r="S66" s="5">
        <v>291.39999999999998</v>
      </c>
      <c r="T66" s="8">
        <v>-0.86839999999999995</v>
      </c>
      <c r="U66" s="8">
        <v>3.5299999999999998E-2</v>
      </c>
      <c r="V66" s="4">
        <v>-129</v>
      </c>
      <c r="W66" s="6">
        <v>-7.5182492387044133E-3</v>
      </c>
      <c r="X66" s="4">
        <v>0</v>
      </c>
      <c r="Y66" s="6">
        <v>0</v>
      </c>
      <c r="Z66" s="5">
        <v>29634.25</v>
      </c>
      <c r="AA66" s="5">
        <v>30017.65</v>
      </c>
      <c r="AB66" s="5">
        <v>383.4</v>
      </c>
      <c r="AC66" s="5">
        <v>1.2938000000000001</v>
      </c>
      <c r="AD66" s="4">
        <v>5</v>
      </c>
      <c r="AE66" s="5">
        <v>-8.3333000000000004E-2</v>
      </c>
      <c r="AF66" s="5">
        <v>358.70479999999998</v>
      </c>
      <c r="AG66" s="5">
        <v>1.2103999999999999</v>
      </c>
      <c r="AH66" s="8">
        <v>-2.7199999999999998E-2</v>
      </c>
      <c r="AI66" s="8">
        <v>2.1387999999999998</v>
      </c>
      <c r="AJ66" s="15">
        <v>194.20480000000001</v>
      </c>
      <c r="AK66" s="15">
        <v>0.25169999999999998</v>
      </c>
      <c r="AL66" s="5">
        <v>100.2517</v>
      </c>
      <c r="AM66" s="5">
        <v>100.2517</v>
      </c>
      <c r="AN66" s="4">
        <v>0</v>
      </c>
      <c r="AO66" s="4">
        <v>0</v>
      </c>
      <c r="AP66" s="8">
        <v>0.89510000000000001</v>
      </c>
      <c r="AQ66" s="8">
        <v>0.14649999999999999</v>
      </c>
      <c r="AR66" s="8">
        <v>0.14649999999999999</v>
      </c>
      <c r="AS66" s="5">
        <v>100.1465</v>
      </c>
      <c r="AT66" s="5">
        <v>0.14649999999999999</v>
      </c>
      <c r="AU66" s="7" t="s">
        <v>96</v>
      </c>
      <c r="AV66" s="7"/>
    </row>
    <row r="67" spans="1:48" ht="18" customHeight="1" x14ac:dyDescent="0.25">
      <c r="A67" s="10">
        <v>33</v>
      </c>
      <c r="B67" s="10">
        <v>2</v>
      </c>
      <c r="C67" s="10">
        <v>33</v>
      </c>
      <c r="D67" s="86">
        <v>44771</v>
      </c>
      <c r="E67" s="86">
        <v>44776</v>
      </c>
      <c r="F67" s="88" t="b">
        <f t="shared" si="0"/>
        <v>1</v>
      </c>
      <c r="G67" s="86">
        <v>44924</v>
      </c>
      <c r="H67" s="11">
        <v>17158.25</v>
      </c>
      <c r="I67" s="11">
        <v>17388.150000000001</v>
      </c>
      <c r="J67" s="12"/>
      <c r="K67" s="12"/>
      <c r="L67" s="12" t="s">
        <v>44</v>
      </c>
      <c r="M67" s="90"/>
      <c r="N67" s="90"/>
      <c r="O67" s="10">
        <v>17000</v>
      </c>
      <c r="P67" s="12" t="s">
        <v>97</v>
      </c>
      <c r="Q67" s="10">
        <v>65</v>
      </c>
      <c r="R67" s="11">
        <v>564.4</v>
      </c>
      <c r="S67" s="11">
        <v>528.9</v>
      </c>
      <c r="T67" s="13">
        <v>-0.37530000000000002</v>
      </c>
      <c r="U67" s="13">
        <v>0.1384</v>
      </c>
      <c r="V67" s="10">
        <v>0</v>
      </c>
      <c r="W67" s="14">
        <v>0</v>
      </c>
      <c r="X67" s="11">
        <v>-35.5</v>
      </c>
      <c r="Y67" s="14">
        <v>-2.0689755656899738E-3</v>
      </c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 t="s">
        <v>96</v>
      </c>
      <c r="AV67" s="12"/>
    </row>
    <row r="68" spans="1:48" ht="18" customHeight="1" x14ac:dyDescent="0.25">
      <c r="A68" s="4">
        <v>34</v>
      </c>
      <c r="B68" s="4">
        <v>1</v>
      </c>
      <c r="C68" s="4">
        <v>34</v>
      </c>
      <c r="D68" s="85">
        <v>44776</v>
      </c>
      <c r="E68" s="85">
        <v>44783</v>
      </c>
      <c r="F68" s="88" t="b">
        <f t="shared" ref="F68:F131" si="1">E68=D70</f>
        <v>1</v>
      </c>
      <c r="G68" s="85">
        <v>44784</v>
      </c>
      <c r="H68" s="5">
        <v>17388.150000000001</v>
      </c>
      <c r="I68" s="5">
        <v>17534.75</v>
      </c>
      <c r="J68" s="5">
        <v>146.6</v>
      </c>
      <c r="K68" s="6">
        <v>8.4310291779171442E-3</v>
      </c>
      <c r="L68" s="7" t="s">
        <v>34</v>
      </c>
      <c r="M68" s="91">
        <f>MROUND(H68,100)-100</f>
        <v>17300</v>
      </c>
      <c r="N68" s="91">
        <f>M68-O68</f>
        <v>0</v>
      </c>
      <c r="O68" s="4">
        <v>17300</v>
      </c>
      <c r="P68" s="7" t="s">
        <v>95</v>
      </c>
      <c r="Q68" s="4">
        <v>65</v>
      </c>
      <c r="R68" s="5">
        <v>231.6</v>
      </c>
      <c r="S68" s="5">
        <v>254.35</v>
      </c>
      <c r="T68" s="8">
        <v>-0.39739999999999998</v>
      </c>
      <c r="U68" s="8">
        <v>0.42359999999999998</v>
      </c>
      <c r="V68" s="5">
        <v>-22.75</v>
      </c>
      <c r="W68" s="6">
        <v>-1.308362304212927E-3</v>
      </c>
      <c r="X68" s="4">
        <v>0</v>
      </c>
      <c r="Y68" s="6">
        <v>0</v>
      </c>
      <c r="Z68" s="5">
        <v>30017.65</v>
      </c>
      <c r="AA68" s="5">
        <v>30318.9</v>
      </c>
      <c r="AB68" s="5">
        <v>301.25</v>
      </c>
      <c r="AC68" s="5">
        <v>1.0036</v>
      </c>
      <c r="AD68" s="4">
        <v>7</v>
      </c>
      <c r="AE68" s="5">
        <v>-0.11666700000000001</v>
      </c>
      <c r="AF68" s="5">
        <v>266.2294</v>
      </c>
      <c r="AG68" s="5">
        <v>0.88690000000000002</v>
      </c>
      <c r="AH68" s="8">
        <v>-1.2114</v>
      </c>
      <c r="AI68" s="8">
        <v>1.4699</v>
      </c>
      <c r="AJ68" s="15">
        <v>215.52940000000001</v>
      </c>
      <c r="AK68" s="15">
        <v>0.59530000000000005</v>
      </c>
      <c r="AL68" s="5">
        <v>100.8485</v>
      </c>
      <c r="AM68" s="5">
        <v>100.8485</v>
      </c>
      <c r="AN68" s="4">
        <v>0</v>
      </c>
      <c r="AO68" s="4">
        <v>0</v>
      </c>
      <c r="AP68" s="8">
        <v>0.87749999999999995</v>
      </c>
      <c r="AQ68" s="8">
        <v>-0.1857</v>
      </c>
      <c r="AR68" s="8">
        <v>-0.1857</v>
      </c>
      <c r="AS68" s="5">
        <v>100.0655</v>
      </c>
      <c r="AT68" s="5">
        <v>-0.1857</v>
      </c>
      <c r="AU68" s="7" t="s">
        <v>96</v>
      </c>
      <c r="AV68" s="7"/>
    </row>
    <row r="69" spans="1:48" ht="18" customHeight="1" x14ac:dyDescent="0.25">
      <c r="A69" s="10">
        <v>34</v>
      </c>
      <c r="B69" s="10">
        <v>2</v>
      </c>
      <c r="C69" s="10">
        <v>34</v>
      </c>
      <c r="D69" s="86">
        <v>44776</v>
      </c>
      <c r="E69" s="86">
        <v>44783</v>
      </c>
      <c r="F69" s="88" t="b">
        <f t="shared" si="1"/>
        <v>1</v>
      </c>
      <c r="G69" s="86">
        <v>44924</v>
      </c>
      <c r="H69" s="11">
        <v>17388.150000000001</v>
      </c>
      <c r="I69" s="11">
        <v>17534.75</v>
      </c>
      <c r="J69" s="12"/>
      <c r="K69" s="12"/>
      <c r="L69" s="12" t="s">
        <v>44</v>
      </c>
      <c r="M69" s="90"/>
      <c r="N69" s="90"/>
      <c r="O69" s="10">
        <v>17000</v>
      </c>
      <c r="P69" s="12" t="s">
        <v>97</v>
      </c>
      <c r="Q69" s="10">
        <v>65</v>
      </c>
      <c r="R69" s="11">
        <v>528.9</v>
      </c>
      <c r="S69" s="11">
        <v>500.95</v>
      </c>
      <c r="T69" s="13">
        <v>-0.19500000000000001</v>
      </c>
      <c r="U69" s="13">
        <v>0.60209999999999997</v>
      </c>
      <c r="V69" s="10">
        <v>0</v>
      </c>
      <c r="W69" s="14">
        <v>0</v>
      </c>
      <c r="X69" s="11">
        <v>-27.95</v>
      </c>
      <c r="Y69" s="14">
        <v>-1.607416545175881E-3</v>
      </c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 t="s">
        <v>96</v>
      </c>
      <c r="AV69" s="12"/>
    </row>
    <row r="70" spans="1:48" ht="18" customHeight="1" x14ac:dyDescent="0.25">
      <c r="A70" s="4">
        <v>35</v>
      </c>
      <c r="B70" s="4">
        <v>1</v>
      </c>
      <c r="C70" s="4">
        <v>35</v>
      </c>
      <c r="D70" s="85">
        <v>44783</v>
      </c>
      <c r="E70" s="85">
        <v>44790</v>
      </c>
      <c r="F70" s="88" t="b">
        <f t="shared" si="1"/>
        <v>1</v>
      </c>
      <c r="G70" s="85">
        <v>44791</v>
      </c>
      <c r="H70" s="5">
        <v>17534.75</v>
      </c>
      <c r="I70" s="5">
        <v>17944.25</v>
      </c>
      <c r="J70" s="5">
        <v>409.5</v>
      </c>
      <c r="K70" s="6">
        <v>2.3353626370492878E-2</v>
      </c>
      <c r="L70" s="7" t="s">
        <v>34</v>
      </c>
      <c r="M70" s="91">
        <f>MROUND(H70,100)-100</f>
        <v>17400</v>
      </c>
      <c r="N70" s="91">
        <f>M70-O70</f>
        <v>0</v>
      </c>
      <c r="O70" s="4">
        <v>17400</v>
      </c>
      <c r="P70" s="7" t="s">
        <v>95</v>
      </c>
      <c r="Q70" s="4">
        <v>65</v>
      </c>
      <c r="R70" s="5">
        <v>255.75</v>
      </c>
      <c r="S70" s="5">
        <v>557.5</v>
      </c>
      <c r="T70" s="8">
        <v>-1.8169999999999999</v>
      </c>
      <c r="U70" s="8">
        <v>4.0000000000000001E-3</v>
      </c>
      <c r="V70" s="5">
        <v>-301.75</v>
      </c>
      <c r="W70" s="6">
        <v>-1.720868561000299E-2</v>
      </c>
      <c r="X70" s="4">
        <v>0</v>
      </c>
      <c r="Y70" s="6">
        <v>0</v>
      </c>
      <c r="Z70" s="5">
        <v>30318.9</v>
      </c>
      <c r="AA70" s="5">
        <v>31401.4</v>
      </c>
      <c r="AB70" s="5">
        <v>1082.5</v>
      </c>
      <c r="AC70" s="5">
        <v>3.5703999999999998</v>
      </c>
      <c r="AD70" s="4">
        <v>7</v>
      </c>
      <c r="AE70" s="5">
        <v>-0.11666700000000001</v>
      </c>
      <c r="AF70" s="5">
        <v>1047.1279999999999</v>
      </c>
      <c r="AG70" s="5">
        <v>3.4537</v>
      </c>
      <c r="AH70" s="8">
        <v>0.64419999999999999</v>
      </c>
      <c r="AI70" s="8">
        <v>3.7464</v>
      </c>
      <c r="AJ70" s="15">
        <v>587.27800000000002</v>
      </c>
      <c r="AK70" s="15">
        <v>0.83120000000000005</v>
      </c>
      <c r="AL70" s="5">
        <v>101.68680000000001</v>
      </c>
      <c r="AM70" s="5">
        <v>101.68680000000001</v>
      </c>
      <c r="AN70" s="4">
        <v>0</v>
      </c>
      <c r="AO70" s="4">
        <v>0</v>
      </c>
      <c r="AP70" s="8">
        <v>1.0086999999999999</v>
      </c>
      <c r="AQ70" s="8">
        <v>0.42920000000000003</v>
      </c>
      <c r="AR70" s="8">
        <v>0.42920000000000003</v>
      </c>
      <c r="AS70" s="5">
        <v>101.2813</v>
      </c>
      <c r="AT70" s="5">
        <v>0.42920000000000003</v>
      </c>
      <c r="AU70" s="7" t="s">
        <v>99</v>
      </c>
      <c r="AV70" s="7"/>
    </row>
    <row r="71" spans="1:48" ht="18" customHeight="1" x14ac:dyDescent="0.25">
      <c r="A71" s="10">
        <v>35</v>
      </c>
      <c r="B71" s="10">
        <v>2</v>
      </c>
      <c r="C71" s="10">
        <v>35</v>
      </c>
      <c r="D71" s="86">
        <v>44783</v>
      </c>
      <c r="E71" s="86">
        <v>44790</v>
      </c>
      <c r="F71" s="88" t="b">
        <f t="shared" si="1"/>
        <v>1</v>
      </c>
      <c r="G71" s="86">
        <v>44924</v>
      </c>
      <c r="H71" s="11">
        <v>17534.75</v>
      </c>
      <c r="I71" s="11">
        <v>17944.25</v>
      </c>
      <c r="J71" s="12"/>
      <c r="K71" s="12"/>
      <c r="L71" s="12" t="s">
        <v>44</v>
      </c>
      <c r="M71" s="90"/>
      <c r="N71" s="90"/>
      <c r="O71" s="10">
        <v>17000</v>
      </c>
      <c r="P71" s="12" t="s">
        <v>97</v>
      </c>
      <c r="Q71" s="10">
        <v>65</v>
      </c>
      <c r="R71" s="11">
        <v>500.95</v>
      </c>
      <c r="S71" s="11">
        <v>342.85</v>
      </c>
      <c r="T71" s="13">
        <v>-0.92069999999999996</v>
      </c>
      <c r="U71" s="13">
        <v>-0.219</v>
      </c>
      <c r="V71" s="10">
        <v>0</v>
      </c>
      <c r="W71" s="14">
        <v>0</v>
      </c>
      <c r="X71" s="11">
        <v>-158.1</v>
      </c>
      <c r="Y71" s="14">
        <v>-9.01638175622692E-3</v>
      </c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 t="s">
        <v>99</v>
      </c>
      <c r="AV71" s="12"/>
    </row>
    <row r="72" spans="1:48" ht="18" customHeight="1" x14ac:dyDescent="0.25">
      <c r="A72" s="4">
        <v>36</v>
      </c>
      <c r="B72" s="4">
        <v>1</v>
      </c>
      <c r="C72" s="4">
        <v>36</v>
      </c>
      <c r="D72" s="85">
        <v>44790</v>
      </c>
      <c r="E72" s="85">
        <v>44797</v>
      </c>
      <c r="F72" s="88" t="b">
        <f t="shared" si="1"/>
        <v>1</v>
      </c>
      <c r="G72" s="85">
        <v>44798</v>
      </c>
      <c r="H72" s="5">
        <v>17944.25</v>
      </c>
      <c r="I72" s="5">
        <v>17604.95</v>
      </c>
      <c r="J72" s="5">
        <v>-339.3</v>
      </c>
      <c r="K72" s="6">
        <v>-1.8908564024687571E-2</v>
      </c>
      <c r="L72" s="7" t="s">
        <v>34</v>
      </c>
      <c r="M72" s="91">
        <f>MROUND(H72,100)-100</f>
        <v>17800</v>
      </c>
      <c r="N72" s="91">
        <f>M72-O72</f>
        <v>0</v>
      </c>
      <c r="O72" s="4">
        <v>17800</v>
      </c>
      <c r="P72" s="7" t="s">
        <v>95</v>
      </c>
      <c r="Q72" s="4">
        <v>65</v>
      </c>
      <c r="R72" s="5">
        <v>259.39999999999998</v>
      </c>
      <c r="S72" s="5">
        <v>9.3000000000000007</v>
      </c>
      <c r="T72" s="8">
        <v>-2.1999999999999999E-2</v>
      </c>
      <c r="U72" s="8">
        <v>1.4094</v>
      </c>
      <c r="V72" s="5">
        <v>250.1</v>
      </c>
      <c r="W72" s="6">
        <v>1.393761232706856E-2</v>
      </c>
      <c r="X72" s="4">
        <v>0</v>
      </c>
      <c r="Y72" s="6">
        <v>0</v>
      </c>
      <c r="Z72" s="5">
        <v>31401.4</v>
      </c>
      <c r="AA72" s="5">
        <v>30960.9</v>
      </c>
      <c r="AB72" s="5">
        <v>-440.5</v>
      </c>
      <c r="AC72" s="5">
        <v>-1.4028</v>
      </c>
      <c r="AD72" s="4">
        <v>7</v>
      </c>
      <c r="AE72" s="5">
        <v>-0.11666700000000001</v>
      </c>
      <c r="AF72" s="5">
        <v>-477.13499999999999</v>
      </c>
      <c r="AG72" s="5">
        <v>-1.5195000000000001</v>
      </c>
      <c r="AH72" s="8">
        <v>-4.2449000000000003</v>
      </c>
      <c r="AI72" s="8">
        <v>0.57669999999999999</v>
      </c>
      <c r="AJ72" s="9">
        <v>-143.38499999999999</v>
      </c>
      <c r="AK72" s="9">
        <v>0.34039999999999998</v>
      </c>
      <c r="AL72" s="5">
        <v>102.0329</v>
      </c>
      <c r="AM72" s="5">
        <v>102.0329</v>
      </c>
      <c r="AN72" s="4">
        <v>0</v>
      </c>
      <c r="AO72" s="4">
        <v>0</v>
      </c>
      <c r="AP72" s="8">
        <v>0.48309999999999997</v>
      </c>
      <c r="AQ72" s="8">
        <v>-1.8011999999999999</v>
      </c>
      <c r="AR72" s="8">
        <v>-1.8011999999999999</v>
      </c>
      <c r="AS72" s="5">
        <v>99.855199999999996</v>
      </c>
      <c r="AT72" s="5">
        <v>-1.8011999999999999</v>
      </c>
      <c r="AU72" s="7" t="s">
        <v>96</v>
      </c>
      <c r="AV72" s="7"/>
    </row>
    <row r="73" spans="1:48" ht="18" customHeight="1" x14ac:dyDescent="0.25">
      <c r="A73" s="10">
        <v>36</v>
      </c>
      <c r="B73" s="10">
        <v>2</v>
      </c>
      <c r="C73" s="10">
        <v>36</v>
      </c>
      <c r="D73" s="86">
        <v>44790</v>
      </c>
      <c r="E73" s="86">
        <v>44797</v>
      </c>
      <c r="F73" s="88" t="b">
        <f t="shared" si="1"/>
        <v>1</v>
      </c>
      <c r="G73" s="86">
        <v>44924</v>
      </c>
      <c r="H73" s="11">
        <v>17944.25</v>
      </c>
      <c r="I73" s="11">
        <v>17604.95</v>
      </c>
      <c r="J73" s="12"/>
      <c r="K73" s="12"/>
      <c r="L73" s="12" t="s">
        <v>44</v>
      </c>
      <c r="M73" s="90"/>
      <c r="N73" s="90"/>
      <c r="O73" s="10">
        <v>17000</v>
      </c>
      <c r="P73" s="12" t="s">
        <v>97</v>
      </c>
      <c r="Q73" s="10">
        <v>65</v>
      </c>
      <c r="R73" s="11">
        <v>342.85</v>
      </c>
      <c r="S73" s="11">
        <v>426.5</v>
      </c>
      <c r="T73" s="13">
        <v>-7.1599999999999997E-2</v>
      </c>
      <c r="U73" s="13">
        <v>1.0343</v>
      </c>
      <c r="V73" s="10">
        <v>0</v>
      </c>
      <c r="W73" s="14">
        <v>0</v>
      </c>
      <c r="X73" s="11">
        <v>83.65</v>
      </c>
      <c r="Y73" s="14">
        <v>4.6616604204689528E-3</v>
      </c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 t="s">
        <v>96</v>
      </c>
      <c r="AV73" s="12"/>
    </row>
    <row r="74" spans="1:48" ht="18" customHeight="1" x14ac:dyDescent="0.25">
      <c r="A74" s="4">
        <v>37</v>
      </c>
      <c r="B74" s="4">
        <v>1</v>
      </c>
      <c r="C74" s="4">
        <v>37</v>
      </c>
      <c r="D74" s="85">
        <v>44797</v>
      </c>
      <c r="E74" s="85">
        <v>44803</v>
      </c>
      <c r="F74" s="88" t="b">
        <f t="shared" si="1"/>
        <v>1</v>
      </c>
      <c r="G74" s="85">
        <v>44805</v>
      </c>
      <c r="H74" s="5">
        <v>17604.95</v>
      </c>
      <c r="I74" s="5">
        <v>17759.3</v>
      </c>
      <c r="J74" s="5">
        <v>154.35</v>
      </c>
      <c r="K74" s="6">
        <v>8.7674205266132527E-3</v>
      </c>
      <c r="L74" s="7" t="s">
        <v>34</v>
      </c>
      <c r="M74" s="91">
        <f>MROUND(H74,100)-100</f>
        <v>17500</v>
      </c>
      <c r="N74" s="91">
        <f>M74-O74</f>
        <v>0</v>
      </c>
      <c r="O74" s="4">
        <v>17500</v>
      </c>
      <c r="P74" s="7" t="s">
        <v>95</v>
      </c>
      <c r="Q74" s="4">
        <v>65</v>
      </c>
      <c r="R74" s="5">
        <v>243.5</v>
      </c>
      <c r="S74" s="5">
        <v>289.85000000000002</v>
      </c>
      <c r="T74" s="8">
        <v>-0.4345</v>
      </c>
      <c r="U74" s="8">
        <v>1.2163999999999999</v>
      </c>
      <c r="V74" s="5">
        <v>-46.35</v>
      </c>
      <c r="W74" s="6">
        <v>-2.6327822572628722E-3</v>
      </c>
      <c r="X74" s="4">
        <v>0</v>
      </c>
      <c r="Y74" s="6">
        <v>0</v>
      </c>
      <c r="Z74" s="5">
        <v>30960.9</v>
      </c>
      <c r="AA74" s="5">
        <v>31481.7</v>
      </c>
      <c r="AB74" s="5">
        <v>520.79999999999995</v>
      </c>
      <c r="AC74" s="5">
        <v>1.6820999999999999</v>
      </c>
      <c r="AD74" s="4">
        <v>6</v>
      </c>
      <c r="AE74" s="5">
        <v>-0.1</v>
      </c>
      <c r="AF74" s="5">
        <v>489.83909999999997</v>
      </c>
      <c r="AG74" s="5">
        <v>1.5821000000000001</v>
      </c>
      <c r="AH74" s="8">
        <v>-2.3875000000000002</v>
      </c>
      <c r="AI74" s="8">
        <v>1.7021999999999999</v>
      </c>
      <c r="AJ74" s="15">
        <v>392.9391</v>
      </c>
      <c r="AK74" s="15">
        <v>1.0317000000000001</v>
      </c>
      <c r="AL74" s="5">
        <v>103.0856</v>
      </c>
      <c r="AM74" s="5">
        <v>103.0856</v>
      </c>
      <c r="AN74" s="4">
        <v>0</v>
      </c>
      <c r="AO74" s="4">
        <v>0</v>
      </c>
      <c r="AP74" s="8">
        <v>0.94679999999999997</v>
      </c>
      <c r="AQ74" s="8">
        <v>-0.35880000000000001</v>
      </c>
      <c r="AR74" s="8">
        <v>-0.35880000000000001</v>
      </c>
      <c r="AS74" s="5">
        <v>101.66679999999999</v>
      </c>
      <c r="AT74" s="5">
        <v>-0.35880000000000001</v>
      </c>
      <c r="AU74" s="7" t="s">
        <v>96</v>
      </c>
      <c r="AV74" s="7"/>
    </row>
    <row r="75" spans="1:48" ht="18" customHeight="1" x14ac:dyDescent="0.25">
      <c r="A75" s="10">
        <v>37</v>
      </c>
      <c r="B75" s="10">
        <v>2</v>
      </c>
      <c r="C75" s="10">
        <v>37</v>
      </c>
      <c r="D75" s="86">
        <v>44797</v>
      </c>
      <c r="E75" s="86">
        <v>44803</v>
      </c>
      <c r="F75" s="88" t="b">
        <f t="shared" si="1"/>
        <v>1</v>
      </c>
      <c r="G75" s="86">
        <v>44924</v>
      </c>
      <c r="H75" s="11">
        <v>17604.95</v>
      </c>
      <c r="I75" s="11">
        <v>17759.3</v>
      </c>
      <c r="J75" s="12"/>
      <c r="K75" s="12"/>
      <c r="L75" s="12" t="s">
        <v>44</v>
      </c>
      <c r="M75" s="90"/>
      <c r="N75" s="90"/>
      <c r="O75" s="10">
        <v>17000</v>
      </c>
      <c r="P75" s="12" t="s">
        <v>97</v>
      </c>
      <c r="Q75" s="10">
        <v>65</v>
      </c>
      <c r="R75" s="11">
        <v>426.5</v>
      </c>
      <c r="S75" s="11">
        <v>375.95</v>
      </c>
      <c r="T75" s="13">
        <v>-0.32090000000000002</v>
      </c>
      <c r="U75" s="13">
        <v>0.81230000000000002</v>
      </c>
      <c r="V75" s="10">
        <v>0</v>
      </c>
      <c r="W75" s="14">
        <v>0</v>
      </c>
      <c r="X75" s="11">
        <v>-50.55</v>
      </c>
      <c r="Y75" s="14">
        <v>-2.8713515232931639E-3</v>
      </c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 t="s">
        <v>96</v>
      </c>
      <c r="AV75" s="12"/>
    </row>
    <row r="76" spans="1:48" ht="18" customHeight="1" x14ac:dyDescent="0.25">
      <c r="A76" s="4">
        <v>38</v>
      </c>
      <c r="B76" s="4">
        <v>1</v>
      </c>
      <c r="C76" s="4">
        <v>38</v>
      </c>
      <c r="D76" s="85">
        <v>44803</v>
      </c>
      <c r="E76" s="85">
        <v>44811</v>
      </c>
      <c r="F76" s="88" t="b">
        <f t="shared" si="1"/>
        <v>1</v>
      </c>
      <c r="G76" s="85">
        <v>44812</v>
      </c>
      <c r="H76" s="5">
        <v>17759.3</v>
      </c>
      <c r="I76" s="5">
        <v>17624.400000000001</v>
      </c>
      <c r="J76" s="5">
        <v>-134.9</v>
      </c>
      <c r="K76" s="6">
        <v>-7.5960201134053712E-3</v>
      </c>
      <c r="L76" s="7" t="s">
        <v>34</v>
      </c>
      <c r="M76" s="91">
        <f>MROUND(H76,100)-100</f>
        <v>17700</v>
      </c>
      <c r="N76" s="91">
        <f>M76-O76</f>
        <v>0</v>
      </c>
      <c r="O76" s="4">
        <v>17700</v>
      </c>
      <c r="P76" s="7" t="s">
        <v>95</v>
      </c>
      <c r="Q76" s="4">
        <v>65</v>
      </c>
      <c r="R76" s="5">
        <v>223.9</v>
      </c>
      <c r="S76" s="5">
        <v>47.5</v>
      </c>
      <c r="T76" s="8">
        <v>0.23369999999999999</v>
      </c>
      <c r="U76" s="8">
        <v>1.1114999999999999</v>
      </c>
      <c r="V76" s="5">
        <v>176.4</v>
      </c>
      <c r="W76" s="6">
        <v>9.9328239288710707E-3</v>
      </c>
      <c r="X76" s="4">
        <v>0</v>
      </c>
      <c r="Y76" s="6">
        <v>0</v>
      </c>
      <c r="Z76" s="5">
        <v>31481.7</v>
      </c>
      <c r="AA76" s="5">
        <v>31865.55</v>
      </c>
      <c r="AB76" s="5">
        <v>383.85</v>
      </c>
      <c r="AC76" s="5">
        <v>1.2193000000000001</v>
      </c>
      <c r="AD76" s="4">
        <v>8</v>
      </c>
      <c r="AE76" s="5">
        <v>-0.13333300000000001</v>
      </c>
      <c r="AF76" s="5">
        <v>341.87439999999998</v>
      </c>
      <c r="AG76" s="5">
        <v>1.0859000000000001</v>
      </c>
      <c r="AH76" s="8">
        <v>-0.85670000000000002</v>
      </c>
      <c r="AI76" s="8">
        <v>1.1739999999999999</v>
      </c>
      <c r="AJ76" s="15">
        <v>563.07439999999997</v>
      </c>
      <c r="AK76" s="15">
        <v>2.3313999999999999</v>
      </c>
      <c r="AL76" s="5">
        <v>105.4889</v>
      </c>
      <c r="AM76" s="5">
        <v>105.4889</v>
      </c>
      <c r="AN76" s="4">
        <v>0</v>
      </c>
      <c r="AO76" s="4">
        <v>0</v>
      </c>
      <c r="AP76" s="8">
        <v>1.5492999999999999</v>
      </c>
      <c r="AQ76" s="8">
        <v>0.85929999999999995</v>
      </c>
      <c r="AR76" s="8">
        <v>0.85929999999999995</v>
      </c>
      <c r="AS76" s="5">
        <v>103.9714</v>
      </c>
      <c r="AT76" s="5">
        <v>0.85929999999999995</v>
      </c>
      <c r="AU76" s="7" t="s">
        <v>96</v>
      </c>
      <c r="AV76" s="7"/>
    </row>
    <row r="77" spans="1:48" ht="18" customHeight="1" x14ac:dyDescent="0.25">
      <c r="A77" s="10">
        <v>38</v>
      </c>
      <c r="B77" s="10">
        <v>2</v>
      </c>
      <c r="C77" s="10">
        <v>38</v>
      </c>
      <c r="D77" s="86">
        <v>44803</v>
      </c>
      <c r="E77" s="86">
        <v>44811</v>
      </c>
      <c r="F77" s="88" t="b">
        <f t="shared" si="1"/>
        <v>1</v>
      </c>
      <c r="G77" s="86">
        <v>44924</v>
      </c>
      <c r="H77" s="11">
        <v>17759.3</v>
      </c>
      <c r="I77" s="11">
        <v>17624.400000000001</v>
      </c>
      <c r="J77" s="12"/>
      <c r="K77" s="12"/>
      <c r="L77" s="12" t="s">
        <v>44</v>
      </c>
      <c r="M77" s="90"/>
      <c r="N77" s="90"/>
      <c r="O77" s="10">
        <v>17000</v>
      </c>
      <c r="P77" s="12" t="s">
        <v>97</v>
      </c>
      <c r="Q77" s="10">
        <v>65</v>
      </c>
      <c r="R77" s="11">
        <v>375.95</v>
      </c>
      <c r="S77" s="11">
        <v>420.75</v>
      </c>
      <c r="T77" s="13">
        <v>0.1416</v>
      </c>
      <c r="U77" s="13">
        <v>0.60450000000000004</v>
      </c>
      <c r="V77" s="10">
        <v>0</v>
      </c>
      <c r="W77" s="14">
        <v>0</v>
      </c>
      <c r="X77" s="11">
        <v>44.8</v>
      </c>
      <c r="Y77" s="14">
        <v>2.5226219501894779E-3</v>
      </c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 t="s">
        <v>96</v>
      </c>
      <c r="AV77" s="12"/>
    </row>
    <row r="78" spans="1:48" ht="18" customHeight="1" x14ac:dyDescent="0.25">
      <c r="A78" s="4">
        <v>39</v>
      </c>
      <c r="B78" s="4">
        <v>1</v>
      </c>
      <c r="C78" s="4">
        <v>39</v>
      </c>
      <c r="D78" s="85">
        <v>44811</v>
      </c>
      <c r="E78" s="85">
        <v>44817</v>
      </c>
      <c r="F78" s="88" t="b">
        <f t="shared" si="1"/>
        <v>1</v>
      </c>
      <c r="G78" s="85">
        <v>44819</v>
      </c>
      <c r="H78" s="5">
        <v>17624.400000000001</v>
      </c>
      <c r="I78" s="5">
        <v>18070.05</v>
      </c>
      <c r="J78" s="5">
        <v>445.65</v>
      </c>
      <c r="K78" s="6">
        <v>2.5285967181861511E-2</v>
      </c>
      <c r="L78" s="7" t="s">
        <v>34</v>
      </c>
      <c r="M78" s="91">
        <f>MROUND(H78,100)-100</f>
        <v>17500</v>
      </c>
      <c r="N78" s="91">
        <f>M78-O78</f>
        <v>0</v>
      </c>
      <c r="O78" s="4">
        <v>17500</v>
      </c>
      <c r="P78" s="7" t="s">
        <v>95</v>
      </c>
      <c r="Q78" s="4">
        <v>65</v>
      </c>
      <c r="R78" s="5">
        <v>261.10000000000002</v>
      </c>
      <c r="S78" s="5">
        <v>584.54999999999995</v>
      </c>
      <c r="T78" s="8">
        <v>-1.9218</v>
      </c>
      <c r="U78" s="8">
        <v>-2.92E-2</v>
      </c>
      <c r="V78" s="5">
        <v>-323.45</v>
      </c>
      <c r="W78" s="6">
        <v>-1.83523978121241E-2</v>
      </c>
      <c r="X78" s="4">
        <v>0</v>
      </c>
      <c r="Y78" s="6">
        <v>0</v>
      </c>
      <c r="Z78" s="5">
        <v>31865.55</v>
      </c>
      <c r="AA78" s="5">
        <v>32398.75</v>
      </c>
      <c r="AB78" s="5">
        <v>533.20000000000005</v>
      </c>
      <c r="AC78" s="5">
        <v>1.6733</v>
      </c>
      <c r="AD78" s="4">
        <v>6</v>
      </c>
      <c r="AE78" s="5">
        <v>-0.1</v>
      </c>
      <c r="AF78" s="5">
        <v>501.33449999999999</v>
      </c>
      <c r="AG78" s="5">
        <v>1.5732999999999999</v>
      </c>
      <c r="AH78" s="8">
        <v>-4.82E-2</v>
      </c>
      <c r="AI78" s="8">
        <v>2.2128000000000001</v>
      </c>
      <c r="AJ78" s="9">
        <v>-61.165500000000002</v>
      </c>
      <c r="AK78" s="9">
        <v>-1.6183000000000001</v>
      </c>
      <c r="AL78" s="5">
        <v>103.7818</v>
      </c>
      <c r="AM78" s="5">
        <v>105.4889</v>
      </c>
      <c r="AN78" s="5">
        <v>-1.7071000000000001</v>
      </c>
      <c r="AO78" s="5">
        <v>-1.6183000000000001</v>
      </c>
      <c r="AP78" s="8">
        <v>-1.0983000000000001</v>
      </c>
      <c r="AQ78" s="8">
        <v>-0.1895</v>
      </c>
      <c r="AR78" s="8">
        <v>-1.6183000000000001</v>
      </c>
      <c r="AS78" s="5">
        <v>103.7818</v>
      </c>
      <c r="AT78" s="5">
        <v>-1.6183000000000001</v>
      </c>
      <c r="AU78" s="7" t="s">
        <v>102</v>
      </c>
      <c r="AV78" s="7"/>
    </row>
    <row r="79" spans="1:48" ht="18" customHeight="1" x14ac:dyDescent="0.25">
      <c r="A79" s="10">
        <v>39</v>
      </c>
      <c r="B79" s="10">
        <v>2</v>
      </c>
      <c r="C79" s="10">
        <v>39</v>
      </c>
      <c r="D79" s="86">
        <v>44811</v>
      </c>
      <c r="E79" s="86">
        <v>44817</v>
      </c>
      <c r="F79" s="88" t="b">
        <f t="shared" si="1"/>
        <v>1</v>
      </c>
      <c r="G79" s="86">
        <v>44924</v>
      </c>
      <c r="H79" s="11">
        <v>17624.400000000001</v>
      </c>
      <c r="I79" s="11">
        <v>18070.05</v>
      </c>
      <c r="J79" s="12"/>
      <c r="K79" s="12"/>
      <c r="L79" s="12" t="s">
        <v>44</v>
      </c>
      <c r="M79" s="90"/>
      <c r="N79" s="90"/>
      <c r="O79" s="10">
        <v>18000</v>
      </c>
      <c r="P79" s="12" t="s">
        <v>97</v>
      </c>
      <c r="Q79" s="10">
        <v>65</v>
      </c>
      <c r="R79" s="11">
        <v>770.4</v>
      </c>
      <c r="S79" s="11">
        <v>531.35</v>
      </c>
      <c r="T79" s="13">
        <v>-1.3893</v>
      </c>
      <c r="U79" s="13">
        <v>-0.11210000000000001</v>
      </c>
      <c r="V79" s="10">
        <v>0</v>
      </c>
      <c r="W79" s="14">
        <v>0</v>
      </c>
      <c r="X79" s="11">
        <v>-239.05</v>
      </c>
      <c r="Y79" s="14">
        <v>-1.3563582306348019E-2</v>
      </c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 t="s">
        <v>102</v>
      </c>
      <c r="AV79" s="12"/>
    </row>
    <row r="80" spans="1:48" ht="18" customHeight="1" x14ac:dyDescent="0.25">
      <c r="A80" s="4">
        <v>40</v>
      </c>
      <c r="B80" s="4">
        <v>1</v>
      </c>
      <c r="C80" s="4">
        <v>40</v>
      </c>
      <c r="D80" s="85">
        <v>44817</v>
      </c>
      <c r="E80" s="85">
        <v>44818</v>
      </c>
      <c r="F80" s="88" t="b">
        <f t="shared" si="1"/>
        <v>1</v>
      </c>
      <c r="G80" s="85">
        <v>44819</v>
      </c>
      <c r="H80" s="5">
        <v>18070.05</v>
      </c>
      <c r="I80" s="5">
        <v>18003.75</v>
      </c>
      <c r="J80" s="5">
        <v>-66.3</v>
      </c>
      <c r="K80" s="6">
        <v>-3.669054595864427E-3</v>
      </c>
      <c r="L80" s="7" t="s">
        <v>34</v>
      </c>
      <c r="M80" s="91">
        <f>MROUND(H80,100)-100</f>
        <v>18000</v>
      </c>
      <c r="N80" s="91">
        <f>M80-O80</f>
        <v>0</v>
      </c>
      <c r="O80" s="4">
        <v>18000</v>
      </c>
      <c r="P80" s="7" t="s">
        <v>95</v>
      </c>
      <c r="Q80" s="4">
        <v>65</v>
      </c>
      <c r="R80" s="5">
        <v>143.4</v>
      </c>
      <c r="S80" s="4">
        <v>86</v>
      </c>
      <c r="T80" s="8">
        <v>4.7E-2</v>
      </c>
      <c r="U80" s="8">
        <v>0.68289999999999995</v>
      </c>
      <c r="V80" s="5">
        <v>57.4</v>
      </c>
      <c r="W80" s="6">
        <v>3.1765269050168651E-3</v>
      </c>
      <c r="X80" s="4">
        <v>0</v>
      </c>
      <c r="Y80" s="6">
        <v>0</v>
      </c>
      <c r="Z80" s="5">
        <v>32398.75</v>
      </c>
      <c r="AA80" s="5">
        <v>32291.75</v>
      </c>
      <c r="AB80" s="4">
        <v>-107</v>
      </c>
      <c r="AC80" s="5">
        <v>-0.33029999999999998</v>
      </c>
      <c r="AD80" s="4">
        <v>1</v>
      </c>
      <c r="AE80" s="5">
        <v>-1.6667000000000001E-2</v>
      </c>
      <c r="AF80" s="5">
        <v>-112.3998</v>
      </c>
      <c r="AG80" s="5">
        <v>-0.34689999999999999</v>
      </c>
      <c r="AH80" s="8">
        <v>-1.4676</v>
      </c>
      <c r="AI80" s="8">
        <v>-5.3900000000000003E-2</v>
      </c>
      <c r="AJ80" s="9">
        <v>-23.899799999999999</v>
      </c>
      <c r="AK80" s="9">
        <v>0.1429</v>
      </c>
      <c r="AL80" s="5">
        <v>103.9301</v>
      </c>
      <c r="AM80" s="5">
        <v>105.4889</v>
      </c>
      <c r="AN80" s="5">
        <v>-1.5588</v>
      </c>
      <c r="AO80" s="5">
        <v>-1.4777</v>
      </c>
      <c r="AP80" s="8">
        <v>-3.4599999999999999E-2</v>
      </c>
      <c r="AQ80" s="8">
        <v>-0.29380000000000001</v>
      </c>
      <c r="AR80" s="8">
        <v>-0.29380000000000001</v>
      </c>
      <c r="AS80" s="5">
        <v>103.4769</v>
      </c>
      <c r="AT80" s="5">
        <v>-1.9073</v>
      </c>
      <c r="AU80" s="7" t="s">
        <v>96</v>
      </c>
      <c r="AV80" s="7"/>
    </row>
    <row r="81" spans="1:48" ht="18" customHeight="1" x14ac:dyDescent="0.25">
      <c r="A81" s="10">
        <v>40</v>
      </c>
      <c r="B81" s="10">
        <v>2</v>
      </c>
      <c r="C81" s="10">
        <v>40</v>
      </c>
      <c r="D81" s="86">
        <v>44817</v>
      </c>
      <c r="E81" s="86">
        <v>44818</v>
      </c>
      <c r="F81" s="88" t="b">
        <f t="shared" si="1"/>
        <v>1</v>
      </c>
      <c r="G81" s="86">
        <v>44924</v>
      </c>
      <c r="H81" s="11">
        <v>18070.05</v>
      </c>
      <c r="I81" s="11">
        <v>18003.75</v>
      </c>
      <c r="J81" s="12"/>
      <c r="K81" s="12"/>
      <c r="L81" s="12" t="s">
        <v>44</v>
      </c>
      <c r="M81" s="90"/>
      <c r="N81" s="90"/>
      <c r="O81" s="10">
        <v>18000</v>
      </c>
      <c r="P81" s="12" t="s">
        <v>97</v>
      </c>
      <c r="Q81" s="10">
        <v>65</v>
      </c>
      <c r="R81" s="11">
        <v>531.35</v>
      </c>
      <c r="S81" s="11">
        <v>562.45000000000005</v>
      </c>
      <c r="T81" s="13">
        <v>-2.7699999999999999E-2</v>
      </c>
      <c r="U81" s="13">
        <v>0.4909</v>
      </c>
      <c r="V81" s="10">
        <v>0</v>
      </c>
      <c r="W81" s="14">
        <v>0</v>
      </c>
      <c r="X81" s="11">
        <v>31.1</v>
      </c>
      <c r="Y81" s="14">
        <v>1.721079908467326E-3</v>
      </c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 t="s">
        <v>96</v>
      </c>
      <c r="AV81" s="12"/>
    </row>
    <row r="82" spans="1:48" ht="18" customHeight="1" x14ac:dyDescent="0.25">
      <c r="A82" s="4">
        <v>41</v>
      </c>
      <c r="B82" s="4">
        <v>1</v>
      </c>
      <c r="C82" s="4">
        <v>41</v>
      </c>
      <c r="D82" s="85">
        <v>44818</v>
      </c>
      <c r="E82" s="85">
        <v>44825</v>
      </c>
      <c r="F82" s="88" t="b">
        <f t="shared" si="1"/>
        <v>1</v>
      </c>
      <c r="G82" s="85">
        <v>44826</v>
      </c>
      <c r="H82" s="5">
        <v>18003.75</v>
      </c>
      <c r="I82" s="5">
        <v>17718.349999999999</v>
      </c>
      <c r="J82" s="5">
        <v>-285.39999999999998</v>
      </c>
      <c r="K82" s="6">
        <v>-1.5852253002846629E-2</v>
      </c>
      <c r="L82" s="7" t="s">
        <v>34</v>
      </c>
      <c r="M82" s="91">
        <f>MROUND(H82,100)-100</f>
        <v>17900</v>
      </c>
      <c r="N82" s="91">
        <f>M82-O82</f>
        <v>0</v>
      </c>
      <c r="O82" s="4">
        <v>17900</v>
      </c>
      <c r="P82" s="7" t="s">
        <v>95</v>
      </c>
      <c r="Q82" s="4">
        <v>65</v>
      </c>
      <c r="R82" s="5">
        <v>252.5</v>
      </c>
      <c r="S82" s="5">
        <v>45.5</v>
      </c>
      <c r="T82" s="8">
        <v>-0.20050000000000001</v>
      </c>
      <c r="U82" s="8">
        <v>1.2503</v>
      </c>
      <c r="V82" s="4">
        <v>207</v>
      </c>
      <c r="W82" s="6">
        <v>1.149760466569465E-2</v>
      </c>
      <c r="X82" s="4">
        <v>0</v>
      </c>
      <c r="Y82" s="6">
        <v>0</v>
      </c>
      <c r="Z82" s="5">
        <v>32291.75</v>
      </c>
      <c r="AA82" s="5">
        <v>31718.7</v>
      </c>
      <c r="AB82" s="5">
        <v>-573.04999999999995</v>
      </c>
      <c r="AC82" s="5">
        <v>-1.7746</v>
      </c>
      <c r="AD82" s="4">
        <v>7</v>
      </c>
      <c r="AE82" s="5">
        <v>-0.11666700000000001</v>
      </c>
      <c r="AF82" s="5">
        <v>-610.72370000000001</v>
      </c>
      <c r="AG82" s="5">
        <v>-1.8913</v>
      </c>
      <c r="AH82" s="8">
        <v>-3.5091000000000001</v>
      </c>
      <c r="AI82" s="8">
        <v>0.84260000000000002</v>
      </c>
      <c r="AJ82" s="9">
        <v>-271.62369999999999</v>
      </c>
      <c r="AK82" s="9">
        <v>-7.7999999999999996E-3</v>
      </c>
      <c r="AL82" s="5">
        <v>103.922</v>
      </c>
      <c r="AM82" s="5">
        <v>105.4889</v>
      </c>
      <c r="AN82" s="5">
        <v>-1.5669</v>
      </c>
      <c r="AO82" s="5">
        <v>-1.4854000000000001</v>
      </c>
      <c r="AP82" s="8">
        <v>0.46210000000000001</v>
      </c>
      <c r="AQ82" s="8">
        <v>-0.60050000000000003</v>
      </c>
      <c r="AR82" s="8">
        <v>-0.60050000000000003</v>
      </c>
      <c r="AS82" s="5">
        <v>103.306</v>
      </c>
      <c r="AT82" s="5">
        <v>-2.0693000000000001</v>
      </c>
      <c r="AU82" s="7" t="s">
        <v>96</v>
      </c>
      <c r="AV82" s="7"/>
    </row>
    <row r="83" spans="1:48" ht="18" customHeight="1" x14ac:dyDescent="0.25">
      <c r="A83" s="10">
        <v>41</v>
      </c>
      <c r="B83" s="10">
        <v>2</v>
      </c>
      <c r="C83" s="10">
        <v>41</v>
      </c>
      <c r="D83" s="86">
        <v>44818</v>
      </c>
      <c r="E83" s="86">
        <v>44825</v>
      </c>
      <c r="F83" s="88" t="b">
        <f t="shared" si="1"/>
        <v>1</v>
      </c>
      <c r="G83" s="86">
        <v>44924</v>
      </c>
      <c r="H83" s="11">
        <v>18003.75</v>
      </c>
      <c r="I83" s="11">
        <v>17718.349999999999</v>
      </c>
      <c r="J83" s="12"/>
      <c r="K83" s="12"/>
      <c r="L83" s="12" t="s">
        <v>44</v>
      </c>
      <c r="M83" s="90"/>
      <c r="N83" s="90"/>
      <c r="O83" s="10">
        <v>18000</v>
      </c>
      <c r="P83" s="12" t="s">
        <v>97</v>
      </c>
      <c r="Q83" s="10">
        <v>65</v>
      </c>
      <c r="R83" s="11">
        <v>562.45000000000005</v>
      </c>
      <c r="S83" s="11">
        <v>694.55</v>
      </c>
      <c r="T83" s="13">
        <v>-0.18</v>
      </c>
      <c r="U83" s="13">
        <v>1.6583000000000001</v>
      </c>
      <c r="V83" s="10">
        <v>0</v>
      </c>
      <c r="W83" s="14">
        <v>0</v>
      </c>
      <c r="X83" s="11">
        <v>132.1</v>
      </c>
      <c r="Y83" s="14">
        <v>7.3373602721655204E-3</v>
      </c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 t="s">
        <v>96</v>
      </c>
      <c r="AV83" s="12"/>
    </row>
    <row r="84" spans="1:48" ht="18" customHeight="1" x14ac:dyDescent="0.25">
      <c r="A84" s="4">
        <v>42</v>
      </c>
      <c r="B84" s="4">
        <v>1</v>
      </c>
      <c r="C84" s="4">
        <v>42</v>
      </c>
      <c r="D84" s="85">
        <v>44825</v>
      </c>
      <c r="E84" s="85">
        <v>44832</v>
      </c>
      <c r="F84" s="88" t="b">
        <f t="shared" si="1"/>
        <v>1</v>
      </c>
      <c r="G84" s="85">
        <v>44833</v>
      </c>
      <c r="H84" s="5">
        <v>17718.349999999999</v>
      </c>
      <c r="I84" s="5">
        <v>16858.599999999999</v>
      </c>
      <c r="J84" s="5">
        <v>-859.75</v>
      </c>
      <c r="K84" s="6">
        <v>-4.8523141263153741E-2</v>
      </c>
      <c r="L84" s="7" t="s">
        <v>34</v>
      </c>
      <c r="M84" s="91">
        <f>MROUND(H84,100)-100</f>
        <v>17600</v>
      </c>
      <c r="N84" s="91">
        <f>M84-O84</f>
        <v>0</v>
      </c>
      <c r="O84" s="4">
        <v>17600</v>
      </c>
      <c r="P84" s="7" t="s">
        <v>95</v>
      </c>
      <c r="Q84" s="4">
        <v>65</v>
      </c>
      <c r="R84" s="5">
        <v>290.2</v>
      </c>
      <c r="S84" s="5">
        <v>2.25</v>
      </c>
      <c r="T84" s="8">
        <v>0.14449999999999999</v>
      </c>
      <c r="U84" s="8">
        <v>1.6276999999999999</v>
      </c>
      <c r="V84" s="5">
        <v>287.95</v>
      </c>
      <c r="W84" s="6">
        <v>1.6251513261675041E-2</v>
      </c>
      <c r="X84" s="4">
        <v>0</v>
      </c>
      <c r="Y84" s="6">
        <v>0</v>
      </c>
      <c r="Z84" s="5">
        <v>31718.7</v>
      </c>
      <c r="AA84" s="5">
        <v>30066.15</v>
      </c>
      <c r="AB84" s="5">
        <v>-1652.55</v>
      </c>
      <c r="AC84" s="5">
        <v>-5.21</v>
      </c>
      <c r="AD84" s="4">
        <v>7</v>
      </c>
      <c r="AE84" s="5">
        <v>-0.11666700000000001</v>
      </c>
      <c r="AF84" s="5">
        <v>-1689.5551</v>
      </c>
      <c r="AG84" s="5">
        <v>-5.3266999999999998</v>
      </c>
      <c r="AH84" s="8">
        <v>-5.8926999999999996</v>
      </c>
      <c r="AI84" s="8">
        <v>0.59279999999999999</v>
      </c>
      <c r="AJ84" s="9">
        <v>-888.55510000000004</v>
      </c>
      <c r="AK84" s="9">
        <v>-0.80600000000000005</v>
      </c>
      <c r="AL84" s="5">
        <v>103.0844</v>
      </c>
      <c r="AM84" s="5">
        <v>105.4889</v>
      </c>
      <c r="AN84" s="5">
        <v>-2.4045000000000001</v>
      </c>
      <c r="AO84" s="5">
        <v>-2.2793999999999999</v>
      </c>
      <c r="AP84" s="8">
        <v>0.65659999999999996</v>
      </c>
      <c r="AQ84" s="8">
        <v>-1.2148000000000001</v>
      </c>
      <c r="AR84" s="8">
        <v>-1.2148000000000001</v>
      </c>
      <c r="AS84" s="5">
        <v>102.65949999999999</v>
      </c>
      <c r="AT84" s="5">
        <v>-2.6821999999999999</v>
      </c>
      <c r="AU84" s="7" t="s">
        <v>96</v>
      </c>
      <c r="AV84" s="7"/>
    </row>
    <row r="85" spans="1:48" ht="18" customHeight="1" x14ac:dyDescent="0.25">
      <c r="A85" s="10">
        <v>42</v>
      </c>
      <c r="B85" s="10">
        <v>2</v>
      </c>
      <c r="C85" s="10">
        <v>42</v>
      </c>
      <c r="D85" s="86">
        <v>44825</v>
      </c>
      <c r="E85" s="86">
        <v>44832</v>
      </c>
      <c r="F85" s="88" t="b">
        <f t="shared" si="1"/>
        <v>1</v>
      </c>
      <c r="G85" s="86">
        <v>44924</v>
      </c>
      <c r="H85" s="11">
        <v>17718.349999999999</v>
      </c>
      <c r="I85" s="11">
        <v>16858.599999999999</v>
      </c>
      <c r="J85" s="12"/>
      <c r="K85" s="12"/>
      <c r="L85" s="12" t="s">
        <v>44</v>
      </c>
      <c r="M85" s="90"/>
      <c r="N85" s="90"/>
      <c r="O85" s="10">
        <v>18000</v>
      </c>
      <c r="P85" s="12" t="s">
        <v>97</v>
      </c>
      <c r="Q85" s="10">
        <v>65</v>
      </c>
      <c r="R85" s="11">
        <v>694.55</v>
      </c>
      <c r="S85" s="11">
        <v>1207.5999999999999</v>
      </c>
      <c r="T85" s="13">
        <v>-8.0699999999999994E-2</v>
      </c>
      <c r="U85" s="13">
        <v>3.0501999999999998</v>
      </c>
      <c r="V85" s="10">
        <v>0</v>
      </c>
      <c r="W85" s="14">
        <v>0</v>
      </c>
      <c r="X85" s="11">
        <v>513.04999999999995</v>
      </c>
      <c r="Y85" s="14">
        <v>2.8955856499053238E-2</v>
      </c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 t="s">
        <v>96</v>
      </c>
      <c r="AV85" s="12"/>
    </row>
    <row r="86" spans="1:48" ht="18" customHeight="1" x14ac:dyDescent="0.25">
      <c r="A86" s="4">
        <v>43</v>
      </c>
      <c r="B86" s="4">
        <v>1</v>
      </c>
      <c r="C86" s="4">
        <v>43</v>
      </c>
      <c r="D86" s="85">
        <v>44832</v>
      </c>
      <c r="E86" s="85">
        <v>44838</v>
      </c>
      <c r="F86" s="88" t="b">
        <f t="shared" si="1"/>
        <v>1</v>
      </c>
      <c r="G86" s="85">
        <v>44840</v>
      </c>
      <c r="H86" s="5">
        <v>16858.599999999999</v>
      </c>
      <c r="I86" s="5">
        <v>17274.3</v>
      </c>
      <c r="J86" s="5">
        <v>415.7</v>
      </c>
      <c r="K86" s="6">
        <v>2.4658038034000448E-2</v>
      </c>
      <c r="L86" s="7" t="s">
        <v>34</v>
      </c>
      <c r="M86" s="91">
        <f>MROUND(H86,100)-100</f>
        <v>16800</v>
      </c>
      <c r="N86" s="91">
        <f>M86-O86</f>
        <v>0</v>
      </c>
      <c r="O86" s="4">
        <v>16800</v>
      </c>
      <c r="P86" s="7" t="s">
        <v>95</v>
      </c>
      <c r="Q86" s="4">
        <v>65</v>
      </c>
      <c r="R86" s="5">
        <v>247.25</v>
      </c>
      <c r="S86" s="5">
        <v>477.85</v>
      </c>
      <c r="T86" s="8">
        <v>-1.4559</v>
      </c>
      <c r="U86" s="8">
        <v>0.62909999999999999</v>
      </c>
      <c r="V86" s="5">
        <v>-230.6</v>
      </c>
      <c r="W86" s="6">
        <v>-1.3678478639981969E-2</v>
      </c>
      <c r="X86" s="4">
        <v>0</v>
      </c>
      <c r="Y86" s="6">
        <v>0</v>
      </c>
      <c r="Z86" s="5">
        <v>30066.15</v>
      </c>
      <c r="AA86" s="5">
        <v>31090.6</v>
      </c>
      <c r="AB86" s="5">
        <v>1024.45</v>
      </c>
      <c r="AC86" s="5">
        <v>3.4073000000000002</v>
      </c>
      <c r="AD86" s="4">
        <v>6</v>
      </c>
      <c r="AE86" s="5">
        <v>-0.1</v>
      </c>
      <c r="AF86" s="5">
        <v>994.38379999999995</v>
      </c>
      <c r="AG86" s="5">
        <v>3.3073000000000001</v>
      </c>
      <c r="AH86" s="8">
        <v>-0.65569999999999995</v>
      </c>
      <c r="AI86" s="8">
        <v>3.4</v>
      </c>
      <c r="AJ86" s="15">
        <v>489.28379999999999</v>
      </c>
      <c r="AK86" s="15">
        <v>0.31119999999999998</v>
      </c>
      <c r="AL86" s="5">
        <v>103.40519999999999</v>
      </c>
      <c r="AM86" s="5">
        <v>105.4889</v>
      </c>
      <c r="AN86" s="5">
        <v>-2.0836999999999999</v>
      </c>
      <c r="AO86" s="5">
        <v>-1.9753000000000001</v>
      </c>
      <c r="AP86" s="8">
        <v>0.2586</v>
      </c>
      <c r="AQ86" s="8">
        <v>0.43340000000000001</v>
      </c>
      <c r="AR86" s="8">
        <v>0.2586</v>
      </c>
      <c r="AS86" s="5">
        <v>103.3509</v>
      </c>
      <c r="AT86" s="5">
        <v>-2.0266999999999999</v>
      </c>
      <c r="AU86" s="7" t="s">
        <v>99</v>
      </c>
      <c r="AV86" s="7"/>
    </row>
    <row r="87" spans="1:48" ht="18" customHeight="1" x14ac:dyDescent="0.25">
      <c r="A87" s="10">
        <v>43</v>
      </c>
      <c r="B87" s="10">
        <v>2</v>
      </c>
      <c r="C87" s="10">
        <v>43</v>
      </c>
      <c r="D87" s="86">
        <v>44832</v>
      </c>
      <c r="E87" s="86">
        <v>44838</v>
      </c>
      <c r="F87" s="88" t="b">
        <f t="shared" si="1"/>
        <v>1</v>
      </c>
      <c r="G87" s="86">
        <v>44924</v>
      </c>
      <c r="H87" s="11">
        <v>16858.599999999999</v>
      </c>
      <c r="I87" s="11">
        <v>17274.3</v>
      </c>
      <c r="J87" s="12"/>
      <c r="K87" s="12"/>
      <c r="L87" s="12" t="s">
        <v>44</v>
      </c>
      <c r="M87" s="90"/>
      <c r="N87" s="90"/>
      <c r="O87" s="10">
        <v>18000</v>
      </c>
      <c r="P87" s="12" t="s">
        <v>97</v>
      </c>
      <c r="Q87" s="10">
        <v>65</v>
      </c>
      <c r="R87" s="11">
        <v>1207.5999999999999</v>
      </c>
      <c r="S87" s="11">
        <v>933.1</v>
      </c>
      <c r="T87" s="13">
        <v>-1.6855</v>
      </c>
      <c r="U87" s="13">
        <v>0.46</v>
      </c>
      <c r="V87" s="10">
        <v>0</v>
      </c>
      <c r="W87" s="14">
        <v>0</v>
      </c>
      <c r="X87" s="11">
        <v>-274.5</v>
      </c>
      <c r="Y87" s="14">
        <v>-1.6282490835537951E-2</v>
      </c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 t="s">
        <v>99</v>
      </c>
      <c r="AV87" s="12"/>
    </row>
    <row r="88" spans="1:48" ht="18" customHeight="1" x14ac:dyDescent="0.25">
      <c r="A88" s="4">
        <v>44</v>
      </c>
      <c r="B88" s="4">
        <v>1</v>
      </c>
      <c r="C88" s="4">
        <v>44</v>
      </c>
      <c r="D88" s="85">
        <v>44838</v>
      </c>
      <c r="E88" s="85">
        <v>44846</v>
      </c>
      <c r="F88" s="88" t="b">
        <f t="shared" si="1"/>
        <v>1</v>
      </c>
      <c r="G88" s="85">
        <v>44847</v>
      </c>
      <c r="H88" s="5">
        <v>17274.3</v>
      </c>
      <c r="I88" s="5">
        <v>17123.599999999999</v>
      </c>
      <c r="J88" s="5">
        <v>-150.69999999999999</v>
      </c>
      <c r="K88" s="6">
        <v>-8.7239425041825136E-3</v>
      </c>
      <c r="L88" s="7" t="s">
        <v>34</v>
      </c>
      <c r="M88" s="91">
        <f>MROUND(H88,100)-100</f>
        <v>17200</v>
      </c>
      <c r="N88" s="91">
        <f>M88-O88</f>
        <v>0</v>
      </c>
      <c r="O88" s="4">
        <v>17200</v>
      </c>
      <c r="P88" s="7" t="s">
        <v>95</v>
      </c>
      <c r="Q88" s="4">
        <v>65</v>
      </c>
      <c r="R88" s="5">
        <v>235.95</v>
      </c>
      <c r="S88" s="5">
        <v>49.25</v>
      </c>
      <c r="T88" s="8">
        <v>-0.47010000000000002</v>
      </c>
      <c r="U88" s="8">
        <v>1.2397</v>
      </c>
      <c r="V88" s="5">
        <v>186.7</v>
      </c>
      <c r="W88" s="6">
        <v>1.0807963274922861E-2</v>
      </c>
      <c r="X88" s="4">
        <v>0</v>
      </c>
      <c r="Y88" s="6">
        <v>0</v>
      </c>
      <c r="Z88" s="5">
        <v>31090.6</v>
      </c>
      <c r="AA88" s="5">
        <v>30756.55</v>
      </c>
      <c r="AB88" s="5">
        <v>-334.05</v>
      </c>
      <c r="AC88" s="5">
        <v>-1.0744</v>
      </c>
      <c r="AD88" s="4">
        <v>8</v>
      </c>
      <c r="AE88" s="5">
        <v>-0.13333300000000001</v>
      </c>
      <c r="AF88" s="5">
        <v>-375.50409999999999</v>
      </c>
      <c r="AG88" s="5">
        <v>-1.2078</v>
      </c>
      <c r="AH88" s="8">
        <v>-2.5238999999999998</v>
      </c>
      <c r="AI88" s="8">
        <v>1.4975000000000001</v>
      </c>
      <c r="AJ88" s="9">
        <v>-155.05410000000001</v>
      </c>
      <c r="AK88" s="9">
        <v>6.8400000000000002E-2</v>
      </c>
      <c r="AL88" s="5">
        <v>103.4759</v>
      </c>
      <c r="AM88" s="5">
        <v>105.4889</v>
      </c>
      <c r="AN88" s="5">
        <v>-2.0129999999999999</v>
      </c>
      <c r="AO88" s="5">
        <v>-1.9083000000000001</v>
      </c>
      <c r="AP88" s="8">
        <v>0.67749999999999999</v>
      </c>
      <c r="AQ88" s="8">
        <v>-0.63270000000000004</v>
      </c>
      <c r="AR88" s="8">
        <v>-0.63270000000000004</v>
      </c>
      <c r="AS88" s="5">
        <v>102.7509</v>
      </c>
      <c r="AT88" s="5">
        <v>-2.5954999999999999</v>
      </c>
      <c r="AU88" s="7" t="s">
        <v>96</v>
      </c>
      <c r="AV88" s="7"/>
    </row>
    <row r="89" spans="1:48" ht="18" customHeight="1" x14ac:dyDescent="0.25">
      <c r="A89" s="10">
        <v>44</v>
      </c>
      <c r="B89" s="10">
        <v>2</v>
      </c>
      <c r="C89" s="10">
        <v>44</v>
      </c>
      <c r="D89" s="86">
        <v>44838</v>
      </c>
      <c r="E89" s="86">
        <v>44846</v>
      </c>
      <c r="F89" s="88" t="b">
        <f t="shared" si="1"/>
        <v>1</v>
      </c>
      <c r="G89" s="86">
        <v>44924</v>
      </c>
      <c r="H89" s="11">
        <v>17274.3</v>
      </c>
      <c r="I89" s="11">
        <v>17123.599999999999</v>
      </c>
      <c r="J89" s="12"/>
      <c r="K89" s="12"/>
      <c r="L89" s="12" t="s">
        <v>44</v>
      </c>
      <c r="M89" s="90"/>
      <c r="N89" s="90"/>
      <c r="O89" s="10">
        <v>17000</v>
      </c>
      <c r="P89" s="12" t="s">
        <v>97</v>
      </c>
      <c r="Q89" s="10">
        <v>65</v>
      </c>
      <c r="R89" s="11">
        <v>475.45</v>
      </c>
      <c r="S89" s="11">
        <v>509.2</v>
      </c>
      <c r="T89" s="13">
        <v>-0.34989999999999999</v>
      </c>
      <c r="U89" s="13">
        <v>0.65149999999999997</v>
      </c>
      <c r="V89" s="10">
        <v>0</v>
      </c>
      <c r="W89" s="14">
        <v>0</v>
      </c>
      <c r="X89" s="11">
        <v>33.75</v>
      </c>
      <c r="Y89" s="14">
        <v>1.9537694725690761E-3</v>
      </c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 t="s">
        <v>96</v>
      </c>
      <c r="AV89" s="12"/>
    </row>
    <row r="90" spans="1:48" ht="18" customHeight="1" x14ac:dyDescent="0.25">
      <c r="A90" s="4">
        <v>45</v>
      </c>
      <c r="B90" s="4">
        <v>1</v>
      </c>
      <c r="C90" s="4">
        <v>45</v>
      </c>
      <c r="D90" s="85">
        <v>44846</v>
      </c>
      <c r="E90" s="85">
        <v>44852</v>
      </c>
      <c r="F90" s="88" t="b">
        <f t="shared" si="1"/>
        <v>1</v>
      </c>
      <c r="G90" s="85">
        <v>44854</v>
      </c>
      <c r="H90" s="5">
        <v>17123.599999999999</v>
      </c>
      <c r="I90" s="5">
        <v>17486.95</v>
      </c>
      <c r="J90" s="5">
        <v>363.35</v>
      </c>
      <c r="K90" s="6">
        <v>2.1219252960826E-2</v>
      </c>
      <c r="L90" s="7" t="s">
        <v>34</v>
      </c>
      <c r="M90" s="91">
        <f>MROUND(H90,100)-100</f>
        <v>17000</v>
      </c>
      <c r="N90" s="91">
        <f>M90-O90</f>
        <v>0</v>
      </c>
      <c r="O90" s="4">
        <v>17000</v>
      </c>
      <c r="P90" s="7" t="s">
        <v>95</v>
      </c>
      <c r="Q90" s="4">
        <v>65</v>
      </c>
      <c r="R90" s="5">
        <v>264.3</v>
      </c>
      <c r="S90" s="5">
        <v>495.4</v>
      </c>
      <c r="T90" s="8">
        <v>-1.6223000000000001</v>
      </c>
      <c r="U90" s="8">
        <v>0.56299999999999994</v>
      </c>
      <c r="V90" s="5">
        <v>-231.1</v>
      </c>
      <c r="W90" s="6">
        <v>-1.3495993833072491E-2</v>
      </c>
      <c r="X90" s="4">
        <v>0</v>
      </c>
      <c r="Y90" s="6">
        <v>0</v>
      </c>
      <c r="Z90" s="5">
        <v>30756.55</v>
      </c>
      <c r="AA90" s="4">
        <v>30908</v>
      </c>
      <c r="AB90" s="5">
        <v>151.44999999999999</v>
      </c>
      <c r="AC90" s="5">
        <v>0.4924</v>
      </c>
      <c r="AD90" s="4">
        <v>6</v>
      </c>
      <c r="AE90" s="5">
        <v>-0.1</v>
      </c>
      <c r="AF90" s="5">
        <v>120.6935</v>
      </c>
      <c r="AG90" s="5">
        <v>0.39240000000000003</v>
      </c>
      <c r="AH90" s="8">
        <v>-1.9683999999999999</v>
      </c>
      <c r="AI90" s="8">
        <v>0.89459999999999995</v>
      </c>
      <c r="AJ90" s="9">
        <v>-322.80650000000003</v>
      </c>
      <c r="AK90" s="9">
        <v>-2.1976</v>
      </c>
      <c r="AL90" s="5">
        <v>101.20189999999999</v>
      </c>
      <c r="AM90" s="5">
        <v>105.4889</v>
      </c>
      <c r="AN90" s="5">
        <v>-4.2869999999999999</v>
      </c>
      <c r="AO90" s="5">
        <v>-4.0639000000000003</v>
      </c>
      <c r="AP90" s="8">
        <v>-1.9961</v>
      </c>
      <c r="AQ90" s="8">
        <v>-0.94840000000000002</v>
      </c>
      <c r="AR90" s="8">
        <v>-2.1976</v>
      </c>
      <c r="AS90" s="5">
        <v>101.20189999999999</v>
      </c>
      <c r="AT90" s="5">
        <v>-4.0639000000000003</v>
      </c>
      <c r="AU90" s="7" t="s">
        <v>102</v>
      </c>
      <c r="AV90" s="7"/>
    </row>
    <row r="91" spans="1:48" ht="18" customHeight="1" x14ac:dyDescent="0.25">
      <c r="A91" s="10">
        <v>45</v>
      </c>
      <c r="B91" s="10">
        <v>2</v>
      </c>
      <c r="C91" s="10">
        <v>45</v>
      </c>
      <c r="D91" s="86">
        <v>44846</v>
      </c>
      <c r="E91" s="86">
        <v>44852</v>
      </c>
      <c r="F91" s="88" t="b">
        <f t="shared" si="1"/>
        <v>1</v>
      </c>
      <c r="G91" s="86">
        <v>44924</v>
      </c>
      <c r="H91" s="11">
        <v>17123.599999999999</v>
      </c>
      <c r="I91" s="11">
        <v>17486.95</v>
      </c>
      <c r="J91" s="12"/>
      <c r="K91" s="12"/>
      <c r="L91" s="12" t="s">
        <v>44</v>
      </c>
      <c r="M91" s="90"/>
      <c r="N91" s="90"/>
      <c r="O91" s="10">
        <v>17000</v>
      </c>
      <c r="P91" s="12" t="s">
        <v>97</v>
      </c>
      <c r="Q91" s="10">
        <v>65</v>
      </c>
      <c r="R91" s="11">
        <v>509.2</v>
      </c>
      <c r="S91" s="11">
        <v>296.8</v>
      </c>
      <c r="T91" s="13">
        <v>-1.2684</v>
      </c>
      <c r="U91" s="13">
        <v>0.45700000000000002</v>
      </c>
      <c r="V91" s="10">
        <v>0</v>
      </c>
      <c r="W91" s="14">
        <v>0</v>
      </c>
      <c r="X91" s="11">
        <v>-212.4</v>
      </c>
      <c r="Y91" s="14">
        <v>-1.240393375224836E-2</v>
      </c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 t="s">
        <v>102</v>
      </c>
      <c r="AV91" s="12"/>
    </row>
    <row r="92" spans="1:48" ht="18" customHeight="1" x14ac:dyDescent="0.25">
      <c r="A92" s="4">
        <v>46</v>
      </c>
      <c r="B92" s="4">
        <v>1</v>
      </c>
      <c r="C92" s="4">
        <v>46</v>
      </c>
      <c r="D92" s="85">
        <v>44852</v>
      </c>
      <c r="E92" s="85">
        <v>44853</v>
      </c>
      <c r="F92" s="88" t="b">
        <f t="shared" si="1"/>
        <v>1</v>
      </c>
      <c r="G92" s="85">
        <v>44854</v>
      </c>
      <c r="H92" s="5">
        <v>17486.95</v>
      </c>
      <c r="I92" s="5">
        <v>17512.25</v>
      </c>
      <c r="J92" s="5">
        <v>25.3</v>
      </c>
      <c r="K92" s="6">
        <v>1.4467931800571281E-3</v>
      </c>
      <c r="L92" s="7" t="s">
        <v>34</v>
      </c>
      <c r="M92" s="91">
        <f>MROUND(H92,100)-100</f>
        <v>17400</v>
      </c>
      <c r="N92" s="91">
        <f>M92-O92</f>
        <v>0</v>
      </c>
      <c r="O92" s="4">
        <v>17400</v>
      </c>
      <c r="P92" s="7" t="s">
        <v>95</v>
      </c>
      <c r="Q92" s="4">
        <v>65</v>
      </c>
      <c r="R92" s="5">
        <v>146.30000000000001</v>
      </c>
      <c r="S92" s="5">
        <v>126.75</v>
      </c>
      <c r="T92" s="8">
        <v>-0.40939999999999999</v>
      </c>
      <c r="U92" s="8">
        <v>0.2225</v>
      </c>
      <c r="V92" s="5">
        <v>19.55</v>
      </c>
      <c r="W92" s="6">
        <v>1.117976548225963E-3</v>
      </c>
      <c r="X92" s="4">
        <v>0</v>
      </c>
      <c r="Y92" s="6">
        <v>0</v>
      </c>
      <c r="Z92" s="4">
        <v>30908</v>
      </c>
      <c r="AA92" s="5">
        <v>30984.45</v>
      </c>
      <c r="AB92" s="5">
        <v>76.45</v>
      </c>
      <c r="AC92" s="5">
        <v>0.24729999999999999</v>
      </c>
      <c r="AD92" s="4">
        <v>1</v>
      </c>
      <c r="AE92" s="5">
        <v>-1.6667000000000001E-2</v>
      </c>
      <c r="AF92" s="5">
        <v>71.298699999999997</v>
      </c>
      <c r="AG92" s="5">
        <v>0.23069999999999999</v>
      </c>
      <c r="AH92" s="8">
        <v>-3.6200000000000003E-2</v>
      </c>
      <c r="AI92" s="8">
        <v>0.55879999999999996</v>
      </c>
      <c r="AJ92" s="15">
        <v>92.348699999999994</v>
      </c>
      <c r="AK92" s="15">
        <v>0.35110000000000002</v>
      </c>
      <c r="AL92" s="5">
        <v>101.55719999999999</v>
      </c>
      <c r="AM92" s="5">
        <v>105.4889</v>
      </c>
      <c r="AN92" s="5">
        <v>-3.9317000000000002</v>
      </c>
      <c r="AO92" s="5">
        <v>-3.7271000000000001</v>
      </c>
      <c r="AP92" s="8">
        <v>-8.3999999999999995E-3</v>
      </c>
      <c r="AQ92" s="8">
        <v>0.25840000000000002</v>
      </c>
      <c r="AR92" s="8">
        <v>-8.3999999999999995E-3</v>
      </c>
      <c r="AS92" s="5">
        <v>101.1934</v>
      </c>
      <c r="AT92" s="5">
        <v>-4.0720000000000001</v>
      </c>
      <c r="AU92" s="7" t="s">
        <v>96</v>
      </c>
      <c r="AV92" s="7"/>
    </row>
    <row r="93" spans="1:48" ht="18" customHeight="1" x14ac:dyDescent="0.25">
      <c r="A93" s="10">
        <v>46</v>
      </c>
      <c r="B93" s="10">
        <v>2</v>
      </c>
      <c r="C93" s="10">
        <v>46</v>
      </c>
      <c r="D93" s="86">
        <v>44852</v>
      </c>
      <c r="E93" s="86">
        <v>44853</v>
      </c>
      <c r="F93" s="88" t="b">
        <f t="shared" si="1"/>
        <v>1</v>
      </c>
      <c r="G93" s="86">
        <v>44924</v>
      </c>
      <c r="H93" s="11">
        <v>17486.95</v>
      </c>
      <c r="I93" s="11">
        <v>17512.25</v>
      </c>
      <c r="J93" s="12"/>
      <c r="K93" s="12"/>
      <c r="L93" s="12" t="s">
        <v>44</v>
      </c>
      <c r="M93" s="90"/>
      <c r="N93" s="90"/>
      <c r="O93" s="10">
        <v>17000</v>
      </c>
      <c r="P93" s="12" t="s">
        <v>97</v>
      </c>
      <c r="Q93" s="10">
        <v>65</v>
      </c>
      <c r="R93" s="11">
        <v>296.8</v>
      </c>
      <c r="S93" s="11">
        <v>298.3</v>
      </c>
      <c r="T93" s="13">
        <v>-0.1578</v>
      </c>
      <c r="U93" s="13">
        <v>7.2099999999999997E-2</v>
      </c>
      <c r="V93" s="10">
        <v>0</v>
      </c>
      <c r="W93" s="14">
        <v>0</v>
      </c>
      <c r="X93" s="11">
        <v>1.5</v>
      </c>
      <c r="Y93" s="14">
        <v>8.5778251782043176E-5</v>
      </c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 t="s">
        <v>96</v>
      </c>
      <c r="AV93" s="12"/>
    </row>
    <row r="94" spans="1:48" ht="18" customHeight="1" x14ac:dyDescent="0.25">
      <c r="A94" s="4">
        <v>47</v>
      </c>
      <c r="B94" s="4">
        <v>1</v>
      </c>
      <c r="C94" s="4">
        <v>47</v>
      </c>
      <c r="D94" s="85">
        <v>44853</v>
      </c>
      <c r="E94" s="85">
        <v>44859</v>
      </c>
      <c r="F94" s="88" t="b">
        <f t="shared" si="1"/>
        <v>1</v>
      </c>
      <c r="G94" s="85">
        <v>44861</v>
      </c>
      <c r="H94" s="5">
        <v>17512.25</v>
      </c>
      <c r="I94" s="5">
        <v>17656.349999999999</v>
      </c>
      <c r="J94" s="5">
        <v>144.1</v>
      </c>
      <c r="K94" s="6">
        <v>8.2285257462633293E-3</v>
      </c>
      <c r="L94" s="7" t="s">
        <v>34</v>
      </c>
      <c r="M94" s="91">
        <f>MROUND(H94,100)-100</f>
        <v>17400</v>
      </c>
      <c r="N94" s="91">
        <f>M94-O94</f>
        <v>0</v>
      </c>
      <c r="O94" s="4">
        <v>17400</v>
      </c>
      <c r="P94" s="7" t="s">
        <v>95</v>
      </c>
      <c r="Q94" s="4">
        <v>65</v>
      </c>
      <c r="R94" s="5">
        <v>214.65</v>
      </c>
      <c r="S94" s="5">
        <v>264.64999999999998</v>
      </c>
      <c r="T94" s="8">
        <v>-1.2683</v>
      </c>
      <c r="U94" s="8">
        <v>0.4083</v>
      </c>
      <c r="V94" s="4">
        <v>-50</v>
      </c>
      <c r="W94" s="6">
        <v>-2.8551442561635431E-3</v>
      </c>
      <c r="X94" s="4">
        <v>0</v>
      </c>
      <c r="Y94" s="6">
        <v>0</v>
      </c>
      <c r="Z94" s="5">
        <v>30984.45</v>
      </c>
      <c r="AA94" s="5">
        <v>30982.7</v>
      </c>
      <c r="AB94" s="5">
        <v>-1.75</v>
      </c>
      <c r="AC94" s="5">
        <v>-5.5999999999999999E-3</v>
      </c>
      <c r="AD94" s="4">
        <v>6</v>
      </c>
      <c r="AE94" s="5">
        <v>-0.1</v>
      </c>
      <c r="AF94" s="5">
        <v>-32.734499999999997</v>
      </c>
      <c r="AG94" s="5">
        <v>-0.1056</v>
      </c>
      <c r="AH94" s="8">
        <v>-1.2666999999999999</v>
      </c>
      <c r="AI94" s="8">
        <v>0.31259999999999999</v>
      </c>
      <c r="AJ94" s="9">
        <v>-157.18450000000001</v>
      </c>
      <c r="AK94" s="9">
        <v>-0.81620000000000004</v>
      </c>
      <c r="AL94" s="5">
        <v>100.7283</v>
      </c>
      <c r="AM94" s="5">
        <v>105.4889</v>
      </c>
      <c r="AN94" s="5">
        <v>-4.7606000000000002</v>
      </c>
      <c r="AO94" s="5">
        <v>-4.5129000000000001</v>
      </c>
      <c r="AP94" s="8">
        <v>-1.5638000000000001</v>
      </c>
      <c r="AQ94" s="8">
        <v>-0.70589999999999997</v>
      </c>
      <c r="AR94" s="8">
        <v>-1.5638000000000001</v>
      </c>
      <c r="AS94" s="5">
        <v>99.969099999999997</v>
      </c>
      <c r="AT94" s="5">
        <v>-5.2325999999999997</v>
      </c>
      <c r="AU94" s="7" t="s">
        <v>96</v>
      </c>
      <c r="AV94" s="7"/>
    </row>
    <row r="95" spans="1:48" ht="18" customHeight="1" x14ac:dyDescent="0.25">
      <c r="A95" s="10">
        <v>47</v>
      </c>
      <c r="B95" s="10">
        <v>2</v>
      </c>
      <c r="C95" s="10">
        <v>47</v>
      </c>
      <c r="D95" s="86">
        <v>44853</v>
      </c>
      <c r="E95" s="86">
        <v>44859</v>
      </c>
      <c r="F95" s="88" t="b">
        <f t="shared" si="1"/>
        <v>1</v>
      </c>
      <c r="G95" s="86">
        <v>44924</v>
      </c>
      <c r="H95" s="11">
        <v>17512.25</v>
      </c>
      <c r="I95" s="11">
        <v>17656.349999999999</v>
      </c>
      <c r="J95" s="12"/>
      <c r="K95" s="12"/>
      <c r="L95" s="12" t="s">
        <v>44</v>
      </c>
      <c r="M95" s="90"/>
      <c r="N95" s="90"/>
      <c r="O95" s="10">
        <v>17000</v>
      </c>
      <c r="P95" s="12" t="s">
        <v>97</v>
      </c>
      <c r="Q95" s="10">
        <v>65</v>
      </c>
      <c r="R95" s="11">
        <v>298.3</v>
      </c>
      <c r="S95" s="11">
        <v>223.85</v>
      </c>
      <c r="T95" s="13">
        <v>-0.60809999999999997</v>
      </c>
      <c r="U95" s="13">
        <v>0.1525</v>
      </c>
      <c r="V95" s="10">
        <v>0</v>
      </c>
      <c r="W95" s="14">
        <v>0</v>
      </c>
      <c r="X95" s="11">
        <v>-74.45</v>
      </c>
      <c r="Y95" s="14">
        <v>-4.2513097974275164E-3</v>
      </c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 t="s">
        <v>96</v>
      </c>
      <c r="AV95" s="12"/>
    </row>
    <row r="96" spans="1:48" ht="18" customHeight="1" x14ac:dyDescent="0.25">
      <c r="A96" s="4">
        <v>48</v>
      </c>
      <c r="B96" s="4">
        <v>1</v>
      </c>
      <c r="C96" s="4">
        <v>48</v>
      </c>
      <c r="D96" s="85">
        <v>44859</v>
      </c>
      <c r="E96" s="85">
        <v>44865</v>
      </c>
      <c r="F96" s="88" t="b">
        <f t="shared" si="1"/>
        <v>1</v>
      </c>
      <c r="G96" s="85">
        <v>44868</v>
      </c>
      <c r="H96" s="5">
        <v>17656.349999999999</v>
      </c>
      <c r="I96" s="5">
        <v>18012.2</v>
      </c>
      <c r="J96" s="5">
        <v>355.85</v>
      </c>
      <c r="K96" s="6">
        <v>2.0154222135379062E-2</v>
      </c>
      <c r="L96" s="7" t="s">
        <v>34</v>
      </c>
      <c r="M96" s="91">
        <f>MROUND(H96,100)-100</f>
        <v>17600</v>
      </c>
      <c r="N96" s="91">
        <f>M96-O96</f>
        <v>0</v>
      </c>
      <c r="O96" s="4">
        <v>17600</v>
      </c>
      <c r="P96" s="7" t="s">
        <v>95</v>
      </c>
      <c r="Q96" s="4">
        <v>65</v>
      </c>
      <c r="R96" s="5">
        <v>201.05</v>
      </c>
      <c r="S96" s="5">
        <v>420.3</v>
      </c>
      <c r="T96" s="8">
        <v>-1.3083</v>
      </c>
      <c r="U96" s="8">
        <v>7.8200000000000006E-2</v>
      </c>
      <c r="V96" s="5">
        <v>-219.25</v>
      </c>
      <c r="W96" s="6">
        <v>-1.2417628785111309E-2</v>
      </c>
      <c r="X96" s="4">
        <v>0</v>
      </c>
      <c r="Y96" s="6">
        <v>0</v>
      </c>
      <c r="Z96" s="5">
        <v>30982.7</v>
      </c>
      <c r="AA96" s="5">
        <v>31432.3</v>
      </c>
      <c r="AB96" s="5">
        <v>449.6</v>
      </c>
      <c r="AC96" s="5">
        <v>1.4511000000000001</v>
      </c>
      <c r="AD96" s="4">
        <v>6</v>
      </c>
      <c r="AE96" s="5">
        <v>-0.1</v>
      </c>
      <c r="AF96" s="5">
        <v>418.6173</v>
      </c>
      <c r="AG96" s="5">
        <v>1.3511</v>
      </c>
      <c r="AH96" s="8">
        <v>-0.22900000000000001</v>
      </c>
      <c r="AI96" s="8">
        <v>1.4227000000000001</v>
      </c>
      <c r="AJ96" s="15">
        <v>91.8673</v>
      </c>
      <c r="AK96" s="15">
        <v>-0.4995</v>
      </c>
      <c r="AL96" s="5">
        <v>100.2252</v>
      </c>
      <c r="AM96" s="5">
        <v>105.4889</v>
      </c>
      <c r="AN96" s="5">
        <v>-5.2637</v>
      </c>
      <c r="AO96" s="5">
        <v>-4.9897999999999998</v>
      </c>
      <c r="AP96" s="8">
        <v>-0.52669999999999995</v>
      </c>
      <c r="AQ96" s="8">
        <v>-0.2437</v>
      </c>
      <c r="AR96" s="8">
        <v>-0.52669999999999995</v>
      </c>
      <c r="AS96" s="5">
        <v>100.1978</v>
      </c>
      <c r="AT96" s="5">
        <v>-5.0157999999999996</v>
      </c>
      <c r="AU96" s="7" t="s">
        <v>102</v>
      </c>
      <c r="AV96" s="7"/>
    </row>
    <row r="97" spans="1:48" ht="18" customHeight="1" x14ac:dyDescent="0.25">
      <c r="A97" s="10">
        <v>48</v>
      </c>
      <c r="B97" s="10">
        <v>2</v>
      </c>
      <c r="C97" s="10">
        <v>48</v>
      </c>
      <c r="D97" s="86">
        <v>44859</v>
      </c>
      <c r="E97" s="86">
        <v>44865</v>
      </c>
      <c r="F97" s="88" t="b">
        <f t="shared" si="1"/>
        <v>1</v>
      </c>
      <c r="G97" s="86">
        <v>44924</v>
      </c>
      <c r="H97" s="11">
        <v>17656.349999999999</v>
      </c>
      <c r="I97" s="11">
        <v>18012.2</v>
      </c>
      <c r="J97" s="12"/>
      <c r="K97" s="12"/>
      <c r="L97" s="12" t="s">
        <v>44</v>
      </c>
      <c r="M97" s="90"/>
      <c r="N97" s="90"/>
      <c r="O97" s="10">
        <v>17000</v>
      </c>
      <c r="P97" s="12" t="s">
        <v>97</v>
      </c>
      <c r="Q97" s="10">
        <v>65</v>
      </c>
      <c r="R97" s="11">
        <v>223.85</v>
      </c>
      <c r="S97" s="11">
        <v>116.35</v>
      </c>
      <c r="T97" s="13">
        <v>-0.6411</v>
      </c>
      <c r="U97" s="13">
        <v>-9.2899999999999996E-2</v>
      </c>
      <c r="V97" s="10">
        <v>0</v>
      </c>
      <c r="W97" s="14">
        <v>0</v>
      </c>
      <c r="X97" s="11">
        <v>-107.5</v>
      </c>
      <c r="Y97" s="14">
        <v>-6.0884610919017812E-3</v>
      </c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 t="s">
        <v>102</v>
      </c>
      <c r="AV97" s="12"/>
    </row>
    <row r="98" spans="1:48" ht="18" customHeight="1" x14ac:dyDescent="0.25">
      <c r="A98" s="4">
        <v>49</v>
      </c>
      <c r="B98" s="4">
        <v>1</v>
      </c>
      <c r="C98" s="4">
        <v>49</v>
      </c>
      <c r="D98" s="85">
        <v>44865</v>
      </c>
      <c r="E98" s="85">
        <v>44867</v>
      </c>
      <c r="F98" s="88" t="b">
        <f t="shared" si="1"/>
        <v>1</v>
      </c>
      <c r="G98" s="85">
        <v>44868</v>
      </c>
      <c r="H98" s="5">
        <v>18012.2</v>
      </c>
      <c r="I98" s="5">
        <v>18082.849999999999</v>
      </c>
      <c r="J98" s="5">
        <v>70.650000000000006</v>
      </c>
      <c r="K98" s="6">
        <v>3.9223415240781248E-3</v>
      </c>
      <c r="L98" s="7" t="s">
        <v>34</v>
      </c>
      <c r="M98" s="91">
        <f>MROUND(H98,100)-100</f>
        <v>17900</v>
      </c>
      <c r="N98" s="91">
        <f>M98-O98</f>
        <v>0</v>
      </c>
      <c r="O98" s="4">
        <v>17900</v>
      </c>
      <c r="P98" s="7" t="s">
        <v>95</v>
      </c>
      <c r="Q98" s="4">
        <v>65</v>
      </c>
      <c r="R98" s="5">
        <v>169.35</v>
      </c>
      <c r="S98" s="5">
        <v>218.1</v>
      </c>
      <c r="T98" s="8">
        <v>-0.73309999999999997</v>
      </c>
      <c r="U98" s="8">
        <v>-0.108</v>
      </c>
      <c r="V98" s="5">
        <v>-48.75</v>
      </c>
      <c r="W98" s="6">
        <v>-2.706498928504014E-3</v>
      </c>
      <c r="X98" s="4">
        <v>0</v>
      </c>
      <c r="Y98" s="6">
        <v>0</v>
      </c>
      <c r="Z98" s="5">
        <v>31432.3</v>
      </c>
      <c r="AA98" s="4">
        <v>31680</v>
      </c>
      <c r="AB98" s="5">
        <v>247.7</v>
      </c>
      <c r="AC98" s="5">
        <v>0.78800000000000003</v>
      </c>
      <c r="AD98" s="4">
        <v>2</v>
      </c>
      <c r="AE98" s="5">
        <v>-3.3333000000000002E-2</v>
      </c>
      <c r="AF98" s="5">
        <v>237.2226</v>
      </c>
      <c r="AG98" s="5">
        <v>0.75470000000000004</v>
      </c>
      <c r="AH98" s="8">
        <v>0.2329</v>
      </c>
      <c r="AI98" s="8">
        <v>1.2261</v>
      </c>
      <c r="AJ98" s="15">
        <v>180.9726</v>
      </c>
      <c r="AK98" s="15">
        <v>0.44240000000000002</v>
      </c>
      <c r="AL98" s="5">
        <v>100.6686</v>
      </c>
      <c r="AM98" s="5">
        <v>105.4889</v>
      </c>
      <c r="AN98" s="5">
        <v>-4.8202999999999996</v>
      </c>
      <c r="AO98" s="5">
        <v>-4.5694999999999997</v>
      </c>
      <c r="AP98" s="8">
        <v>0.37219999999999998</v>
      </c>
      <c r="AQ98" s="8">
        <v>0.1085</v>
      </c>
      <c r="AR98" s="8">
        <v>0.1085</v>
      </c>
      <c r="AS98" s="5">
        <v>100.3339</v>
      </c>
      <c r="AT98" s="5">
        <v>-4.8868</v>
      </c>
      <c r="AU98" s="7" t="s">
        <v>96</v>
      </c>
      <c r="AV98" s="7"/>
    </row>
    <row r="99" spans="1:48" ht="18" customHeight="1" x14ac:dyDescent="0.25">
      <c r="A99" s="10">
        <v>49</v>
      </c>
      <c r="B99" s="10">
        <v>2</v>
      </c>
      <c r="C99" s="10">
        <v>49</v>
      </c>
      <c r="D99" s="86">
        <v>44865</v>
      </c>
      <c r="E99" s="86">
        <v>44867</v>
      </c>
      <c r="F99" s="88" t="b">
        <f t="shared" si="1"/>
        <v>1</v>
      </c>
      <c r="G99" s="86">
        <v>44924</v>
      </c>
      <c r="H99" s="11">
        <v>18012.2</v>
      </c>
      <c r="I99" s="11">
        <v>18082.849999999999</v>
      </c>
      <c r="J99" s="12"/>
      <c r="K99" s="12"/>
      <c r="L99" s="12" t="s">
        <v>44</v>
      </c>
      <c r="M99" s="90"/>
      <c r="N99" s="90"/>
      <c r="O99" s="10">
        <v>17000</v>
      </c>
      <c r="P99" s="12" t="s">
        <v>97</v>
      </c>
      <c r="Q99" s="10">
        <v>65</v>
      </c>
      <c r="R99" s="11">
        <v>116.35</v>
      </c>
      <c r="S99" s="11">
        <v>108.85</v>
      </c>
      <c r="T99" s="13">
        <v>-0.1208</v>
      </c>
      <c r="U99" s="13">
        <v>-1.6400000000000001E-2</v>
      </c>
      <c r="V99" s="10">
        <v>0</v>
      </c>
      <c r="W99" s="14">
        <v>0</v>
      </c>
      <c r="X99" s="11">
        <v>-7.5</v>
      </c>
      <c r="Y99" s="14">
        <v>-4.1638445053907898E-4</v>
      </c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 t="s">
        <v>96</v>
      </c>
      <c r="AV99" s="12"/>
    </row>
    <row r="100" spans="1:48" ht="18" customHeight="1" x14ac:dyDescent="0.25">
      <c r="A100" s="4">
        <v>50</v>
      </c>
      <c r="B100" s="4">
        <v>1</v>
      </c>
      <c r="C100" s="4">
        <v>50</v>
      </c>
      <c r="D100" s="85">
        <v>44867</v>
      </c>
      <c r="E100" s="85">
        <v>44872</v>
      </c>
      <c r="F100" s="88" t="b">
        <f t="shared" si="1"/>
        <v>1</v>
      </c>
      <c r="G100" s="85">
        <v>44875</v>
      </c>
      <c r="H100" s="5">
        <v>18082.849999999999</v>
      </c>
      <c r="I100" s="5">
        <v>18202.8</v>
      </c>
      <c r="J100" s="5">
        <v>119.95</v>
      </c>
      <c r="K100" s="6">
        <v>6.6333570206023942E-3</v>
      </c>
      <c r="L100" s="7" t="s">
        <v>34</v>
      </c>
      <c r="M100" s="91">
        <f>MROUND(H100,100)-100</f>
        <v>18000</v>
      </c>
      <c r="N100" s="91">
        <f>M100-O100</f>
        <v>0</v>
      </c>
      <c r="O100" s="4">
        <v>18000</v>
      </c>
      <c r="P100" s="7" t="s">
        <v>95</v>
      </c>
      <c r="Q100" s="4">
        <v>65</v>
      </c>
      <c r="R100" s="5">
        <v>239.7</v>
      </c>
      <c r="S100" s="5">
        <v>233.6</v>
      </c>
      <c r="T100" s="8">
        <v>-0.29809999999999998</v>
      </c>
      <c r="U100" s="8">
        <v>0.55410000000000004</v>
      </c>
      <c r="V100" s="5">
        <v>6.1</v>
      </c>
      <c r="W100" s="6">
        <v>3.3733620529949652E-4</v>
      </c>
      <c r="X100" s="4">
        <v>0</v>
      </c>
      <c r="Y100" s="6">
        <v>0</v>
      </c>
      <c r="Z100" s="4">
        <v>31680</v>
      </c>
      <c r="AA100" s="5">
        <v>31963.599999999999</v>
      </c>
      <c r="AB100" s="5">
        <v>283.60000000000002</v>
      </c>
      <c r="AC100" s="5">
        <v>0.8952</v>
      </c>
      <c r="AD100" s="4">
        <v>5</v>
      </c>
      <c r="AE100" s="5">
        <v>-8.3333000000000004E-2</v>
      </c>
      <c r="AF100" s="5">
        <v>257.2</v>
      </c>
      <c r="AG100" s="5">
        <v>0.81189999999999996</v>
      </c>
      <c r="AH100" s="8">
        <v>-0.50690000000000002</v>
      </c>
      <c r="AI100" s="8">
        <v>0.8952</v>
      </c>
      <c r="AJ100" s="15">
        <v>179.65</v>
      </c>
      <c r="AK100" s="15">
        <v>0.38300000000000001</v>
      </c>
      <c r="AL100" s="5">
        <v>101.05410000000001</v>
      </c>
      <c r="AM100" s="5">
        <v>105.4889</v>
      </c>
      <c r="AN100" s="5">
        <v>-4.4348000000000001</v>
      </c>
      <c r="AO100" s="5">
        <v>-4.2039999999999997</v>
      </c>
      <c r="AP100" s="8">
        <v>0.10349999999999999</v>
      </c>
      <c r="AQ100" s="8">
        <v>0.2626</v>
      </c>
      <c r="AR100" s="8">
        <v>0.10349999999999999</v>
      </c>
      <c r="AS100" s="5">
        <v>100.7728</v>
      </c>
      <c r="AT100" s="5">
        <v>-4.4706999999999999</v>
      </c>
      <c r="AU100" s="7" t="s">
        <v>103</v>
      </c>
      <c r="AV100" s="7"/>
    </row>
    <row r="101" spans="1:48" ht="18" customHeight="1" x14ac:dyDescent="0.25">
      <c r="A101" s="10">
        <v>50</v>
      </c>
      <c r="B101" s="10">
        <v>2</v>
      </c>
      <c r="C101" s="10">
        <v>50</v>
      </c>
      <c r="D101" s="86">
        <v>44867</v>
      </c>
      <c r="E101" s="86">
        <v>44872</v>
      </c>
      <c r="F101" s="88" t="b">
        <f t="shared" si="1"/>
        <v>1</v>
      </c>
      <c r="G101" s="86">
        <v>44924</v>
      </c>
      <c r="H101" s="11">
        <v>18082.849999999999</v>
      </c>
      <c r="I101" s="11">
        <v>18202.8</v>
      </c>
      <c r="J101" s="12"/>
      <c r="K101" s="12"/>
      <c r="L101" s="12" t="s">
        <v>44</v>
      </c>
      <c r="M101" s="90"/>
      <c r="N101" s="90"/>
      <c r="O101" s="10">
        <v>18000</v>
      </c>
      <c r="P101" s="12" t="s">
        <v>97</v>
      </c>
      <c r="Q101" s="10">
        <v>65</v>
      </c>
      <c r="R101" s="11">
        <v>343.25</v>
      </c>
      <c r="S101" s="11">
        <v>259.60000000000002</v>
      </c>
      <c r="T101" s="13">
        <v>-0.49359999999999998</v>
      </c>
      <c r="U101" s="13">
        <v>0.21540000000000001</v>
      </c>
      <c r="V101" s="10">
        <v>0</v>
      </c>
      <c r="W101" s="14">
        <v>0</v>
      </c>
      <c r="X101" s="11">
        <v>-83.65</v>
      </c>
      <c r="Y101" s="14">
        <v>-4.6259300939840804E-3</v>
      </c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 t="s">
        <v>103</v>
      </c>
      <c r="AV101" s="12"/>
    </row>
    <row r="102" spans="1:48" ht="18" customHeight="1" x14ac:dyDescent="0.25">
      <c r="A102" s="4">
        <v>51</v>
      </c>
      <c r="B102" s="4">
        <v>1</v>
      </c>
      <c r="C102" s="4">
        <v>51</v>
      </c>
      <c r="D102" s="85">
        <v>44872</v>
      </c>
      <c r="E102" s="85">
        <v>44874</v>
      </c>
      <c r="F102" s="88" t="b">
        <f t="shared" si="1"/>
        <v>1</v>
      </c>
      <c r="G102" s="85">
        <v>44875</v>
      </c>
      <c r="H102" s="5">
        <v>18202.8</v>
      </c>
      <c r="I102" s="4">
        <v>18157</v>
      </c>
      <c r="J102" s="5">
        <v>-45.8</v>
      </c>
      <c r="K102" s="6">
        <v>-2.5160964247258658E-3</v>
      </c>
      <c r="L102" s="7" t="s">
        <v>34</v>
      </c>
      <c r="M102" s="91">
        <f>MROUND(H102,100)-100</f>
        <v>18100</v>
      </c>
      <c r="N102" s="91">
        <f>M102-O102</f>
        <v>100</v>
      </c>
      <c r="O102" s="4">
        <v>18000</v>
      </c>
      <c r="P102" s="7" t="s">
        <v>95</v>
      </c>
      <c r="Q102" s="4">
        <v>65</v>
      </c>
      <c r="R102" s="5">
        <v>233.6</v>
      </c>
      <c r="S102" s="5">
        <v>177.3</v>
      </c>
      <c r="T102" s="8">
        <v>-0.40079999999999999</v>
      </c>
      <c r="U102" s="8">
        <v>0.4667</v>
      </c>
      <c r="V102" s="5">
        <v>56.3</v>
      </c>
      <c r="W102" s="6">
        <v>3.0929307579053772E-3</v>
      </c>
      <c r="X102" s="4">
        <v>0</v>
      </c>
      <c r="Y102" s="6">
        <v>0</v>
      </c>
      <c r="Z102" s="5">
        <v>31963.599999999999</v>
      </c>
      <c r="AA102" s="5">
        <v>31726.3</v>
      </c>
      <c r="AB102" s="5">
        <v>-237.3</v>
      </c>
      <c r="AC102" s="5">
        <v>-0.74239999999999995</v>
      </c>
      <c r="AD102" s="4">
        <v>2</v>
      </c>
      <c r="AE102" s="5">
        <v>-3.3333000000000002E-2</v>
      </c>
      <c r="AF102" s="5">
        <v>-247.9545</v>
      </c>
      <c r="AG102" s="5">
        <v>-0.77569999999999995</v>
      </c>
      <c r="AH102" s="8">
        <v>-0.94410000000000005</v>
      </c>
      <c r="AI102" s="8">
        <v>0.33560000000000001</v>
      </c>
      <c r="AJ102" s="9">
        <v>-177.9545</v>
      </c>
      <c r="AK102" s="9">
        <v>-0.3911</v>
      </c>
      <c r="AL102" s="5">
        <v>100.6589</v>
      </c>
      <c r="AM102" s="5">
        <v>105.4889</v>
      </c>
      <c r="AN102" s="5">
        <v>-4.83</v>
      </c>
      <c r="AO102" s="5">
        <v>-4.5787000000000004</v>
      </c>
      <c r="AP102" s="8">
        <v>-0.22750000000000001</v>
      </c>
      <c r="AQ102" s="8">
        <v>-0.33950000000000002</v>
      </c>
      <c r="AR102" s="8">
        <v>-0.3911</v>
      </c>
      <c r="AS102" s="5">
        <v>100.6589</v>
      </c>
      <c r="AT102" s="5">
        <v>-4.5787000000000004</v>
      </c>
      <c r="AU102" s="7" t="s">
        <v>96</v>
      </c>
      <c r="AV102" s="7"/>
    </row>
    <row r="103" spans="1:48" ht="18" customHeight="1" x14ac:dyDescent="0.25">
      <c r="A103" s="10">
        <v>51</v>
      </c>
      <c r="B103" s="10">
        <v>2</v>
      </c>
      <c r="C103" s="10">
        <v>51</v>
      </c>
      <c r="D103" s="86">
        <v>44872</v>
      </c>
      <c r="E103" s="86">
        <v>44874</v>
      </c>
      <c r="F103" s="88" t="b">
        <f t="shared" si="1"/>
        <v>1</v>
      </c>
      <c r="G103" s="86">
        <v>44924</v>
      </c>
      <c r="H103" s="11">
        <v>18202.8</v>
      </c>
      <c r="I103" s="10">
        <v>18157</v>
      </c>
      <c r="J103" s="12"/>
      <c r="K103" s="12"/>
      <c r="L103" s="12" t="s">
        <v>44</v>
      </c>
      <c r="M103" s="90"/>
      <c r="N103" s="90"/>
      <c r="O103" s="10">
        <v>18000</v>
      </c>
      <c r="P103" s="12" t="s">
        <v>97</v>
      </c>
      <c r="Q103" s="10">
        <v>65</v>
      </c>
      <c r="R103" s="11">
        <v>259.60000000000002</v>
      </c>
      <c r="S103" s="11">
        <v>273.3</v>
      </c>
      <c r="T103" s="13">
        <v>-0.1623</v>
      </c>
      <c r="U103" s="13">
        <v>0.13789999999999999</v>
      </c>
      <c r="V103" s="10">
        <v>0</v>
      </c>
      <c r="W103" s="14">
        <v>0</v>
      </c>
      <c r="X103" s="11">
        <v>13.7</v>
      </c>
      <c r="Y103" s="14">
        <v>7.5263146329136179E-4</v>
      </c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 t="s">
        <v>96</v>
      </c>
      <c r="AV103" s="12"/>
    </row>
    <row r="104" spans="1:48" ht="18" customHeight="1" x14ac:dyDescent="0.25">
      <c r="A104" s="4">
        <v>52</v>
      </c>
      <c r="B104" s="4">
        <v>1</v>
      </c>
      <c r="C104" s="4">
        <v>52</v>
      </c>
      <c r="D104" s="85">
        <v>44874</v>
      </c>
      <c r="E104" s="85">
        <v>44881</v>
      </c>
      <c r="F104" s="88" t="b">
        <f t="shared" si="1"/>
        <v>1</v>
      </c>
      <c r="G104" s="85">
        <v>44882</v>
      </c>
      <c r="H104" s="4">
        <v>18157</v>
      </c>
      <c r="I104" s="5">
        <v>18409.650000000001</v>
      </c>
      <c r="J104" s="5">
        <v>252.65</v>
      </c>
      <c r="K104" s="6">
        <v>1.3914743625048191E-2</v>
      </c>
      <c r="L104" s="7" t="s">
        <v>34</v>
      </c>
      <c r="M104" s="91">
        <f>MROUND(H104,100)-100</f>
        <v>18100</v>
      </c>
      <c r="N104" s="91">
        <f>M104-O104</f>
        <v>0</v>
      </c>
      <c r="O104" s="4">
        <v>18100</v>
      </c>
      <c r="P104" s="7" t="s">
        <v>95</v>
      </c>
      <c r="Q104" s="4">
        <v>65</v>
      </c>
      <c r="R104" s="5">
        <v>200.85</v>
      </c>
      <c r="S104" s="5">
        <v>312.89999999999998</v>
      </c>
      <c r="T104" s="8">
        <v>-0.83360000000000001</v>
      </c>
      <c r="U104" s="8">
        <v>0.61990000000000001</v>
      </c>
      <c r="V104" s="5">
        <v>-112.05</v>
      </c>
      <c r="W104" s="6">
        <v>-6.1711736520350278E-3</v>
      </c>
      <c r="X104" s="4">
        <v>0</v>
      </c>
      <c r="Y104" s="6">
        <v>0</v>
      </c>
      <c r="Z104" s="5">
        <v>31726.3</v>
      </c>
      <c r="AA104" s="5">
        <v>31197.9</v>
      </c>
      <c r="AB104" s="5">
        <v>-528.4</v>
      </c>
      <c r="AC104" s="5">
        <v>-1.6655</v>
      </c>
      <c r="AD104" s="4">
        <v>7</v>
      </c>
      <c r="AE104" s="5">
        <v>-0.11666700000000001</v>
      </c>
      <c r="AF104" s="5">
        <v>-565.41399999999999</v>
      </c>
      <c r="AG104" s="5">
        <v>-1.7822</v>
      </c>
      <c r="AH104" s="8">
        <v>-2.1707999999999998</v>
      </c>
      <c r="AI104" s="8">
        <v>0.29349999999999998</v>
      </c>
      <c r="AJ104" s="9">
        <v>-794.61400000000003</v>
      </c>
      <c r="AK104" s="9">
        <v>-3.0445000000000002</v>
      </c>
      <c r="AL104" s="5">
        <v>97.594300000000004</v>
      </c>
      <c r="AM104" s="5">
        <v>105.4889</v>
      </c>
      <c r="AN104" s="5">
        <v>-7.8945999999999996</v>
      </c>
      <c r="AO104" s="5">
        <v>-7.4837999999999996</v>
      </c>
      <c r="AP104" s="8">
        <v>-1.3169</v>
      </c>
      <c r="AQ104" s="8">
        <v>-1.2254</v>
      </c>
      <c r="AR104" s="8">
        <v>-3.0445000000000002</v>
      </c>
      <c r="AS104" s="5">
        <v>97.594300000000004</v>
      </c>
      <c r="AT104" s="5">
        <v>-7.4837999999999996</v>
      </c>
      <c r="AU104" s="7" t="s">
        <v>96</v>
      </c>
      <c r="AV104" s="7"/>
    </row>
    <row r="105" spans="1:48" ht="18" customHeight="1" x14ac:dyDescent="0.25">
      <c r="A105" s="10">
        <v>52</v>
      </c>
      <c r="B105" s="10">
        <v>2</v>
      </c>
      <c r="C105" s="10">
        <v>52</v>
      </c>
      <c r="D105" s="86">
        <v>44874</v>
      </c>
      <c r="E105" s="86">
        <v>44881</v>
      </c>
      <c r="F105" s="88" t="b">
        <f t="shared" si="1"/>
        <v>1</v>
      </c>
      <c r="G105" s="86">
        <v>44924</v>
      </c>
      <c r="H105" s="10">
        <v>18157</v>
      </c>
      <c r="I105" s="11">
        <v>18409.650000000001</v>
      </c>
      <c r="J105" s="12"/>
      <c r="K105" s="12"/>
      <c r="L105" s="12" t="s">
        <v>44</v>
      </c>
      <c r="M105" s="90"/>
      <c r="N105" s="90"/>
      <c r="O105" s="10">
        <v>18000</v>
      </c>
      <c r="P105" s="12" t="s">
        <v>97</v>
      </c>
      <c r="Q105" s="10">
        <v>65</v>
      </c>
      <c r="R105" s="11">
        <v>273.3</v>
      </c>
      <c r="S105" s="11">
        <v>156.15</v>
      </c>
      <c r="T105" s="13">
        <v>-0.77680000000000005</v>
      </c>
      <c r="U105" s="13">
        <v>0.32550000000000001</v>
      </c>
      <c r="V105" s="10">
        <v>0</v>
      </c>
      <c r="W105" s="14">
        <v>0</v>
      </c>
      <c r="X105" s="11">
        <v>-117.15</v>
      </c>
      <c r="Y105" s="14">
        <v>-6.4520570578840116E-3</v>
      </c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 t="s">
        <v>96</v>
      </c>
      <c r="AV105" s="12"/>
    </row>
    <row r="106" spans="1:48" ht="18" customHeight="1" x14ac:dyDescent="0.25">
      <c r="A106" s="4">
        <v>53</v>
      </c>
      <c r="B106" s="4">
        <v>1</v>
      </c>
      <c r="C106" s="4">
        <v>53</v>
      </c>
      <c r="D106" s="85">
        <v>44881</v>
      </c>
      <c r="E106" s="85">
        <v>44888</v>
      </c>
      <c r="F106" s="88" t="b">
        <f t="shared" si="1"/>
        <v>1</v>
      </c>
      <c r="G106" s="85">
        <v>44889</v>
      </c>
      <c r="H106" s="5">
        <v>18409.650000000001</v>
      </c>
      <c r="I106" s="5">
        <v>18267.25</v>
      </c>
      <c r="J106" s="5">
        <v>-142.4</v>
      </c>
      <c r="K106" s="6">
        <v>-7.73507372492144E-3</v>
      </c>
      <c r="L106" s="7" t="s">
        <v>34</v>
      </c>
      <c r="M106" s="91">
        <f>MROUND(H106,100)-100</f>
        <v>18300</v>
      </c>
      <c r="N106" s="91">
        <f>M106-O106</f>
        <v>0</v>
      </c>
      <c r="O106" s="4">
        <v>18300</v>
      </c>
      <c r="P106" s="7" t="s">
        <v>95</v>
      </c>
      <c r="Q106" s="4">
        <v>65</v>
      </c>
      <c r="R106" s="5">
        <v>233.1</v>
      </c>
      <c r="S106" s="5">
        <v>38.299999999999997</v>
      </c>
      <c r="T106" s="8">
        <v>-3.0000000000000001E-3</v>
      </c>
      <c r="U106" s="8">
        <v>1.1379999999999999</v>
      </c>
      <c r="V106" s="5">
        <v>194.8</v>
      </c>
      <c r="W106" s="6">
        <v>1.058140703381107E-2</v>
      </c>
      <c r="X106" s="4">
        <v>0</v>
      </c>
      <c r="Y106" s="6">
        <v>0</v>
      </c>
      <c r="Z106" s="5">
        <v>31197.9</v>
      </c>
      <c r="AA106" s="5">
        <v>31150.65</v>
      </c>
      <c r="AB106" s="5">
        <v>-47.25</v>
      </c>
      <c r="AC106" s="5">
        <v>-0.1515</v>
      </c>
      <c r="AD106" s="4">
        <v>7</v>
      </c>
      <c r="AE106" s="5">
        <v>-0.11666700000000001</v>
      </c>
      <c r="AF106" s="5">
        <v>-83.647599999999997</v>
      </c>
      <c r="AG106" s="5">
        <v>-0.2681</v>
      </c>
      <c r="AH106" s="8">
        <v>-1.4661999999999999</v>
      </c>
      <c r="AI106" s="8">
        <v>1.4E-3</v>
      </c>
      <c r="AJ106" s="15">
        <v>99.302400000000006</v>
      </c>
      <c r="AK106" s="15">
        <v>0.72570000000000001</v>
      </c>
      <c r="AL106" s="5">
        <v>98.302599999999998</v>
      </c>
      <c r="AM106" s="5">
        <v>105.4889</v>
      </c>
      <c r="AN106" s="5">
        <v>-7.1863000000000001</v>
      </c>
      <c r="AO106" s="5">
        <v>-6.8124000000000002</v>
      </c>
      <c r="AP106" s="8">
        <v>-0.30609999999999998</v>
      </c>
      <c r="AQ106" s="8">
        <v>-5.3600000000000002E-2</v>
      </c>
      <c r="AR106" s="8">
        <v>-0.30609999999999998</v>
      </c>
      <c r="AS106" s="5">
        <v>97.295599999999993</v>
      </c>
      <c r="AT106" s="5">
        <v>-7.7670000000000003</v>
      </c>
      <c r="AU106" s="7" t="s">
        <v>96</v>
      </c>
      <c r="AV106" s="7"/>
    </row>
    <row r="107" spans="1:48" ht="18" customHeight="1" x14ac:dyDescent="0.25">
      <c r="A107" s="10">
        <v>53</v>
      </c>
      <c r="B107" s="10">
        <v>2</v>
      </c>
      <c r="C107" s="10">
        <v>53</v>
      </c>
      <c r="D107" s="86">
        <v>44881</v>
      </c>
      <c r="E107" s="86">
        <v>44888</v>
      </c>
      <c r="F107" s="88" t="b">
        <f t="shared" si="1"/>
        <v>1</v>
      </c>
      <c r="G107" s="86">
        <v>44924</v>
      </c>
      <c r="H107" s="11">
        <v>18409.650000000001</v>
      </c>
      <c r="I107" s="11">
        <v>18267.25</v>
      </c>
      <c r="J107" s="12"/>
      <c r="K107" s="12"/>
      <c r="L107" s="12" t="s">
        <v>44</v>
      </c>
      <c r="M107" s="90"/>
      <c r="N107" s="90"/>
      <c r="O107" s="10">
        <v>18000</v>
      </c>
      <c r="P107" s="12" t="s">
        <v>97</v>
      </c>
      <c r="Q107" s="10">
        <v>65</v>
      </c>
      <c r="R107" s="11">
        <v>156.15</v>
      </c>
      <c r="S107" s="11">
        <v>144.30000000000001</v>
      </c>
      <c r="T107" s="13">
        <v>-0.30449999999999999</v>
      </c>
      <c r="U107" s="13">
        <v>0.27460000000000001</v>
      </c>
      <c r="V107" s="10">
        <v>0</v>
      </c>
      <c r="W107" s="14">
        <v>0</v>
      </c>
      <c r="X107" s="11">
        <v>-11.85</v>
      </c>
      <c r="Y107" s="14">
        <v>-6.4368415477752147E-4</v>
      </c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 t="s">
        <v>96</v>
      </c>
      <c r="AV107" s="12"/>
    </row>
    <row r="108" spans="1:48" ht="18" customHeight="1" x14ac:dyDescent="0.25">
      <c r="A108" s="4">
        <v>54</v>
      </c>
      <c r="B108" s="4">
        <v>1</v>
      </c>
      <c r="C108" s="4">
        <v>54</v>
      </c>
      <c r="D108" s="85">
        <v>44888</v>
      </c>
      <c r="E108" s="85">
        <v>44895</v>
      </c>
      <c r="F108" s="88" t="b">
        <f t="shared" si="1"/>
        <v>1</v>
      </c>
      <c r="G108" s="85">
        <v>44896</v>
      </c>
      <c r="H108" s="5">
        <v>18267.25</v>
      </c>
      <c r="I108" s="5">
        <v>18758.349999999999</v>
      </c>
      <c r="J108" s="5">
        <v>491.1</v>
      </c>
      <c r="K108" s="6">
        <v>2.6884177968769251E-2</v>
      </c>
      <c r="L108" s="7" t="s">
        <v>34</v>
      </c>
      <c r="M108" s="91">
        <f>MROUND(H108,100)-100</f>
        <v>18200</v>
      </c>
      <c r="N108" s="91">
        <f>M108-O108</f>
        <v>0</v>
      </c>
      <c r="O108" s="4">
        <v>18200</v>
      </c>
      <c r="P108" s="7" t="s">
        <v>95</v>
      </c>
      <c r="Q108" s="4">
        <v>65</v>
      </c>
      <c r="R108" s="5">
        <v>188.7</v>
      </c>
      <c r="S108" s="5">
        <v>552.4</v>
      </c>
      <c r="T108" s="8">
        <v>-2.1949000000000001</v>
      </c>
      <c r="U108" s="8">
        <v>9.5999999999999992E-3</v>
      </c>
      <c r="V108" s="5">
        <v>-363.7</v>
      </c>
      <c r="W108" s="6">
        <v>-1.9909948131218439E-2</v>
      </c>
      <c r="X108" s="4">
        <v>0</v>
      </c>
      <c r="Y108" s="6">
        <v>0</v>
      </c>
      <c r="Z108" s="5">
        <v>31150.65</v>
      </c>
      <c r="AA108" s="5">
        <v>32037.9</v>
      </c>
      <c r="AB108" s="5">
        <v>887.25</v>
      </c>
      <c r="AC108" s="5">
        <v>2.8483000000000001</v>
      </c>
      <c r="AD108" s="4">
        <v>7</v>
      </c>
      <c r="AE108" s="5">
        <v>-0.11666700000000001</v>
      </c>
      <c r="AF108" s="5">
        <v>850.9076</v>
      </c>
      <c r="AG108" s="5">
        <v>2.7315999999999998</v>
      </c>
      <c r="AH108" s="8">
        <v>0.1178</v>
      </c>
      <c r="AI108" s="8">
        <v>2.9929000000000001</v>
      </c>
      <c r="AJ108" s="15">
        <v>339.95760000000001</v>
      </c>
      <c r="AK108" s="15">
        <v>-6.5500000000000003E-2</v>
      </c>
      <c r="AL108" s="5">
        <v>98.238200000000006</v>
      </c>
      <c r="AM108" s="5">
        <v>105.4889</v>
      </c>
      <c r="AN108" s="5">
        <v>-7.2507000000000001</v>
      </c>
      <c r="AO108" s="5">
        <v>-6.8734000000000002</v>
      </c>
      <c r="AP108" s="8">
        <v>-6.7199999999999996E-2</v>
      </c>
      <c r="AQ108" s="8">
        <v>5.6000000000000001E-2</v>
      </c>
      <c r="AR108" s="8">
        <v>-6.7199999999999996E-2</v>
      </c>
      <c r="AS108" s="5">
        <v>98.236500000000007</v>
      </c>
      <c r="AT108" s="5">
        <v>-6.875</v>
      </c>
      <c r="AU108" s="7" t="s">
        <v>99</v>
      </c>
      <c r="AV108" s="7"/>
    </row>
    <row r="109" spans="1:48" ht="18" customHeight="1" x14ac:dyDescent="0.25">
      <c r="A109" s="10">
        <v>54</v>
      </c>
      <c r="B109" s="10">
        <v>2</v>
      </c>
      <c r="C109" s="10">
        <v>54</v>
      </c>
      <c r="D109" s="86">
        <v>44888</v>
      </c>
      <c r="E109" s="86">
        <v>44895</v>
      </c>
      <c r="F109" s="88" t="b">
        <f t="shared" si="1"/>
        <v>1</v>
      </c>
      <c r="G109" s="86">
        <v>45105</v>
      </c>
      <c r="H109" s="11">
        <v>18267.25</v>
      </c>
      <c r="I109" s="11">
        <v>18758.349999999999</v>
      </c>
      <c r="J109" s="12"/>
      <c r="K109" s="12"/>
      <c r="L109" s="12" t="s">
        <v>44</v>
      </c>
      <c r="M109" s="90"/>
      <c r="N109" s="90"/>
      <c r="O109" s="10">
        <v>18000</v>
      </c>
      <c r="P109" s="12" t="s">
        <v>97</v>
      </c>
      <c r="Q109" s="10">
        <v>65</v>
      </c>
      <c r="R109" s="11">
        <v>548.04999999999995</v>
      </c>
      <c r="S109" s="11">
        <v>400.8</v>
      </c>
      <c r="T109" s="13">
        <v>-0.86519999999999997</v>
      </c>
      <c r="U109" s="13">
        <v>-7.1400000000000005E-2</v>
      </c>
      <c r="V109" s="10">
        <v>0</v>
      </c>
      <c r="W109" s="14">
        <v>0</v>
      </c>
      <c r="X109" s="11">
        <v>-147.25</v>
      </c>
      <c r="Y109" s="14">
        <v>-8.060873968440789E-3</v>
      </c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 t="s">
        <v>99</v>
      </c>
      <c r="AV109" s="12"/>
    </row>
    <row r="110" spans="1:48" ht="18" customHeight="1" x14ac:dyDescent="0.25">
      <c r="A110" s="4">
        <v>55</v>
      </c>
      <c r="B110" s="4">
        <v>1</v>
      </c>
      <c r="C110" s="4">
        <v>55</v>
      </c>
      <c r="D110" s="85">
        <v>44895</v>
      </c>
      <c r="E110" s="85">
        <v>44902</v>
      </c>
      <c r="F110" s="88" t="b">
        <f t="shared" si="1"/>
        <v>1</v>
      </c>
      <c r="G110" s="85">
        <v>44903</v>
      </c>
      <c r="H110" s="5">
        <v>18758.349999999999</v>
      </c>
      <c r="I110" s="5">
        <v>18560.5</v>
      </c>
      <c r="J110" s="5">
        <v>-197.85</v>
      </c>
      <c r="K110" s="6">
        <v>-1.0547302934426539E-2</v>
      </c>
      <c r="L110" s="7" t="s">
        <v>34</v>
      </c>
      <c r="M110" s="91">
        <f>MROUND(H110,100)-100</f>
        <v>18700</v>
      </c>
      <c r="N110" s="91">
        <f>M110-O110</f>
        <v>0</v>
      </c>
      <c r="O110" s="4">
        <v>18700</v>
      </c>
      <c r="P110" s="7" t="s">
        <v>95</v>
      </c>
      <c r="Q110" s="4">
        <v>65</v>
      </c>
      <c r="R110" s="5">
        <v>167.75</v>
      </c>
      <c r="S110" s="5">
        <v>20.55</v>
      </c>
      <c r="T110" s="8">
        <v>-0.49099999999999999</v>
      </c>
      <c r="U110" s="8">
        <v>0.80900000000000005</v>
      </c>
      <c r="V110" s="5">
        <v>147.19999999999999</v>
      </c>
      <c r="W110" s="6">
        <v>7.8471720593762239E-3</v>
      </c>
      <c r="X110" s="4">
        <v>0</v>
      </c>
      <c r="Y110" s="6">
        <v>0</v>
      </c>
      <c r="Z110" s="5">
        <v>32037.9</v>
      </c>
      <c r="AA110" s="5">
        <v>32308.3</v>
      </c>
      <c r="AB110" s="5">
        <v>270.39999999999998</v>
      </c>
      <c r="AC110" s="5">
        <v>0.84399999999999997</v>
      </c>
      <c r="AD110" s="4">
        <v>7</v>
      </c>
      <c r="AE110" s="5">
        <v>-0.11666700000000001</v>
      </c>
      <c r="AF110" s="5">
        <v>233.0224</v>
      </c>
      <c r="AG110" s="5">
        <v>0.72729999999999995</v>
      </c>
      <c r="AH110" s="8">
        <v>0.12690000000000001</v>
      </c>
      <c r="AI110" s="8">
        <v>1.9362999999999999</v>
      </c>
      <c r="AJ110" s="15">
        <v>366.07240000000002</v>
      </c>
      <c r="AK110" s="15">
        <v>1.4366000000000001</v>
      </c>
      <c r="AL110" s="5">
        <v>99.649500000000003</v>
      </c>
      <c r="AM110" s="5">
        <v>105.4889</v>
      </c>
      <c r="AN110" s="5">
        <v>-5.8394000000000004</v>
      </c>
      <c r="AO110" s="5">
        <v>-5.5355999999999996</v>
      </c>
      <c r="AP110" s="8">
        <v>0.9133</v>
      </c>
      <c r="AQ110" s="8">
        <v>0.92520000000000002</v>
      </c>
      <c r="AR110" s="8">
        <v>0.9133</v>
      </c>
      <c r="AS110" s="5">
        <v>99.135400000000004</v>
      </c>
      <c r="AT110" s="5">
        <v>-6.0228999999999999</v>
      </c>
      <c r="AU110" s="7" t="s">
        <v>96</v>
      </c>
      <c r="AV110" s="7"/>
    </row>
    <row r="111" spans="1:48" ht="18" customHeight="1" x14ac:dyDescent="0.25">
      <c r="A111" s="10">
        <v>55</v>
      </c>
      <c r="B111" s="10">
        <v>2</v>
      </c>
      <c r="C111" s="10">
        <v>55</v>
      </c>
      <c r="D111" s="86">
        <v>44895</v>
      </c>
      <c r="E111" s="86">
        <v>44902</v>
      </c>
      <c r="F111" s="88" t="b">
        <f t="shared" si="1"/>
        <v>1</v>
      </c>
      <c r="G111" s="86">
        <v>45105</v>
      </c>
      <c r="H111" s="11">
        <v>18758.349999999999</v>
      </c>
      <c r="I111" s="11">
        <v>18560.5</v>
      </c>
      <c r="J111" s="12"/>
      <c r="K111" s="12"/>
      <c r="L111" s="12" t="s">
        <v>44</v>
      </c>
      <c r="M111" s="90"/>
      <c r="N111" s="90"/>
      <c r="O111" s="10">
        <v>18000</v>
      </c>
      <c r="P111" s="12" t="s">
        <v>97</v>
      </c>
      <c r="Q111" s="10">
        <v>65</v>
      </c>
      <c r="R111" s="11">
        <v>400.8</v>
      </c>
      <c r="S111" s="11">
        <v>386.65</v>
      </c>
      <c r="T111" s="13">
        <v>-0.53200000000000003</v>
      </c>
      <c r="U111" s="13">
        <v>-1.0699999999999999E-2</v>
      </c>
      <c r="V111" s="10">
        <v>0</v>
      </c>
      <c r="W111" s="14">
        <v>0</v>
      </c>
      <c r="X111" s="11">
        <v>-14.15</v>
      </c>
      <c r="Y111" s="14">
        <v>-7.543307380446575E-4</v>
      </c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 t="s">
        <v>96</v>
      </c>
      <c r="AV111" s="12"/>
    </row>
    <row r="112" spans="1:48" ht="18" customHeight="1" x14ac:dyDescent="0.25">
      <c r="A112" s="4">
        <v>56</v>
      </c>
      <c r="B112" s="4">
        <v>1</v>
      </c>
      <c r="C112" s="4">
        <v>56</v>
      </c>
      <c r="D112" s="85">
        <v>44902</v>
      </c>
      <c r="E112" s="85">
        <v>44909</v>
      </c>
      <c r="F112" s="88" t="b">
        <f t="shared" si="1"/>
        <v>1</v>
      </c>
      <c r="G112" s="85">
        <v>44910</v>
      </c>
      <c r="H112" s="5">
        <v>18560.5</v>
      </c>
      <c r="I112" s="5">
        <v>18660.3</v>
      </c>
      <c r="J112" s="5">
        <v>99.8</v>
      </c>
      <c r="K112" s="6">
        <v>5.377010317609978E-3</v>
      </c>
      <c r="L112" s="7" t="s">
        <v>34</v>
      </c>
      <c r="M112" s="91">
        <f>MROUND(H112,100)-100</f>
        <v>18500</v>
      </c>
      <c r="N112" s="91">
        <f>M112-O112</f>
        <v>0</v>
      </c>
      <c r="O112" s="4">
        <v>18500</v>
      </c>
      <c r="P112" s="7" t="s">
        <v>95</v>
      </c>
      <c r="Q112" s="4">
        <v>65</v>
      </c>
      <c r="R112" s="5">
        <v>205.35</v>
      </c>
      <c r="S112" s="5">
        <v>186.45</v>
      </c>
      <c r="T112" s="8">
        <v>-0.21360000000000001</v>
      </c>
      <c r="U112" s="8">
        <v>0.84240000000000004</v>
      </c>
      <c r="V112" s="5">
        <v>18.899999999999999</v>
      </c>
      <c r="W112" s="6">
        <v>1.018291533094475E-3</v>
      </c>
      <c r="X112" s="4">
        <v>0</v>
      </c>
      <c r="Y112" s="6">
        <v>0</v>
      </c>
      <c r="Z112" s="5">
        <v>32308.3</v>
      </c>
      <c r="AA112" s="5">
        <v>32863.199999999997</v>
      </c>
      <c r="AB112" s="5">
        <v>554.9</v>
      </c>
      <c r="AC112" s="5">
        <v>1.7175</v>
      </c>
      <c r="AD112" s="4">
        <v>7</v>
      </c>
      <c r="AE112" s="5">
        <v>-0.11666700000000001</v>
      </c>
      <c r="AF112" s="5">
        <v>517.20699999999999</v>
      </c>
      <c r="AG112" s="5">
        <v>1.6008</v>
      </c>
      <c r="AH112" s="8">
        <v>-0.7248</v>
      </c>
      <c r="AI112" s="8">
        <v>1.8275999999999999</v>
      </c>
      <c r="AJ112" s="15">
        <v>483.80700000000002</v>
      </c>
      <c r="AK112" s="15">
        <v>1.4208000000000001</v>
      </c>
      <c r="AL112" s="5">
        <v>101.06529999999999</v>
      </c>
      <c r="AM112" s="5">
        <v>105.4889</v>
      </c>
      <c r="AN112" s="5">
        <v>-4.4236000000000004</v>
      </c>
      <c r="AO112" s="5">
        <v>-4.1933999999999996</v>
      </c>
      <c r="AP112" s="8">
        <v>1.2203999999999999</v>
      </c>
      <c r="AQ112" s="8">
        <v>0.84950000000000003</v>
      </c>
      <c r="AR112" s="8">
        <v>0.84950000000000003</v>
      </c>
      <c r="AS112" s="5">
        <v>100.496</v>
      </c>
      <c r="AT112" s="5">
        <v>-4.7331000000000003</v>
      </c>
      <c r="AU112" s="7" t="s">
        <v>96</v>
      </c>
      <c r="AV112" s="7"/>
    </row>
    <row r="113" spans="1:48" ht="18" customHeight="1" x14ac:dyDescent="0.25">
      <c r="A113" s="10">
        <v>56</v>
      </c>
      <c r="B113" s="10">
        <v>2</v>
      </c>
      <c r="C113" s="10">
        <v>56</v>
      </c>
      <c r="D113" s="86">
        <v>44902</v>
      </c>
      <c r="E113" s="86">
        <v>44909</v>
      </c>
      <c r="F113" s="88" t="b">
        <f t="shared" si="1"/>
        <v>1</v>
      </c>
      <c r="G113" s="86">
        <v>45105</v>
      </c>
      <c r="H113" s="11">
        <v>18560.5</v>
      </c>
      <c r="I113" s="11">
        <v>18660.3</v>
      </c>
      <c r="J113" s="12"/>
      <c r="K113" s="12"/>
      <c r="L113" s="12" t="s">
        <v>44</v>
      </c>
      <c r="M113" s="90"/>
      <c r="N113" s="90"/>
      <c r="O113" s="10">
        <v>19000</v>
      </c>
      <c r="P113" s="12" t="s">
        <v>97</v>
      </c>
      <c r="Q113" s="10">
        <v>65</v>
      </c>
      <c r="R113" s="11">
        <v>703.05</v>
      </c>
      <c r="S113" s="11">
        <v>650.75</v>
      </c>
      <c r="T113" s="13">
        <v>-0.39360000000000001</v>
      </c>
      <c r="U113" s="13">
        <v>0.7319</v>
      </c>
      <c r="V113" s="10">
        <v>0</v>
      </c>
      <c r="W113" s="14">
        <v>0</v>
      </c>
      <c r="X113" s="11">
        <v>-52.3</v>
      </c>
      <c r="Y113" s="14">
        <v>-2.8178120201503192E-3</v>
      </c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 t="s">
        <v>96</v>
      </c>
      <c r="AV113" s="12"/>
    </row>
    <row r="114" spans="1:48" ht="18" customHeight="1" x14ac:dyDescent="0.25">
      <c r="A114" s="4">
        <v>57</v>
      </c>
      <c r="B114" s="4">
        <v>1</v>
      </c>
      <c r="C114" s="4">
        <v>57</v>
      </c>
      <c r="D114" s="85">
        <v>44909</v>
      </c>
      <c r="E114" s="85">
        <v>44916</v>
      </c>
      <c r="F114" s="88" t="b">
        <f t="shared" si="1"/>
        <v>1</v>
      </c>
      <c r="G114" s="85">
        <v>44917</v>
      </c>
      <c r="H114" s="5">
        <v>18660.3</v>
      </c>
      <c r="I114" s="5">
        <v>18199.099999999999</v>
      </c>
      <c r="J114" s="5">
        <v>-461.2</v>
      </c>
      <c r="K114" s="6">
        <v>-2.4715572632808689E-2</v>
      </c>
      <c r="L114" s="7" t="s">
        <v>34</v>
      </c>
      <c r="M114" s="91">
        <f>MROUND(H114,100)-100</f>
        <v>18600</v>
      </c>
      <c r="N114" s="91">
        <f>M114-O114</f>
        <v>0</v>
      </c>
      <c r="O114" s="4">
        <v>18600</v>
      </c>
      <c r="P114" s="7" t="s">
        <v>95</v>
      </c>
      <c r="Q114" s="4">
        <v>65</v>
      </c>
      <c r="R114" s="5">
        <v>186.9</v>
      </c>
      <c r="S114" s="5">
        <v>5.0999999999999996</v>
      </c>
      <c r="T114" s="8">
        <v>0.13</v>
      </c>
      <c r="U114" s="8">
        <v>0.97850000000000004</v>
      </c>
      <c r="V114" s="5">
        <v>181.8</v>
      </c>
      <c r="W114" s="6">
        <v>9.7426086397324804E-3</v>
      </c>
      <c r="X114" s="4">
        <v>0</v>
      </c>
      <c r="Y114" s="6">
        <v>0</v>
      </c>
      <c r="Z114" s="5">
        <v>32863.199999999997</v>
      </c>
      <c r="AA114" s="5">
        <v>31610.3</v>
      </c>
      <c r="AB114" s="5">
        <v>-1252.9000000000001</v>
      </c>
      <c r="AC114" s="5">
        <v>-3.8125</v>
      </c>
      <c r="AD114" s="4">
        <v>7</v>
      </c>
      <c r="AE114" s="5">
        <v>-0.11666700000000001</v>
      </c>
      <c r="AF114" s="5">
        <v>-1291.2403999999999</v>
      </c>
      <c r="AG114" s="5">
        <v>-3.9291</v>
      </c>
      <c r="AH114" s="8">
        <v>-4.2034000000000002</v>
      </c>
      <c r="AI114" s="8">
        <v>0.21490000000000001</v>
      </c>
      <c r="AJ114" s="9">
        <v>-904.6404</v>
      </c>
      <c r="AK114" s="9">
        <v>-1.8573</v>
      </c>
      <c r="AL114" s="5">
        <v>99.188199999999995</v>
      </c>
      <c r="AM114" s="5">
        <v>105.4889</v>
      </c>
      <c r="AN114" s="5">
        <v>-6.3007</v>
      </c>
      <c r="AO114" s="5">
        <v>-5.9728000000000003</v>
      </c>
      <c r="AP114" s="8">
        <v>0.34460000000000002</v>
      </c>
      <c r="AQ114" s="8">
        <v>-2.0232000000000001</v>
      </c>
      <c r="AR114" s="8">
        <v>-2.0232000000000001</v>
      </c>
      <c r="AS114" s="5">
        <v>99.020600000000002</v>
      </c>
      <c r="AT114" s="5">
        <v>-6.1318000000000001</v>
      </c>
      <c r="AU114" s="7" t="s">
        <v>96</v>
      </c>
      <c r="AV114" s="7"/>
    </row>
    <row r="115" spans="1:48" ht="18" customHeight="1" x14ac:dyDescent="0.25">
      <c r="A115" s="10">
        <v>57</v>
      </c>
      <c r="B115" s="10">
        <v>2</v>
      </c>
      <c r="C115" s="10">
        <v>57</v>
      </c>
      <c r="D115" s="86">
        <v>44909</v>
      </c>
      <c r="E115" s="86">
        <v>44916</v>
      </c>
      <c r="F115" s="88" t="b">
        <f t="shared" si="1"/>
        <v>1</v>
      </c>
      <c r="G115" s="86">
        <v>45105</v>
      </c>
      <c r="H115" s="11">
        <v>18660.3</v>
      </c>
      <c r="I115" s="11">
        <v>18199.099999999999</v>
      </c>
      <c r="J115" s="12"/>
      <c r="K115" s="12"/>
      <c r="L115" s="12" t="s">
        <v>44</v>
      </c>
      <c r="M115" s="90"/>
      <c r="N115" s="90"/>
      <c r="O115" s="10">
        <v>19000</v>
      </c>
      <c r="P115" s="12" t="s">
        <v>97</v>
      </c>
      <c r="Q115" s="10">
        <v>65</v>
      </c>
      <c r="R115" s="11">
        <v>650.75</v>
      </c>
      <c r="S115" s="11">
        <v>855.55</v>
      </c>
      <c r="T115" s="13">
        <v>-2.9999999999999997E-4</v>
      </c>
      <c r="U115" s="13">
        <v>1.2017</v>
      </c>
      <c r="V115" s="10">
        <v>0</v>
      </c>
      <c r="W115" s="14">
        <v>0</v>
      </c>
      <c r="X115" s="11">
        <v>204.8</v>
      </c>
      <c r="Y115" s="14">
        <v>1.0975171888983559E-2</v>
      </c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 t="s">
        <v>96</v>
      </c>
      <c r="AV115" s="12"/>
    </row>
    <row r="116" spans="1:48" ht="18" customHeight="1" x14ac:dyDescent="0.25">
      <c r="A116" s="4">
        <v>58</v>
      </c>
      <c r="B116" s="4">
        <v>1</v>
      </c>
      <c r="C116" s="4">
        <v>58</v>
      </c>
      <c r="D116" s="85">
        <v>44916</v>
      </c>
      <c r="E116" s="89">
        <v>44918</v>
      </c>
      <c r="F116" s="88" t="b">
        <f t="shared" si="1"/>
        <v>0</v>
      </c>
      <c r="G116" s="85">
        <v>44924</v>
      </c>
      <c r="H116" s="5">
        <v>18199.099999999999</v>
      </c>
      <c r="I116" s="5">
        <v>17806.8</v>
      </c>
      <c r="J116" s="5">
        <v>-392.3</v>
      </c>
      <c r="K116" s="6">
        <v>-2.1556011011533541E-2</v>
      </c>
      <c r="L116" s="7" t="s">
        <v>34</v>
      </c>
      <c r="M116" s="91">
        <f>MROUND(H116,100)-100</f>
        <v>18100</v>
      </c>
      <c r="N116" s="91">
        <f>M116-O116</f>
        <v>0</v>
      </c>
      <c r="O116" s="4">
        <v>18100</v>
      </c>
      <c r="P116" s="7" t="s">
        <v>95</v>
      </c>
      <c r="Q116" s="4">
        <v>65</v>
      </c>
      <c r="R116" s="5">
        <v>269.60000000000002</v>
      </c>
      <c r="S116" s="5">
        <v>39.6</v>
      </c>
      <c r="T116" s="8">
        <v>-0.24399999999999999</v>
      </c>
      <c r="U116" s="8">
        <v>1.2921</v>
      </c>
      <c r="V116" s="4">
        <v>230</v>
      </c>
      <c r="W116" s="6">
        <v>1.2637987592793051E-2</v>
      </c>
      <c r="X116" s="4">
        <v>0</v>
      </c>
      <c r="Y116" s="6">
        <v>0</v>
      </c>
      <c r="Z116" s="5">
        <v>31610.3</v>
      </c>
      <c r="AA116" s="5">
        <v>30157.65</v>
      </c>
      <c r="AB116" s="5">
        <v>-1452.65</v>
      </c>
      <c r="AC116" s="5">
        <v>-4.5955000000000004</v>
      </c>
      <c r="AD116" s="4">
        <v>2</v>
      </c>
      <c r="AE116" s="5">
        <v>-3.3333000000000002E-2</v>
      </c>
      <c r="AF116" s="5">
        <v>-1463.1867999999999</v>
      </c>
      <c r="AG116" s="5">
        <v>-4.6288</v>
      </c>
      <c r="AH116" s="8">
        <v>-4.8057999999999996</v>
      </c>
      <c r="AI116" s="8">
        <v>0.76319999999999999</v>
      </c>
      <c r="AJ116" s="9">
        <v>-1041.2868000000001</v>
      </c>
      <c r="AK116" s="9">
        <v>-2.3106</v>
      </c>
      <c r="AL116" s="5">
        <v>96.8964</v>
      </c>
      <c r="AM116" s="5">
        <v>105.4889</v>
      </c>
      <c r="AN116" s="5">
        <v>-8.5924999999999994</v>
      </c>
      <c r="AO116" s="5">
        <v>-8.1454000000000004</v>
      </c>
      <c r="AP116" s="8">
        <v>0.37880000000000003</v>
      </c>
      <c r="AQ116" s="8">
        <v>-2.2584</v>
      </c>
      <c r="AR116" s="8">
        <v>-2.3106</v>
      </c>
      <c r="AS116" s="5">
        <v>96.8964</v>
      </c>
      <c r="AT116" s="5">
        <v>-8.1454000000000004</v>
      </c>
      <c r="AU116" s="7" t="s">
        <v>98</v>
      </c>
      <c r="AV116" s="7"/>
    </row>
    <row r="117" spans="1:48" ht="18" customHeight="1" x14ac:dyDescent="0.25">
      <c r="A117" s="10">
        <v>58</v>
      </c>
      <c r="B117" s="10">
        <v>2</v>
      </c>
      <c r="C117" s="10">
        <v>58</v>
      </c>
      <c r="D117" s="86">
        <v>44916</v>
      </c>
      <c r="E117" s="89">
        <v>44918</v>
      </c>
      <c r="F117" s="88" t="b">
        <f t="shared" si="1"/>
        <v>0</v>
      </c>
      <c r="G117" s="86">
        <v>45105</v>
      </c>
      <c r="H117" s="11">
        <v>18199.099999999999</v>
      </c>
      <c r="I117" s="11">
        <v>17806.8</v>
      </c>
      <c r="J117" s="12"/>
      <c r="K117" s="12"/>
      <c r="L117" s="12" t="s">
        <v>44</v>
      </c>
      <c r="M117" s="90"/>
      <c r="N117" s="90"/>
      <c r="O117" s="10">
        <v>19000</v>
      </c>
      <c r="P117" s="12" t="s">
        <v>97</v>
      </c>
      <c r="Q117" s="10">
        <v>65</v>
      </c>
      <c r="R117" s="11">
        <v>855.55</v>
      </c>
      <c r="S117" s="11">
        <v>1047.45</v>
      </c>
      <c r="T117" s="13">
        <v>-0.1404</v>
      </c>
      <c r="U117" s="13">
        <v>1.2553000000000001</v>
      </c>
      <c r="V117" s="10">
        <v>0</v>
      </c>
      <c r="W117" s="14">
        <v>0</v>
      </c>
      <c r="X117" s="11">
        <v>191.9</v>
      </c>
      <c r="Y117" s="14">
        <v>1.054447747416081E-2</v>
      </c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 t="s">
        <v>98</v>
      </c>
      <c r="AV117" s="12"/>
    </row>
    <row r="118" spans="1:48" ht="18" customHeight="1" x14ac:dyDescent="0.25">
      <c r="A118" s="4">
        <v>59</v>
      </c>
      <c r="B118" s="4">
        <v>1</v>
      </c>
      <c r="C118" s="4">
        <v>59</v>
      </c>
      <c r="D118" s="85">
        <v>45044</v>
      </c>
      <c r="E118" s="85">
        <v>45049</v>
      </c>
      <c r="F118" s="88" t="b">
        <f t="shared" si="1"/>
        <v>1</v>
      </c>
      <c r="G118" s="85">
        <v>45050</v>
      </c>
      <c r="H118" s="4">
        <v>18065</v>
      </c>
      <c r="I118" s="5">
        <v>18089.849999999999</v>
      </c>
      <c r="J118" s="5">
        <v>24.85</v>
      </c>
      <c r="K118" s="6">
        <v>1.3755881538887349E-3</v>
      </c>
      <c r="L118" s="7" t="s">
        <v>34</v>
      </c>
      <c r="M118" s="91">
        <f>MROUND(H118,100)-100</f>
        <v>18000</v>
      </c>
      <c r="N118" s="91">
        <f>M118-O118</f>
        <v>0</v>
      </c>
      <c r="O118" s="4">
        <v>18000</v>
      </c>
      <c r="P118" s="7" t="s">
        <v>95</v>
      </c>
      <c r="Q118" s="4">
        <v>65</v>
      </c>
      <c r="R118" s="5">
        <v>101.35</v>
      </c>
      <c r="S118" s="5">
        <v>110.8</v>
      </c>
      <c r="T118" s="8">
        <v>-0.56769999999999998</v>
      </c>
      <c r="U118" s="8">
        <v>0.12479999999999999</v>
      </c>
      <c r="V118" s="5">
        <v>-9.4499999999999993</v>
      </c>
      <c r="W118" s="6">
        <v>-5.2311098809853303E-4</v>
      </c>
      <c r="X118" s="4">
        <v>0</v>
      </c>
      <c r="Y118" s="6">
        <v>0</v>
      </c>
      <c r="Z118" s="5">
        <v>31794.75</v>
      </c>
      <c r="AA118" s="5">
        <v>32186.2</v>
      </c>
      <c r="AB118" s="5">
        <v>391.45</v>
      </c>
      <c r="AC118" s="5">
        <v>1.2312000000000001</v>
      </c>
      <c r="AD118" s="4">
        <v>5</v>
      </c>
      <c r="AE118" s="5">
        <v>-8.3333000000000004E-2</v>
      </c>
      <c r="AF118" s="5">
        <v>364.95440000000002</v>
      </c>
      <c r="AG118" s="5">
        <v>1.1477999999999999</v>
      </c>
      <c r="AH118" s="8">
        <v>0.34860000000000002</v>
      </c>
      <c r="AI118" s="8">
        <v>1.3718999999999999</v>
      </c>
      <c r="AJ118" s="15">
        <v>338.15440000000001</v>
      </c>
      <c r="AK118" s="15">
        <v>0.99939999999999996</v>
      </c>
      <c r="AL118" s="5">
        <v>100.99939999999999</v>
      </c>
      <c r="AM118" s="5">
        <v>100.99939999999999</v>
      </c>
      <c r="AN118" s="4">
        <v>0</v>
      </c>
      <c r="AO118" s="4">
        <v>0</v>
      </c>
      <c r="AP118" s="8">
        <v>0.57479999999999998</v>
      </c>
      <c r="AQ118" s="8">
        <v>0.51380000000000003</v>
      </c>
      <c r="AR118" s="8">
        <v>0.51380000000000003</v>
      </c>
      <c r="AS118" s="5">
        <v>100.5138</v>
      </c>
      <c r="AT118" s="5">
        <v>0.51380000000000003</v>
      </c>
      <c r="AU118" s="7" t="s">
        <v>96</v>
      </c>
      <c r="AV118" s="7"/>
    </row>
    <row r="119" spans="1:48" ht="18" customHeight="1" x14ac:dyDescent="0.25">
      <c r="A119" s="10">
        <v>59</v>
      </c>
      <c r="B119" s="10">
        <v>2</v>
      </c>
      <c r="C119" s="10">
        <v>59</v>
      </c>
      <c r="D119" s="86">
        <v>45044</v>
      </c>
      <c r="E119" s="86">
        <v>45049</v>
      </c>
      <c r="F119" s="88" t="b">
        <f t="shared" si="1"/>
        <v>1</v>
      </c>
      <c r="G119" s="86">
        <v>45105</v>
      </c>
      <c r="H119" s="10">
        <v>18065</v>
      </c>
      <c r="I119" s="11">
        <v>18089.849999999999</v>
      </c>
      <c r="J119" s="12"/>
      <c r="K119" s="12"/>
      <c r="L119" s="12" t="s">
        <v>44</v>
      </c>
      <c r="M119" s="90"/>
      <c r="N119" s="90"/>
      <c r="O119" s="10">
        <v>18000</v>
      </c>
      <c r="P119" s="12" t="s">
        <v>97</v>
      </c>
      <c r="Q119" s="10">
        <v>65</v>
      </c>
      <c r="R119" s="11">
        <v>240.45</v>
      </c>
      <c r="S119" s="11">
        <v>223.1</v>
      </c>
      <c r="T119" s="13">
        <v>-0.22939999999999999</v>
      </c>
      <c r="U119" s="13">
        <v>4.0399999999999998E-2</v>
      </c>
      <c r="V119" s="10">
        <v>0</v>
      </c>
      <c r="W119" s="14">
        <v>0</v>
      </c>
      <c r="X119" s="11">
        <v>-17.350000000000001</v>
      </c>
      <c r="Y119" s="14">
        <v>-9.6042070301688356E-4</v>
      </c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 t="s">
        <v>96</v>
      </c>
      <c r="AV119" s="12"/>
    </row>
    <row r="120" spans="1:48" ht="18" customHeight="1" x14ac:dyDescent="0.25">
      <c r="A120" s="4">
        <v>60</v>
      </c>
      <c r="B120" s="4">
        <v>1</v>
      </c>
      <c r="C120" s="4">
        <v>60</v>
      </c>
      <c r="D120" s="85">
        <v>45049</v>
      </c>
      <c r="E120" s="85">
        <v>45056</v>
      </c>
      <c r="F120" s="88" t="b">
        <f t="shared" si="1"/>
        <v>1</v>
      </c>
      <c r="G120" s="85">
        <v>45057</v>
      </c>
      <c r="H120" s="5">
        <v>18089.849999999999</v>
      </c>
      <c r="I120" s="5">
        <v>18315.099999999999</v>
      </c>
      <c r="J120" s="5">
        <v>225.25</v>
      </c>
      <c r="K120" s="6">
        <v>1.2451733983421641E-2</v>
      </c>
      <c r="L120" s="7" t="s">
        <v>34</v>
      </c>
      <c r="M120" s="91">
        <f>MROUND(H120,100)-100</f>
        <v>18000</v>
      </c>
      <c r="N120" s="91">
        <f>M120-O120</f>
        <v>0</v>
      </c>
      <c r="O120" s="4">
        <v>18000</v>
      </c>
      <c r="P120" s="7" t="s">
        <v>95</v>
      </c>
      <c r="Q120" s="4">
        <v>65</v>
      </c>
      <c r="R120" s="5">
        <v>177.2</v>
      </c>
      <c r="S120" s="5">
        <v>316.5</v>
      </c>
      <c r="T120" s="8">
        <v>-1.0088999999999999</v>
      </c>
      <c r="U120" s="8">
        <v>0.22470000000000001</v>
      </c>
      <c r="V120" s="5">
        <v>-139.30000000000001</v>
      </c>
      <c r="W120" s="6">
        <v>-7.7004508052858382E-3</v>
      </c>
      <c r="X120" s="4">
        <v>0</v>
      </c>
      <c r="Y120" s="6">
        <v>0</v>
      </c>
      <c r="Z120" s="5">
        <v>32186.2</v>
      </c>
      <c r="AA120" s="5">
        <v>32505.35</v>
      </c>
      <c r="AB120" s="5">
        <v>319.14999999999998</v>
      </c>
      <c r="AC120" s="5">
        <v>0.99160000000000004</v>
      </c>
      <c r="AD120" s="4">
        <v>7</v>
      </c>
      <c r="AE120" s="5">
        <v>-0.11666700000000001</v>
      </c>
      <c r="AF120" s="5">
        <v>281.5994</v>
      </c>
      <c r="AG120" s="5">
        <v>0.87490000000000001</v>
      </c>
      <c r="AH120" s="8">
        <v>-0.26840000000000003</v>
      </c>
      <c r="AI120" s="8">
        <v>1.6175999999999999</v>
      </c>
      <c r="AJ120" s="15">
        <v>102.29940000000001</v>
      </c>
      <c r="AK120" s="15">
        <v>-0.1163</v>
      </c>
      <c r="AL120" s="5">
        <v>100.8819</v>
      </c>
      <c r="AM120" s="5">
        <v>100.99939999999999</v>
      </c>
      <c r="AN120" s="5">
        <v>-0.11749999999999999</v>
      </c>
      <c r="AO120" s="5">
        <v>-0.1163</v>
      </c>
      <c r="AP120" s="8">
        <v>0.22120000000000001</v>
      </c>
      <c r="AQ120" s="8">
        <v>4.4499999999999998E-2</v>
      </c>
      <c r="AR120" s="8">
        <v>-0.1163</v>
      </c>
      <c r="AS120" s="5">
        <v>100.8819</v>
      </c>
      <c r="AT120" s="5">
        <v>-0.1163</v>
      </c>
      <c r="AU120" s="7" t="s">
        <v>96</v>
      </c>
      <c r="AV120" s="7"/>
    </row>
    <row r="121" spans="1:48" ht="18" customHeight="1" x14ac:dyDescent="0.25">
      <c r="A121" s="10">
        <v>60</v>
      </c>
      <c r="B121" s="10">
        <v>2</v>
      </c>
      <c r="C121" s="10">
        <v>60</v>
      </c>
      <c r="D121" s="86">
        <v>45049</v>
      </c>
      <c r="E121" s="86">
        <v>45056</v>
      </c>
      <c r="F121" s="88" t="b">
        <f t="shared" si="1"/>
        <v>1</v>
      </c>
      <c r="G121" s="86">
        <v>45105</v>
      </c>
      <c r="H121" s="11">
        <v>18089.849999999999</v>
      </c>
      <c r="I121" s="11">
        <v>18315.099999999999</v>
      </c>
      <c r="J121" s="12"/>
      <c r="K121" s="12"/>
      <c r="L121" s="12" t="s">
        <v>44</v>
      </c>
      <c r="M121" s="90"/>
      <c r="N121" s="90"/>
      <c r="O121" s="10">
        <v>18000</v>
      </c>
      <c r="P121" s="12" t="s">
        <v>97</v>
      </c>
      <c r="Q121" s="10">
        <v>65</v>
      </c>
      <c r="R121" s="11">
        <v>223.1</v>
      </c>
      <c r="S121" s="11">
        <v>183.1</v>
      </c>
      <c r="T121" s="13">
        <v>-0.38750000000000001</v>
      </c>
      <c r="U121" s="13">
        <v>8.8200000000000001E-2</v>
      </c>
      <c r="V121" s="10">
        <v>0</v>
      </c>
      <c r="W121" s="14">
        <v>0</v>
      </c>
      <c r="X121" s="10">
        <v>-40</v>
      </c>
      <c r="Y121" s="14">
        <v>-2.2111847251359189E-3</v>
      </c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 t="s">
        <v>96</v>
      </c>
      <c r="AV121" s="12"/>
    </row>
    <row r="122" spans="1:48" ht="18" customHeight="1" x14ac:dyDescent="0.25">
      <c r="A122" s="4">
        <v>61</v>
      </c>
      <c r="B122" s="4">
        <v>1</v>
      </c>
      <c r="C122" s="4">
        <v>61</v>
      </c>
      <c r="D122" s="85">
        <v>45056</v>
      </c>
      <c r="E122" s="85">
        <v>45063</v>
      </c>
      <c r="F122" s="88" t="b">
        <f t="shared" si="1"/>
        <v>1</v>
      </c>
      <c r="G122" s="85">
        <v>45064</v>
      </c>
      <c r="H122" s="5">
        <v>18315.099999999999</v>
      </c>
      <c r="I122" s="5">
        <v>18181.75</v>
      </c>
      <c r="J122" s="5">
        <v>-133.35</v>
      </c>
      <c r="K122" s="6">
        <v>-7.2808775272862284E-3</v>
      </c>
      <c r="L122" s="7" t="s">
        <v>34</v>
      </c>
      <c r="M122" s="91">
        <f>MROUND(H122,100)-100</f>
        <v>18200</v>
      </c>
      <c r="N122" s="91">
        <f>M122-O122</f>
        <v>0</v>
      </c>
      <c r="O122" s="4">
        <v>18200</v>
      </c>
      <c r="P122" s="7" t="s">
        <v>95</v>
      </c>
      <c r="Q122" s="4">
        <v>65</v>
      </c>
      <c r="R122" s="5">
        <v>190.95</v>
      </c>
      <c r="S122" s="5">
        <v>39.15</v>
      </c>
      <c r="T122" s="8">
        <v>-0.43159999999999998</v>
      </c>
      <c r="U122" s="8">
        <v>0.90739999999999998</v>
      </c>
      <c r="V122" s="5">
        <v>151.80000000000001</v>
      </c>
      <c r="W122" s="6">
        <v>8.2882430344360675E-3</v>
      </c>
      <c r="X122" s="4">
        <v>0</v>
      </c>
      <c r="Y122" s="6">
        <v>0</v>
      </c>
      <c r="Z122" s="5">
        <v>32505.35</v>
      </c>
      <c r="AA122" s="5">
        <v>32762.75</v>
      </c>
      <c r="AB122" s="5">
        <v>257.39999999999998</v>
      </c>
      <c r="AC122" s="5">
        <v>0.79190000000000005</v>
      </c>
      <c r="AD122" s="4">
        <v>7</v>
      </c>
      <c r="AE122" s="5">
        <v>-0.11666700000000001</v>
      </c>
      <c r="AF122" s="5">
        <v>219.47710000000001</v>
      </c>
      <c r="AG122" s="5">
        <v>0.67520000000000002</v>
      </c>
      <c r="AH122" s="8">
        <v>-0.34039999999999998</v>
      </c>
      <c r="AI122" s="8">
        <v>1.5580000000000001</v>
      </c>
      <c r="AJ122" s="15">
        <v>366.12709999999998</v>
      </c>
      <c r="AK122" s="15">
        <v>1.4759</v>
      </c>
      <c r="AL122" s="5">
        <v>102.37090000000001</v>
      </c>
      <c r="AM122" s="5">
        <v>102.37090000000001</v>
      </c>
      <c r="AN122" s="4">
        <v>0</v>
      </c>
      <c r="AO122" s="4">
        <v>0</v>
      </c>
      <c r="AP122" s="8">
        <v>0.86919999999999997</v>
      </c>
      <c r="AQ122" s="8">
        <v>0.73029999999999995</v>
      </c>
      <c r="AR122" s="8">
        <v>0.73029999999999995</v>
      </c>
      <c r="AS122" s="5">
        <v>101.6187</v>
      </c>
      <c r="AT122" s="5">
        <v>0.61319999999999997</v>
      </c>
      <c r="AU122" s="7" t="s">
        <v>96</v>
      </c>
      <c r="AV122" s="7"/>
    </row>
    <row r="123" spans="1:48" ht="18" customHeight="1" x14ac:dyDescent="0.25">
      <c r="A123" s="10">
        <v>61</v>
      </c>
      <c r="B123" s="10">
        <v>2</v>
      </c>
      <c r="C123" s="10">
        <v>61</v>
      </c>
      <c r="D123" s="86">
        <v>45056</v>
      </c>
      <c r="E123" s="86">
        <v>45063</v>
      </c>
      <c r="F123" s="88" t="b">
        <f t="shared" si="1"/>
        <v>1</v>
      </c>
      <c r="G123" s="86">
        <v>45105</v>
      </c>
      <c r="H123" s="11">
        <v>18315.099999999999</v>
      </c>
      <c r="I123" s="11">
        <v>18181.75</v>
      </c>
      <c r="J123" s="12"/>
      <c r="K123" s="12"/>
      <c r="L123" s="12" t="s">
        <v>44</v>
      </c>
      <c r="M123" s="90"/>
      <c r="N123" s="90"/>
      <c r="O123" s="10">
        <v>18000</v>
      </c>
      <c r="P123" s="12" t="s">
        <v>97</v>
      </c>
      <c r="Q123" s="10">
        <v>65</v>
      </c>
      <c r="R123" s="11">
        <v>183.1</v>
      </c>
      <c r="S123" s="11">
        <v>177.95</v>
      </c>
      <c r="T123" s="13">
        <v>-0.25719999999999998</v>
      </c>
      <c r="U123" s="13">
        <v>0.1633</v>
      </c>
      <c r="V123" s="10">
        <v>0</v>
      </c>
      <c r="W123" s="14">
        <v>0</v>
      </c>
      <c r="X123" s="11">
        <v>-5.15</v>
      </c>
      <c r="Y123" s="14">
        <v>-2.8118874589819329E-4</v>
      </c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 t="s">
        <v>96</v>
      </c>
      <c r="AV123" s="12"/>
    </row>
    <row r="124" spans="1:48" ht="18" customHeight="1" x14ac:dyDescent="0.25">
      <c r="A124" s="4">
        <v>62</v>
      </c>
      <c r="B124" s="4">
        <v>1</v>
      </c>
      <c r="C124" s="4">
        <v>62</v>
      </c>
      <c r="D124" s="85">
        <v>45063</v>
      </c>
      <c r="E124" s="85">
        <v>45070</v>
      </c>
      <c r="F124" s="88" t="b">
        <f t="shared" si="1"/>
        <v>1</v>
      </c>
      <c r="G124" s="85">
        <v>45071</v>
      </c>
      <c r="H124" s="5">
        <v>18181.75</v>
      </c>
      <c r="I124" s="5">
        <v>18285.400000000001</v>
      </c>
      <c r="J124" s="5">
        <v>103.65</v>
      </c>
      <c r="K124" s="6">
        <v>5.7007713778926671E-3</v>
      </c>
      <c r="L124" s="7" t="s">
        <v>34</v>
      </c>
      <c r="M124" s="91">
        <f>MROUND(H124,100)-100</f>
        <v>18100</v>
      </c>
      <c r="N124" s="91">
        <f>M124-O124</f>
        <v>0</v>
      </c>
      <c r="O124" s="4">
        <v>18100</v>
      </c>
      <c r="P124" s="7" t="s">
        <v>95</v>
      </c>
      <c r="Q124" s="4">
        <v>65</v>
      </c>
      <c r="R124" s="5">
        <v>185.75</v>
      </c>
      <c r="S124" s="5">
        <v>196.65</v>
      </c>
      <c r="T124" s="8">
        <v>-0.81540000000000001</v>
      </c>
      <c r="U124" s="8">
        <v>0.54669999999999996</v>
      </c>
      <c r="V124" s="5">
        <v>-10.9</v>
      </c>
      <c r="W124" s="6">
        <v>-5.9950224813343049E-4</v>
      </c>
      <c r="X124" s="4">
        <v>0</v>
      </c>
      <c r="Y124" s="6">
        <v>0</v>
      </c>
      <c r="Z124" s="5">
        <v>32762.75</v>
      </c>
      <c r="AA124" s="5">
        <v>33031.35</v>
      </c>
      <c r="AB124" s="5">
        <v>268.60000000000002</v>
      </c>
      <c r="AC124" s="5">
        <v>0.81979999999999997</v>
      </c>
      <c r="AD124" s="4">
        <v>7</v>
      </c>
      <c r="AE124" s="5">
        <v>-0.11666700000000001</v>
      </c>
      <c r="AF124" s="5">
        <v>230.3768</v>
      </c>
      <c r="AG124" s="5">
        <v>0.70320000000000005</v>
      </c>
      <c r="AH124" s="8">
        <v>-1.6515</v>
      </c>
      <c r="AI124" s="8">
        <v>1.0235000000000001</v>
      </c>
      <c r="AJ124" s="15">
        <v>164.27680000000001</v>
      </c>
      <c r="AK124" s="15">
        <v>0.33960000000000001</v>
      </c>
      <c r="AL124" s="5">
        <v>102.71850000000001</v>
      </c>
      <c r="AM124" s="5">
        <v>102.71850000000001</v>
      </c>
      <c r="AN124" s="4">
        <v>0</v>
      </c>
      <c r="AO124" s="4">
        <v>0</v>
      </c>
      <c r="AP124" s="8">
        <v>-0.24260000000000001</v>
      </c>
      <c r="AQ124" s="8">
        <v>-0.95440000000000003</v>
      </c>
      <c r="AR124" s="8">
        <v>-0.95440000000000003</v>
      </c>
      <c r="AS124" s="5">
        <v>101.3938</v>
      </c>
      <c r="AT124" s="5">
        <v>-0.95440000000000003</v>
      </c>
      <c r="AU124" s="7" t="s">
        <v>96</v>
      </c>
      <c r="AV124" s="7"/>
    </row>
    <row r="125" spans="1:48" ht="18" customHeight="1" x14ac:dyDescent="0.25">
      <c r="A125" s="10">
        <v>62</v>
      </c>
      <c r="B125" s="10">
        <v>2</v>
      </c>
      <c r="C125" s="10">
        <v>62</v>
      </c>
      <c r="D125" s="86">
        <v>45063</v>
      </c>
      <c r="E125" s="86">
        <v>45070</v>
      </c>
      <c r="F125" s="88" t="b">
        <f t="shared" si="1"/>
        <v>1</v>
      </c>
      <c r="G125" s="86">
        <v>45105</v>
      </c>
      <c r="H125" s="11">
        <v>18181.75</v>
      </c>
      <c r="I125" s="11">
        <v>18285.400000000001</v>
      </c>
      <c r="J125" s="12"/>
      <c r="K125" s="12"/>
      <c r="L125" s="12" t="s">
        <v>44</v>
      </c>
      <c r="M125" s="90"/>
      <c r="N125" s="90"/>
      <c r="O125" s="10">
        <v>18000</v>
      </c>
      <c r="P125" s="12" t="s">
        <v>97</v>
      </c>
      <c r="Q125" s="10">
        <v>65</v>
      </c>
      <c r="R125" s="11">
        <v>177.95</v>
      </c>
      <c r="S125" s="11">
        <v>122.75</v>
      </c>
      <c r="T125" s="13">
        <v>-0.45069999999999999</v>
      </c>
      <c r="U125" s="13">
        <v>0.15040000000000001</v>
      </c>
      <c r="V125" s="10">
        <v>0</v>
      </c>
      <c r="W125" s="14">
        <v>0</v>
      </c>
      <c r="X125" s="11">
        <v>-55.2</v>
      </c>
      <c r="Y125" s="14">
        <v>-3.0360113850426938E-3</v>
      </c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 t="s">
        <v>96</v>
      </c>
      <c r="AV125" s="12"/>
    </row>
    <row r="126" spans="1:48" ht="18" customHeight="1" x14ac:dyDescent="0.25">
      <c r="A126" s="4">
        <v>63</v>
      </c>
      <c r="B126" s="4">
        <v>1</v>
      </c>
      <c r="C126" s="4">
        <v>63</v>
      </c>
      <c r="D126" s="85">
        <v>45070</v>
      </c>
      <c r="E126" s="85">
        <v>45077</v>
      </c>
      <c r="F126" s="88" t="b">
        <f t="shared" si="1"/>
        <v>1</v>
      </c>
      <c r="G126" s="85">
        <v>45078</v>
      </c>
      <c r="H126" s="5">
        <v>18285.400000000001</v>
      </c>
      <c r="I126" s="5">
        <v>18534.400000000001</v>
      </c>
      <c r="J126" s="4">
        <v>249</v>
      </c>
      <c r="K126" s="6">
        <v>1.361742154943288E-2</v>
      </c>
      <c r="L126" s="7" t="s">
        <v>34</v>
      </c>
      <c r="M126" s="91">
        <f>MROUND(H126,100)-100</f>
        <v>18200</v>
      </c>
      <c r="N126" s="91">
        <f>M126-O126</f>
        <v>0</v>
      </c>
      <c r="O126" s="4">
        <v>18200</v>
      </c>
      <c r="P126" s="7" t="s">
        <v>95</v>
      </c>
      <c r="Q126" s="4">
        <v>65</v>
      </c>
      <c r="R126" s="5">
        <v>187.75</v>
      </c>
      <c r="S126" s="5">
        <v>353.4</v>
      </c>
      <c r="T126" s="8">
        <v>-1.5711999999999999</v>
      </c>
      <c r="U126" s="8">
        <v>0.36370000000000002</v>
      </c>
      <c r="V126" s="5">
        <v>-165.65</v>
      </c>
      <c r="W126" s="6">
        <v>-9.0591400789701067E-3</v>
      </c>
      <c r="X126" s="4">
        <v>0</v>
      </c>
      <c r="Y126" s="6">
        <v>0</v>
      </c>
      <c r="Z126" s="5">
        <v>33031.35</v>
      </c>
      <c r="AA126" s="5">
        <v>33761.300000000003</v>
      </c>
      <c r="AB126" s="5">
        <v>729.95</v>
      </c>
      <c r="AC126" s="5">
        <v>2.2099000000000002</v>
      </c>
      <c r="AD126" s="4">
        <v>7</v>
      </c>
      <c r="AE126" s="5">
        <v>-0.11666700000000001</v>
      </c>
      <c r="AF126" s="5">
        <v>691.41340000000002</v>
      </c>
      <c r="AG126" s="5">
        <v>2.0931999999999999</v>
      </c>
      <c r="AH126" s="8">
        <v>-0.1951</v>
      </c>
      <c r="AI126" s="8">
        <v>2.2522000000000002</v>
      </c>
      <c r="AJ126" s="15">
        <v>451.96339999999998</v>
      </c>
      <c r="AK126" s="15">
        <v>0.78369999999999995</v>
      </c>
      <c r="AL126" s="5">
        <v>103.5235</v>
      </c>
      <c r="AM126" s="5">
        <v>103.5235</v>
      </c>
      <c r="AN126" s="4">
        <v>0</v>
      </c>
      <c r="AO126" s="4">
        <v>0</v>
      </c>
      <c r="AP126" s="8">
        <v>0.24049999999999999</v>
      </c>
      <c r="AQ126" s="8">
        <v>0.26869999999999999</v>
      </c>
      <c r="AR126" s="8">
        <v>0.24049999999999999</v>
      </c>
      <c r="AS126" s="5">
        <v>102.96550000000001</v>
      </c>
      <c r="AT126" s="5">
        <v>0.24049999999999999</v>
      </c>
      <c r="AU126" s="7" t="s">
        <v>96</v>
      </c>
      <c r="AV126" s="7"/>
    </row>
    <row r="127" spans="1:48" ht="18" customHeight="1" x14ac:dyDescent="0.25">
      <c r="A127" s="10">
        <v>63</v>
      </c>
      <c r="B127" s="10">
        <v>2</v>
      </c>
      <c r="C127" s="10">
        <v>63</v>
      </c>
      <c r="D127" s="86">
        <v>45070</v>
      </c>
      <c r="E127" s="86">
        <v>45077</v>
      </c>
      <c r="F127" s="88" t="b">
        <f t="shared" si="1"/>
        <v>1</v>
      </c>
      <c r="G127" s="86">
        <v>45288</v>
      </c>
      <c r="H127" s="11">
        <v>18285.400000000001</v>
      </c>
      <c r="I127" s="11">
        <v>18534.400000000001</v>
      </c>
      <c r="J127" s="12"/>
      <c r="K127" s="12"/>
      <c r="L127" s="12" t="s">
        <v>44</v>
      </c>
      <c r="M127" s="90"/>
      <c r="N127" s="90"/>
      <c r="O127" s="10">
        <v>18000</v>
      </c>
      <c r="P127" s="12" t="s">
        <v>97</v>
      </c>
      <c r="Q127" s="10">
        <v>65</v>
      </c>
      <c r="R127" s="11">
        <v>374.55</v>
      </c>
      <c r="S127" s="11">
        <v>300.75</v>
      </c>
      <c r="T127" s="13">
        <v>-0.4405</v>
      </c>
      <c r="U127" s="13">
        <v>0.10009999999999999</v>
      </c>
      <c r="V127" s="10">
        <v>0</v>
      </c>
      <c r="W127" s="14">
        <v>0</v>
      </c>
      <c r="X127" s="11">
        <v>-73.8</v>
      </c>
      <c r="Y127" s="14">
        <v>-4.0360068688680582E-3</v>
      </c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 t="s">
        <v>96</v>
      </c>
      <c r="AV127" s="12"/>
    </row>
    <row r="128" spans="1:48" ht="18" customHeight="1" x14ac:dyDescent="0.25">
      <c r="A128" s="4">
        <v>64</v>
      </c>
      <c r="B128" s="4">
        <v>1</v>
      </c>
      <c r="C128" s="4">
        <v>64</v>
      </c>
      <c r="D128" s="85">
        <v>45077</v>
      </c>
      <c r="E128" s="85">
        <v>45084</v>
      </c>
      <c r="F128" s="88" t="b">
        <f t="shared" si="1"/>
        <v>1</v>
      </c>
      <c r="G128" s="85">
        <v>45085</v>
      </c>
      <c r="H128" s="5">
        <v>18534.400000000001</v>
      </c>
      <c r="I128" s="5">
        <v>18726.400000000001</v>
      </c>
      <c r="J128" s="4">
        <v>192</v>
      </c>
      <c r="K128" s="6">
        <v>1.0359116022099451E-2</v>
      </c>
      <c r="L128" s="7" t="s">
        <v>34</v>
      </c>
      <c r="M128" s="91">
        <f>MROUND(H128,100)-100</f>
        <v>18400</v>
      </c>
      <c r="N128" s="91">
        <f>M128-O128</f>
        <v>0</v>
      </c>
      <c r="O128" s="4">
        <v>18400</v>
      </c>
      <c r="P128" s="7" t="s">
        <v>95</v>
      </c>
      <c r="Q128" s="4">
        <v>65</v>
      </c>
      <c r="R128" s="5">
        <v>229.6</v>
      </c>
      <c r="S128" s="5">
        <v>329.25</v>
      </c>
      <c r="T128" s="8">
        <v>-0.57569999999999999</v>
      </c>
      <c r="U128" s="8">
        <v>0.38769999999999999</v>
      </c>
      <c r="V128" s="5">
        <v>-99.65</v>
      </c>
      <c r="W128" s="6">
        <v>-5.3764891229281771E-3</v>
      </c>
      <c r="X128" s="4">
        <v>0</v>
      </c>
      <c r="Y128" s="6">
        <v>0</v>
      </c>
      <c r="Z128" s="5">
        <v>33761.300000000003</v>
      </c>
      <c r="AA128" s="5">
        <v>34390.1</v>
      </c>
      <c r="AB128" s="5">
        <v>628.79999999999995</v>
      </c>
      <c r="AC128" s="5">
        <v>1.8625</v>
      </c>
      <c r="AD128" s="4">
        <v>7</v>
      </c>
      <c r="AE128" s="5">
        <v>-0.11666700000000001</v>
      </c>
      <c r="AF128" s="5">
        <v>589.41179999999997</v>
      </c>
      <c r="AG128" s="5">
        <v>1.7458</v>
      </c>
      <c r="AH128" s="8">
        <v>2.35E-2</v>
      </c>
      <c r="AI128" s="8">
        <v>1.8262</v>
      </c>
      <c r="AJ128" s="15">
        <v>451.41180000000003</v>
      </c>
      <c r="AK128" s="15">
        <v>1.0012000000000001</v>
      </c>
      <c r="AL128" s="5">
        <v>104.56</v>
      </c>
      <c r="AM128" s="5">
        <v>104.56</v>
      </c>
      <c r="AN128" s="4">
        <v>0</v>
      </c>
      <c r="AO128" s="4">
        <v>0</v>
      </c>
      <c r="AP128" s="8">
        <v>1.0306</v>
      </c>
      <c r="AQ128" s="8">
        <v>0.46350000000000002</v>
      </c>
      <c r="AR128" s="8">
        <v>0.46350000000000002</v>
      </c>
      <c r="AS128" s="5">
        <v>104.0033</v>
      </c>
      <c r="AT128" s="5">
        <v>0.46350000000000002</v>
      </c>
      <c r="AU128" s="7" t="s">
        <v>96</v>
      </c>
      <c r="AV128" s="7"/>
    </row>
    <row r="129" spans="1:48" ht="18" customHeight="1" x14ac:dyDescent="0.25">
      <c r="A129" s="10">
        <v>64</v>
      </c>
      <c r="B129" s="10">
        <v>2</v>
      </c>
      <c r="C129" s="10">
        <v>64</v>
      </c>
      <c r="D129" s="86">
        <v>45077</v>
      </c>
      <c r="E129" s="86">
        <v>45084</v>
      </c>
      <c r="F129" s="88" t="b">
        <f t="shared" si="1"/>
        <v>1</v>
      </c>
      <c r="G129" s="86">
        <v>45288</v>
      </c>
      <c r="H129" s="11">
        <v>18534.400000000001</v>
      </c>
      <c r="I129" s="11">
        <v>18726.400000000001</v>
      </c>
      <c r="J129" s="12"/>
      <c r="K129" s="12"/>
      <c r="L129" s="12" t="s">
        <v>44</v>
      </c>
      <c r="M129" s="90"/>
      <c r="N129" s="90"/>
      <c r="O129" s="10">
        <v>18000</v>
      </c>
      <c r="P129" s="12" t="s">
        <v>97</v>
      </c>
      <c r="Q129" s="10">
        <v>65</v>
      </c>
      <c r="R129" s="11">
        <v>300.75</v>
      </c>
      <c r="S129" s="11">
        <v>262.39999999999998</v>
      </c>
      <c r="T129" s="13">
        <v>-0.21990000000000001</v>
      </c>
      <c r="U129" s="13">
        <v>5.2299999999999999E-2</v>
      </c>
      <c r="V129" s="10">
        <v>0</v>
      </c>
      <c r="W129" s="14">
        <v>0</v>
      </c>
      <c r="X129" s="11">
        <v>-38.35</v>
      </c>
      <c r="Y129" s="14">
        <v>-2.0691255179558009E-3</v>
      </c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 t="s">
        <v>96</v>
      </c>
      <c r="AV129" s="12"/>
    </row>
    <row r="130" spans="1:48" ht="18" customHeight="1" x14ac:dyDescent="0.25">
      <c r="A130" s="4">
        <v>65</v>
      </c>
      <c r="B130" s="4">
        <v>1</v>
      </c>
      <c r="C130" s="4">
        <v>65</v>
      </c>
      <c r="D130" s="85">
        <v>45084</v>
      </c>
      <c r="E130" s="85">
        <v>45091</v>
      </c>
      <c r="F130" s="88" t="b">
        <f t="shared" si="1"/>
        <v>1</v>
      </c>
      <c r="G130" s="85">
        <v>45092</v>
      </c>
      <c r="H130" s="5">
        <v>18726.400000000001</v>
      </c>
      <c r="I130" s="5">
        <v>18755.900000000001</v>
      </c>
      <c r="J130" s="5">
        <v>29.5</v>
      </c>
      <c r="K130" s="6">
        <v>1.5753161312371841E-3</v>
      </c>
      <c r="L130" s="7" t="s">
        <v>34</v>
      </c>
      <c r="M130" s="91">
        <f>MROUND(H130,100)-100</f>
        <v>18600</v>
      </c>
      <c r="N130" s="91">
        <f>M130-O130</f>
        <v>0</v>
      </c>
      <c r="O130" s="4">
        <v>18600</v>
      </c>
      <c r="P130" s="7" t="s">
        <v>95</v>
      </c>
      <c r="Q130" s="4">
        <v>65</v>
      </c>
      <c r="R130" s="5">
        <v>203.55</v>
      </c>
      <c r="S130" s="5">
        <v>170.15</v>
      </c>
      <c r="T130" s="8">
        <v>-0.16389999999999999</v>
      </c>
      <c r="U130" s="8">
        <v>0.71450000000000002</v>
      </c>
      <c r="V130" s="5">
        <v>33.4</v>
      </c>
      <c r="W130" s="6">
        <v>1.783578263841421E-3</v>
      </c>
      <c r="X130" s="4">
        <v>0</v>
      </c>
      <c r="Y130" s="6">
        <v>0</v>
      </c>
      <c r="Z130" s="5">
        <v>34390.1</v>
      </c>
      <c r="AA130" s="5">
        <v>34833.300000000003</v>
      </c>
      <c r="AB130" s="5">
        <v>443.2</v>
      </c>
      <c r="AC130" s="5">
        <v>1.2887</v>
      </c>
      <c r="AD130" s="4">
        <v>7</v>
      </c>
      <c r="AE130" s="5">
        <v>-0.11666700000000001</v>
      </c>
      <c r="AF130" s="5">
        <v>403.07819999999998</v>
      </c>
      <c r="AG130" s="5">
        <v>1.1720999999999999</v>
      </c>
      <c r="AH130" s="8">
        <v>-0.95240000000000002</v>
      </c>
      <c r="AI130" s="8">
        <v>1.2779</v>
      </c>
      <c r="AJ130" s="15">
        <v>414.4282</v>
      </c>
      <c r="AK130" s="15">
        <v>1.2326999999999999</v>
      </c>
      <c r="AL130" s="5">
        <v>105.8489</v>
      </c>
      <c r="AM130" s="5">
        <v>105.8489</v>
      </c>
      <c r="AN130" s="4">
        <v>0</v>
      </c>
      <c r="AO130" s="4">
        <v>0</v>
      </c>
      <c r="AP130" s="8">
        <v>0.97860000000000003</v>
      </c>
      <c r="AQ130" s="8">
        <v>5.0000000000000001E-4</v>
      </c>
      <c r="AR130" s="8">
        <v>5.0000000000000001E-4</v>
      </c>
      <c r="AS130" s="5">
        <v>104.5605</v>
      </c>
      <c r="AT130" s="5">
        <v>5.0000000000000001E-4</v>
      </c>
      <c r="AU130" s="7" t="s">
        <v>96</v>
      </c>
      <c r="AV130" s="7"/>
    </row>
    <row r="131" spans="1:48" ht="18" customHeight="1" x14ac:dyDescent="0.25">
      <c r="A131" s="10">
        <v>65</v>
      </c>
      <c r="B131" s="10">
        <v>2</v>
      </c>
      <c r="C131" s="10">
        <v>65</v>
      </c>
      <c r="D131" s="86">
        <v>45084</v>
      </c>
      <c r="E131" s="86">
        <v>45091</v>
      </c>
      <c r="F131" s="88" t="b">
        <f t="shared" si="1"/>
        <v>1</v>
      </c>
      <c r="G131" s="86">
        <v>45288</v>
      </c>
      <c r="H131" s="11">
        <v>18726.400000000001</v>
      </c>
      <c r="I131" s="11">
        <v>18755.900000000001</v>
      </c>
      <c r="J131" s="12"/>
      <c r="K131" s="12"/>
      <c r="L131" s="12" t="s">
        <v>44</v>
      </c>
      <c r="M131" s="90"/>
      <c r="N131" s="90"/>
      <c r="O131" s="10">
        <v>19000</v>
      </c>
      <c r="P131" s="12" t="s">
        <v>97</v>
      </c>
      <c r="Q131" s="10">
        <v>65</v>
      </c>
      <c r="R131" s="11">
        <v>521.25</v>
      </c>
      <c r="S131" s="11">
        <v>499.2</v>
      </c>
      <c r="T131" s="13">
        <v>-0.13539999999999999</v>
      </c>
      <c r="U131" s="13">
        <v>0.2384</v>
      </c>
      <c r="V131" s="10">
        <v>0</v>
      </c>
      <c r="W131" s="14">
        <v>0</v>
      </c>
      <c r="X131" s="11">
        <v>-22.05</v>
      </c>
      <c r="Y131" s="14">
        <v>-1.177482057416268E-3</v>
      </c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 t="s">
        <v>96</v>
      </c>
      <c r="AV131" s="12"/>
    </row>
    <row r="132" spans="1:48" ht="18" customHeight="1" x14ac:dyDescent="0.25">
      <c r="A132" s="4">
        <v>66</v>
      </c>
      <c r="B132" s="4">
        <v>1</v>
      </c>
      <c r="C132" s="4">
        <v>66</v>
      </c>
      <c r="D132" s="85">
        <v>45091</v>
      </c>
      <c r="E132" s="85">
        <v>45098</v>
      </c>
      <c r="F132" s="88" t="b">
        <f t="shared" ref="F132:F195" si="2">E132=D134</f>
        <v>1</v>
      </c>
      <c r="G132" s="85">
        <v>45099</v>
      </c>
      <c r="H132" s="5">
        <v>18755.900000000001</v>
      </c>
      <c r="I132" s="5">
        <v>18856.849999999999</v>
      </c>
      <c r="J132" s="5">
        <v>100.95</v>
      </c>
      <c r="K132" s="6">
        <v>5.3823063675963291E-3</v>
      </c>
      <c r="L132" s="7" t="s">
        <v>34</v>
      </c>
      <c r="M132" s="91">
        <f>MROUND(H132,100)-100</f>
        <v>18700</v>
      </c>
      <c r="N132" s="91">
        <f>M132-O132</f>
        <v>0</v>
      </c>
      <c r="O132" s="4">
        <v>18700</v>
      </c>
      <c r="P132" s="7" t="s">
        <v>95</v>
      </c>
      <c r="Q132" s="4">
        <v>65</v>
      </c>
      <c r="R132" s="5">
        <v>155.94999999999999</v>
      </c>
      <c r="S132" s="5">
        <v>165.95</v>
      </c>
      <c r="T132" s="8">
        <v>-0.47270000000000001</v>
      </c>
      <c r="U132" s="8">
        <v>0.56279999999999997</v>
      </c>
      <c r="V132" s="4">
        <v>-10</v>
      </c>
      <c r="W132" s="6">
        <v>-5.331655639025586E-4</v>
      </c>
      <c r="X132" s="4">
        <v>0</v>
      </c>
      <c r="Y132" s="6">
        <v>0</v>
      </c>
      <c r="Z132" s="5">
        <v>34833.300000000003</v>
      </c>
      <c r="AA132" s="5">
        <v>35614.400000000001</v>
      </c>
      <c r="AB132" s="5">
        <v>781.1</v>
      </c>
      <c r="AC132" s="5">
        <v>2.2423999999999999</v>
      </c>
      <c r="AD132" s="4">
        <v>7</v>
      </c>
      <c r="AE132" s="5">
        <v>-0.11666700000000001</v>
      </c>
      <c r="AF132" s="5">
        <v>740.46109999999999</v>
      </c>
      <c r="AG132" s="5">
        <v>2.1257000000000001</v>
      </c>
      <c r="AH132" s="8">
        <v>-0.1396</v>
      </c>
      <c r="AI132" s="8">
        <v>2.4967000000000001</v>
      </c>
      <c r="AJ132" s="15">
        <v>716.96109999999999</v>
      </c>
      <c r="AK132" s="15">
        <v>2.0004</v>
      </c>
      <c r="AL132" s="5">
        <v>107.9663</v>
      </c>
      <c r="AM132" s="5">
        <v>107.9663</v>
      </c>
      <c r="AN132" s="4">
        <v>0</v>
      </c>
      <c r="AO132" s="4">
        <v>0</v>
      </c>
      <c r="AP132" s="8">
        <v>1.8995</v>
      </c>
      <c r="AQ132" s="8">
        <v>0.66739999999999999</v>
      </c>
      <c r="AR132" s="8">
        <v>0.66739999999999999</v>
      </c>
      <c r="AS132" s="5">
        <v>106.5553</v>
      </c>
      <c r="AT132" s="5">
        <v>0.66739999999999999</v>
      </c>
      <c r="AU132" s="7" t="s">
        <v>96</v>
      </c>
      <c r="AV132" s="7"/>
    </row>
    <row r="133" spans="1:48" ht="18" customHeight="1" x14ac:dyDescent="0.25">
      <c r="A133" s="10">
        <v>66</v>
      </c>
      <c r="B133" s="10">
        <v>2</v>
      </c>
      <c r="C133" s="10">
        <v>66</v>
      </c>
      <c r="D133" s="86">
        <v>45091</v>
      </c>
      <c r="E133" s="86">
        <v>45098</v>
      </c>
      <c r="F133" s="88" t="b">
        <f t="shared" si="2"/>
        <v>1</v>
      </c>
      <c r="G133" s="86">
        <v>45288</v>
      </c>
      <c r="H133" s="11">
        <v>18755.900000000001</v>
      </c>
      <c r="I133" s="11">
        <v>18856.849999999999</v>
      </c>
      <c r="J133" s="12"/>
      <c r="K133" s="12"/>
      <c r="L133" s="12" t="s">
        <v>44</v>
      </c>
      <c r="M133" s="90"/>
      <c r="N133" s="90"/>
      <c r="O133" s="10">
        <v>19000</v>
      </c>
      <c r="P133" s="12" t="s">
        <v>97</v>
      </c>
      <c r="Q133" s="10">
        <v>65</v>
      </c>
      <c r="R133" s="11">
        <v>499.2</v>
      </c>
      <c r="S133" s="11">
        <v>485.7</v>
      </c>
      <c r="T133" s="13">
        <v>-0.1245</v>
      </c>
      <c r="U133" s="13">
        <v>0.2442</v>
      </c>
      <c r="V133" s="10">
        <v>0</v>
      </c>
      <c r="W133" s="14">
        <v>0</v>
      </c>
      <c r="X133" s="11">
        <v>-13.5</v>
      </c>
      <c r="Y133" s="14">
        <v>-7.1977351126845416E-4</v>
      </c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 t="s">
        <v>96</v>
      </c>
      <c r="AV133" s="12"/>
    </row>
    <row r="134" spans="1:48" ht="18" customHeight="1" x14ac:dyDescent="0.25">
      <c r="A134" s="4">
        <v>67</v>
      </c>
      <c r="B134" s="4">
        <v>1</v>
      </c>
      <c r="C134" s="4">
        <v>67</v>
      </c>
      <c r="D134" s="85">
        <v>45098</v>
      </c>
      <c r="E134" s="85">
        <v>45104</v>
      </c>
      <c r="F134" s="88" t="b">
        <f t="shared" si="2"/>
        <v>1</v>
      </c>
      <c r="G134" s="85">
        <v>45105</v>
      </c>
      <c r="H134" s="5">
        <v>18856.849999999999</v>
      </c>
      <c r="I134" s="5">
        <v>18817.400000000001</v>
      </c>
      <c r="J134" s="5">
        <v>-39.450000000000003</v>
      </c>
      <c r="K134" s="6">
        <v>-2.0920779451499062E-3</v>
      </c>
      <c r="L134" s="7" t="s">
        <v>34</v>
      </c>
      <c r="M134" s="91">
        <f>MROUND(H134,100)-100</f>
        <v>18800</v>
      </c>
      <c r="N134" s="91">
        <f>M134-O134</f>
        <v>0</v>
      </c>
      <c r="O134" s="4">
        <v>18800</v>
      </c>
      <c r="P134" s="7" t="s">
        <v>95</v>
      </c>
      <c r="Q134" s="4">
        <v>65</v>
      </c>
      <c r="R134" s="5">
        <v>159.65</v>
      </c>
      <c r="S134" s="4">
        <v>44</v>
      </c>
      <c r="T134" s="8">
        <v>-7.0800000000000002E-2</v>
      </c>
      <c r="U134" s="8">
        <v>0.73819999999999997</v>
      </c>
      <c r="V134" s="5">
        <v>115.65</v>
      </c>
      <c r="W134" s="6">
        <v>6.1330497935763407E-3</v>
      </c>
      <c r="X134" s="4">
        <v>0</v>
      </c>
      <c r="Y134" s="6">
        <v>0</v>
      </c>
      <c r="Z134" s="5">
        <v>35614.400000000001</v>
      </c>
      <c r="AA134" s="5">
        <v>35296.949999999997</v>
      </c>
      <c r="AB134" s="5">
        <v>-317.45</v>
      </c>
      <c r="AC134" s="5">
        <v>-0.89139999999999997</v>
      </c>
      <c r="AD134" s="4">
        <v>6</v>
      </c>
      <c r="AE134" s="5">
        <v>-0.1</v>
      </c>
      <c r="AF134" s="5">
        <v>-353.06439999999998</v>
      </c>
      <c r="AG134" s="5">
        <v>-0.99139999999999995</v>
      </c>
      <c r="AH134" s="8">
        <v>-2.7614999999999998</v>
      </c>
      <c r="AI134" s="8">
        <v>0.2051</v>
      </c>
      <c r="AJ134" s="9">
        <v>-229.36439999999999</v>
      </c>
      <c r="AK134" s="9">
        <v>-0.33539999999999998</v>
      </c>
      <c r="AL134" s="5">
        <v>107.60420000000001</v>
      </c>
      <c r="AM134" s="5">
        <v>107.9663</v>
      </c>
      <c r="AN134" s="5">
        <v>-0.36209999999999998</v>
      </c>
      <c r="AO134" s="5">
        <v>-0.33539999999999998</v>
      </c>
      <c r="AP134" s="8">
        <v>8.6E-3</v>
      </c>
      <c r="AQ134" s="8">
        <v>-1.6398999999999999</v>
      </c>
      <c r="AR134" s="8">
        <v>-1.6398999999999999</v>
      </c>
      <c r="AS134" s="5">
        <v>106.19580000000001</v>
      </c>
      <c r="AT134" s="5">
        <v>-1.6398999999999999</v>
      </c>
      <c r="AU134" s="7" t="s">
        <v>96</v>
      </c>
      <c r="AV134" s="7"/>
    </row>
    <row r="135" spans="1:48" ht="18" customHeight="1" x14ac:dyDescent="0.25">
      <c r="A135" s="10">
        <v>67</v>
      </c>
      <c r="B135" s="10">
        <v>2</v>
      </c>
      <c r="C135" s="10">
        <v>67</v>
      </c>
      <c r="D135" s="86">
        <v>45098</v>
      </c>
      <c r="E135" s="86">
        <v>45104</v>
      </c>
      <c r="F135" s="88" t="b">
        <f t="shared" si="2"/>
        <v>1</v>
      </c>
      <c r="G135" s="86">
        <v>45288</v>
      </c>
      <c r="H135" s="11">
        <v>18856.849999999999</v>
      </c>
      <c r="I135" s="11">
        <v>18817.400000000001</v>
      </c>
      <c r="J135" s="12"/>
      <c r="K135" s="12"/>
      <c r="L135" s="12" t="s">
        <v>44</v>
      </c>
      <c r="M135" s="90"/>
      <c r="N135" s="90"/>
      <c r="O135" s="10">
        <v>19000</v>
      </c>
      <c r="P135" s="12" t="s">
        <v>97</v>
      </c>
      <c r="Q135" s="10">
        <v>65</v>
      </c>
      <c r="R135" s="11">
        <v>485.7</v>
      </c>
      <c r="S135" s="11">
        <v>493.75</v>
      </c>
      <c r="T135" s="13">
        <v>-0.12570000000000001</v>
      </c>
      <c r="U135" s="13">
        <v>0.38340000000000002</v>
      </c>
      <c r="V135" s="10">
        <v>0</v>
      </c>
      <c r="W135" s="14">
        <v>0</v>
      </c>
      <c r="X135" s="11">
        <v>8.0500000000000007</v>
      </c>
      <c r="Y135" s="14">
        <v>4.2690056928914428E-4</v>
      </c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 t="s">
        <v>96</v>
      </c>
      <c r="AV135" s="12"/>
    </row>
    <row r="136" spans="1:48" ht="18" customHeight="1" x14ac:dyDescent="0.25">
      <c r="A136" s="4">
        <v>68</v>
      </c>
      <c r="B136" s="4">
        <v>1</v>
      </c>
      <c r="C136" s="4">
        <v>68</v>
      </c>
      <c r="D136" s="85">
        <v>45104</v>
      </c>
      <c r="E136" s="85">
        <v>45110</v>
      </c>
      <c r="F136" s="88" t="b">
        <f t="shared" si="2"/>
        <v>1</v>
      </c>
      <c r="G136" s="85">
        <v>45113</v>
      </c>
      <c r="H136" s="5">
        <v>18817.400000000001</v>
      </c>
      <c r="I136" s="5">
        <v>19322.55</v>
      </c>
      <c r="J136" s="5">
        <v>505.15</v>
      </c>
      <c r="K136" s="6">
        <v>2.684483509942925E-2</v>
      </c>
      <c r="L136" s="7" t="s">
        <v>34</v>
      </c>
      <c r="M136" s="91">
        <f>MROUND(H136,100)-100</f>
        <v>18700</v>
      </c>
      <c r="N136" s="91">
        <f>M136-O136</f>
        <v>0</v>
      </c>
      <c r="O136" s="4">
        <v>18700</v>
      </c>
      <c r="P136" s="7" t="s">
        <v>95</v>
      </c>
      <c r="Q136" s="4">
        <v>65</v>
      </c>
      <c r="R136" s="5">
        <v>197.35</v>
      </c>
      <c r="S136" s="5">
        <v>626.79999999999995</v>
      </c>
      <c r="T136" s="8">
        <v>-2.3986000000000001</v>
      </c>
      <c r="U136" s="8">
        <v>0.4642</v>
      </c>
      <c r="V136" s="5">
        <v>-429.45</v>
      </c>
      <c r="W136" s="6">
        <v>-2.282196265158842E-2</v>
      </c>
      <c r="X136" s="4">
        <v>0</v>
      </c>
      <c r="Y136" s="6">
        <v>0</v>
      </c>
      <c r="Z136" s="5">
        <v>35296.949999999997</v>
      </c>
      <c r="AA136" s="5">
        <v>35843.5</v>
      </c>
      <c r="AB136" s="5">
        <v>546.54999999999995</v>
      </c>
      <c r="AC136" s="5">
        <v>1.5484</v>
      </c>
      <c r="AD136" s="4">
        <v>6</v>
      </c>
      <c r="AE136" s="5">
        <v>-0.1</v>
      </c>
      <c r="AF136" s="5">
        <v>511.25310000000002</v>
      </c>
      <c r="AG136" s="5">
        <v>1.4483999999999999</v>
      </c>
      <c r="AH136" s="8">
        <v>0.18840000000000001</v>
      </c>
      <c r="AI136" s="8">
        <v>1.8355999999999999</v>
      </c>
      <c r="AJ136" s="9">
        <v>-64.246899999999997</v>
      </c>
      <c r="AK136" s="9">
        <v>-1.6099000000000001</v>
      </c>
      <c r="AL136" s="5">
        <v>105.8719</v>
      </c>
      <c r="AM136" s="5">
        <v>107.9663</v>
      </c>
      <c r="AN136" s="5">
        <v>-2.0943999999999998</v>
      </c>
      <c r="AO136" s="5">
        <v>-1.9399</v>
      </c>
      <c r="AP136" s="8">
        <v>-1.3692</v>
      </c>
      <c r="AQ136" s="8">
        <v>0.68579999999999997</v>
      </c>
      <c r="AR136" s="8">
        <v>-1.6099000000000001</v>
      </c>
      <c r="AS136" s="5">
        <v>105.8719</v>
      </c>
      <c r="AT136" s="5">
        <v>-1.9399</v>
      </c>
      <c r="AU136" s="7" t="s">
        <v>102</v>
      </c>
      <c r="AV136" s="7"/>
    </row>
    <row r="137" spans="1:48" ht="18" customHeight="1" x14ac:dyDescent="0.25">
      <c r="A137" s="10">
        <v>68</v>
      </c>
      <c r="B137" s="10">
        <v>2</v>
      </c>
      <c r="C137" s="10">
        <v>68</v>
      </c>
      <c r="D137" s="86">
        <v>45104</v>
      </c>
      <c r="E137" s="86">
        <v>45110</v>
      </c>
      <c r="F137" s="88" t="b">
        <f t="shared" si="2"/>
        <v>1</v>
      </c>
      <c r="G137" s="86">
        <v>45288</v>
      </c>
      <c r="H137" s="11">
        <v>18817.400000000001</v>
      </c>
      <c r="I137" s="11">
        <v>19322.55</v>
      </c>
      <c r="J137" s="12"/>
      <c r="K137" s="12"/>
      <c r="L137" s="12" t="s">
        <v>44</v>
      </c>
      <c r="M137" s="90"/>
      <c r="N137" s="90"/>
      <c r="O137" s="10">
        <v>19000</v>
      </c>
      <c r="P137" s="12" t="s">
        <v>97</v>
      </c>
      <c r="Q137" s="10">
        <v>65</v>
      </c>
      <c r="R137" s="11">
        <v>493.75</v>
      </c>
      <c r="S137" s="11">
        <v>347.7</v>
      </c>
      <c r="T137" s="13">
        <v>-0.80620000000000003</v>
      </c>
      <c r="U137" s="13">
        <v>3.32E-2</v>
      </c>
      <c r="V137" s="10">
        <v>0</v>
      </c>
      <c r="W137" s="14">
        <v>0</v>
      </c>
      <c r="X137" s="11">
        <v>-146.05000000000001</v>
      </c>
      <c r="Y137" s="14">
        <v>-7.7614335668051912E-3</v>
      </c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 t="s">
        <v>102</v>
      </c>
      <c r="AV137" s="12"/>
    </row>
    <row r="138" spans="1:48" ht="18" customHeight="1" x14ac:dyDescent="0.25">
      <c r="A138" s="4">
        <v>69</v>
      </c>
      <c r="B138" s="4">
        <v>1</v>
      </c>
      <c r="C138" s="4">
        <v>69</v>
      </c>
      <c r="D138" s="85">
        <v>45110</v>
      </c>
      <c r="E138" s="85">
        <v>45112</v>
      </c>
      <c r="F138" s="88" t="b">
        <f t="shared" si="2"/>
        <v>1</v>
      </c>
      <c r="G138" s="85">
        <v>45113</v>
      </c>
      <c r="H138" s="5">
        <v>19322.55</v>
      </c>
      <c r="I138" s="5">
        <v>19398.5</v>
      </c>
      <c r="J138" s="5">
        <v>75.95</v>
      </c>
      <c r="K138" s="6">
        <v>3.9306406245552478E-3</v>
      </c>
      <c r="L138" s="7" t="s">
        <v>34</v>
      </c>
      <c r="M138" s="91">
        <f>MROUND(H138,100)-100</f>
        <v>19200</v>
      </c>
      <c r="N138" s="91">
        <f>M138-O138</f>
        <v>0</v>
      </c>
      <c r="O138" s="4">
        <v>19200</v>
      </c>
      <c r="P138" s="7" t="s">
        <v>95</v>
      </c>
      <c r="Q138" s="4">
        <v>65</v>
      </c>
      <c r="R138" s="5">
        <v>156.80000000000001</v>
      </c>
      <c r="S138" s="5">
        <v>198.2</v>
      </c>
      <c r="T138" s="8">
        <v>-0.45650000000000002</v>
      </c>
      <c r="U138" s="8">
        <v>7.1400000000000005E-2</v>
      </c>
      <c r="V138" s="5">
        <v>-41.4</v>
      </c>
      <c r="W138" s="6">
        <v>-2.1425743496588179E-3</v>
      </c>
      <c r="X138" s="4">
        <v>0</v>
      </c>
      <c r="Y138" s="6">
        <v>0</v>
      </c>
      <c r="Z138" s="5">
        <v>35843.5</v>
      </c>
      <c r="AA138" s="5">
        <v>36024.65</v>
      </c>
      <c r="AB138" s="5">
        <v>181.15</v>
      </c>
      <c r="AC138" s="5">
        <v>0.50539999999999996</v>
      </c>
      <c r="AD138" s="4">
        <v>2</v>
      </c>
      <c r="AE138" s="5">
        <v>-3.3333000000000002E-2</v>
      </c>
      <c r="AF138" s="5">
        <v>169.2022</v>
      </c>
      <c r="AG138" s="5">
        <v>0.47210000000000002</v>
      </c>
      <c r="AH138" s="8">
        <v>-0.41820000000000002</v>
      </c>
      <c r="AI138" s="8">
        <v>0.55579999999999996</v>
      </c>
      <c r="AJ138" s="15">
        <v>117.5522</v>
      </c>
      <c r="AK138" s="15">
        <v>0.20480000000000001</v>
      </c>
      <c r="AL138" s="5">
        <v>106.0887</v>
      </c>
      <c r="AM138" s="5">
        <v>107.9663</v>
      </c>
      <c r="AN138" s="5">
        <v>-1.8775999999999999</v>
      </c>
      <c r="AO138" s="5">
        <v>-1.7391000000000001</v>
      </c>
      <c r="AP138" s="8">
        <v>7.7000000000000002E-3</v>
      </c>
      <c r="AQ138" s="8">
        <v>-0.29399999999999998</v>
      </c>
      <c r="AR138" s="8">
        <v>-0.29399999999999998</v>
      </c>
      <c r="AS138" s="5">
        <v>105.56059999999999</v>
      </c>
      <c r="AT138" s="5">
        <v>-2.2282000000000002</v>
      </c>
      <c r="AU138" s="7" t="s">
        <v>96</v>
      </c>
      <c r="AV138" s="7"/>
    </row>
    <row r="139" spans="1:48" ht="18" customHeight="1" x14ac:dyDescent="0.25">
      <c r="A139" s="10">
        <v>69</v>
      </c>
      <c r="B139" s="10">
        <v>2</v>
      </c>
      <c r="C139" s="10">
        <v>69</v>
      </c>
      <c r="D139" s="86">
        <v>45110</v>
      </c>
      <c r="E139" s="86">
        <v>45112</v>
      </c>
      <c r="F139" s="88" t="b">
        <f t="shared" si="2"/>
        <v>1</v>
      </c>
      <c r="G139" s="86">
        <v>45288</v>
      </c>
      <c r="H139" s="11">
        <v>19322.55</v>
      </c>
      <c r="I139" s="11">
        <v>19398.5</v>
      </c>
      <c r="J139" s="12"/>
      <c r="K139" s="12"/>
      <c r="L139" s="12" t="s">
        <v>44</v>
      </c>
      <c r="M139" s="90"/>
      <c r="N139" s="90"/>
      <c r="O139" s="10">
        <v>19000</v>
      </c>
      <c r="P139" s="12" t="s">
        <v>97</v>
      </c>
      <c r="Q139" s="10">
        <v>65</v>
      </c>
      <c r="R139" s="11">
        <v>347.7</v>
      </c>
      <c r="S139" s="11">
        <v>337.45</v>
      </c>
      <c r="T139" s="13">
        <v>-9.1600000000000001E-2</v>
      </c>
      <c r="U139" s="13">
        <v>5.28E-2</v>
      </c>
      <c r="V139" s="10">
        <v>0</v>
      </c>
      <c r="W139" s="14">
        <v>0</v>
      </c>
      <c r="X139" s="11">
        <v>-10.25</v>
      </c>
      <c r="Y139" s="14">
        <v>-5.3046828705320985E-4</v>
      </c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 t="s">
        <v>96</v>
      </c>
      <c r="AV139" s="12"/>
    </row>
    <row r="140" spans="1:48" ht="18" customHeight="1" x14ac:dyDescent="0.25">
      <c r="A140" s="4">
        <v>70</v>
      </c>
      <c r="B140" s="4">
        <v>1</v>
      </c>
      <c r="C140" s="4">
        <v>70</v>
      </c>
      <c r="D140" s="85">
        <v>45112</v>
      </c>
      <c r="E140" s="85">
        <v>45119</v>
      </c>
      <c r="F140" s="88" t="b">
        <f t="shared" si="2"/>
        <v>1</v>
      </c>
      <c r="G140" s="85">
        <v>45120</v>
      </c>
      <c r="H140" s="5">
        <v>19398.5</v>
      </c>
      <c r="I140" s="5">
        <v>19384.3</v>
      </c>
      <c r="J140" s="5">
        <v>-14.2</v>
      </c>
      <c r="K140" s="6">
        <v>-7.3201536201252676E-4</v>
      </c>
      <c r="L140" s="7" t="s">
        <v>34</v>
      </c>
      <c r="M140" s="91">
        <f>MROUND(H140,100)-100</f>
        <v>19300</v>
      </c>
      <c r="N140" s="91">
        <f>M140-O140</f>
        <v>0</v>
      </c>
      <c r="O140" s="4">
        <v>19300</v>
      </c>
      <c r="P140" s="7" t="s">
        <v>95</v>
      </c>
      <c r="Q140" s="4">
        <v>65</v>
      </c>
      <c r="R140" s="5">
        <v>184.25</v>
      </c>
      <c r="S140" s="5">
        <v>123.55</v>
      </c>
      <c r="T140" s="8">
        <v>-0.36320000000000002</v>
      </c>
      <c r="U140" s="8">
        <v>0.47189999999999999</v>
      </c>
      <c r="V140" s="5">
        <v>60.7</v>
      </c>
      <c r="W140" s="6">
        <v>3.1291079207155189E-3</v>
      </c>
      <c r="X140" s="4">
        <v>0</v>
      </c>
      <c r="Y140" s="6">
        <v>0</v>
      </c>
      <c r="Z140" s="5">
        <v>36024.65</v>
      </c>
      <c r="AA140" s="5">
        <v>36408.15</v>
      </c>
      <c r="AB140" s="5">
        <v>383.5</v>
      </c>
      <c r="AC140" s="5">
        <v>1.0645</v>
      </c>
      <c r="AD140" s="4">
        <v>7</v>
      </c>
      <c r="AE140" s="5">
        <v>-0.11666700000000001</v>
      </c>
      <c r="AF140" s="5">
        <v>341.47120000000001</v>
      </c>
      <c r="AG140" s="5">
        <v>0.94789999999999996</v>
      </c>
      <c r="AH140" s="8">
        <v>-0.61809999999999998</v>
      </c>
      <c r="AI140" s="8">
        <v>1.0868</v>
      </c>
      <c r="AJ140" s="15">
        <v>374.82119999999998</v>
      </c>
      <c r="AK140" s="15">
        <v>1.1197999999999999</v>
      </c>
      <c r="AL140" s="5">
        <v>107.27670000000001</v>
      </c>
      <c r="AM140" s="5">
        <v>107.9663</v>
      </c>
      <c r="AN140" s="5">
        <v>-0.68959999999999999</v>
      </c>
      <c r="AO140" s="5">
        <v>-0.63870000000000005</v>
      </c>
      <c r="AP140" s="8">
        <v>0.50480000000000003</v>
      </c>
      <c r="AQ140" s="8">
        <v>-8.0500000000000002E-2</v>
      </c>
      <c r="AR140" s="8">
        <v>-8.0500000000000002E-2</v>
      </c>
      <c r="AS140" s="5">
        <v>106.0033</v>
      </c>
      <c r="AT140" s="5">
        <v>-1.8182</v>
      </c>
      <c r="AU140" s="7" t="s">
        <v>96</v>
      </c>
      <c r="AV140" s="7"/>
    </row>
    <row r="141" spans="1:48" ht="18" customHeight="1" x14ac:dyDescent="0.25">
      <c r="A141" s="10">
        <v>70</v>
      </c>
      <c r="B141" s="10">
        <v>2</v>
      </c>
      <c r="C141" s="10">
        <v>70</v>
      </c>
      <c r="D141" s="86">
        <v>45112</v>
      </c>
      <c r="E141" s="86">
        <v>45119</v>
      </c>
      <c r="F141" s="88" t="b">
        <f t="shared" si="2"/>
        <v>1</v>
      </c>
      <c r="G141" s="86">
        <v>45288</v>
      </c>
      <c r="H141" s="11">
        <v>19398.5</v>
      </c>
      <c r="I141" s="11">
        <v>19384.3</v>
      </c>
      <c r="J141" s="12"/>
      <c r="K141" s="12"/>
      <c r="L141" s="12" t="s">
        <v>44</v>
      </c>
      <c r="M141" s="90"/>
      <c r="N141" s="90"/>
      <c r="O141" s="10">
        <v>19000</v>
      </c>
      <c r="P141" s="12" t="s">
        <v>97</v>
      </c>
      <c r="Q141" s="10">
        <v>65</v>
      </c>
      <c r="R141" s="11">
        <v>337.45</v>
      </c>
      <c r="S141" s="11">
        <v>310.10000000000002</v>
      </c>
      <c r="T141" s="13">
        <v>-0.21879999999999999</v>
      </c>
      <c r="U141" s="13">
        <v>6.5699999999999995E-2</v>
      </c>
      <c r="V141" s="10">
        <v>0</v>
      </c>
      <c r="W141" s="14">
        <v>0</v>
      </c>
      <c r="X141" s="11">
        <v>-27.35</v>
      </c>
      <c r="Y141" s="14">
        <v>-1.409902827538212E-3</v>
      </c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 t="s">
        <v>96</v>
      </c>
      <c r="AV141" s="12"/>
    </row>
    <row r="142" spans="1:48" ht="18" customHeight="1" x14ac:dyDescent="0.25">
      <c r="A142" s="4">
        <v>71</v>
      </c>
      <c r="B142" s="4">
        <v>1</v>
      </c>
      <c r="C142" s="4">
        <v>71</v>
      </c>
      <c r="D142" s="85">
        <v>45119</v>
      </c>
      <c r="E142" s="85">
        <v>45121</v>
      </c>
      <c r="F142" s="88" t="b">
        <f t="shared" si="2"/>
        <v>1</v>
      </c>
      <c r="G142" s="85">
        <v>45127</v>
      </c>
      <c r="H142" s="5">
        <v>19384.3</v>
      </c>
      <c r="I142" s="5">
        <v>19564.5</v>
      </c>
      <c r="J142" s="5">
        <v>180.2</v>
      </c>
      <c r="K142" s="6">
        <v>9.2961829934534654E-3</v>
      </c>
      <c r="L142" s="7" t="s">
        <v>34</v>
      </c>
      <c r="M142" s="91">
        <f>MROUND(H142,100)-100</f>
        <v>19300</v>
      </c>
      <c r="N142" s="91">
        <f>M142-O142</f>
        <v>0</v>
      </c>
      <c r="O142" s="4">
        <v>19300</v>
      </c>
      <c r="P142" s="7" t="s">
        <v>95</v>
      </c>
      <c r="Q142" s="4">
        <v>65</v>
      </c>
      <c r="R142" s="5">
        <v>189.8</v>
      </c>
      <c r="S142" s="5">
        <v>282.45</v>
      </c>
      <c r="T142" s="8">
        <v>-0.64490000000000003</v>
      </c>
      <c r="U142" s="8">
        <v>9.98E-2</v>
      </c>
      <c r="V142" s="5">
        <v>-92.65</v>
      </c>
      <c r="W142" s="6">
        <v>-4.7796412560680559E-3</v>
      </c>
      <c r="X142" s="4">
        <v>0</v>
      </c>
      <c r="Y142" s="6">
        <v>0</v>
      </c>
      <c r="Z142" s="5">
        <v>36408.15</v>
      </c>
      <c r="AA142" s="5">
        <v>36528.949999999997</v>
      </c>
      <c r="AB142" s="5">
        <v>120.8</v>
      </c>
      <c r="AC142" s="5">
        <v>0.33179999999999998</v>
      </c>
      <c r="AD142" s="4">
        <v>2</v>
      </c>
      <c r="AE142" s="5">
        <v>-3.3333000000000002E-2</v>
      </c>
      <c r="AF142" s="5">
        <v>108.6639</v>
      </c>
      <c r="AG142" s="5">
        <v>0.29849999999999999</v>
      </c>
      <c r="AH142" s="8">
        <v>-1.1231</v>
      </c>
      <c r="AI142" s="8">
        <v>0.36409999999999998</v>
      </c>
      <c r="AJ142" s="9">
        <v>-16.086099999999998</v>
      </c>
      <c r="AK142" s="9">
        <v>-0.34510000000000002</v>
      </c>
      <c r="AL142" s="5">
        <v>106.90649999999999</v>
      </c>
      <c r="AM142" s="5">
        <v>107.9663</v>
      </c>
      <c r="AN142" s="5">
        <v>-1.0598000000000001</v>
      </c>
      <c r="AO142" s="5">
        <v>-0.98160000000000003</v>
      </c>
      <c r="AP142" s="8">
        <v>-0.47220000000000001</v>
      </c>
      <c r="AQ142" s="8">
        <v>-1.0341</v>
      </c>
      <c r="AR142" s="8">
        <v>-1.0341</v>
      </c>
      <c r="AS142" s="5">
        <v>106.1673</v>
      </c>
      <c r="AT142" s="5">
        <v>-1.6661999999999999</v>
      </c>
      <c r="AU142" s="7" t="s">
        <v>103</v>
      </c>
      <c r="AV142" s="7"/>
    </row>
    <row r="143" spans="1:48" ht="18" customHeight="1" x14ac:dyDescent="0.25">
      <c r="A143" s="10">
        <v>71</v>
      </c>
      <c r="B143" s="10">
        <v>2</v>
      </c>
      <c r="C143" s="10">
        <v>71</v>
      </c>
      <c r="D143" s="86">
        <v>45119</v>
      </c>
      <c r="E143" s="86">
        <v>45121</v>
      </c>
      <c r="F143" s="88" t="b">
        <f t="shared" si="2"/>
        <v>1</v>
      </c>
      <c r="G143" s="86">
        <v>45288</v>
      </c>
      <c r="H143" s="11">
        <v>19384.3</v>
      </c>
      <c r="I143" s="11">
        <v>19564.5</v>
      </c>
      <c r="J143" s="12"/>
      <c r="K143" s="12"/>
      <c r="L143" s="12" t="s">
        <v>44</v>
      </c>
      <c r="M143" s="90"/>
      <c r="N143" s="90"/>
      <c r="O143" s="10">
        <v>19000</v>
      </c>
      <c r="P143" s="12" t="s">
        <v>97</v>
      </c>
      <c r="Q143" s="10">
        <v>65</v>
      </c>
      <c r="R143" s="11">
        <v>310.10000000000002</v>
      </c>
      <c r="S143" s="10">
        <v>278</v>
      </c>
      <c r="T143" s="13">
        <v>-0.19139999999999999</v>
      </c>
      <c r="U143" s="13">
        <v>-1.0800000000000001E-2</v>
      </c>
      <c r="V143" s="10">
        <v>0</v>
      </c>
      <c r="W143" s="14">
        <v>0</v>
      </c>
      <c r="X143" s="11">
        <v>-32.1</v>
      </c>
      <c r="Y143" s="14">
        <v>-1.6559793234731199E-3</v>
      </c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 t="s">
        <v>103</v>
      </c>
      <c r="AV143" s="12"/>
    </row>
    <row r="144" spans="1:48" ht="18" customHeight="1" x14ac:dyDescent="0.25">
      <c r="A144" s="4">
        <v>72</v>
      </c>
      <c r="B144" s="4">
        <v>1</v>
      </c>
      <c r="C144" s="4">
        <v>72</v>
      </c>
      <c r="D144" s="85">
        <v>45121</v>
      </c>
      <c r="E144" s="85">
        <v>45126</v>
      </c>
      <c r="F144" s="88" t="b">
        <f t="shared" si="2"/>
        <v>1</v>
      </c>
      <c r="G144" s="85">
        <v>45127</v>
      </c>
      <c r="H144" s="5">
        <v>19564.5</v>
      </c>
      <c r="I144" s="5">
        <v>19833.150000000001</v>
      </c>
      <c r="J144" s="5">
        <v>268.64999999999998</v>
      </c>
      <c r="K144" s="6">
        <v>1.3731503488461239E-2</v>
      </c>
      <c r="L144" s="7" t="s">
        <v>34</v>
      </c>
      <c r="M144" s="91">
        <f>MROUND(H144,100)-100</f>
        <v>19500</v>
      </c>
      <c r="N144" s="91">
        <f>M144-O144</f>
        <v>200</v>
      </c>
      <c r="O144" s="4">
        <v>19300</v>
      </c>
      <c r="P144" s="7" t="s">
        <v>95</v>
      </c>
      <c r="Q144" s="4">
        <v>65</v>
      </c>
      <c r="R144" s="5">
        <v>282.45</v>
      </c>
      <c r="S144" s="5">
        <v>531.15</v>
      </c>
      <c r="T144" s="8">
        <v>-1.3736999999999999</v>
      </c>
      <c r="U144" s="8">
        <v>-2.2200000000000001E-2</v>
      </c>
      <c r="V144" s="5">
        <v>-248.7</v>
      </c>
      <c r="W144" s="6">
        <v>-1.2711799432645859E-2</v>
      </c>
      <c r="X144" s="4">
        <v>0</v>
      </c>
      <c r="Y144" s="6">
        <v>0</v>
      </c>
      <c r="Z144" s="5">
        <v>36528.949999999997</v>
      </c>
      <c r="AA144" s="4">
        <v>36839</v>
      </c>
      <c r="AB144" s="5">
        <v>310.05</v>
      </c>
      <c r="AC144" s="5">
        <v>0.8488</v>
      </c>
      <c r="AD144" s="4">
        <v>5</v>
      </c>
      <c r="AE144" s="5">
        <v>-8.3333000000000004E-2</v>
      </c>
      <c r="AF144" s="5">
        <v>279.60919999999999</v>
      </c>
      <c r="AG144" s="5">
        <v>0.76539999999999997</v>
      </c>
      <c r="AH144" s="8">
        <v>-0.39240000000000003</v>
      </c>
      <c r="AI144" s="8">
        <v>0.82279999999999998</v>
      </c>
      <c r="AJ144" s="9">
        <v>-61.090800000000002</v>
      </c>
      <c r="AK144" s="9">
        <v>-0.97599999999999998</v>
      </c>
      <c r="AL144" s="5">
        <v>105.863</v>
      </c>
      <c r="AM144" s="5">
        <v>107.9663</v>
      </c>
      <c r="AN144" s="5">
        <v>-2.1032999999999999</v>
      </c>
      <c r="AO144" s="5">
        <v>-1.9480999999999999</v>
      </c>
      <c r="AP144" s="8">
        <v>-1.0528</v>
      </c>
      <c r="AQ144" s="8">
        <v>-0.40110000000000001</v>
      </c>
      <c r="AR144" s="8">
        <v>-1.0528</v>
      </c>
      <c r="AS144" s="5">
        <v>105.7809</v>
      </c>
      <c r="AT144" s="5">
        <v>-2.0240999999999998</v>
      </c>
      <c r="AU144" s="7" t="s">
        <v>96</v>
      </c>
      <c r="AV144" s="7"/>
    </row>
    <row r="145" spans="1:48" ht="18" customHeight="1" x14ac:dyDescent="0.25">
      <c r="A145" s="10">
        <v>72</v>
      </c>
      <c r="B145" s="10">
        <v>2</v>
      </c>
      <c r="C145" s="10">
        <v>72</v>
      </c>
      <c r="D145" s="86">
        <v>45121</v>
      </c>
      <c r="E145" s="86">
        <v>45126</v>
      </c>
      <c r="F145" s="88" t="b">
        <f t="shared" si="2"/>
        <v>1</v>
      </c>
      <c r="G145" s="86">
        <v>45288</v>
      </c>
      <c r="H145" s="11">
        <v>19564.5</v>
      </c>
      <c r="I145" s="11">
        <v>19833.150000000001</v>
      </c>
      <c r="J145" s="12"/>
      <c r="K145" s="12"/>
      <c r="L145" s="12" t="s">
        <v>44</v>
      </c>
      <c r="M145" s="90"/>
      <c r="N145" s="90"/>
      <c r="O145" s="10">
        <v>20000</v>
      </c>
      <c r="P145" s="12" t="s">
        <v>97</v>
      </c>
      <c r="Q145" s="10">
        <v>65</v>
      </c>
      <c r="R145" s="11">
        <v>586.20000000000005</v>
      </c>
      <c r="S145" s="11">
        <v>494.2</v>
      </c>
      <c r="T145" s="13">
        <v>-0.50190000000000001</v>
      </c>
      <c r="U145" s="13">
        <v>1.35E-2</v>
      </c>
      <c r="V145" s="10">
        <v>0</v>
      </c>
      <c r="W145" s="14">
        <v>0</v>
      </c>
      <c r="X145" s="10">
        <v>-92</v>
      </c>
      <c r="Y145" s="14">
        <v>-4.702394643359145E-3</v>
      </c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 t="s">
        <v>96</v>
      </c>
      <c r="AV145" s="12"/>
    </row>
    <row r="146" spans="1:48" ht="18" customHeight="1" x14ac:dyDescent="0.25">
      <c r="A146" s="4">
        <v>73</v>
      </c>
      <c r="B146" s="4">
        <v>1</v>
      </c>
      <c r="C146" s="4">
        <v>73</v>
      </c>
      <c r="D146" s="85">
        <v>45126</v>
      </c>
      <c r="E146" s="85">
        <v>45133</v>
      </c>
      <c r="F146" s="88" t="b">
        <f t="shared" si="2"/>
        <v>1</v>
      </c>
      <c r="G146" s="85">
        <v>45134</v>
      </c>
      <c r="H146" s="5">
        <v>19833.150000000001</v>
      </c>
      <c r="I146" s="5">
        <v>19778.3</v>
      </c>
      <c r="J146" s="5">
        <v>-54.85</v>
      </c>
      <c r="K146" s="6">
        <v>-2.765571782596309E-3</v>
      </c>
      <c r="L146" s="7" t="s">
        <v>34</v>
      </c>
      <c r="M146" s="91">
        <f>MROUND(H146,100)-100</f>
        <v>19700</v>
      </c>
      <c r="N146" s="91">
        <f>M146-O146</f>
        <v>0</v>
      </c>
      <c r="O146" s="4">
        <v>19700</v>
      </c>
      <c r="P146" s="7" t="s">
        <v>95</v>
      </c>
      <c r="Q146" s="4">
        <v>65</v>
      </c>
      <c r="R146" s="5">
        <v>206.6</v>
      </c>
      <c r="S146" s="5">
        <v>99.25</v>
      </c>
      <c r="T146" s="8">
        <v>-0.52510000000000001</v>
      </c>
      <c r="U146" s="8">
        <v>0.79990000000000006</v>
      </c>
      <c r="V146" s="5">
        <v>107.35</v>
      </c>
      <c r="W146" s="6">
        <v>5.4126550749628768E-3</v>
      </c>
      <c r="X146" s="4">
        <v>0</v>
      </c>
      <c r="Y146" s="6">
        <v>0</v>
      </c>
      <c r="Z146" s="4">
        <v>36839</v>
      </c>
      <c r="AA146" s="5">
        <v>37050.1</v>
      </c>
      <c r="AB146" s="5">
        <v>211.1</v>
      </c>
      <c r="AC146" s="5">
        <v>0.57299999999999995</v>
      </c>
      <c r="AD146" s="4">
        <v>7</v>
      </c>
      <c r="AE146" s="5">
        <v>-0.11666700000000001</v>
      </c>
      <c r="AF146" s="5">
        <v>168.12119999999999</v>
      </c>
      <c r="AG146" s="5">
        <v>0.45639999999999997</v>
      </c>
      <c r="AH146" s="8">
        <v>-0.59819999999999995</v>
      </c>
      <c r="AI146" s="8">
        <v>0.63970000000000005</v>
      </c>
      <c r="AJ146" s="15">
        <v>280.6712</v>
      </c>
      <c r="AK146" s="15">
        <v>1.0239</v>
      </c>
      <c r="AL146" s="5">
        <v>106.947</v>
      </c>
      <c r="AM146" s="5">
        <v>107.9663</v>
      </c>
      <c r="AN146" s="5">
        <v>-1.0193000000000001</v>
      </c>
      <c r="AO146" s="5">
        <v>-0.94410000000000005</v>
      </c>
      <c r="AP146" s="8">
        <v>2.2800000000000001E-2</v>
      </c>
      <c r="AQ146" s="8">
        <v>0.38450000000000001</v>
      </c>
      <c r="AR146" s="8">
        <v>2.2800000000000001E-2</v>
      </c>
      <c r="AS146" s="5">
        <v>105.88720000000001</v>
      </c>
      <c r="AT146" s="5">
        <v>-1.9257</v>
      </c>
      <c r="AU146" s="7" t="s">
        <v>96</v>
      </c>
      <c r="AV146" s="7"/>
    </row>
    <row r="147" spans="1:48" ht="18" customHeight="1" x14ac:dyDescent="0.25">
      <c r="A147" s="10">
        <v>73</v>
      </c>
      <c r="B147" s="10">
        <v>2</v>
      </c>
      <c r="C147" s="10">
        <v>73</v>
      </c>
      <c r="D147" s="86">
        <v>45126</v>
      </c>
      <c r="E147" s="86">
        <v>45133</v>
      </c>
      <c r="F147" s="88" t="b">
        <f t="shared" si="2"/>
        <v>1</v>
      </c>
      <c r="G147" s="86">
        <v>45288</v>
      </c>
      <c r="H147" s="11">
        <v>19833.150000000001</v>
      </c>
      <c r="I147" s="11">
        <v>19778.3</v>
      </c>
      <c r="J147" s="12"/>
      <c r="K147" s="12"/>
      <c r="L147" s="12" t="s">
        <v>44</v>
      </c>
      <c r="M147" s="90"/>
      <c r="N147" s="90"/>
      <c r="O147" s="10">
        <v>19000</v>
      </c>
      <c r="P147" s="12" t="s">
        <v>97</v>
      </c>
      <c r="Q147" s="10">
        <v>65</v>
      </c>
      <c r="R147" s="11">
        <v>235.75</v>
      </c>
      <c r="S147" s="11">
        <v>240.95</v>
      </c>
      <c r="T147" s="13">
        <v>-9.1800000000000007E-2</v>
      </c>
      <c r="U147" s="13">
        <v>0.18279999999999999</v>
      </c>
      <c r="V147" s="10">
        <v>0</v>
      </c>
      <c r="W147" s="14">
        <v>0</v>
      </c>
      <c r="X147" s="11">
        <v>5.2</v>
      </c>
      <c r="Y147" s="14">
        <v>2.62187297529641E-4</v>
      </c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 t="s">
        <v>96</v>
      </c>
      <c r="AV147" s="12"/>
    </row>
    <row r="148" spans="1:48" ht="18" customHeight="1" x14ac:dyDescent="0.25">
      <c r="A148" s="4">
        <v>74</v>
      </c>
      <c r="B148" s="4">
        <v>1</v>
      </c>
      <c r="C148" s="4">
        <v>74</v>
      </c>
      <c r="D148" s="85">
        <v>45133</v>
      </c>
      <c r="E148" s="85">
        <v>45140</v>
      </c>
      <c r="F148" s="88" t="b">
        <f t="shared" si="2"/>
        <v>1</v>
      </c>
      <c r="G148" s="85">
        <v>45141</v>
      </c>
      <c r="H148" s="5">
        <v>19778.3</v>
      </c>
      <c r="I148" s="5">
        <v>19526.55</v>
      </c>
      <c r="J148" s="5">
        <v>-251.75</v>
      </c>
      <c r="K148" s="6">
        <v>-1.27285964921151E-2</v>
      </c>
      <c r="L148" s="7" t="s">
        <v>34</v>
      </c>
      <c r="M148" s="91">
        <f>MROUND(H148,100)-100</f>
        <v>19700</v>
      </c>
      <c r="N148" s="91">
        <f>M148-O148</f>
        <v>0</v>
      </c>
      <c r="O148" s="4">
        <v>19700</v>
      </c>
      <c r="P148" s="7" t="s">
        <v>95</v>
      </c>
      <c r="Q148" s="4">
        <v>65</v>
      </c>
      <c r="R148" s="5">
        <v>185.85</v>
      </c>
      <c r="S148" s="5">
        <v>8.5500000000000007</v>
      </c>
      <c r="T148" s="8">
        <v>-0.32940000000000003</v>
      </c>
      <c r="U148" s="8">
        <v>0.9073</v>
      </c>
      <c r="V148" s="5">
        <v>177.3</v>
      </c>
      <c r="W148" s="6">
        <v>8.9643700419146238E-3</v>
      </c>
      <c r="X148" s="4">
        <v>0</v>
      </c>
      <c r="Y148" s="6">
        <v>0</v>
      </c>
      <c r="Z148" s="5">
        <v>37050.1</v>
      </c>
      <c r="AA148" s="5">
        <v>37232.699999999997</v>
      </c>
      <c r="AB148" s="5">
        <v>182.6</v>
      </c>
      <c r="AC148" s="5">
        <v>0.49280000000000002</v>
      </c>
      <c r="AD148" s="4">
        <v>7</v>
      </c>
      <c r="AE148" s="5">
        <v>-0.11666700000000001</v>
      </c>
      <c r="AF148" s="5">
        <v>139.3749</v>
      </c>
      <c r="AG148" s="5">
        <v>0.37619999999999998</v>
      </c>
      <c r="AH148" s="8">
        <v>-0.59130000000000005</v>
      </c>
      <c r="AI148" s="8">
        <v>2.1497999999999999</v>
      </c>
      <c r="AJ148" s="15">
        <v>344.32490000000001</v>
      </c>
      <c r="AK148" s="15">
        <v>1.4124000000000001</v>
      </c>
      <c r="AL148" s="5">
        <v>108.4575</v>
      </c>
      <c r="AM148" s="5">
        <v>108.4575</v>
      </c>
      <c r="AN148" s="4">
        <v>0</v>
      </c>
      <c r="AO148" s="4">
        <v>0</v>
      </c>
      <c r="AP148" s="8">
        <v>1.6591</v>
      </c>
      <c r="AQ148" s="8">
        <v>0.5423</v>
      </c>
      <c r="AR148" s="8">
        <v>0.5423</v>
      </c>
      <c r="AS148" s="5">
        <v>107.527</v>
      </c>
      <c r="AT148" s="5">
        <v>-0.40689999999999998</v>
      </c>
      <c r="AU148" s="7" t="s">
        <v>96</v>
      </c>
      <c r="AV148" s="7"/>
    </row>
    <row r="149" spans="1:48" ht="18" customHeight="1" x14ac:dyDescent="0.25">
      <c r="A149" s="10">
        <v>74</v>
      </c>
      <c r="B149" s="10">
        <v>2</v>
      </c>
      <c r="C149" s="10">
        <v>74</v>
      </c>
      <c r="D149" s="86">
        <v>45133</v>
      </c>
      <c r="E149" s="86">
        <v>45140</v>
      </c>
      <c r="F149" s="88" t="b">
        <f t="shared" si="2"/>
        <v>1</v>
      </c>
      <c r="G149" s="86">
        <v>45288</v>
      </c>
      <c r="H149" s="11">
        <v>19778.3</v>
      </c>
      <c r="I149" s="11">
        <v>19526.55</v>
      </c>
      <c r="J149" s="12"/>
      <c r="K149" s="12"/>
      <c r="L149" s="12" t="s">
        <v>44</v>
      </c>
      <c r="M149" s="90"/>
      <c r="N149" s="90"/>
      <c r="O149" s="10">
        <v>19000</v>
      </c>
      <c r="P149" s="12" t="s">
        <v>97</v>
      </c>
      <c r="Q149" s="10">
        <v>65</v>
      </c>
      <c r="R149" s="11">
        <v>240.95</v>
      </c>
      <c r="S149" s="11">
        <v>268.60000000000002</v>
      </c>
      <c r="T149" s="13">
        <v>-0.1613</v>
      </c>
      <c r="U149" s="13">
        <v>0.2263</v>
      </c>
      <c r="V149" s="10">
        <v>0</v>
      </c>
      <c r="W149" s="14">
        <v>0</v>
      </c>
      <c r="X149" s="11">
        <v>27.65</v>
      </c>
      <c r="Y149" s="14">
        <v>1.3979967944666629E-3</v>
      </c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 t="s">
        <v>96</v>
      </c>
      <c r="AV149" s="12"/>
    </row>
    <row r="150" spans="1:48" ht="18" customHeight="1" x14ac:dyDescent="0.25">
      <c r="A150" s="4">
        <v>75</v>
      </c>
      <c r="B150" s="4">
        <v>1</v>
      </c>
      <c r="C150" s="4">
        <v>75</v>
      </c>
      <c r="D150" s="85">
        <v>45140</v>
      </c>
      <c r="E150" s="85">
        <v>45147</v>
      </c>
      <c r="F150" s="88" t="b">
        <f t="shared" si="2"/>
        <v>1</v>
      </c>
      <c r="G150" s="85">
        <v>45148</v>
      </c>
      <c r="H150" s="5">
        <v>19526.55</v>
      </c>
      <c r="I150" s="5">
        <v>19632.55</v>
      </c>
      <c r="J150" s="4">
        <v>106</v>
      </c>
      <c r="K150" s="6">
        <v>5.428506315759825E-3</v>
      </c>
      <c r="L150" s="7" t="s">
        <v>34</v>
      </c>
      <c r="M150" s="91">
        <f>MROUND(H150,100)-100</f>
        <v>19400</v>
      </c>
      <c r="N150" s="91">
        <f>M150-O150</f>
        <v>0</v>
      </c>
      <c r="O150" s="4">
        <v>19400</v>
      </c>
      <c r="P150" s="7" t="s">
        <v>95</v>
      </c>
      <c r="Q150" s="4">
        <v>65</v>
      </c>
      <c r="R150" s="5">
        <v>211.35</v>
      </c>
      <c r="S150" s="5">
        <v>240.85</v>
      </c>
      <c r="T150" s="8">
        <v>-0.2412</v>
      </c>
      <c r="U150" s="8">
        <v>0.60580000000000001</v>
      </c>
      <c r="V150" s="5">
        <v>-29.5</v>
      </c>
      <c r="W150" s="6">
        <v>-1.510763550140706E-3</v>
      </c>
      <c r="X150" s="4">
        <v>0</v>
      </c>
      <c r="Y150" s="6">
        <v>0</v>
      </c>
      <c r="Z150" s="5">
        <v>37232.699999999997</v>
      </c>
      <c r="AA150" s="4">
        <v>38037</v>
      </c>
      <c r="AB150" s="5">
        <v>804.3</v>
      </c>
      <c r="AC150" s="5">
        <v>2.1602000000000001</v>
      </c>
      <c r="AD150" s="4">
        <v>7</v>
      </c>
      <c r="AE150" s="5">
        <v>-0.11666700000000001</v>
      </c>
      <c r="AF150" s="5">
        <v>760.86189999999999</v>
      </c>
      <c r="AG150" s="5">
        <v>2.0434999999999999</v>
      </c>
      <c r="AH150" s="8">
        <v>-0.37069999999999997</v>
      </c>
      <c r="AI150" s="8">
        <v>2.0985999999999998</v>
      </c>
      <c r="AJ150" s="15">
        <v>658.26189999999997</v>
      </c>
      <c r="AK150" s="15">
        <v>1.5181</v>
      </c>
      <c r="AL150" s="5">
        <v>110.104</v>
      </c>
      <c r="AM150" s="5">
        <v>110.104</v>
      </c>
      <c r="AN150" s="4">
        <v>0</v>
      </c>
      <c r="AO150" s="4">
        <v>0</v>
      </c>
      <c r="AP150" s="8">
        <v>1.45</v>
      </c>
      <c r="AQ150" s="8">
        <v>0.61509999999999998</v>
      </c>
      <c r="AR150" s="8">
        <v>0.61509999999999998</v>
      </c>
      <c r="AS150" s="5">
        <v>109.1246</v>
      </c>
      <c r="AT150" s="5">
        <v>0.61509999999999998</v>
      </c>
      <c r="AU150" s="7" t="s">
        <v>96</v>
      </c>
      <c r="AV150" s="7"/>
    </row>
    <row r="151" spans="1:48" ht="18" customHeight="1" x14ac:dyDescent="0.25">
      <c r="A151" s="10">
        <v>75</v>
      </c>
      <c r="B151" s="10">
        <v>2</v>
      </c>
      <c r="C151" s="10">
        <v>75</v>
      </c>
      <c r="D151" s="86">
        <v>45140</v>
      </c>
      <c r="E151" s="86">
        <v>45147</v>
      </c>
      <c r="F151" s="88" t="b">
        <f t="shared" si="2"/>
        <v>1</v>
      </c>
      <c r="G151" s="86">
        <v>45288</v>
      </c>
      <c r="H151" s="11">
        <v>19526.55</v>
      </c>
      <c r="I151" s="11">
        <v>19632.55</v>
      </c>
      <c r="J151" s="12"/>
      <c r="K151" s="12"/>
      <c r="L151" s="12" t="s">
        <v>44</v>
      </c>
      <c r="M151" s="90"/>
      <c r="N151" s="90"/>
      <c r="O151" s="10">
        <v>20000</v>
      </c>
      <c r="P151" s="12" t="s">
        <v>97</v>
      </c>
      <c r="Q151" s="10">
        <v>65</v>
      </c>
      <c r="R151" s="10">
        <v>593</v>
      </c>
      <c r="S151" s="11">
        <v>519.9</v>
      </c>
      <c r="T151" s="13">
        <v>-0.40739999999999998</v>
      </c>
      <c r="U151" s="13">
        <v>0.38</v>
      </c>
      <c r="V151" s="10">
        <v>0</v>
      </c>
      <c r="W151" s="14">
        <v>0</v>
      </c>
      <c r="X151" s="11">
        <v>-73.099999999999994</v>
      </c>
      <c r="Y151" s="14">
        <v>-3.7436208649249359E-3</v>
      </c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 t="s">
        <v>96</v>
      </c>
      <c r="AV151" s="12"/>
    </row>
    <row r="152" spans="1:48" ht="18" customHeight="1" x14ac:dyDescent="0.25">
      <c r="A152" s="4">
        <v>76</v>
      </c>
      <c r="B152" s="4">
        <v>1</v>
      </c>
      <c r="C152" s="4">
        <v>76</v>
      </c>
      <c r="D152" s="85">
        <v>45147</v>
      </c>
      <c r="E152" s="85">
        <v>45154</v>
      </c>
      <c r="F152" s="88" t="b">
        <f t="shared" si="2"/>
        <v>1</v>
      </c>
      <c r="G152" s="85">
        <v>45155</v>
      </c>
      <c r="H152" s="5">
        <v>19632.55</v>
      </c>
      <c r="I152" s="4">
        <v>19465</v>
      </c>
      <c r="J152" s="5">
        <v>-167.55</v>
      </c>
      <c r="K152" s="6">
        <v>-8.5342963598717438E-3</v>
      </c>
      <c r="L152" s="7" t="s">
        <v>34</v>
      </c>
      <c r="M152" s="91">
        <f>MROUND(H152,100)-100</f>
        <v>19500</v>
      </c>
      <c r="N152" s="91">
        <f>M152-O152</f>
        <v>0</v>
      </c>
      <c r="O152" s="4">
        <v>19500</v>
      </c>
      <c r="P152" s="7" t="s">
        <v>95</v>
      </c>
      <c r="Q152" s="4">
        <v>65</v>
      </c>
      <c r="R152" s="5">
        <v>202.8</v>
      </c>
      <c r="S152" s="5">
        <v>27.9</v>
      </c>
      <c r="T152" s="8">
        <v>6.0100000000000001E-2</v>
      </c>
      <c r="U152" s="8">
        <v>0.97689999999999999</v>
      </c>
      <c r="V152" s="5">
        <v>174.9</v>
      </c>
      <c r="W152" s="6">
        <v>8.9086746245393492E-3</v>
      </c>
      <c r="X152" s="4">
        <v>0</v>
      </c>
      <c r="Y152" s="6">
        <v>0</v>
      </c>
      <c r="Z152" s="4">
        <v>38037</v>
      </c>
      <c r="AA152" s="5">
        <v>37801.65</v>
      </c>
      <c r="AB152" s="5">
        <v>-235.35</v>
      </c>
      <c r="AC152" s="5">
        <v>-0.61870000000000003</v>
      </c>
      <c r="AD152" s="4">
        <v>7</v>
      </c>
      <c r="AE152" s="5">
        <v>-0.11666700000000001</v>
      </c>
      <c r="AF152" s="5">
        <v>-279.72649999999999</v>
      </c>
      <c r="AG152" s="5">
        <v>-0.73540000000000005</v>
      </c>
      <c r="AH152" s="8">
        <v>-2.1280000000000001</v>
      </c>
      <c r="AI152" s="8">
        <v>0.31709999999999999</v>
      </c>
      <c r="AJ152" s="9">
        <v>-17.576499999999999</v>
      </c>
      <c r="AK152" s="9">
        <v>0.59989999999999999</v>
      </c>
      <c r="AL152" s="5">
        <v>110.7645</v>
      </c>
      <c r="AM152" s="5">
        <v>110.7645</v>
      </c>
      <c r="AN152" s="4">
        <v>0</v>
      </c>
      <c r="AO152" s="4">
        <v>0</v>
      </c>
      <c r="AP152" s="8">
        <v>0.41389999999999999</v>
      </c>
      <c r="AQ152" s="8">
        <v>-0.43190000000000001</v>
      </c>
      <c r="AR152" s="8">
        <v>-0.43190000000000001</v>
      </c>
      <c r="AS152" s="5">
        <v>109.6285</v>
      </c>
      <c r="AT152" s="5">
        <v>-0.43190000000000001</v>
      </c>
      <c r="AU152" s="7" t="s">
        <v>96</v>
      </c>
      <c r="AV152" s="7"/>
    </row>
    <row r="153" spans="1:48" ht="18" customHeight="1" x14ac:dyDescent="0.25">
      <c r="A153" s="10">
        <v>76</v>
      </c>
      <c r="B153" s="10">
        <v>2</v>
      </c>
      <c r="C153" s="10">
        <v>76</v>
      </c>
      <c r="D153" s="86">
        <v>45147</v>
      </c>
      <c r="E153" s="86">
        <v>45154</v>
      </c>
      <c r="F153" s="88" t="b">
        <f t="shared" si="2"/>
        <v>1</v>
      </c>
      <c r="G153" s="86">
        <v>45288</v>
      </c>
      <c r="H153" s="11">
        <v>19632.55</v>
      </c>
      <c r="I153" s="10">
        <v>19465</v>
      </c>
      <c r="J153" s="12"/>
      <c r="K153" s="12"/>
      <c r="L153" s="12" t="s">
        <v>44</v>
      </c>
      <c r="M153" s="90"/>
      <c r="N153" s="90"/>
      <c r="O153" s="10">
        <v>20000</v>
      </c>
      <c r="P153" s="12" t="s">
        <v>97</v>
      </c>
      <c r="Q153" s="10">
        <v>65</v>
      </c>
      <c r="R153" s="11">
        <v>519.9</v>
      </c>
      <c r="S153" s="11">
        <v>607.15</v>
      </c>
      <c r="T153" s="13">
        <v>3.6700000000000003E-2</v>
      </c>
      <c r="U153" s="13">
        <v>0.71919999999999995</v>
      </c>
      <c r="V153" s="10">
        <v>0</v>
      </c>
      <c r="W153" s="14">
        <v>0</v>
      </c>
      <c r="X153" s="11">
        <v>87.25</v>
      </c>
      <c r="Y153" s="14">
        <v>4.4441501486052514E-3</v>
      </c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 t="s">
        <v>96</v>
      </c>
      <c r="AV153" s="12"/>
    </row>
    <row r="154" spans="1:48" ht="18" customHeight="1" x14ac:dyDescent="0.25">
      <c r="A154" s="4">
        <v>77</v>
      </c>
      <c r="B154" s="4">
        <v>1</v>
      </c>
      <c r="C154" s="4">
        <v>77</v>
      </c>
      <c r="D154" s="85">
        <v>45154</v>
      </c>
      <c r="E154" s="85">
        <v>45161</v>
      </c>
      <c r="F154" s="88" t="b">
        <f t="shared" si="2"/>
        <v>1</v>
      </c>
      <c r="G154" s="85">
        <v>45162</v>
      </c>
      <c r="H154" s="4">
        <v>19465</v>
      </c>
      <c r="I154" s="4">
        <v>19444</v>
      </c>
      <c r="J154" s="4">
        <v>-21</v>
      </c>
      <c r="K154" s="6">
        <v>-1.0788594913948111E-3</v>
      </c>
      <c r="L154" s="7" t="s">
        <v>34</v>
      </c>
      <c r="M154" s="91">
        <f>MROUND(H154,100)-100</f>
        <v>19400</v>
      </c>
      <c r="N154" s="91">
        <f>M154-O154</f>
        <v>0</v>
      </c>
      <c r="O154" s="4">
        <v>19400</v>
      </c>
      <c r="P154" s="7" t="s">
        <v>95</v>
      </c>
      <c r="Q154" s="4">
        <v>65</v>
      </c>
      <c r="R154" s="5">
        <v>145.9</v>
      </c>
      <c r="S154" s="5">
        <v>63.35</v>
      </c>
      <c r="T154" s="8">
        <v>6.9400000000000003E-2</v>
      </c>
      <c r="U154" s="8">
        <v>0.60009999999999997</v>
      </c>
      <c r="V154" s="5">
        <v>82.55</v>
      </c>
      <c r="W154" s="6">
        <v>4.2409452864115077E-3</v>
      </c>
      <c r="X154" s="4">
        <v>0</v>
      </c>
      <c r="Y154" s="6">
        <v>0</v>
      </c>
      <c r="Z154" s="5">
        <v>37801.65</v>
      </c>
      <c r="AA154" s="5">
        <v>38694.65</v>
      </c>
      <c r="AB154" s="4">
        <v>893</v>
      </c>
      <c r="AC154" s="5">
        <v>2.3622999999999998</v>
      </c>
      <c r="AD154" s="4">
        <v>7</v>
      </c>
      <c r="AE154" s="5">
        <v>-0.11666700000000001</v>
      </c>
      <c r="AF154" s="5">
        <v>848.8981</v>
      </c>
      <c r="AG154" s="5">
        <v>2.2456999999999998</v>
      </c>
      <c r="AH154" s="8">
        <v>-0.26200000000000001</v>
      </c>
      <c r="AI154" s="8">
        <v>2.6053999999999999</v>
      </c>
      <c r="AJ154" s="15">
        <v>927.19809999999995</v>
      </c>
      <c r="AK154" s="15">
        <v>2.6480000000000001</v>
      </c>
      <c r="AL154" s="5">
        <v>113.69759999999999</v>
      </c>
      <c r="AM154" s="5">
        <v>113.69759999999999</v>
      </c>
      <c r="AN154" s="4">
        <v>0</v>
      </c>
      <c r="AO154" s="4">
        <v>0</v>
      </c>
      <c r="AP154" s="8">
        <v>2.5966999999999998</v>
      </c>
      <c r="AQ154" s="8">
        <v>0.84079999999999999</v>
      </c>
      <c r="AR154" s="8">
        <v>0.84079999999999999</v>
      </c>
      <c r="AS154" s="5">
        <v>111.69580000000001</v>
      </c>
      <c r="AT154" s="5">
        <v>0.84079999999999999</v>
      </c>
      <c r="AU154" s="7" t="s">
        <v>96</v>
      </c>
      <c r="AV154" s="7"/>
    </row>
    <row r="155" spans="1:48" ht="18" customHeight="1" x14ac:dyDescent="0.25">
      <c r="A155" s="10">
        <v>77</v>
      </c>
      <c r="B155" s="10">
        <v>2</v>
      </c>
      <c r="C155" s="10">
        <v>77</v>
      </c>
      <c r="D155" s="86">
        <v>45154</v>
      </c>
      <c r="E155" s="86">
        <v>45161</v>
      </c>
      <c r="F155" s="88" t="b">
        <f t="shared" si="2"/>
        <v>1</v>
      </c>
      <c r="G155" s="86">
        <v>45288</v>
      </c>
      <c r="H155" s="10">
        <v>19465</v>
      </c>
      <c r="I155" s="10">
        <v>19444</v>
      </c>
      <c r="J155" s="12"/>
      <c r="K155" s="12"/>
      <c r="L155" s="12" t="s">
        <v>44</v>
      </c>
      <c r="M155" s="90"/>
      <c r="N155" s="90"/>
      <c r="O155" s="10">
        <v>20000</v>
      </c>
      <c r="P155" s="12" t="s">
        <v>97</v>
      </c>
      <c r="Q155" s="10">
        <v>65</v>
      </c>
      <c r="R155" s="11">
        <v>607.15</v>
      </c>
      <c r="S155" s="11">
        <v>602.9</v>
      </c>
      <c r="T155" s="13">
        <v>-7.8100000000000003E-2</v>
      </c>
      <c r="U155" s="13">
        <v>0.50270000000000004</v>
      </c>
      <c r="V155" s="10">
        <v>0</v>
      </c>
      <c r="W155" s="14">
        <v>0</v>
      </c>
      <c r="X155" s="11">
        <v>-4.25</v>
      </c>
      <c r="Y155" s="14">
        <v>-2.183406113537118E-4</v>
      </c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 t="s">
        <v>96</v>
      </c>
      <c r="AV155" s="12"/>
    </row>
    <row r="156" spans="1:48" ht="18" customHeight="1" x14ac:dyDescent="0.25">
      <c r="A156" s="4">
        <v>78</v>
      </c>
      <c r="B156" s="4">
        <v>1</v>
      </c>
      <c r="C156" s="4">
        <v>78</v>
      </c>
      <c r="D156" s="85">
        <v>45161</v>
      </c>
      <c r="E156" s="85">
        <v>45168</v>
      </c>
      <c r="F156" s="88" t="b">
        <f t="shared" si="2"/>
        <v>1</v>
      </c>
      <c r="G156" s="85">
        <v>45169</v>
      </c>
      <c r="H156" s="4">
        <v>19444</v>
      </c>
      <c r="I156" s="5">
        <v>19347.45</v>
      </c>
      <c r="J156" s="5">
        <v>-96.55</v>
      </c>
      <c r="K156" s="6">
        <v>-4.9655420695330181E-3</v>
      </c>
      <c r="L156" s="7" t="s">
        <v>34</v>
      </c>
      <c r="M156" s="91">
        <f>MROUND(H156,100)-100</f>
        <v>19300</v>
      </c>
      <c r="N156" s="91">
        <f>M156-O156</f>
        <v>0</v>
      </c>
      <c r="O156" s="4">
        <v>19300</v>
      </c>
      <c r="P156" s="7" t="s">
        <v>95</v>
      </c>
      <c r="Q156" s="4">
        <v>65</v>
      </c>
      <c r="R156" s="4">
        <v>187</v>
      </c>
      <c r="S156" s="4">
        <v>66</v>
      </c>
      <c r="T156" s="8">
        <v>-0.56369999999999998</v>
      </c>
      <c r="U156" s="8">
        <v>0.66190000000000004</v>
      </c>
      <c r="V156" s="4">
        <v>121</v>
      </c>
      <c r="W156" s="6">
        <v>6.2229993828430367E-3</v>
      </c>
      <c r="X156" s="4">
        <v>0</v>
      </c>
      <c r="Y156" s="6">
        <v>0</v>
      </c>
      <c r="Z156" s="5">
        <v>38694.65</v>
      </c>
      <c r="AA156" s="5">
        <v>39077.550000000003</v>
      </c>
      <c r="AB156" s="5">
        <v>382.9</v>
      </c>
      <c r="AC156" s="5">
        <v>0.98950000000000005</v>
      </c>
      <c r="AD156" s="4">
        <v>7</v>
      </c>
      <c r="AE156" s="5">
        <v>-0.11666700000000001</v>
      </c>
      <c r="AF156" s="5">
        <v>337.75619999999998</v>
      </c>
      <c r="AG156" s="5">
        <v>0.87290000000000001</v>
      </c>
      <c r="AH156" s="8">
        <v>-0.83289999999999997</v>
      </c>
      <c r="AI156" s="8">
        <v>1.0638000000000001</v>
      </c>
      <c r="AJ156" s="15">
        <v>463.50619999999998</v>
      </c>
      <c r="AK156" s="15">
        <v>1.5196000000000001</v>
      </c>
      <c r="AL156" s="5">
        <v>115.42529999999999</v>
      </c>
      <c r="AM156" s="5">
        <v>115.42529999999999</v>
      </c>
      <c r="AN156" s="4">
        <v>0</v>
      </c>
      <c r="AO156" s="4">
        <v>0</v>
      </c>
      <c r="AP156" s="8">
        <v>8.9399999999999993E-2</v>
      </c>
      <c r="AQ156" s="8">
        <v>0.27700000000000002</v>
      </c>
      <c r="AR156" s="8">
        <v>8.9399999999999993E-2</v>
      </c>
      <c r="AS156" s="5">
        <v>113.7992</v>
      </c>
      <c r="AT156" s="5">
        <v>8.9399999999999993E-2</v>
      </c>
      <c r="AU156" s="7" t="s">
        <v>96</v>
      </c>
      <c r="AV156" s="7"/>
    </row>
    <row r="157" spans="1:48" ht="18" customHeight="1" x14ac:dyDescent="0.25">
      <c r="A157" s="10">
        <v>78</v>
      </c>
      <c r="B157" s="10">
        <v>2</v>
      </c>
      <c r="C157" s="10">
        <v>78</v>
      </c>
      <c r="D157" s="86">
        <v>45161</v>
      </c>
      <c r="E157" s="86">
        <v>45168</v>
      </c>
      <c r="F157" s="88" t="b">
        <f t="shared" si="2"/>
        <v>1</v>
      </c>
      <c r="G157" s="86">
        <v>45288</v>
      </c>
      <c r="H157" s="10">
        <v>19444</v>
      </c>
      <c r="I157" s="11">
        <v>19347.45</v>
      </c>
      <c r="J157" s="12"/>
      <c r="K157" s="12"/>
      <c r="L157" s="12" t="s">
        <v>44</v>
      </c>
      <c r="M157" s="90"/>
      <c r="N157" s="90"/>
      <c r="O157" s="10">
        <v>20000</v>
      </c>
      <c r="P157" s="12" t="s">
        <v>97</v>
      </c>
      <c r="Q157" s="10">
        <v>65</v>
      </c>
      <c r="R157" s="11">
        <v>602.9</v>
      </c>
      <c r="S157" s="11">
        <v>607.65</v>
      </c>
      <c r="T157" s="13">
        <v>-0.41070000000000001</v>
      </c>
      <c r="U157" s="13">
        <v>0.44800000000000001</v>
      </c>
      <c r="V157" s="10">
        <v>0</v>
      </c>
      <c r="W157" s="14">
        <v>0</v>
      </c>
      <c r="X157" s="11">
        <v>4.75</v>
      </c>
      <c r="Y157" s="14">
        <v>2.4429129808681342E-4</v>
      </c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 t="s">
        <v>96</v>
      </c>
      <c r="AV157" s="12"/>
    </row>
    <row r="158" spans="1:48" ht="18" customHeight="1" x14ac:dyDescent="0.25">
      <c r="A158" s="4">
        <v>79</v>
      </c>
      <c r="B158" s="4">
        <v>1</v>
      </c>
      <c r="C158" s="4">
        <v>79</v>
      </c>
      <c r="D158" s="85">
        <v>45168</v>
      </c>
      <c r="E158" s="85">
        <v>45175</v>
      </c>
      <c r="F158" s="88" t="b">
        <f t="shared" si="2"/>
        <v>1</v>
      </c>
      <c r="G158" s="85">
        <v>45176</v>
      </c>
      <c r="H158" s="5">
        <v>19347.45</v>
      </c>
      <c r="I158" s="5">
        <v>19611.05</v>
      </c>
      <c r="J158" s="5">
        <v>263.60000000000002</v>
      </c>
      <c r="K158" s="6">
        <v>1.362453449937847E-2</v>
      </c>
      <c r="L158" s="7" t="s">
        <v>34</v>
      </c>
      <c r="M158" s="91">
        <f>MROUND(H158,100)-100</f>
        <v>19200</v>
      </c>
      <c r="N158" s="91">
        <f>M158-O158</f>
        <v>0</v>
      </c>
      <c r="O158" s="4">
        <v>19200</v>
      </c>
      <c r="P158" s="7" t="s">
        <v>95</v>
      </c>
      <c r="Q158" s="4">
        <v>65</v>
      </c>
      <c r="R158" s="5">
        <v>228.45</v>
      </c>
      <c r="S158" s="5">
        <v>392.85</v>
      </c>
      <c r="T158" s="8">
        <v>-0.93289999999999995</v>
      </c>
      <c r="U158" s="8">
        <v>0.35220000000000001</v>
      </c>
      <c r="V158" s="5">
        <v>-164.4</v>
      </c>
      <c r="W158" s="6">
        <v>-8.4972438228293652E-3</v>
      </c>
      <c r="X158" s="4">
        <v>0</v>
      </c>
      <c r="Y158" s="6">
        <v>0</v>
      </c>
      <c r="Z158" s="5">
        <v>39077.550000000003</v>
      </c>
      <c r="AA158" s="5">
        <v>40284.1</v>
      </c>
      <c r="AB158" s="5">
        <v>1206.55</v>
      </c>
      <c r="AC158" s="5">
        <v>3.0876000000000001</v>
      </c>
      <c r="AD158" s="4">
        <v>7</v>
      </c>
      <c r="AE158" s="5">
        <v>-0.11666700000000001</v>
      </c>
      <c r="AF158" s="5">
        <v>1160.9594999999999</v>
      </c>
      <c r="AG158" s="5">
        <v>2.9708999999999999</v>
      </c>
      <c r="AH158" s="8">
        <v>-0.30230000000000001</v>
      </c>
      <c r="AI158" s="8">
        <v>3.2057000000000002</v>
      </c>
      <c r="AJ158" s="15">
        <v>870.0095</v>
      </c>
      <c r="AK158" s="15">
        <v>1.4671000000000001</v>
      </c>
      <c r="AL158" s="5">
        <v>117.1187</v>
      </c>
      <c r="AM158" s="5">
        <v>117.1187</v>
      </c>
      <c r="AN158" s="4">
        <v>0</v>
      </c>
      <c r="AO158" s="4">
        <v>0</v>
      </c>
      <c r="AP158" s="8">
        <v>1.5846</v>
      </c>
      <c r="AQ158" s="8">
        <v>0.2429</v>
      </c>
      <c r="AR158" s="8">
        <v>0.2429</v>
      </c>
      <c r="AS158" s="5">
        <v>115.70569999999999</v>
      </c>
      <c r="AT158" s="5">
        <v>0.2429</v>
      </c>
      <c r="AU158" s="7" t="s">
        <v>96</v>
      </c>
      <c r="AV158" s="7"/>
    </row>
    <row r="159" spans="1:48" ht="18" customHeight="1" x14ac:dyDescent="0.25">
      <c r="A159" s="10">
        <v>79</v>
      </c>
      <c r="B159" s="10">
        <v>2</v>
      </c>
      <c r="C159" s="10">
        <v>79</v>
      </c>
      <c r="D159" s="86">
        <v>45168</v>
      </c>
      <c r="E159" s="86">
        <v>45175</v>
      </c>
      <c r="F159" s="88" t="b">
        <f t="shared" si="2"/>
        <v>1</v>
      </c>
      <c r="G159" s="86">
        <v>45288</v>
      </c>
      <c r="H159" s="11">
        <v>19347.45</v>
      </c>
      <c r="I159" s="11">
        <v>19611.05</v>
      </c>
      <c r="J159" s="12"/>
      <c r="K159" s="12"/>
      <c r="L159" s="12" t="s">
        <v>44</v>
      </c>
      <c r="M159" s="90"/>
      <c r="N159" s="90"/>
      <c r="O159" s="10">
        <v>20000</v>
      </c>
      <c r="P159" s="12" t="s">
        <v>97</v>
      </c>
      <c r="Q159" s="10">
        <v>65</v>
      </c>
      <c r="R159" s="11">
        <v>607.65</v>
      </c>
      <c r="S159" s="11">
        <v>481.1</v>
      </c>
      <c r="T159" s="13">
        <v>-0.68820000000000003</v>
      </c>
      <c r="U159" s="13">
        <v>0.193</v>
      </c>
      <c r="V159" s="10">
        <v>0</v>
      </c>
      <c r="W159" s="14">
        <v>0</v>
      </c>
      <c r="X159" s="11">
        <v>-126.55</v>
      </c>
      <c r="Y159" s="14">
        <v>-6.540913660456546E-3</v>
      </c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 t="s">
        <v>96</v>
      </c>
      <c r="AV159" s="12"/>
    </row>
    <row r="160" spans="1:48" ht="18" customHeight="1" x14ac:dyDescent="0.25">
      <c r="A160" s="4">
        <v>80</v>
      </c>
      <c r="B160" s="4">
        <v>1</v>
      </c>
      <c r="C160" s="4">
        <v>80</v>
      </c>
      <c r="D160" s="85">
        <v>45175</v>
      </c>
      <c r="E160" s="85">
        <v>45182</v>
      </c>
      <c r="F160" s="88" t="b">
        <f t="shared" si="2"/>
        <v>1</v>
      </c>
      <c r="G160" s="85">
        <v>45183</v>
      </c>
      <c r="H160" s="5">
        <v>19611.05</v>
      </c>
      <c r="I160" s="4">
        <v>20070</v>
      </c>
      <c r="J160" s="5">
        <v>458.95</v>
      </c>
      <c r="K160" s="6">
        <v>2.3402622501089949E-2</v>
      </c>
      <c r="L160" s="7" t="s">
        <v>34</v>
      </c>
      <c r="M160" s="91">
        <f>MROUND(H160,100)-100</f>
        <v>19500</v>
      </c>
      <c r="N160" s="91">
        <f>M160-O160</f>
        <v>0</v>
      </c>
      <c r="O160" s="4">
        <v>19500</v>
      </c>
      <c r="P160" s="7" t="s">
        <v>95</v>
      </c>
      <c r="Q160" s="4">
        <v>65</v>
      </c>
      <c r="R160" s="5">
        <v>162.55000000000001</v>
      </c>
      <c r="S160" s="5">
        <v>573.45000000000005</v>
      </c>
      <c r="T160" s="8">
        <v>-2.2605</v>
      </c>
      <c r="U160" s="8">
        <v>0.16950000000000001</v>
      </c>
      <c r="V160" s="5">
        <v>-410.9</v>
      </c>
      <c r="W160" s="6">
        <v>-2.0952473223004382E-2</v>
      </c>
      <c r="X160" s="4">
        <v>0</v>
      </c>
      <c r="Y160" s="6">
        <v>0</v>
      </c>
      <c r="Z160" s="5">
        <v>40284.1</v>
      </c>
      <c r="AA160" s="5">
        <v>40245.1</v>
      </c>
      <c r="AB160" s="4">
        <v>-39</v>
      </c>
      <c r="AC160" s="5">
        <v>-9.6799999999999997E-2</v>
      </c>
      <c r="AD160" s="4">
        <v>7</v>
      </c>
      <c r="AE160" s="5">
        <v>-0.11666700000000001</v>
      </c>
      <c r="AF160" s="5">
        <v>-85.998099999999994</v>
      </c>
      <c r="AG160" s="5">
        <v>-0.2135</v>
      </c>
      <c r="AH160" s="8">
        <v>-1.8037000000000001</v>
      </c>
      <c r="AI160" s="8">
        <v>3.3784999999999998</v>
      </c>
      <c r="AJ160" s="9">
        <v>-664.09810000000004</v>
      </c>
      <c r="AK160" s="9">
        <v>-3.1613000000000002</v>
      </c>
      <c r="AL160" s="5">
        <v>113.4162</v>
      </c>
      <c r="AM160" s="5">
        <v>117.1187</v>
      </c>
      <c r="AN160" s="5">
        <v>-3.7025000000000001</v>
      </c>
      <c r="AO160" s="5">
        <v>-3.1613000000000002</v>
      </c>
      <c r="AP160" s="8">
        <v>0.2198</v>
      </c>
      <c r="AQ160" s="8">
        <v>-1.5335000000000001</v>
      </c>
      <c r="AR160" s="8">
        <v>-3.1613000000000002</v>
      </c>
      <c r="AS160" s="5">
        <v>113.4162</v>
      </c>
      <c r="AT160" s="5">
        <v>-3.1613000000000002</v>
      </c>
      <c r="AU160" s="7" t="s">
        <v>99</v>
      </c>
      <c r="AV160" s="7"/>
    </row>
    <row r="161" spans="1:48" ht="18" customHeight="1" x14ac:dyDescent="0.25">
      <c r="A161" s="10">
        <v>80</v>
      </c>
      <c r="B161" s="10">
        <v>2</v>
      </c>
      <c r="C161" s="10">
        <v>80</v>
      </c>
      <c r="D161" s="86">
        <v>45175</v>
      </c>
      <c r="E161" s="86">
        <v>45182</v>
      </c>
      <c r="F161" s="88" t="b">
        <f t="shared" si="2"/>
        <v>1</v>
      </c>
      <c r="G161" s="86">
        <v>45288</v>
      </c>
      <c r="H161" s="11">
        <v>19611.05</v>
      </c>
      <c r="I161" s="10">
        <v>20070</v>
      </c>
      <c r="J161" s="12"/>
      <c r="K161" s="12"/>
      <c r="L161" s="12" t="s">
        <v>44</v>
      </c>
      <c r="M161" s="90"/>
      <c r="N161" s="90"/>
      <c r="O161" s="10">
        <v>20000</v>
      </c>
      <c r="P161" s="12" t="s">
        <v>97</v>
      </c>
      <c r="Q161" s="10">
        <v>65</v>
      </c>
      <c r="R161" s="11">
        <v>481.1</v>
      </c>
      <c r="S161" s="11">
        <v>313.89999999999998</v>
      </c>
      <c r="T161" s="13">
        <v>-0.8982</v>
      </c>
      <c r="U161" s="13">
        <v>0.1007</v>
      </c>
      <c r="V161" s="10">
        <v>0</v>
      </c>
      <c r="W161" s="14">
        <v>0</v>
      </c>
      <c r="X161" s="11">
        <v>-167.2</v>
      </c>
      <c r="Y161" s="14">
        <v>-8.5258056044933851E-3</v>
      </c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 t="s">
        <v>99</v>
      </c>
      <c r="AV161" s="12"/>
    </row>
    <row r="162" spans="1:48" ht="18" customHeight="1" x14ac:dyDescent="0.25">
      <c r="A162" s="4">
        <v>81</v>
      </c>
      <c r="B162" s="4">
        <v>1</v>
      </c>
      <c r="C162" s="4">
        <v>81</v>
      </c>
      <c r="D162" s="85">
        <v>45182</v>
      </c>
      <c r="E162" s="85">
        <v>45189</v>
      </c>
      <c r="F162" s="88" t="b">
        <f t="shared" si="2"/>
        <v>1</v>
      </c>
      <c r="G162" s="85">
        <v>45190</v>
      </c>
      <c r="H162" s="4">
        <v>20070</v>
      </c>
      <c r="I162" s="5">
        <v>19901.400000000001</v>
      </c>
      <c r="J162" s="5">
        <v>-168.6</v>
      </c>
      <c r="K162" s="6">
        <v>-8.4005979073243642E-3</v>
      </c>
      <c r="L162" s="7" t="s">
        <v>34</v>
      </c>
      <c r="M162" s="91">
        <f>MROUND(H162,100)-100</f>
        <v>20000</v>
      </c>
      <c r="N162" s="91">
        <f>M162-O162</f>
        <v>0</v>
      </c>
      <c r="O162" s="4">
        <v>20000</v>
      </c>
      <c r="P162" s="7" t="s">
        <v>95</v>
      </c>
      <c r="Q162" s="4">
        <v>65</v>
      </c>
      <c r="R162" s="5">
        <v>175.55</v>
      </c>
      <c r="S162" s="5">
        <v>20.399999999999999</v>
      </c>
      <c r="T162" s="8">
        <v>-0.438</v>
      </c>
      <c r="U162" s="8">
        <v>0.7853</v>
      </c>
      <c r="V162" s="5">
        <v>155.15</v>
      </c>
      <c r="W162" s="6">
        <v>7.7304434479322373E-3</v>
      </c>
      <c r="X162" s="4">
        <v>0</v>
      </c>
      <c r="Y162" s="6">
        <v>0</v>
      </c>
      <c r="Z162" s="5">
        <v>40245.1</v>
      </c>
      <c r="AA162" s="5">
        <v>40543.85</v>
      </c>
      <c r="AB162" s="5">
        <v>298.75</v>
      </c>
      <c r="AC162" s="5">
        <v>0.74229999999999996</v>
      </c>
      <c r="AD162" s="4">
        <v>7</v>
      </c>
      <c r="AE162" s="5">
        <v>-0.11666700000000001</v>
      </c>
      <c r="AF162" s="5">
        <v>251.79740000000001</v>
      </c>
      <c r="AG162" s="5">
        <v>0.62570000000000003</v>
      </c>
      <c r="AH162" s="8">
        <v>4.8599999999999997E-2</v>
      </c>
      <c r="AI162" s="8">
        <v>1.7989999999999999</v>
      </c>
      <c r="AJ162" s="15">
        <v>417.74740000000003</v>
      </c>
      <c r="AK162" s="15">
        <v>1.4525999999999999</v>
      </c>
      <c r="AL162" s="5">
        <v>115.0637</v>
      </c>
      <c r="AM162" s="5">
        <v>117.1187</v>
      </c>
      <c r="AN162" s="5">
        <v>-2.0550000000000002</v>
      </c>
      <c r="AO162" s="5">
        <v>-1.7545999999999999</v>
      </c>
      <c r="AP162" s="8">
        <v>1.0752999999999999</v>
      </c>
      <c r="AQ162" s="8">
        <v>0.97640000000000005</v>
      </c>
      <c r="AR162" s="8">
        <v>0.97640000000000005</v>
      </c>
      <c r="AS162" s="5">
        <v>114.5236</v>
      </c>
      <c r="AT162" s="5">
        <v>-2.2158000000000002</v>
      </c>
      <c r="AU162" s="7" t="s">
        <v>96</v>
      </c>
      <c r="AV162" s="7"/>
    </row>
    <row r="163" spans="1:48" ht="18" customHeight="1" x14ac:dyDescent="0.25">
      <c r="A163" s="10">
        <v>81</v>
      </c>
      <c r="B163" s="10">
        <v>2</v>
      </c>
      <c r="C163" s="10">
        <v>81</v>
      </c>
      <c r="D163" s="86">
        <v>45182</v>
      </c>
      <c r="E163" s="86">
        <v>45189</v>
      </c>
      <c r="F163" s="88" t="b">
        <f t="shared" si="2"/>
        <v>1</v>
      </c>
      <c r="G163" s="86">
        <v>45288</v>
      </c>
      <c r="H163" s="10">
        <v>20070</v>
      </c>
      <c r="I163" s="11">
        <v>19901.400000000001</v>
      </c>
      <c r="J163" s="12"/>
      <c r="K163" s="12"/>
      <c r="L163" s="12" t="s">
        <v>44</v>
      </c>
      <c r="M163" s="90"/>
      <c r="N163" s="90"/>
      <c r="O163" s="10">
        <v>20000</v>
      </c>
      <c r="P163" s="12" t="s">
        <v>97</v>
      </c>
      <c r="Q163" s="10">
        <v>65</v>
      </c>
      <c r="R163" s="11">
        <v>313.89999999999998</v>
      </c>
      <c r="S163" s="11">
        <v>324.7</v>
      </c>
      <c r="T163" s="13">
        <v>-0.28570000000000001</v>
      </c>
      <c r="U163" s="13">
        <v>0.14249999999999999</v>
      </c>
      <c r="V163" s="10">
        <v>0</v>
      </c>
      <c r="W163" s="14">
        <v>0</v>
      </c>
      <c r="X163" s="11">
        <v>10.8</v>
      </c>
      <c r="Y163" s="14">
        <v>5.3811659192825115E-4</v>
      </c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 t="s">
        <v>96</v>
      </c>
      <c r="AV163" s="12"/>
    </row>
    <row r="164" spans="1:48" ht="18" customHeight="1" x14ac:dyDescent="0.25">
      <c r="A164" s="4">
        <v>82</v>
      </c>
      <c r="B164" s="4">
        <v>1</v>
      </c>
      <c r="C164" s="4">
        <v>82</v>
      </c>
      <c r="D164" s="85">
        <v>45189</v>
      </c>
      <c r="E164" s="85">
        <v>45196</v>
      </c>
      <c r="F164" s="88" t="b">
        <f t="shared" si="2"/>
        <v>1</v>
      </c>
      <c r="G164" s="85">
        <v>45197</v>
      </c>
      <c r="H164" s="5">
        <v>19901.400000000001</v>
      </c>
      <c r="I164" s="5">
        <v>19716.45</v>
      </c>
      <c r="J164" s="5">
        <v>-184.95</v>
      </c>
      <c r="K164" s="6">
        <v>-9.2933160481172162E-3</v>
      </c>
      <c r="L164" s="7" t="s">
        <v>34</v>
      </c>
      <c r="M164" s="91">
        <f>MROUND(H164,100)-100</f>
        <v>19800</v>
      </c>
      <c r="N164" s="91">
        <f>M164-O164</f>
        <v>0</v>
      </c>
      <c r="O164" s="4">
        <v>19800</v>
      </c>
      <c r="P164" s="7" t="s">
        <v>95</v>
      </c>
      <c r="Q164" s="4">
        <v>65</v>
      </c>
      <c r="R164" s="5">
        <v>230.25</v>
      </c>
      <c r="S164" s="5">
        <v>14.45</v>
      </c>
      <c r="T164" s="8">
        <v>0.19719999999999999</v>
      </c>
      <c r="U164" s="8">
        <v>1.1297999999999999</v>
      </c>
      <c r="V164" s="5">
        <v>215.8</v>
      </c>
      <c r="W164" s="6">
        <v>1.08434582491684E-2</v>
      </c>
      <c r="X164" s="4">
        <v>0</v>
      </c>
      <c r="Y164" s="6">
        <v>0</v>
      </c>
      <c r="Z164" s="5">
        <v>40543.85</v>
      </c>
      <c r="AA164" s="5">
        <v>40640.800000000003</v>
      </c>
      <c r="AB164" s="5">
        <v>96.95</v>
      </c>
      <c r="AC164" s="5">
        <v>0.23910000000000001</v>
      </c>
      <c r="AD164" s="4">
        <v>7</v>
      </c>
      <c r="AE164" s="5">
        <v>-0.11666700000000001</v>
      </c>
      <c r="AF164" s="5">
        <v>49.648800000000001</v>
      </c>
      <c r="AG164" s="5">
        <v>0.1225</v>
      </c>
      <c r="AH164" s="8">
        <v>-1.6456999999999999</v>
      </c>
      <c r="AI164" s="8">
        <v>0.28199999999999997</v>
      </c>
      <c r="AJ164" s="15">
        <v>361.74880000000002</v>
      </c>
      <c r="AK164" s="15">
        <v>1.6907000000000001</v>
      </c>
      <c r="AL164" s="5">
        <v>117.0091</v>
      </c>
      <c r="AM164" s="5">
        <v>117.1187</v>
      </c>
      <c r="AN164" s="5">
        <v>-0.1096</v>
      </c>
      <c r="AO164" s="5">
        <v>-9.3600000000000003E-2</v>
      </c>
      <c r="AP164" s="8">
        <v>0.59130000000000005</v>
      </c>
      <c r="AQ164" s="8">
        <v>0.33860000000000001</v>
      </c>
      <c r="AR164" s="8">
        <v>0.33860000000000001</v>
      </c>
      <c r="AS164" s="5">
        <v>115.4533</v>
      </c>
      <c r="AT164" s="5">
        <v>-1.4219999999999999</v>
      </c>
      <c r="AU164" s="7" t="s">
        <v>96</v>
      </c>
      <c r="AV164" s="7"/>
    </row>
    <row r="165" spans="1:48" ht="18" customHeight="1" x14ac:dyDescent="0.25">
      <c r="A165" s="10">
        <v>82</v>
      </c>
      <c r="B165" s="10">
        <v>2</v>
      </c>
      <c r="C165" s="10">
        <v>82</v>
      </c>
      <c r="D165" s="86">
        <v>45189</v>
      </c>
      <c r="E165" s="86">
        <v>45196</v>
      </c>
      <c r="F165" s="88" t="b">
        <f t="shared" si="2"/>
        <v>1</v>
      </c>
      <c r="G165" s="86">
        <v>45288</v>
      </c>
      <c r="H165" s="11">
        <v>19901.400000000001</v>
      </c>
      <c r="I165" s="11">
        <v>19716.45</v>
      </c>
      <c r="J165" s="12"/>
      <c r="K165" s="12"/>
      <c r="L165" s="12" t="s">
        <v>44</v>
      </c>
      <c r="M165" s="90"/>
      <c r="N165" s="90"/>
      <c r="O165" s="10">
        <v>20000</v>
      </c>
      <c r="P165" s="12" t="s">
        <v>97</v>
      </c>
      <c r="Q165" s="10">
        <v>65</v>
      </c>
      <c r="R165" s="11">
        <v>324.7</v>
      </c>
      <c r="S165" s="10">
        <v>421</v>
      </c>
      <c r="T165" s="13">
        <v>0.11210000000000001</v>
      </c>
      <c r="U165" s="13">
        <v>0.85450000000000004</v>
      </c>
      <c r="V165" s="10">
        <v>0</v>
      </c>
      <c r="W165" s="14">
        <v>0</v>
      </c>
      <c r="X165" s="11">
        <v>96.3</v>
      </c>
      <c r="Y165" s="14">
        <v>4.8388555579004476E-3</v>
      </c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 t="s">
        <v>96</v>
      </c>
      <c r="AV165" s="12"/>
    </row>
    <row r="166" spans="1:48" ht="18" customHeight="1" x14ac:dyDescent="0.25">
      <c r="A166" s="4">
        <v>83</v>
      </c>
      <c r="B166" s="4">
        <v>1</v>
      </c>
      <c r="C166" s="4">
        <v>83</v>
      </c>
      <c r="D166" s="85">
        <v>45196</v>
      </c>
      <c r="E166" s="85">
        <v>45203</v>
      </c>
      <c r="F166" s="88" t="b">
        <f t="shared" si="2"/>
        <v>1</v>
      </c>
      <c r="G166" s="85">
        <v>45204</v>
      </c>
      <c r="H166" s="5">
        <v>19716.45</v>
      </c>
      <c r="I166" s="5">
        <v>19436.099999999999</v>
      </c>
      <c r="J166" s="5">
        <v>-280.35000000000002</v>
      </c>
      <c r="K166" s="6">
        <v>-1.4219091164991669E-2</v>
      </c>
      <c r="L166" s="7" t="s">
        <v>34</v>
      </c>
      <c r="M166" s="91">
        <f>MROUND(H166,100)-100</f>
        <v>19600</v>
      </c>
      <c r="N166" s="91">
        <f>M166-O166</f>
        <v>0</v>
      </c>
      <c r="O166" s="4">
        <v>19600</v>
      </c>
      <c r="P166" s="7" t="s">
        <v>95</v>
      </c>
      <c r="Q166" s="4">
        <v>65</v>
      </c>
      <c r="R166" s="5">
        <v>216.9</v>
      </c>
      <c r="S166" s="5">
        <v>4.95</v>
      </c>
      <c r="T166" s="8">
        <v>-6.6199999999999995E-2</v>
      </c>
      <c r="U166" s="8">
        <v>1.0831</v>
      </c>
      <c r="V166" s="5">
        <v>211.95</v>
      </c>
      <c r="W166" s="6">
        <v>1.074990680370959E-2</v>
      </c>
      <c r="X166" s="4">
        <v>0</v>
      </c>
      <c r="Y166" s="6">
        <v>0</v>
      </c>
      <c r="Z166" s="5">
        <v>40640.800000000003</v>
      </c>
      <c r="AA166" s="5">
        <v>40047.5</v>
      </c>
      <c r="AB166" s="5">
        <v>-593.29999999999995</v>
      </c>
      <c r="AC166" s="5">
        <v>-1.4599</v>
      </c>
      <c r="AD166" s="4">
        <v>7</v>
      </c>
      <c r="AE166" s="5">
        <v>-0.11666700000000001</v>
      </c>
      <c r="AF166" s="5">
        <v>-640.71429999999998</v>
      </c>
      <c r="AG166" s="5">
        <v>-1.5765</v>
      </c>
      <c r="AH166" s="8">
        <v>-2.3136000000000001</v>
      </c>
      <c r="AI166" s="8">
        <v>0.29320000000000002</v>
      </c>
      <c r="AJ166" s="9">
        <v>-273.5643</v>
      </c>
      <c r="AK166" s="9">
        <v>0.28570000000000001</v>
      </c>
      <c r="AL166" s="5">
        <v>117.3434</v>
      </c>
      <c r="AM166" s="5">
        <v>117.3434</v>
      </c>
      <c r="AN166" s="4">
        <v>0</v>
      </c>
      <c r="AO166" s="4">
        <v>0</v>
      </c>
      <c r="AP166" s="8">
        <v>0.1661</v>
      </c>
      <c r="AQ166" s="8">
        <v>-0.1208</v>
      </c>
      <c r="AR166" s="8">
        <v>-0.1208</v>
      </c>
      <c r="AS166" s="5">
        <v>116.8678</v>
      </c>
      <c r="AT166" s="5">
        <v>-0.21429999999999999</v>
      </c>
      <c r="AU166" s="7" t="s">
        <v>96</v>
      </c>
      <c r="AV166" s="7"/>
    </row>
    <row r="167" spans="1:48" ht="18" customHeight="1" x14ac:dyDescent="0.25">
      <c r="A167" s="10">
        <v>83</v>
      </c>
      <c r="B167" s="10">
        <v>2</v>
      </c>
      <c r="C167" s="10">
        <v>83</v>
      </c>
      <c r="D167" s="86">
        <v>45196</v>
      </c>
      <c r="E167" s="86">
        <v>45203</v>
      </c>
      <c r="F167" s="88" t="b">
        <f t="shared" si="2"/>
        <v>1</v>
      </c>
      <c r="G167" s="86">
        <v>45288</v>
      </c>
      <c r="H167" s="11">
        <v>19716.45</v>
      </c>
      <c r="I167" s="11">
        <v>19436.099999999999</v>
      </c>
      <c r="J167" s="12"/>
      <c r="K167" s="12"/>
      <c r="L167" s="12" t="s">
        <v>44</v>
      </c>
      <c r="M167" s="90"/>
      <c r="N167" s="90"/>
      <c r="O167" s="10">
        <v>20000</v>
      </c>
      <c r="P167" s="12" t="s">
        <v>97</v>
      </c>
      <c r="Q167" s="10">
        <v>65</v>
      </c>
      <c r="R167" s="10">
        <v>421</v>
      </c>
      <c r="S167" s="11">
        <v>576.20000000000005</v>
      </c>
      <c r="T167" s="13">
        <v>-6.0900000000000003E-2</v>
      </c>
      <c r="U167" s="13">
        <v>1.1096999999999999</v>
      </c>
      <c r="V167" s="10">
        <v>0</v>
      </c>
      <c r="W167" s="14">
        <v>0</v>
      </c>
      <c r="X167" s="11">
        <v>155.19999999999999</v>
      </c>
      <c r="Y167" s="14">
        <v>7.8715996033768745E-3</v>
      </c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 t="s">
        <v>96</v>
      </c>
      <c r="AV167" s="12"/>
    </row>
    <row r="168" spans="1:48" ht="18" customHeight="1" x14ac:dyDescent="0.25">
      <c r="A168" s="4">
        <v>84</v>
      </c>
      <c r="B168" s="4">
        <v>1</v>
      </c>
      <c r="C168" s="4">
        <v>84</v>
      </c>
      <c r="D168" s="85">
        <v>45203</v>
      </c>
      <c r="E168" s="85">
        <v>45210</v>
      </c>
      <c r="F168" s="88" t="b">
        <f t="shared" si="2"/>
        <v>1</v>
      </c>
      <c r="G168" s="85">
        <v>45211</v>
      </c>
      <c r="H168" s="5">
        <v>19436.099999999999</v>
      </c>
      <c r="I168" s="5">
        <v>19811.349999999999</v>
      </c>
      <c r="J168" s="5">
        <v>375.25</v>
      </c>
      <c r="K168" s="6">
        <v>1.9306856828273159E-2</v>
      </c>
      <c r="L168" s="7" t="s">
        <v>34</v>
      </c>
      <c r="M168" s="91">
        <f>MROUND(H168,100)-100</f>
        <v>19300</v>
      </c>
      <c r="N168" s="91">
        <f>M168-O168</f>
        <v>0</v>
      </c>
      <c r="O168" s="4">
        <v>19300</v>
      </c>
      <c r="P168" s="7" t="s">
        <v>95</v>
      </c>
      <c r="Q168" s="4">
        <v>65</v>
      </c>
      <c r="R168" s="5">
        <v>206.1</v>
      </c>
      <c r="S168" s="5">
        <v>519.75</v>
      </c>
      <c r="T168" s="8">
        <v>-1.7498</v>
      </c>
      <c r="U168" s="8">
        <v>-9.1800000000000007E-2</v>
      </c>
      <c r="V168" s="5">
        <v>-313.64999999999998</v>
      </c>
      <c r="W168" s="6">
        <v>-1.6137496720020988E-2</v>
      </c>
      <c r="X168" s="4">
        <v>0</v>
      </c>
      <c r="Y168" s="6">
        <v>0</v>
      </c>
      <c r="Z168" s="5">
        <v>40047.5</v>
      </c>
      <c r="AA168" s="5">
        <v>40486.25</v>
      </c>
      <c r="AB168" s="5">
        <v>438.75</v>
      </c>
      <c r="AC168" s="5">
        <v>1.0955999999999999</v>
      </c>
      <c r="AD168" s="4">
        <v>7</v>
      </c>
      <c r="AE168" s="5">
        <v>-0.11666700000000001</v>
      </c>
      <c r="AF168" s="5">
        <v>392.02789999999999</v>
      </c>
      <c r="AG168" s="5">
        <v>0.97889999999999999</v>
      </c>
      <c r="AH168" s="8">
        <v>-1.1132</v>
      </c>
      <c r="AI168" s="8">
        <v>1.5886</v>
      </c>
      <c r="AJ168" s="9">
        <v>-7.8720999999999997</v>
      </c>
      <c r="AK168" s="9">
        <v>-1.0786</v>
      </c>
      <c r="AL168" s="5">
        <v>116.07769999999999</v>
      </c>
      <c r="AM168" s="5">
        <v>117.3434</v>
      </c>
      <c r="AN168" s="5">
        <v>-1.2657</v>
      </c>
      <c r="AO168" s="5">
        <v>-1.0786</v>
      </c>
      <c r="AP168" s="8">
        <v>-0.61629999999999996</v>
      </c>
      <c r="AQ168" s="8">
        <v>-1.2808999999999999</v>
      </c>
      <c r="AR168" s="8">
        <v>-1.2808999999999999</v>
      </c>
      <c r="AS168" s="5">
        <v>115.8403</v>
      </c>
      <c r="AT168" s="5">
        <v>-1.2808999999999999</v>
      </c>
      <c r="AU168" s="7" t="s">
        <v>96</v>
      </c>
      <c r="AV168" s="7"/>
    </row>
    <row r="169" spans="1:48" ht="18" customHeight="1" x14ac:dyDescent="0.25">
      <c r="A169" s="10">
        <v>84</v>
      </c>
      <c r="B169" s="10">
        <v>2</v>
      </c>
      <c r="C169" s="10">
        <v>84</v>
      </c>
      <c r="D169" s="86">
        <v>45203</v>
      </c>
      <c r="E169" s="86">
        <v>45210</v>
      </c>
      <c r="F169" s="88" t="b">
        <f t="shared" si="2"/>
        <v>1</v>
      </c>
      <c r="G169" s="86">
        <v>45288</v>
      </c>
      <c r="H169" s="11">
        <v>19436.099999999999</v>
      </c>
      <c r="I169" s="11">
        <v>19811.349999999999</v>
      </c>
      <c r="J169" s="12"/>
      <c r="K169" s="12"/>
      <c r="L169" s="12" t="s">
        <v>44</v>
      </c>
      <c r="M169" s="90"/>
      <c r="N169" s="90"/>
      <c r="O169" s="10">
        <v>19000</v>
      </c>
      <c r="P169" s="12" t="s">
        <v>97</v>
      </c>
      <c r="Q169" s="10">
        <v>65</v>
      </c>
      <c r="R169" s="11">
        <v>199.45</v>
      </c>
      <c r="S169" s="11">
        <v>113.2</v>
      </c>
      <c r="T169" s="13">
        <v>-0.4551</v>
      </c>
      <c r="U169" s="13">
        <v>-7.5899999999999995E-2</v>
      </c>
      <c r="V169" s="10">
        <v>0</v>
      </c>
      <c r="W169" s="14">
        <v>0</v>
      </c>
      <c r="X169" s="11">
        <v>-86.25</v>
      </c>
      <c r="Y169" s="14">
        <v>-4.4376186580641179E-3</v>
      </c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 t="s">
        <v>96</v>
      </c>
      <c r="AV169" s="12"/>
    </row>
    <row r="170" spans="1:48" ht="18" customHeight="1" x14ac:dyDescent="0.25">
      <c r="A170" s="4">
        <v>85</v>
      </c>
      <c r="B170" s="4">
        <v>1</v>
      </c>
      <c r="C170" s="4">
        <v>85</v>
      </c>
      <c r="D170" s="85">
        <v>45210</v>
      </c>
      <c r="E170" s="85">
        <v>45217</v>
      </c>
      <c r="F170" s="88" t="b">
        <f t="shared" si="2"/>
        <v>1</v>
      </c>
      <c r="G170" s="85">
        <v>45218</v>
      </c>
      <c r="H170" s="5">
        <v>19811.349999999999</v>
      </c>
      <c r="I170" s="5">
        <v>19671.099999999999</v>
      </c>
      <c r="J170" s="5">
        <v>-140.25</v>
      </c>
      <c r="K170" s="6">
        <v>-7.0792752639269917E-3</v>
      </c>
      <c r="L170" s="7" t="s">
        <v>34</v>
      </c>
      <c r="M170" s="91">
        <f>MROUND(H170,100)-100</f>
        <v>19700</v>
      </c>
      <c r="N170" s="91">
        <f>M170-O170</f>
        <v>0</v>
      </c>
      <c r="O170" s="4">
        <v>19700</v>
      </c>
      <c r="P170" s="7" t="s">
        <v>95</v>
      </c>
      <c r="Q170" s="4">
        <v>65</v>
      </c>
      <c r="R170" s="5">
        <v>204.15</v>
      </c>
      <c r="S170" s="5">
        <v>43.1</v>
      </c>
      <c r="T170" s="8">
        <v>-6.8900000000000003E-2</v>
      </c>
      <c r="U170" s="8">
        <v>0.8599</v>
      </c>
      <c r="V170" s="5">
        <v>161.05000000000001</v>
      </c>
      <c r="W170" s="6">
        <v>8.129178475974632E-3</v>
      </c>
      <c r="X170" s="4">
        <v>0</v>
      </c>
      <c r="Y170" s="6">
        <v>0</v>
      </c>
      <c r="Z170" s="5">
        <v>40486.25</v>
      </c>
      <c r="AA170" s="5">
        <v>40367.15</v>
      </c>
      <c r="AB170" s="5">
        <v>-119.1</v>
      </c>
      <c r="AC170" s="5">
        <v>-0.29420000000000002</v>
      </c>
      <c r="AD170" s="4">
        <v>7</v>
      </c>
      <c r="AE170" s="5">
        <v>-0.11666700000000001</v>
      </c>
      <c r="AF170" s="5">
        <v>-166.334</v>
      </c>
      <c r="AG170" s="5">
        <v>-0.4108</v>
      </c>
      <c r="AH170" s="8">
        <v>-0.52949999999999997</v>
      </c>
      <c r="AI170" s="8">
        <v>0.79630000000000001</v>
      </c>
      <c r="AJ170" s="15">
        <v>0.71599999999999997</v>
      </c>
      <c r="AK170" s="15">
        <v>0.43240000000000001</v>
      </c>
      <c r="AL170" s="5">
        <v>116.5796</v>
      </c>
      <c r="AM170" s="5">
        <v>117.3434</v>
      </c>
      <c r="AN170" s="5">
        <v>-0.76370000000000005</v>
      </c>
      <c r="AO170" s="5">
        <v>-0.65090000000000003</v>
      </c>
      <c r="AP170" s="8">
        <v>0.63829999999999998</v>
      </c>
      <c r="AQ170" s="8">
        <v>0.41520000000000001</v>
      </c>
      <c r="AR170" s="8">
        <v>0.41520000000000001</v>
      </c>
      <c r="AS170" s="5">
        <v>116.55970000000001</v>
      </c>
      <c r="AT170" s="5">
        <v>-0.66790000000000005</v>
      </c>
      <c r="AU170" s="7" t="s">
        <v>96</v>
      </c>
      <c r="AV170" s="7"/>
    </row>
    <row r="171" spans="1:48" ht="18" customHeight="1" x14ac:dyDescent="0.25">
      <c r="A171" s="10">
        <v>85</v>
      </c>
      <c r="B171" s="10">
        <v>2</v>
      </c>
      <c r="C171" s="10">
        <v>85</v>
      </c>
      <c r="D171" s="86">
        <v>45210</v>
      </c>
      <c r="E171" s="86">
        <v>45217</v>
      </c>
      <c r="F171" s="88" t="b">
        <f t="shared" si="2"/>
        <v>1</v>
      </c>
      <c r="G171" s="86">
        <v>45288</v>
      </c>
      <c r="H171" s="11">
        <v>19811.349999999999</v>
      </c>
      <c r="I171" s="11">
        <v>19671.099999999999</v>
      </c>
      <c r="J171" s="12"/>
      <c r="K171" s="12"/>
      <c r="L171" s="12" t="s">
        <v>44</v>
      </c>
      <c r="M171" s="90"/>
      <c r="N171" s="90"/>
      <c r="O171" s="10">
        <v>19000</v>
      </c>
      <c r="P171" s="12" t="s">
        <v>97</v>
      </c>
      <c r="Q171" s="10">
        <v>65</v>
      </c>
      <c r="R171" s="11">
        <v>113.2</v>
      </c>
      <c r="S171" s="11">
        <v>119.2</v>
      </c>
      <c r="T171" s="13">
        <v>-8.9099999999999999E-2</v>
      </c>
      <c r="U171" s="13">
        <v>8.48E-2</v>
      </c>
      <c r="V171" s="10">
        <v>0</v>
      </c>
      <c r="W171" s="14">
        <v>0</v>
      </c>
      <c r="X171" s="10">
        <v>6</v>
      </c>
      <c r="Y171" s="14">
        <v>3.0285669578297291E-4</v>
      </c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 t="s">
        <v>96</v>
      </c>
      <c r="AV171" s="12"/>
    </row>
    <row r="172" spans="1:48" ht="18" customHeight="1" x14ac:dyDescent="0.25">
      <c r="A172" s="4">
        <v>86</v>
      </c>
      <c r="B172" s="4">
        <v>1</v>
      </c>
      <c r="C172" s="4">
        <v>86</v>
      </c>
      <c r="D172" s="85">
        <v>45217</v>
      </c>
      <c r="E172" s="85">
        <v>45224</v>
      </c>
      <c r="F172" s="88" t="b">
        <f t="shared" si="2"/>
        <v>1</v>
      </c>
      <c r="G172" s="85">
        <v>45225</v>
      </c>
      <c r="H172" s="5">
        <v>19671.099999999999</v>
      </c>
      <c r="I172" s="5">
        <v>19122.150000000001</v>
      </c>
      <c r="J172" s="5">
        <v>-548.95000000000005</v>
      </c>
      <c r="K172" s="6">
        <v>-2.790642109490573E-2</v>
      </c>
      <c r="L172" s="7" t="s">
        <v>34</v>
      </c>
      <c r="M172" s="91">
        <f>MROUND(H172,100)-100</f>
        <v>19600</v>
      </c>
      <c r="N172" s="91">
        <f>M172-O172</f>
        <v>0</v>
      </c>
      <c r="O172" s="4">
        <v>19600</v>
      </c>
      <c r="P172" s="7" t="s">
        <v>95</v>
      </c>
      <c r="Q172" s="4">
        <v>65</v>
      </c>
      <c r="R172" s="5">
        <v>174.65</v>
      </c>
      <c r="S172" s="5">
        <v>2.2999999999999998</v>
      </c>
      <c r="T172" s="8">
        <v>0.1406</v>
      </c>
      <c r="U172" s="8">
        <v>0.87870000000000004</v>
      </c>
      <c r="V172" s="5">
        <v>172.35</v>
      </c>
      <c r="W172" s="6">
        <v>8.7615842530412644E-3</v>
      </c>
      <c r="X172" s="4">
        <v>0</v>
      </c>
      <c r="Y172" s="6">
        <v>0</v>
      </c>
      <c r="Z172" s="5">
        <v>40367.15</v>
      </c>
      <c r="AA172" s="5">
        <v>38564.25</v>
      </c>
      <c r="AB172" s="5">
        <v>-1802.9</v>
      </c>
      <c r="AC172" s="5">
        <v>-4.4663000000000004</v>
      </c>
      <c r="AD172" s="4">
        <v>7</v>
      </c>
      <c r="AE172" s="5">
        <v>-0.11666700000000001</v>
      </c>
      <c r="AF172" s="5">
        <v>-1849.9949999999999</v>
      </c>
      <c r="AG172" s="5">
        <v>-4.5829000000000004</v>
      </c>
      <c r="AH172" s="8">
        <v>-5.5094000000000003</v>
      </c>
      <c r="AI172" s="8">
        <v>4.3E-3</v>
      </c>
      <c r="AJ172" s="9">
        <v>-1545.895</v>
      </c>
      <c r="AK172" s="9">
        <v>-3.0369999999999999</v>
      </c>
      <c r="AL172" s="5">
        <v>113.0391</v>
      </c>
      <c r="AM172" s="5">
        <v>117.3434</v>
      </c>
      <c r="AN172" s="5">
        <v>-4.3042999999999996</v>
      </c>
      <c r="AO172" s="5">
        <v>-3.6680999999999999</v>
      </c>
      <c r="AP172" s="8">
        <v>0.13880000000000001</v>
      </c>
      <c r="AQ172" s="8">
        <v>-3.8214000000000001</v>
      </c>
      <c r="AR172" s="8">
        <v>-3.8214000000000001</v>
      </c>
      <c r="AS172" s="5">
        <v>112.1247</v>
      </c>
      <c r="AT172" s="5">
        <v>-4.4474</v>
      </c>
      <c r="AU172" s="7" t="s">
        <v>96</v>
      </c>
      <c r="AV172" s="7"/>
    </row>
    <row r="173" spans="1:48" ht="18" customHeight="1" x14ac:dyDescent="0.25">
      <c r="A173" s="10">
        <v>86</v>
      </c>
      <c r="B173" s="10">
        <v>2</v>
      </c>
      <c r="C173" s="10">
        <v>86</v>
      </c>
      <c r="D173" s="86">
        <v>45217</v>
      </c>
      <c r="E173" s="86">
        <v>45224</v>
      </c>
      <c r="F173" s="88" t="b">
        <f t="shared" si="2"/>
        <v>1</v>
      </c>
      <c r="G173" s="86">
        <v>45288</v>
      </c>
      <c r="H173" s="11">
        <v>19671.099999999999</v>
      </c>
      <c r="I173" s="11">
        <v>19122.150000000001</v>
      </c>
      <c r="J173" s="12"/>
      <c r="K173" s="12"/>
      <c r="L173" s="12" t="s">
        <v>44</v>
      </c>
      <c r="M173" s="90"/>
      <c r="N173" s="90"/>
      <c r="O173" s="10">
        <v>19000</v>
      </c>
      <c r="P173" s="12" t="s">
        <v>97</v>
      </c>
      <c r="Q173" s="10">
        <v>65</v>
      </c>
      <c r="R173" s="11">
        <v>119.2</v>
      </c>
      <c r="S173" s="11">
        <v>250.95</v>
      </c>
      <c r="T173" s="13">
        <v>-6.1000000000000004E-3</v>
      </c>
      <c r="U173" s="13">
        <v>0.80930000000000002</v>
      </c>
      <c r="V173" s="10">
        <v>0</v>
      </c>
      <c r="W173" s="14">
        <v>0</v>
      </c>
      <c r="X173" s="11">
        <v>131.75</v>
      </c>
      <c r="Y173" s="14">
        <v>6.6976427347733482E-3</v>
      </c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 t="s">
        <v>96</v>
      </c>
      <c r="AV173" s="12"/>
    </row>
    <row r="174" spans="1:48" ht="18" customHeight="1" x14ac:dyDescent="0.25">
      <c r="A174" s="4">
        <v>87</v>
      </c>
      <c r="B174" s="4">
        <v>1</v>
      </c>
      <c r="C174" s="4">
        <v>87</v>
      </c>
      <c r="D174" s="85">
        <v>45224</v>
      </c>
      <c r="E174" s="85">
        <v>45231</v>
      </c>
      <c r="F174" s="88" t="b">
        <f t="shared" si="2"/>
        <v>1</v>
      </c>
      <c r="G174" s="85">
        <v>45232</v>
      </c>
      <c r="H174" s="5">
        <v>19122.150000000001</v>
      </c>
      <c r="I174" s="5">
        <v>18989.150000000001</v>
      </c>
      <c r="J174" s="4">
        <v>-133</v>
      </c>
      <c r="K174" s="6">
        <v>-6.9552848398323408E-3</v>
      </c>
      <c r="L174" s="7" t="s">
        <v>34</v>
      </c>
      <c r="M174" s="91">
        <f>MROUND(H174,100)-100</f>
        <v>19000</v>
      </c>
      <c r="N174" s="91">
        <f>M174-O174</f>
        <v>0</v>
      </c>
      <c r="O174" s="4">
        <v>19000</v>
      </c>
      <c r="P174" s="7" t="s">
        <v>95</v>
      </c>
      <c r="Q174" s="4">
        <v>65</v>
      </c>
      <c r="R174" s="5">
        <v>241.3</v>
      </c>
      <c r="S174" s="5">
        <v>51.75</v>
      </c>
      <c r="T174" s="8">
        <v>-2.9999999999999997E-4</v>
      </c>
      <c r="U174" s="8">
        <v>1.0124</v>
      </c>
      <c r="V174" s="5">
        <v>189.55</v>
      </c>
      <c r="W174" s="6">
        <v>9.9125882811294756E-3</v>
      </c>
      <c r="X174" s="4">
        <v>0</v>
      </c>
      <c r="Y174" s="6">
        <v>0</v>
      </c>
      <c r="Z174" s="5">
        <v>38564.25</v>
      </c>
      <c r="AA174" s="5">
        <v>38775.1</v>
      </c>
      <c r="AB174" s="5">
        <v>210.85</v>
      </c>
      <c r="AC174" s="5">
        <v>0.54669999999999996</v>
      </c>
      <c r="AD174" s="4">
        <v>7</v>
      </c>
      <c r="AE174" s="5">
        <v>-0.11666700000000001</v>
      </c>
      <c r="AF174" s="5">
        <v>165.85839999999999</v>
      </c>
      <c r="AG174" s="5">
        <v>0.43009999999999998</v>
      </c>
      <c r="AH174" s="8">
        <v>-2.3717999999999999</v>
      </c>
      <c r="AI174" s="8">
        <v>1.3310999999999999</v>
      </c>
      <c r="AJ174" s="15">
        <v>381.90839999999997</v>
      </c>
      <c r="AK174" s="15">
        <v>1.5599000000000001</v>
      </c>
      <c r="AL174" s="5">
        <v>114.80240000000001</v>
      </c>
      <c r="AM174" s="5">
        <v>117.3434</v>
      </c>
      <c r="AN174" s="5">
        <v>-2.5409999999999999</v>
      </c>
      <c r="AO174" s="5">
        <v>-2.1654</v>
      </c>
      <c r="AP174" s="8">
        <v>1.0539000000000001</v>
      </c>
      <c r="AQ174" s="8">
        <v>-0.73809999999999998</v>
      </c>
      <c r="AR174" s="8">
        <v>-0.73809999999999998</v>
      </c>
      <c r="AS174" s="5">
        <v>112.20480000000001</v>
      </c>
      <c r="AT174" s="5">
        <v>-4.3791000000000002</v>
      </c>
      <c r="AU174" s="7" t="s">
        <v>96</v>
      </c>
      <c r="AV174" s="7"/>
    </row>
    <row r="175" spans="1:48" ht="18" customHeight="1" x14ac:dyDescent="0.25">
      <c r="A175" s="10">
        <v>87</v>
      </c>
      <c r="B175" s="10">
        <v>2</v>
      </c>
      <c r="C175" s="10">
        <v>87</v>
      </c>
      <c r="D175" s="86">
        <v>45224</v>
      </c>
      <c r="E175" s="86">
        <v>45231</v>
      </c>
      <c r="F175" s="88" t="b">
        <f t="shared" si="2"/>
        <v>1</v>
      </c>
      <c r="G175" s="86">
        <v>45288</v>
      </c>
      <c r="H175" s="11">
        <v>19122.150000000001</v>
      </c>
      <c r="I175" s="11">
        <v>18989.150000000001</v>
      </c>
      <c r="J175" s="12"/>
      <c r="K175" s="12"/>
      <c r="L175" s="12" t="s">
        <v>44</v>
      </c>
      <c r="M175" s="90"/>
      <c r="N175" s="90"/>
      <c r="O175" s="10">
        <v>19000</v>
      </c>
      <c r="P175" s="12" t="s">
        <v>97</v>
      </c>
      <c r="Q175" s="10">
        <v>65</v>
      </c>
      <c r="R175" s="11">
        <v>250.95</v>
      </c>
      <c r="S175" s="11">
        <v>277.45</v>
      </c>
      <c r="T175" s="13">
        <v>-0.27689999999999998</v>
      </c>
      <c r="U175" s="13">
        <v>0.62129999999999996</v>
      </c>
      <c r="V175" s="10">
        <v>0</v>
      </c>
      <c r="W175" s="14">
        <v>0</v>
      </c>
      <c r="X175" s="11">
        <v>26.5</v>
      </c>
      <c r="Y175" s="14">
        <v>1.38582743049291E-3</v>
      </c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 t="s">
        <v>96</v>
      </c>
      <c r="AV175" s="12"/>
    </row>
    <row r="176" spans="1:48" ht="18" customHeight="1" x14ac:dyDescent="0.25">
      <c r="A176" s="4">
        <v>88</v>
      </c>
      <c r="B176" s="4">
        <v>1</v>
      </c>
      <c r="C176" s="4">
        <v>88</v>
      </c>
      <c r="D176" s="85">
        <v>45231</v>
      </c>
      <c r="E176" s="85">
        <v>45236</v>
      </c>
      <c r="F176" s="88" t="b">
        <f t="shared" si="2"/>
        <v>1</v>
      </c>
      <c r="G176" s="85">
        <v>45239</v>
      </c>
      <c r="H176" s="5">
        <v>18989.150000000001</v>
      </c>
      <c r="I176" s="5">
        <v>19411.75</v>
      </c>
      <c r="J176" s="5">
        <v>422.6</v>
      </c>
      <c r="K176" s="6">
        <v>2.225481393321976E-2</v>
      </c>
      <c r="L176" s="7" t="s">
        <v>34</v>
      </c>
      <c r="M176" s="91">
        <f>MROUND(H176,100)-100</f>
        <v>18900</v>
      </c>
      <c r="N176" s="91">
        <f>M176-O176</f>
        <v>0</v>
      </c>
      <c r="O176" s="4">
        <v>18900</v>
      </c>
      <c r="P176" s="7" t="s">
        <v>95</v>
      </c>
      <c r="Q176" s="4">
        <v>65</v>
      </c>
      <c r="R176" s="4">
        <v>195</v>
      </c>
      <c r="S176" s="5">
        <v>526.25</v>
      </c>
      <c r="T176" s="8">
        <v>-1.7749999999999999</v>
      </c>
      <c r="U176" s="8">
        <v>-0.2056</v>
      </c>
      <c r="V176" s="5">
        <v>-331.25</v>
      </c>
      <c r="W176" s="6">
        <v>-1.744417206668018E-2</v>
      </c>
      <c r="X176" s="4">
        <v>0</v>
      </c>
      <c r="Y176" s="6">
        <v>0</v>
      </c>
      <c r="Z176" s="5">
        <v>38775.1</v>
      </c>
      <c r="AA176" s="5">
        <v>39937.1</v>
      </c>
      <c r="AB176" s="4">
        <v>1162</v>
      </c>
      <c r="AC176" s="5">
        <v>2.9967999999999999</v>
      </c>
      <c r="AD176" s="4">
        <v>5</v>
      </c>
      <c r="AE176" s="5">
        <v>-8.3333000000000004E-2</v>
      </c>
      <c r="AF176" s="5">
        <v>1129.6874</v>
      </c>
      <c r="AG176" s="5">
        <v>2.9134000000000002</v>
      </c>
      <c r="AH176" s="8">
        <v>0.70620000000000005</v>
      </c>
      <c r="AI176" s="8">
        <v>2.9899</v>
      </c>
      <c r="AJ176" s="15">
        <v>642.53740000000005</v>
      </c>
      <c r="AK176" s="15">
        <v>0.34799999999999998</v>
      </c>
      <c r="AL176" s="5">
        <v>115.20189999999999</v>
      </c>
      <c r="AM176" s="5">
        <v>117.3434</v>
      </c>
      <c r="AN176" s="5">
        <v>-2.1415000000000002</v>
      </c>
      <c r="AO176" s="5">
        <v>-1.825</v>
      </c>
      <c r="AP176" s="8">
        <v>0.38569999999999999</v>
      </c>
      <c r="AQ176" s="8">
        <v>0.2792</v>
      </c>
      <c r="AR176" s="8">
        <v>0.2792</v>
      </c>
      <c r="AS176" s="5">
        <v>115.1229</v>
      </c>
      <c r="AT176" s="5">
        <v>-1.8923000000000001</v>
      </c>
      <c r="AU176" s="7" t="s">
        <v>102</v>
      </c>
      <c r="AV176" s="7"/>
    </row>
    <row r="177" spans="1:48" ht="18" customHeight="1" x14ac:dyDescent="0.25">
      <c r="A177" s="10">
        <v>88</v>
      </c>
      <c r="B177" s="10">
        <v>2</v>
      </c>
      <c r="C177" s="10">
        <v>88</v>
      </c>
      <c r="D177" s="86">
        <v>45231</v>
      </c>
      <c r="E177" s="86">
        <v>45236</v>
      </c>
      <c r="F177" s="88" t="b">
        <f t="shared" si="2"/>
        <v>1</v>
      </c>
      <c r="G177" s="86">
        <v>45288</v>
      </c>
      <c r="H177" s="11">
        <v>18989.150000000001</v>
      </c>
      <c r="I177" s="11">
        <v>19411.75</v>
      </c>
      <c r="J177" s="12"/>
      <c r="K177" s="12"/>
      <c r="L177" s="12" t="s">
        <v>44</v>
      </c>
      <c r="M177" s="90"/>
      <c r="N177" s="90"/>
      <c r="O177" s="10">
        <v>19000</v>
      </c>
      <c r="P177" s="12" t="s">
        <v>97</v>
      </c>
      <c r="Q177" s="10">
        <v>65</v>
      </c>
      <c r="R177" s="11">
        <v>277.45</v>
      </c>
      <c r="S177" s="11">
        <v>121.55</v>
      </c>
      <c r="T177" s="13">
        <v>-0.82920000000000005</v>
      </c>
      <c r="U177" s="13">
        <v>-0.22140000000000001</v>
      </c>
      <c r="V177" s="10">
        <v>0</v>
      </c>
      <c r="W177" s="14">
        <v>0</v>
      </c>
      <c r="X177" s="11">
        <v>-155.9</v>
      </c>
      <c r="Y177" s="14">
        <v>-8.2099514722881219E-3</v>
      </c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 t="s">
        <v>102</v>
      </c>
      <c r="AV177" s="12"/>
    </row>
    <row r="178" spans="1:48" ht="18" customHeight="1" x14ac:dyDescent="0.25">
      <c r="A178" s="4">
        <v>89</v>
      </c>
      <c r="B178" s="4">
        <v>1</v>
      </c>
      <c r="C178" s="4">
        <v>89</v>
      </c>
      <c r="D178" s="85">
        <v>45236</v>
      </c>
      <c r="E178" s="85">
        <v>45238</v>
      </c>
      <c r="F178" s="88" t="b">
        <f t="shared" si="2"/>
        <v>1</v>
      </c>
      <c r="G178" s="85">
        <v>45239</v>
      </c>
      <c r="H178" s="5">
        <v>19411.75</v>
      </c>
      <c r="I178" s="5">
        <v>19443.5</v>
      </c>
      <c r="J178" s="5">
        <v>31.75</v>
      </c>
      <c r="K178" s="6">
        <v>1.6356072997025001E-3</v>
      </c>
      <c r="L178" s="7" t="s">
        <v>34</v>
      </c>
      <c r="M178" s="91">
        <f>MROUND(H178,100)-100</f>
        <v>19300</v>
      </c>
      <c r="N178" s="91">
        <f>M178-O178</f>
        <v>0</v>
      </c>
      <c r="O178" s="4">
        <v>19300</v>
      </c>
      <c r="P178" s="7" t="s">
        <v>95</v>
      </c>
      <c r="Q178" s="4">
        <v>65</v>
      </c>
      <c r="R178" s="5">
        <v>150.85</v>
      </c>
      <c r="S178" s="5">
        <v>139.69999999999999</v>
      </c>
      <c r="T178" s="8">
        <v>-8.6499999999999994E-2</v>
      </c>
      <c r="U178" s="8">
        <v>0.34050000000000002</v>
      </c>
      <c r="V178" s="5">
        <v>11.15</v>
      </c>
      <c r="W178" s="6">
        <v>5.7439437454119286E-4</v>
      </c>
      <c r="X178" s="4">
        <v>0</v>
      </c>
      <c r="Y178" s="6">
        <v>0</v>
      </c>
      <c r="Z178" s="5">
        <v>39937.1</v>
      </c>
      <c r="AA178" s="5">
        <v>40446.85</v>
      </c>
      <c r="AB178" s="5">
        <v>509.75</v>
      </c>
      <c r="AC178" s="5">
        <v>1.2764</v>
      </c>
      <c r="AD178" s="4">
        <v>2</v>
      </c>
      <c r="AE178" s="5">
        <v>-3.3333000000000002E-2</v>
      </c>
      <c r="AF178" s="5">
        <v>496.43759999999997</v>
      </c>
      <c r="AG178" s="5">
        <v>1.2430000000000001</v>
      </c>
      <c r="AH178" s="8">
        <v>-0.12809999999999999</v>
      </c>
      <c r="AI178" s="8">
        <v>1.3313999999999999</v>
      </c>
      <c r="AJ178" s="15">
        <v>496.63760000000002</v>
      </c>
      <c r="AK178" s="15">
        <v>1.244</v>
      </c>
      <c r="AL178" s="5">
        <v>116.63500000000001</v>
      </c>
      <c r="AM178" s="5">
        <v>117.3434</v>
      </c>
      <c r="AN178" s="5">
        <v>-0.70830000000000004</v>
      </c>
      <c r="AO178" s="5">
        <v>-0.60370000000000001</v>
      </c>
      <c r="AP178" s="8">
        <v>1.1612</v>
      </c>
      <c r="AQ178" s="8">
        <v>0.29480000000000001</v>
      </c>
      <c r="AR178" s="8">
        <v>0.29480000000000001</v>
      </c>
      <c r="AS178" s="5">
        <v>115.5415</v>
      </c>
      <c r="AT178" s="5">
        <v>-1.5355000000000001</v>
      </c>
      <c r="AU178" s="7" t="s">
        <v>96</v>
      </c>
      <c r="AV178" s="7"/>
    </row>
    <row r="179" spans="1:48" ht="18" customHeight="1" x14ac:dyDescent="0.25">
      <c r="A179" s="10">
        <v>89</v>
      </c>
      <c r="B179" s="10">
        <v>2</v>
      </c>
      <c r="C179" s="10">
        <v>89</v>
      </c>
      <c r="D179" s="86">
        <v>45236</v>
      </c>
      <c r="E179" s="86">
        <v>45238</v>
      </c>
      <c r="F179" s="88" t="b">
        <f t="shared" si="2"/>
        <v>1</v>
      </c>
      <c r="G179" s="86">
        <v>45288</v>
      </c>
      <c r="H179" s="11">
        <v>19411.75</v>
      </c>
      <c r="I179" s="11">
        <v>19443.5</v>
      </c>
      <c r="J179" s="12"/>
      <c r="K179" s="12"/>
      <c r="L179" s="12" t="s">
        <v>44</v>
      </c>
      <c r="M179" s="90"/>
      <c r="N179" s="90"/>
      <c r="O179" s="10">
        <v>19000</v>
      </c>
      <c r="P179" s="12" t="s">
        <v>97</v>
      </c>
      <c r="Q179" s="10">
        <v>65</v>
      </c>
      <c r="R179" s="11">
        <v>121.55</v>
      </c>
      <c r="S179" s="11">
        <v>110.6</v>
      </c>
      <c r="T179" s="13">
        <v>-8.3699999999999997E-2</v>
      </c>
      <c r="U179" s="13">
        <v>8.2400000000000001E-2</v>
      </c>
      <c r="V179" s="10">
        <v>0</v>
      </c>
      <c r="W179" s="14">
        <v>0</v>
      </c>
      <c r="X179" s="11">
        <v>-10.95</v>
      </c>
      <c r="Y179" s="14">
        <v>-5.6409133643283056E-4</v>
      </c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 t="s">
        <v>96</v>
      </c>
      <c r="AV179" s="12"/>
    </row>
    <row r="180" spans="1:48" ht="18" customHeight="1" x14ac:dyDescent="0.25">
      <c r="A180" s="4">
        <v>90</v>
      </c>
      <c r="B180" s="4">
        <v>1</v>
      </c>
      <c r="C180" s="4">
        <v>90</v>
      </c>
      <c r="D180" s="85">
        <v>45238</v>
      </c>
      <c r="E180" s="85">
        <v>45245</v>
      </c>
      <c r="F180" s="88" t="b">
        <f t="shared" si="2"/>
        <v>1</v>
      </c>
      <c r="G180" s="85">
        <v>45246</v>
      </c>
      <c r="H180" s="5">
        <v>19443.5</v>
      </c>
      <c r="I180" s="5">
        <v>19675.45</v>
      </c>
      <c r="J180" s="5">
        <v>231.95</v>
      </c>
      <c r="K180" s="6">
        <v>1.1929436572633531E-2</v>
      </c>
      <c r="L180" s="7" t="s">
        <v>34</v>
      </c>
      <c r="M180" s="91">
        <f>MROUND(H180,100)-100</f>
        <v>19300</v>
      </c>
      <c r="N180" s="91">
        <f>M180-O180</f>
        <v>0</v>
      </c>
      <c r="O180" s="4">
        <v>19300</v>
      </c>
      <c r="P180" s="7" t="s">
        <v>95</v>
      </c>
      <c r="Q180" s="4">
        <v>65</v>
      </c>
      <c r="R180" s="5">
        <v>203.85</v>
      </c>
      <c r="S180" s="5">
        <v>380.45</v>
      </c>
      <c r="T180" s="8">
        <v>-1.0981000000000001</v>
      </c>
      <c r="U180" s="8">
        <v>0.47570000000000001</v>
      </c>
      <c r="V180" s="5">
        <v>-176.6</v>
      </c>
      <c r="W180" s="6">
        <v>-9.0827268753053709E-3</v>
      </c>
      <c r="X180" s="4">
        <v>0</v>
      </c>
      <c r="Y180" s="6">
        <v>0</v>
      </c>
      <c r="Z180" s="5">
        <v>40446.85</v>
      </c>
      <c r="AA180" s="5">
        <v>41404.85</v>
      </c>
      <c r="AB180" s="4">
        <v>958</v>
      </c>
      <c r="AC180" s="5">
        <v>2.3685</v>
      </c>
      <c r="AD180" s="4">
        <v>7</v>
      </c>
      <c r="AE180" s="5">
        <v>-0.11666700000000001</v>
      </c>
      <c r="AF180" s="5">
        <v>910.81200000000001</v>
      </c>
      <c r="AG180" s="5">
        <v>2.2519</v>
      </c>
      <c r="AH180" s="8">
        <v>-0.40300000000000002</v>
      </c>
      <c r="AI180" s="8">
        <v>2.3176999999999999</v>
      </c>
      <c r="AJ180" s="15">
        <v>682.21199999999999</v>
      </c>
      <c r="AK180" s="15">
        <v>1.0762</v>
      </c>
      <c r="AL180" s="5">
        <v>117.8903</v>
      </c>
      <c r="AM180" s="5">
        <v>117.8903</v>
      </c>
      <c r="AN180" s="4">
        <v>0</v>
      </c>
      <c r="AO180" s="4">
        <v>0</v>
      </c>
      <c r="AP180" s="8">
        <v>0.94259999999999999</v>
      </c>
      <c r="AQ180" s="8">
        <v>0.157</v>
      </c>
      <c r="AR180" s="8">
        <v>0.157</v>
      </c>
      <c r="AS180" s="5">
        <v>116.8182</v>
      </c>
      <c r="AT180" s="5">
        <v>-0.4476</v>
      </c>
      <c r="AU180" s="7" t="s">
        <v>96</v>
      </c>
      <c r="AV180" s="7"/>
    </row>
    <row r="181" spans="1:48" ht="18" customHeight="1" x14ac:dyDescent="0.25">
      <c r="A181" s="10">
        <v>90</v>
      </c>
      <c r="B181" s="10">
        <v>2</v>
      </c>
      <c r="C181" s="10">
        <v>90</v>
      </c>
      <c r="D181" s="86">
        <v>45238</v>
      </c>
      <c r="E181" s="86">
        <v>45245</v>
      </c>
      <c r="F181" s="88" t="b">
        <f t="shared" si="2"/>
        <v>1</v>
      </c>
      <c r="G181" s="86">
        <v>45288</v>
      </c>
      <c r="H181" s="11">
        <v>19443.5</v>
      </c>
      <c r="I181" s="11">
        <v>19675.45</v>
      </c>
      <c r="J181" s="12"/>
      <c r="K181" s="12"/>
      <c r="L181" s="12" t="s">
        <v>44</v>
      </c>
      <c r="M181" s="90"/>
      <c r="N181" s="90"/>
      <c r="O181" s="10">
        <v>19000</v>
      </c>
      <c r="P181" s="12" t="s">
        <v>97</v>
      </c>
      <c r="Q181" s="10">
        <v>65</v>
      </c>
      <c r="R181" s="11">
        <v>110.6</v>
      </c>
      <c r="S181" s="11">
        <v>58.6</v>
      </c>
      <c r="T181" s="13">
        <v>-0.27700000000000002</v>
      </c>
      <c r="U181" s="13">
        <v>8.43E-2</v>
      </c>
      <c r="V181" s="10">
        <v>0</v>
      </c>
      <c r="W181" s="14">
        <v>0</v>
      </c>
      <c r="X181" s="10">
        <v>-52</v>
      </c>
      <c r="Y181" s="14">
        <v>-2.6744156144727031E-3</v>
      </c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 t="s">
        <v>96</v>
      </c>
      <c r="AV181" s="12"/>
    </row>
    <row r="182" spans="1:48" ht="18" customHeight="1" x14ac:dyDescent="0.25">
      <c r="A182" s="4">
        <v>91</v>
      </c>
      <c r="B182" s="4">
        <v>1</v>
      </c>
      <c r="C182" s="4">
        <v>91</v>
      </c>
      <c r="D182" s="85">
        <v>45245</v>
      </c>
      <c r="E182" s="85">
        <v>45252</v>
      </c>
      <c r="F182" s="88" t="b">
        <f t="shared" si="2"/>
        <v>1</v>
      </c>
      <c r="G182" s="85">
        <v>45253</v>
      </c>
      <c r="H182" s="5">
        <v>19675.45</v>
      </c>
      <c r="I182" s="5">
        <v>19811.849999999999</v>
      </c>
      <c r="J182" s="5">
        <v>136.4</v>
      </c>
      <c r="K182" s="6">
        <v>6.9324970966356553E-3</v>
      </c>
      <c r="L182" s="7" t="s">
        <v>34</v>
      </c>
      <c r="M182" s="91">
        <f>MROUND(H182,100)-100</f>
        <v>19600</v>
      </c>
      <c r="N182" s="91">
        <f>M182-O182</f>
        <v>0</v>
      </c>
      <c r="O182" s="4">
        <v>19600</v>
      </c>
      <c r="P182" s="7" t="s">
        <v>95</v>
      </c>
      <c r="Q182" s="4">
        <v>65</v>
      </c>
      <c r="R182" s="5">
        <v>164.15</v>
      </c>
      <c r="S182" s="5">
        <v>244.75</v>
      </c>
      <c r="T182" s="8">
        <v>-0.84289999999999998</v>
      </c>
      <c r="U182" s="8">
        <v>0.19420000000000001</v>
      </c>
      <c r="V182" s="5">
        <v>-80.599999999999994</v>
      </c>
      <c r="W182" s="6">
        <v>-4.0964755571028869E-3</v>
      </c>
      <c r="X182" s="4">
        <v>0</v>
      </c>
      <c r="Y182" s="6">
        <v>0</v>
      </c>
      <c r="Z182" s="5">
        <v>41404.85</v>
      </c>
      <c r="AA182" s="5">
        <v>42027.1</v>
      </c>
      <c r="AB182" s="5">
        <v>622.25</v>
      </c>
      <c r="AC182" s="5">
        <v>1.5027999999999999</v>
      </c>
      <c r="AD182" s="4">
        <v>7</v>
      </c>
      <c r="AE182" s="5">
        <v>-0.11666700000000001</v>
      </c>
      <c r="AF182" s="5">
        <v>573.9443</v>
      </c>
      <c r="AG182" s="5">
        <v>1.3862000000000001</v>
      </c>
      <c r="AH182" s="8">
        <v>7.6E-3</v>
      </c>
      <c r="AI182" s="8">
        <v>1.5081</v>
      </c>
      <c r="AJ182" s="15">
        <v>474.89429999999999</v>
      </c>
      <c r="AK182" s="15">
        <v>0.88280000000000003</v>
      </c>
      <c r="AL182" s="5">
        <v>118.931</v>
      </c>
      <c r="AM182" s="5">
        <v>118.931</v>
      </c>
      <c r="AN182" s="4">
        <v>0</v>
      </c>
      <c r="AO182" s="4">
        <v>0</v>
      </c>
      <c r="AP182" s="8">
        <v>0.56479999999999997</v>
      </c>
      <c r="AQ182" s="8">
        <v>0.214</v>
      </c>
      <c r="AR182" s="8">
        <v>0.214</v>
      </c>
      <c r="AS182" s="5">
        <v>118.1426</v>
      </c>
      <c r="AT182" s="5">
        <v>0.214</v>
      </c>
      <c r="AU182" s="7" t="s">
        <v>96</v>
      </c>
      <c r="AV182" s="7"/>
    </row>
    <row r="183" spans="1:48" ht="18" customHeight="1" x14ac:dyDescent="0.25">
      <c r="A183" s="10">
        <v>91</v>
      </c>
      <c r="B183" s="10">
        <v>2</v>
      </c>
      <c r="C183" s="10">
        <v>91</v>
      </c>
      <c r="D183" s="86">
        <v>45245</v>
      </c>
      <c r="E183" s="86">
        <v>45252</v>
      </c>
      <c r="F183" s="88" t="b">
        <f t="shared" si="2"/>
        <v>1</v>
      </c>
      <c r="G183" s="86">
        <v>45288</v>
      </c>
      <c r="H183" s="11">
        <v>19675.45</v>
      </c>
      <c r="I183" s="11">
        <v>19811.849999999999</v>
      </c>
      <c r="J183" s="12"/>
      <c r="K183" s="12"/>
      <c r="L183" s="12" t="s">
        <v>44</v>
      </c>
      <c r="M183" s="90"/>
      <c r="N183" s="90"/>
      <c r="O183" s="10">
        <v>19000</v>
      </c>
      <c r="P183" s="12" t="s">
        <v>97</v>
      </c>
      <c r="Q183" s="10">
        <v>65</v>
      </c>
      <c r="R183" s="11">
        <v>58.6</v>
      </c>
      <c r="S183" s="11">
        <v>40.15</v>
      </c>
      <c r="T183" s="13">
        <v>-0.1004</v>
      </c>
      <c r="U183" s="13">
        <v>1.2200000000000001E-2</v>
      </c>
      <c r="V183" s="10">
        <v>0</v>
      </c>
      <c r="W183" s="14">
        <v>0</v>
      </c>
      <c r="X183" s="11">
        <v>-18.45</v>
      </c>
      <c r="Y183" s="14">
        <v>-9.3771679936164101E-4</v>
      </c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 t="s">
        <v>96</v>
      </c>
      <c r="AV183" s="12"/>
    </row>
    <row r="184" spans="1:48" ht="18" customHeight="1" x14ac:dyDescent="0.25">
      <c r="A184" s="4">
        <v>92</v>
      </c>
      <c r="B184" s="4">
        <v>1</v>
      </c>
      <c r="C184" s="4">
        <v>92</v>
      </c>
      <c r="D184" s="85">
        <v>45252</v>
      </c>
      <c r="E184" s="85">
        <v>45259</v>
      </c>
      <c r="F184" s="88" t="b">
        <f t="shared" si="2"/>
        <v>1</v>
      </c>
      <c r="G184" s="85">
        <v>45260</v>
      </c>
      <c r="H184" s="5">
        <v>19811.849999999999</v>
      </c>
      <c r="I184" s="5">
        <v>20096.599999999999</v>
      </c>
      <c r="J184" s="5">
        <v>284.75</v>
      </c>
      <c r="K184" s="6">
        <v>1.4372711281379579E-2</v>
      </c>
      <c r="L184" s="7" t="s">
        <v>34</v>
      </c>
      <c r="M184" s="91">
        <f>MROUND(H184,100)-100</f>
        <v>19700</v>
      </c>
      <c r="N184" s="91">
        <f>M184-O184</f>
        <v>0</v>
      </c>
      <c r="O184" s="4">
        <v>19700</v>
      </c>
      <c r="P184" s="7" t="s">
        <v>95</v>
      </c>
      <c r="Q184" s="4">
        <v>65</v>
      </c>
      <c r="R184" s="5">
        <v>226.85</v>
      </c>
      <c r="S184" s="5">
        <v>434.7</v>
      </c>
      <c r="T184" s="8">
        <v>-1.1140000000000001</v>
      </c>
      <c r="U184" s="8">
        <v>0.39090000000000003</v>
      </c>
      <c r="V184" s="5">
        <v>-207.85</v>
      </c>
      <c r="W184" s="6">
        <v>-1.049119592567075E-2</v>
      </c>
      <c r="X184" s="4">
        <v>0</v>
      </c>
      <c r="Y184" s="6">
        <v>0</v>
      </c>
      <c r="Z184" s="5">
        <v>42027.1</v>
      </c>
      <c r="AA184" s="5">
        <v>42618.7</v>
      </c>
      <c r="AB184" s="5">
        <v>591.6</v>
      </c>
      <c r="AC184" s="5">
        <v>1.4077</v>
      </c>
      <c r="AD184" s="4">
        <v>7</v>
      </c>
      <c r="AE184" s="5">
        <v>-0.11666700000000001</v>
      </c>
      <c r="AF184" s="5">
        <v>542.5684</v>
      </c>
      <c r="AG184" s="5">
        <v>1.2909999999999999</v>
      </c>
      <c r="AH184" s="8">
        <v>-0.11459999999999999</v>
      </c>
      <c r="AI184" s="8">
        <v>1.3988</v>
      </c>
      <c r="AJ184" s="15">
        <v>320.76839999999999</v>
      </c>
      <c r="AK184" s="15">
        <v>0.17150000000000001</v>
      </c>
      <c r="AL184" s="5">
        <v>119.13500000000001</v>
      </c>
      <c r="AM184" s="5">
        <v>119.13500000000001</v>
      </c>
      <c r="AN184" s="4">
        <v>0</v>
      </c>
      <c r="AO184" s="4">
        <v>0</v>
      </c>
      <c r="AP184" s="8">
        <v>0.18690000000000001</v>
      </c>
      <c r="AQ184" s="8">
        <v>0.27550000000000002</v>
      </c>
      <c r="AR184" s="8">
        <v>0.17150000000000001</v>
      </c>
      <c r="AS184" s="5">
        <v>119.13500000000001</v>
      </c>
      <c r="AT184" s="5">
        <v>0.17150000000000001</v>
      </c>
      <c r="AU184" s="7" t="s">
        <v>96</v>
      </c>
      <c r="AV184" s="7"/>
    </row>
    <row r="185" spans="1:48" ht="18" customHeight="1" x14ac:dyDescent="0.25">
      <c r="A185" s="10">
        <v>92</v>
      </c>
      <c r="B185" s="10">
        <v>2</v>
      </c>
      <c r="C185" s="10">
        <v>92</v>
      </c>
      <c r="D185" s="86">
        <v>45252</v>
      </c>
      <c r="E185" s="86">
        <v>45259</v>
      </c>
      <c r="F185" s="88" t="b">
        <f t="shared" si="2"/>
        <v>1</v>
      </c>
      <c r="G185" s="86">
        <v>45288</v>
      </c>
      <c r="H185" s="11">
        <v>19811.849999999999</v>
      </c>
      <c r="I185" s="11">
        <v>20096.599999999999</v>
      </c>
      <c r="J185" s="12"/>
      <c r="K185" s="12"/>
      <c r="L185" s="12" t="s">
        <v>44</v>
      </c>
      <c r="M185" s="90"/>
      <c r="N185" s="90"/>
      <c r="O185" s="10">
        <v>19000</v>
      </c>
      <c r="P185" s="12" t="s">
        <v>97</v>
      </c>
      <c r="Q185" s="10">
        <v>65</v>
      </c>
      <c r="R185" s="11">
        <v>40.15</v>
      </c>
      <c r="S185" s="11">
        <v>26.2</v>
      </c>
      <c r="T185" s="13">
        <v>-9.7900000000000001E-2</v>
      </c>
      <c r="U185" s="13">
        <v>-8.0000000000000004E-4</v>
      </c>
      <c r="V185" s="10">
        <v>0</v>
      </c>
      <c r="W185" s="14">
        <v>0</v>
      </c>
      <c r="X185" s="11">
        <v>-13.95</v>
      </c>
      <c r="Y185" s="14">
        <v>-7.0412404697188806E-4</v>
      </c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 t="s">
        <v>96</v>
      </c>
      <c r="AV185" s="12"/>
    </row>
    <row r="186" spans="1:48" ht="18" customHeight="1" x14ac:dyDescent="0.25">
      <c r="A186" s="4">
        <v>93</v>
      </c>
      <c r="B186" s="4">
        <v>1</v>
      </c>
      <c r="C186" s="4">
        <v>93</v>
      </c>
      <c r="D186" s="85">
        <v>45259</v>
      </c>
      <c r="E186" s="85">
        <v>45264</v>
      </c>
      <c r="F186" s="88" t="b">
        <f t="shared" si="2"/>
        <v>1</v>
      </c>
      <c r="G186" s="85">
        <v>45267</v>
      </c>
      <c r="H186" s="5">
        <v>20096.599999999999</v>
      </c>
      <c r="I186" s="5">
        <v>20686.8</v>
      </c>
      <c r="J186" s="5">
        <v>590.20000000000005</v>
      </c>
      <c r="K186" s="6">
        <v>2.9368151826677149E-2</v>
      </c>
      <c r="L186" s="7" t="s">
        <v>34</v>
      </c>
      <c r="M186" s="91">
        <f>MROUND(H186,100)-100</f>
        <v>20000</v>
      </c>
      <c r="N186" s="91">
        <f>M186-O186</f>
        <v>0</v>
      </c>
      <c r="O186" s="4">
        <v>20000</v>
      </c>
      <c r="P186" s="7" t="s">
        <v>95</v>
      </c>
      <c r="Q186" s="4">
        <v>65</v>
      </c>
      <c r="R186" s="5">
        <v>249.9</v>
      </c>
      <c r="S186" s="5">
        <v>707.85</v>
      </c>
      <c r="T186" s="8">
        <v>-2.4477000000000002</v>
      </c>
      <c r="U186" s="8">
        <v>0.34279999999999999</v>
      </c>
      <c r="V186" s="5">
        <v>-457.95</v>
      </c>
      <c r="W186" s="6">
        <v>-2.278743668083158E-2</v>
      </c>
      <c r="X186" s="4">
        <v>0</v>
      </c>
      <c r="Y186" s="6">
        <v>0</v>
      </c>
      <c r="Z186" s="5">
        <v>42618.7</v>
      </c>
      <c r="AA186" s="5">
        <v>43918.6</v>
      </c>
      <c r="AB186" s="5">
        <v>1299.9000000000001</v>
      </c>
      <c r="AC186" s="5">
        <v>3.0501</v>
      </c>
      <c r="AD186" s="4">
        <v>5</v>
      </c>
      <c r="AE186" s="5">
        <v>-8.3333000000000004E-2</v>
      </c>
      <c r="AF186" s="5">
        <v>1264.3843999999999</v>
      </c>
      <c r="AG186" s="5">
        <v>2.9666999999999999</v>
      </c>
      <c r="AH186" s="8">
        <v>-0.33339999999999997</v>
      </c>
      <c r="AI186" s="8">
        <v>3.5042</v>
      </c>
      <c r="AJ186" s="15">
        <v>713.53440000000001</v>
      </c>
      <c r="AK186" s="15">
        <v>0.22570000000000001</v>
      </c>
      <c r="AL186" s="5">
        <v>119.40389999999999</v>
      </c>
      <c r="AM186" s="5">
        <v>119.40389999999999</v>
      </c>
      <c r="AN186" s="4">
        <v>0</v>
      </c>
      <c r="AO186" s="4">
        <v>0</v>
      </c>
      <c r="AP186" s="8">
        <v>0.52129999999999999</v>
      </c>
      <c r="AQ186" s="8">
        <v>0.14080000000000001</v>
      </c>
      <c r="AR186" s="8">
        <v>0.14080000000000001</v>
      </c>
      <c r="AS186" s="5">
        <v>119.3027</v>
      </c>
      <c r="AT186" s="5">
        <v>0.14080000000000001</v>
      </c>
      <c r="AU186" s="7" t="s">
        <v>102</v>
      </c>
      <c r="AV186" s="7"/>
    </row>
    <row r="187" spans="1:48" ht="18" customHeight="1" x14ac:dyDescent="0.25">
      <c r="A187" s="10">
        <v>93</v>
      </c>
      <c r="B187" s="10">
        <v>2</v>
      </c>
      <c r="C187" s="10">
        <v>93</v>
      </c>
      <c r="D187" s="86">
        <v>45259</v>
      </c>
      <c r="E187" s="86">
        <v>45264</v>
      </c>
      <c r="F187" s="88" t="b">
        <f t="shared" si="2"/>
        <v>1</v>
      </c>
      <c r="G187" s="86">
        <v>45470</v>
      </c>
      <c r="H187" s="11">
        <v>20096.599999999999</v>
      </c>
      <c r="I187" s="11">
        <v>20686.8</v>
      </c>
      <c r="J187" s="12"/>
      <c r="K187" s="12"/>
      <c r="L187" s="12" t="s">
        <v>44</v>
      </c>
      <c r="M187" s="90"/>
      <c r="N187" s="90"/>
      <c r="O187" s="10">
        <v>20000</v>
      </c>
      <c r="P187" s="12" t="s">
        <v>97</v>
      </c>
      <c r="Q187" s="10">
        <v>65</v>
      </c>
      <c r="R187" s="11">
        <v>474.85</v>
      </c>
      <c r="S187" s="11">
        <v>381.95</v>
      </c>
      <c r="T187" s="13">
        <v>-0.53520000000000001</v>
      </c>
      <c r="U187" s="13">
        <v>0.13139999999999999</v>
      </c>
      <c r="V187" s="10">
        <v>0</v>
      </c>
      <c r="W187" s="14">
        <v>0</v>
      </c>
      <c r="X187" s="11">
        <v>-92.9</v>
      </c>
      <c r="Y187" s="14">
        <v>-4.6226724918642962E-3</v>
      </c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 t="s">
        <v>102</v>
      </c>
      <c r="AV187" s="12"/>
    </row>
    <row r="188" spans="1:48" ht="18" customHeight="1" x14ac:dyDescent="0.25">
      <c r="A188" s="4">
        <v>94</v>
      </c>
      <c r="B188" s="4">
        <v>1</v>
      </c>
      <c r="C188" s="4">
        <v>94</v>
      </c>
      <c r="D188" s="85">
        <v>45264</v>
      </c>
      <c r="E188" s="85">
        <v>45266</v>
      </c>
      <c r="F188" s="88" t="b">
        <f t="shared" si="2"/>
        <v>1</v>
      </c>
      <c r="G188" s="85">
        <v>45267</v>
      </c>
      <c r="H188" s="5">
        <v>20686.8</v>
      </c>
      <c r="I188" s="5">
        <v>20937.7</v>
      </c>
      <c r="J188" s="5">
        <v>250.9</v>
      </c>
      <c r="K188" s="6">
        <v>1.2128507067308621E-2</v>
      </c>
      <c r="L188" s="7" t="s">
        <v>34</v>
      </c>
      <c r="M188" s="91">
        <f>MROUND(H188,100)-100</f>
        <v>20600</v>
      </c>
      <c r="N188" s="91">
        <f>M188-O188</f>
        <v>0</v>
      </c>
      <c r="O188" s="4">
        <v>20600</v>
      </c>
      <c r="P188" s="7" t="s">
        <v>95</v>
      </c>
      <c r="Q188" s="4">
        <v>65</v>
      </c>
      <c r="R188" s="5">
        <v>165.3</v>
      </c>
      <c r="S188" s="5">
        <v>356.15</v>
      </c>
      <c r="T188" s="8">
        <v>-1.0282</v>
      </c>
      <c r="U188" s="8">
        <v>-3.3999999999999998E-3</v>
      </c>
      <c r="V188" s="5">
        <v>-190.85</v>
      </c>
      <c r="W188" s="6">
        <v>-9.2256898118607041E-3</v>
      </c>
      <c r="X188" s="4">
        <v>0</v>
      </c>
      <c r="Y188" s="6">
        <v>0</v>
      </c>
      <c r="Z188" s="5">
        <v>43918.6</v>
      </c>
      <c r="AA188" s="5">
        <v>44232.45</v>
      </c>
      <c r="AB188" s="5">
        <v>313.85000000000002</v>
      </c>
      <c r="AC188" s="5">
        <v>0.71460000000000001</v>
      </c>
      <c r="AD188" s="4">
        <v>2</v>
      </c>
      <c r="AE188" s="5">
        <v>-3.3333000000000002E-2</v>
      </c>
      <c r="AF188" s="5">
        <v>299.21050000000002</v>
      </c>
      <c r="AG188" s="5">
        <v>0.68130000000000002</v>
      </c>
      <c r="AH188" s="8">
        <v>-0.60289999999999999</v>
      </c>
      <c r="AI188" s="8">
        <v>1.1415</v>
      </c>
      <c r="AJ188" s="15">
        <v>13.2605</v>
      </c>
      <c r="AK188" s="15">
        <v>-0.70099999999999996</v>
      </c>
      <c r="AL188" s="5">
        <v>118.5668</v>
      </c>
      <c r="AM188" s="5">
        <v>119.40389999999999</v>
      </c>
      <c r="AN188" s="5">
        <v>-0.83699999999999997</v>
      </c>
      <c r="AO188" s="5">
        <v>-0.70099999999999996</v>
      </c>
      <c r="AP188" s="8">
        <v>-0.379</v>
      </c>
      <c r="AQ188" s="8">
        <v>-0.54059999999999997</v>
      </c>
      <c r="AR188" s="8">
        <v>-0.70099999999999996</v>
      </c>
      <c r="AS188" s="5">
        <v>118.5668</v>
      </c>
      <c r="AT188" s="5">
        <v>-0.70099999999999996</v>
      </c>
      <c r="AU188" s="7" t="s">
        <v>96</v>
      </c>
      <c r="AV188" s="7"/>
    </row>
    <row r="189" spans="1:48" ht="18" customHeight="1" x14ac:dyDescent="0.25">
      <c r="A189" s="10">
        <v>94</v>
      </c>
      <c r="B189" s="10">
        <v>2</v>
      </c>
      <c r="C189" s="10">
        <v>94</v>
      </c>
      <c r="D189" s="86">
        <v>45264</v>
      </c>
      <c r="E189" s="86">
        <v>45266</v>
      </c>
      <c r="F189" s="88" t="b">
        <f t="shared" si="2"/>
        <v>1</v>
      </c>
      <c r="G189" s="86">
        <v>45470</v>
      </c>
      <c r="H189" s="11">
        <v>20686.8</v>
      </c>
      <c r="I189" s="11">
        <v>20937.7</v>
      </c>
      <c r="J189" s="12"/>
      <c r="K189" s="12"/>
      <c r="L189" s="12" t="s">
        <v>44</v>
      </c>
      <c r="M189" s="90"/>
      <c r="N189" s="90"/>
      <c r="O189" s="10">
        <v>21000</v>
      </c>
      <c r="P189" s="12" t="s">
        <v>97</v>
      </c>
      <c r="Q189" s="10">
        <v>65</v>
      </c>
      <c r="R189" s="11">
        <v>633.85</v>
      </c>
      <c r="S189" s="11">
        <v>538.75</v>
      </c>
      <c r="T189" s="13">
        <v>-0.49230000000000002</v>
      </c>
      <c r="U189" s="13">
        <v>6.5699999999999995E-2</v>
      </c>
      <c r="V189" s="10">
        <v>0</v>
      </c>
      <c r="W189" s="14">
        <v>0</v>
      </c>
      <c r="X189" s="11">
        <v>-95.1</v>
      </c>
      <c r="Y189" s="14">
        <v>-4.5971344045478276E-3</v>
      </c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 t="s">
        <v>96</v>
      </c>
      <c r="AV189" s="12"/>
    </row>
    <row r="190" spans="1:48" ht="18" customHeight="1" x14ac:dyDescent="0.25">
      <c r="A190" s="4">
        <v>95</v>
      </c>
      <c r="B190" s="4">
        <v>1</v>
      </c>
      <c r="C190" s="4">
        <v>95</v>
      </c>
      <c r="D190" s="85">
        <v>45266</v>
      </c>
      <c r="E190" s="85">
        <v>45273</v>
      </c>
      <c r="F190" s="88" t="b">
        <f t="shared" si="2"/>
        <v>1</v>
      </c>
      <c r="G190" s="85">
        <v>45274</v>
      </c>
      <c r="H190" s="5">
        <v>20937.7</v>
      </c>
      <c r="I190" s="5">
        <v>20926.349999999999</v>
      </c>
      <c r="J190" s="5">
        <v>-11.35</v>
      </c>
      <c r="K190" s="6">
        <v>-5.4208437411941131E-4</v>
      </c>
      <c r="L190" s="7" t="s">
        <v>34</v>
      </c>
      <c r="M190" s="91">
        <f>MROUND(H190,100)-100</f>
        <v>20800</v>
      </c>
      <c r="N190" s="91">
        <f>M190-O190</f>
        <v>0</v>
      </c>
      <c r="O190" s="4">
        <v>20800</v>
      </c>
      <c r="P190" s="7" t="s">
        <v>95</v>
      </c>
      <c r="Q190" s="4">
        <v>65</v>
      </c>
      <c r="R190" s="5">
        <v>263.75</v>
      </c>
      <c r="S190" s="5">
        <v>140.35</v>
      </c>
      <c r="T190" s="8">
        <v>-9.7900000000000001E-2</v>
      </c>
      <c r="U190" s="8">
        <v>0.96260000000000001</v>
      </c>
      <c r="V190" s="5">
        <v>123.4</v>
      </c>
      <c r="W190" s="6">
        <v>5.8936750454921024E-3</v>
      </c>
      <c r="X190" s="4">
        <v>0</v>
      </c>
      <c r="Y190" s="6">
        <v>0</v>
      </c>
      <c r="Z190" s="5">
        <v>44232.45</v>
      </c>
      <c r="AA190" s="5">
        <v>44947.3</v>
      </c>
      <c r="AB190" s="5">
        <v>714.85</v>
      </c>
      <c r="AC190" s="5">
        <v>1.6161000000000001</v>
      </c>
      <c r="AD190" s="4">
        <v>7</v>
      </c>
      <c r="AE190" s="5">
        <v>-0.11666700000000001</v>
      </c>
      <c r="AF190" s="5">
        <v>663.24549999999999</v>
      </c>
      <c r="AG190" s="5">
        <v>1.4995000000000001</v>
      </c>
      <c r="AH190" s="8">
        <v>-0.52410000000000001</v>
      </c>
      <c r="AI190" s="8">
        <v>1.6112</v>
      </c>
      <c r="AJ190" s="15">
        <v>738.49549999999999</v>
      </c>
      <c r="AK190" s="15">
        <v>1.8589</v>
      </c>
      <c r="AL190" s="5">
        <v>120.7709</v>
      </c>
      <c r="AM190" s="5">
        <v>120.7709</v>
      </c>
      <c r="AN190" s="4">
        <v>0</v>
      </c>
      <c r="AO190" s="4">
        <v>0</v>
      </c>
      <c r="AP190" s="8">
        <v>1.1933</v>
      </c>
      <c r="AQ190" s="8">
        <v>0.5665</v>
      </c>
      <c r="AR190" s="8">
        <v>0.5665</v>
      </c>
      <c r="AS190" s="5">
        <v>119.2385</v>
      </c>
      <c r="AT190" s="5">
        <v>-0.13850000000000001</v>
      </c>
      <c r="AU190" s="7" t="s">
        <v>96</v>
      </c>
      <c r="AV190" s="7"/>
    </row>
    <row r="191" spans="1:48" ht="18" customHeight="1" x14ac:dyDescent="0.25">
      <c r="A191" s="10">
        <v>95</v>
      </c>
      <c r="B191" s="10">
        <v>2</v>
      </c>
      <c r="C191" s="10">
        <v>95</v>
      </c>
      <c r="D191" s="86">
        <v>45266</v>
      </c>
      <c r="E191" s="86">
        <v>45273</v>
      </c>
      <c r="F191" s="88" t="b">
        <f t="shared" si="2"/>
        <v>1</v>
      </c>
      <c r="G191" s="86">
        <v>45470</v>
      </c>
      <c r="H191" s="11">
        <v>20937.7</v>
      </c>
      <c r="I191" s="11">
        <v>20926.349999999999</v>
      </c>
      <c r="J191" s="12"/>
      <c r="K191" s="12"/>
      <c r="L191" s="12" t="s">
        <v>44</v>
      </c>
      <c r="M191" s="90"/>
      <c r="N191" s="90"/>
      <c r="O191" s="10">
        <v>21000</v>
      </c>
      <c r="P191" s="12" t="s">
        <v>97</v>
      </c>
      <c r="Q191" s="10">
        <v>65</v>
      </c>
      <c r="R191" s="11">
        <v>538.75</v>
      </c>
      <c r="S191" s="11">
        <v>490.6</v>
      </c>
      <c r="T191" s="13">
        <v>-0.32</v>
      </c>
      <c r="U191" s="13">
        <v>0.128</v>
      </c>
      <c r="V191" s="10">
        <v>0</v>
      </c>
      <c r="W191" s="14">
        <v>0</v>
      </c>
      <c r="X191" s="11">
        <v>-48.15</v>
      </c>
      <c r="Y191" s="14">
        <v>-2.2996795254493088E-3</v>
      </c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 t="s">
        <v>96</v>
      </c>
      <c r="AV191" s="12"/>
    </row>
    <row r="192" spans="1:48" ht="18" customHeight="1" x14ac:dyDescent="0.25">
      <c r="A192" s="4">
        <v>96</v>
      </c>
      <c r="B192" s="4">
        <v>1</v>
      </c>
      <c r="C192" s="4">
        <v>96</v>
      </c>
      <c r="D192" s="85">
        <v>45273</v>
      </c>
      <c r="E192" s="85">
        <v>45275</v>
      </c>
      <c r="F192" s="88" t="b">
        <f t="shared" si="2"/>
        <v>1</v>
      </c>
      <c r="G192" s="85">
        <v>45281</v>
      </c>
      <c r="H192" s="5">
        <v>20926.349999999999</v>
      </c>
      <c r="I192" s="5">
        <v>21456.65</v>
      </c>
      <c r="J192" s="5">
        <v>530.29999999999995</v>
      </c>
      <c r="K192" s="6">
        <v>2.5341256358610079E-2</v>
      </c>
      <c r="L192" s="7" t="s">
        <v>34</v>
      </c>
      <c r="M192" s="91">
        <f>MROUND(H192,100)-100</f>
        <v>20800</v>
      </c>
      <c r="N192" s="91">
        <f>M192-O192</f>
        <v>0</v>
      </c>
      <c r="O192" s="4">
        <v>20800</v>
      </c>
      <c r="P192" s="7" t="s">
        <v>95</v>
      </c>
      <c r="Q192" s="4">
        <v>65</v>
      </c>
      <c r="R192" s="5">
        <v>246.25</v>
      </c>
      <c r="S192" s="5">
        <v>707.9</v>
      </c>
      <c r="T192" s="8">
        <v>-2.4247000000000001</v>
      </c>
      <c r="U192" s="8">
        <v>-0.47670000000000001</v>
      </c>
      <c r="V192" s="5">
        <v>-461.65</v>
      </c>
      <c r="W192" s="6">
        <v>-2.206070337158654E-2</v>
      </c>
      <c r="X192" s="4">
        <v>0</v>
      </c>
      <c r="Y192" s="6">
        <v>0</v>
      </c>
      <c r="Z192" s="5">
        <v>44947.3</v>
      </c>
      <c r="AA192" s="5">
        <v>45586.55</v>
      </c>
      <c r="AB192" s="5">
        <v>639.25</v>
      </c>
      <c r="AC192" s="5">
        <v>1.4221999999999999</v>
      </c>
      <c r="AD192" s="4">
        <v>2</v>
      </c>
      <c r="AE192" s="5">
        <v>-3.3333000000000002E-2</v>
      </c>
      <c r="AF192" s="5">
        <v>624.26760000000002</v>
      </c>
      <c r="AG192" s="5">
        <v>1.3889</v>
      </c>
      <c r="AH192" s="8">
        <v>0.59319999999999995</v>
      </c>
      <c r="AI192" s="8">
        <v>1.8953</v>
      </c>
      <c r="AJ192" s="15">
        <v>53.767600000000002</v>
      </c>
      <c r="AK192" s="15">
        <v>-1.3372999999999999</v>
      </c>
      <c r="AL192" s="5">
        <v>119.1558</v>
      </c>
      <c r="AM192" s="5">
        <v>120.7709</v>
      </c>
      <c r="AN192" s="5">
        <v>-1.6151</v>
      </c>
      <c r="AO192" s="5">
        <v>-1.3372999999999999</v>
      </c>
      <c r="AP192" s="8">
        <v>-1.0818000000000001</v>
      </c>
      <c r="AQ192" s="8">
        <v>-6.5600000000000006E-2</v>
      </c>
      <c r="AR192" s="8">
        <v>-1.3372999999999999</v>
      </c>
      <c r="AS192" s="5">
        <v>119.1558</v>
      </c>
      <c r="AT192" s="5">
        <v>-1.3372999999999999</v>
      </c>
      <c r="AU192" s="7" t="s">
        <v>102</v>
      </c>
      <c r="AV192" s="7"/>
    </row>
    <row r="193" spans="1:48" ht="18" customHeight="1" x14ac:dyDescent="0.25">
      <c r="A193" s="10">
        <v>96</v>
      </c>
      <c r="B193" s="10">
        <v>2</v>
      </c>
      <c r="C193" s="10">
        <v>96</v>
      </c>
      <c r="D193" s="86">
        <v>45273</v>
      </c>
      <c r="E193" s="86">
        <v>45275</v>
      </c>
      <c r="F193" s="88" t="b">
        <f t="shared" si="2"/>
        <v>1</v>
      </c>
      <c r="G193" s="86">
        <v>45470</v>
      </c>
      <c r="H193" s="11">
        <v>20926.349999999999</v>
      </c>
      <c r="I193" s="11">
        <v>21456.65</v>
      </c>
      <c r="J193" s="12"/>
      <c r="K193" s="12"/>
      <c r="L193" s="12" t="s">
        <v>44</v>
      </c>
      <c r="M193" s="90"/>
      <c r="N193" s="90"/>
      <c r="O193" s="10">
        <v>21000</v>
      </c>
      <c r="P193" s="12" t="s">
        <v>97</v>
      </c>
      <c r="Q193" s="10">
        <v>65</v>
      </c>
      <c r="R193" s="11">
        <v>490.6</v>
      </c>
      <c r="S193" s="11">
        <v>381.75</v>
      </c>
      <c r="T193" s="13">
        <v>-0.5524</v>
      </c>
      <c r="U193" s="13">
        <v>-0.18210000000000001</v>
      </c>
      <c r="V193" s="10">
        <v>0</v>
      </c>
      <c r="W193" s="14">
        <v>0</v>
      </c>
      <c r="X193" s="11">
        <v>-108.85</v>
      </c>
      <c r="Y193" s="14">
        <v>-5.2015760034597527E-3</v>
      </c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 t="s">
        <v>102</v>
      </c>
      <c r="AV193" s="12"/>
    </row>
    <row r="194" spans="1:48" ht="18" customHeight="1" x14ac:dyDescent="0.25">
      <c r="A194" s="4">
        <v>97</v>
      </c>
      <c r="B194" s="4">
        <v>1</v>
      </c>
      <c r="C194" s="4">
        <v>97</v>
      </c>
      <c r="D194" s="85">
        <v>45275</v>
      </c>
      <c r="E194" s="85">
        <v>45280</v>
      </c>
      <c r="F194" s="88" t="b">
        <f t="shared" si="2"/>
        <v>1</v>
      </c>
      <c r="G194" s="85">
        <v>45281</v>
      </c>
      <c r="H194" s="5">
        <v>21456.65</v>
      </c>
      <c r="I194" s="5">
        <v>21150.15</v>
      </c>
      <c r="J194" s="5">
        <v>-306.5</v>
      </c>
      <c r="K194" s="6">
        <v>-1.428461572519475E-2</v>
      </c>
      <c r="L194" s="7" t="s">
        <v>34</v>
      </c>
      <c r="M194" s="91">
        <f>MROUND(H194,100)-100</f>
        <v>21400</v>
      </c>
      <c r="N194" s="91">
        <f>M194-O194</f>
        <v>0</v>
      </c>
      <c r="O194" s="4">
        <v>21400</v>
      </c>
      <c r="P194" s="7" t="s">
        <v>95</v>
      </c>
      <c r="Q194" s="4">
        <v>65</v>
      </c>
      <c r="R194" s="5">
        <v>183.05</v>
      </c>
      <c r="S194" s="5">
        <v>7.2</v>
      </c>
      <c r="T194" s="8">
        <v>-0.1179</v>
      </c>
      <c r="U194" s="8">
        <v>0.83189999999999997</v>
      </c>
      <c r="V194" s="5">
        <v>175.85</v>
      </c>
      <c r="W194" s="6">
        <v>8.1955943728401204E-3</v>
      </c>
      <c r="X194" s="4">
        <v>0</v>
      </c>
      <c r="Y194" s="6">
        <v>0</v>
      </c>
      <c r="Z194" s="5">
        <v>45586.55</v>
      </c>
      <c r="AA194" s="5">
        <v>44024.95</v>
      </c>
      <c r="AB194" s="5">
        <v>-1561.6</v>
      </c>
      <c r="AC194" s="5">
        <v>-3.4256000000000002</v>
      </c>
      <c r="AD194" s="4">
        <v>5</v>
      </c>
      <c r="AE194" s="5">
        <v>-8.3333000000000004E-2</v>
      </c>
      <c r="AF194" s="5">
        <v>-1599.5888</v>
      </c>
      <c r="AG194" s="5">
        <v>-3.5089000000000001</v>
      </c>
      <c r="AH194" s="8">
        <v>-3.8996</v>
      </c>
      <c r="AI194" s="8">
        <v>0.72640000000000005</v>
      </c>
      <c r="AJ194" s="9">
        <v>-1323.0388</v>
      </c>
      <c r="AK194" s="9">
        <v>-2.2200000000000002</v>
      </c>
      <c r="AL194" s="5">
        <v>116.5106</v>
      </c>
      <c r="AM194" s="5">
        <v>120.7709</v>
      </c>
      <c r="AN194" s="5">
        <v>-4.2603</v>
      </c>
      <c r="AO194" s="5">
        <v>-3.5276000000000001</v>
      </c>
      <c r="AP194" s="8">
        <v>0.6008</v>
      </c>
      <c r="AQ194" s="8">
        <v>-2.5165999999999999</v>
      </c>
      <c r="AR194" s="8">
        <v>-2.5165999999999999</v>
      </c>
      <c r="AS194" s="5">
        <v>116.1571</v>
      </c>
      <c r="AT194" s="5">
        <v>-3.8201999999999998</v>
      </c>
      <c r="AU194" s="7" t="s">
        <v>96</v>
      </c>
      <c r="AV194" s="7"/>
    </row>
    <row r="195" spans="1:48" ht="18" customHeight="1" x14ac:dyDescent="0.25">
      <c r="A195" s="10">
        <v>97</v>
      </c>
      <c r="B195" s="10">
        <v>2</v>
      </c>
      <c r="C195" s="10">
        <v>97</v>
      </c>
      <c r="D195" s="86">
        <v>45275</v>
      </c>
      <c r="E195" s="86">
        <v>45280</v>
      </c>
      <c r="F195" s="88" t="b">
        <f t="shared" si="2"/>
        <v>1</v>
      </c>
      <c r="G195" s="86">
        <v>45470</v>
      </c>
      <c r="H195" s="11">
        <v>21456.65</v>
      </c>
      <c r="I195" s="11">
        <v>21150.15</v>
      </c>
      <c r="J195" s="12"/>
      <c r="K195" s="12"/>
      <c r="L195" s="12" t="s">
        <v>44</v>
      </c>
      <c r="M195" s="90"/>
      <c r="N195" s="90"/>
      <c r="O195" s="10">
        <v>21000</v>
      </c>
      <c r="P195" s="12" t="s">
        <v>97</v>
      </c>
      <c r="Q195" s="10">
        <v>65</v>
      </c>
      <c r="R195" s="11">
        <v>381.75</v>
      </c>
      <c r="S195" s="11">
        <v>482.45</v>
      </c>
      <c r="T195" s="13">
        <v>-7.7000000000000002E-3</v>
      </c>
      <c r="U195" s="13">
        <v>0.55110000000000003</v>
      </c>
      <c r="V195" s="10">
        <v>0</v>
      </c>
      <c r="W195" s="14">
        <v>0</v>
      </c>
      <c r="X195" s="11">
        <v>100.7</v>
      </c>
      <c r="Y195" s="14">
        <v>4.6931836982940017E-3</v>
      </c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 t="s">
        <v>96</v>
      </c>
      <c r="AV195" s="12"/>
    </row>
    <row r="196" spans="1:48" ht="18" customHeight="1" x14ac:dyDescent="0.25">
      <c r="A196" s="4">
        <v>98</v>
      </c>
      <c r="B196" s="4">
        <v>1</v>
      </c>
      <c r="C196" s="4">
        <v>98</v>
      </c>
      <c r="D196" s="85">
        <v>45280</v>
      </c>
      <c r="E196" s="85">
        <v>45287</v>
      </c>
      <c r="F196" s="88" t="b">
        <f t="shared" ref="F196:F259" si="3">E196=D198</f>
        <v>1</v>
      </c>
      <c r="G196" s="85">
        <v>45288</v>
      </c>
      <c r="H196" s="5">
        <v>21150.15</v>
      </c>
      <c r="I196" s="5">
        <v>21654.75</v>
      </c>
      <c r="J196" s="5">
        <v>504.6</v>
      </c>
      <c r="K196" s="6">
        <v>2.3857986822788491E-2</v>
      </c>
      <c r="L196" s="7" t="s">
        <v>34</v>
      </c>
      <c r="M196" s="91">
        <f>MROUND(H196,100)-100</f>
        <v>21100</v>
      </c>
      <c r="N196" s="91">
        <f>M196-O196</f>
        <v>0</v>
      </c>
      <c r="O196" s="4">
        <v>21100</v>
      </c>
      <c r="P196" s="7" t="s">
        <v>95</v>
      </c>
      <c r="Q196" s="4">
        <v>65</v>
      </c>
      <c r="R196" s="5">
        <v>218.8</v>
      </c>
      <c r="S196" s="5">
        <v>579.9</v>
      </c>
      <c r="T196" s="8">
        <v>-1.8499000000000001</v>
      </c>
      <c r="U196" s="8">
        <v>0.52010000000000001</v>
      </c>
      <c r="V196" s="5">
        <v>-361.1</v>
      </c>
      <c r="W196" s="6">
        <v>-1.7073164965733099E-2</v>
      </c>
      <c r="X196" s="4">
        <v>0</v>
      </c>
      <c r="Y196" s="6">
        <v>0</v>
      </c>
      <c r="Z196" s="5">
        <v>44024.95</v>
      </c>
      <c r="AA196" s="5">
        <v>45558.95</v>
      </c>
      <c r="AB196" s="4">
        <v>1534</v>
      </c>
      <c r="AC196" s="5">
        <v>3.4843999999999999</v>
      </c>
      <c r="AD196" s="4">
        <v>7</v>
      </c>
      <c r="AE196" s="5">
        <v>-0.11666700000000001</v>
      </c>
      <c r="AF196" s="5">
        <v>1482.6376</v>
      </c>
      <c r="AG196" s="5">
        <v>3.3677000000000001</v>
      </c>
      <c r="AH196" s="8">
        <v>-1.7055</v>
      </c>
      <c r="AI196" s="8">
        <v>3.8689</v>
      </c>
      <c r="AJ196" s="15">
        <v>1048.6876</v>
      </c>
      <c r="AK196" s="15">
        <v>1.3159000000000001</v>
      </c>
      <c r="AL196" s="5">
        <v>118.0437</v>
      </c>
      <c r="AM196" s="5">
        <v>120.7709</v>
      </c>
      <c r="AN196" s="5">
        <v>-2.7271999999999998</v>
      </c>
      <c r="AO196" s="5">
        <v>-2.2581000000000002</v>
      </c>
      <c r="AP196" s="8">
        <v>1.6480999999999999</v>
      </c>
      <c r="AQ196" s="8">
        <v>-0.96109999999999995</v>
      </c>
      <c r="AR196" s="8">
        <v>-0.96109999999999995</v>
      </c>
      <c r="AS196" s="5">
        <v>115.3908</v>
      </c>
      <c r="AT196" s="5">
        <v>-4.4547999999999996</v>
      </c>
      <c r="AU196" s="7" t="s">
        <v>99</v>
      </c>
      <c r="AV196" s="7"/>
    </row>
    <row r="197" spans="1:48" ht="18" customHeight="1" x14ac:dyDescent="0.25">
      <c r="A197" s="10">
        <v>98</v>
      </c>
      <c r="B197" s="10">
        <v>2</v>
      </c>
      <c r="C197" s="10">
        <v>98</v>
      </c>
      <c r="D197" s="86">
        <v>45280</v>
      </c>
      <c r="E197" s="86">
        <v>45287</v>
      </c>
      <c r="F197" s="88" t="b">
        <f t="shared" si="3"/>
        <v>1</v>
      </c>
      <c r="G197" s="86">
        <v>45470</v>
      </c>
      <c r="H197" s="11">
        <v>21150.15</v>
      </c>
      <c r="I197" s="11">
        <v>21654.75</v>
      </c>
      <c r="J197" s="12"/>
      <c r="K197" s="12"/>
      <c r="L197" s="12" t="s">
        <v>44</v>
      </c>
      <c r="M197" s="90"/>
      <c r="N197" s="90"/>
      <c r="O197" s="10">
        <v>21000</v>
      </c>
      <c r="P197" s="12" t="s">
        <v>97</v>
      </c>
      <c r="Q197" s="10">
        <v>65</v>
      </c>
      <c r="R197" s="11">
        <v>482.45</v>
      </c>
      <c r="S197" s="11">
        <v>409.6</v>
      </c>
      <c r="T197" s="13">
        <v>-0.37090000000000001</v>
      </c>
      <c r="U197" s="13">
        <v>0.2243</v>
      </c>
      <c r="V197" s="10">
        <v>0</v>
      </c>
      <c r="W197" s="14">
        <v>0</v>
      </c>
      <c r="X197" s="11">
        <v>-72.849999999999994</v>
      </c>
      <c r="Y197" s="14">
        <v>-3.444420015933692E-3</v>
      </c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 t="s">
        <v>99</v>
      </c>
      <c r="AV197" s="12"/>
    </row>
    <row r="198" spans="1:48" ht="18" customHeight="1" x14ac:dyDescent="0.25">
      <c r="A198" s="4">
        <v>99</v>
      </c>
      <c r="B198" s="4">
        <v>1</v>
      </c>
      <c r="C198" s="4">
        <v>99</v>
      </c>
      <c r="D198" s="85">
        <v>45287</v>
      </c>
      <c r="E198" s="85">
        <v>45294</v>
      </c>
      <c r="F198" s="88" t="b">
        <f t="shared" si="3"/>
        <v>1</v>
      </c>
      <c r="G198" s="85">
        <v>45295</v>
      </c>
      <c r="H198" s="5">
        <v>21654.75</v>
      </c>
      <c r="I198" s="5">
        <v>21517.35</v>
      </c>
      <c r="J198" s="5">
        <v>-137.4</v>
      </c>
      <c r="K198" s="6">
        <v>-6.3450282270633464E-3</v>
      </c>
      <c r="L198" s="7" t="s">
        <v>34</v>
      </c>
      <c r="M198" s="91">
        <f>MROUND(H198,100)-100</f>
        <v>21600</v>
      </c>
      <c r="N198" s="91">
        <f>M198-O198</f>
        <v>0</v>
      </c>
      <c r="O198" s="4">
        <v>21600</v>
      </c>
      <c r="P198" s="7" t="s">
        <v>95</v>
      </c>
      <c r="Q198" s="4">
        <v>65</v>
      </c>
      <c r="R198" s="5">
        <v>271.89999999999998</v>
      </c>
      <c r="S198" s="5">
        <v>22.85</v>
      </c>
      <c r="T198" s="8">
        <v>-0.40079999999999999</v>
      </c>
      <c r="U198" s="8">
        <v>1.1740999999999999</v>
      </c>
      <c r="V198" s="5">
        <v>249.05</v>
      </c>
      <c r="W198" s="6">
        <v>1.150094090211155E-2</v>
      </c>
      <c r="X198" s="4">
        <v>0</v>
      </c>
      <c r="Y198" s="6">
        <v>0</v>
      </c>
      <c r="Z198" s="5">
        <v>45558.95</v>
      </c>
      <c r="AA198" s="5">
        <v>46529.05</v>
      </c>
      <c r="AB198" s="5">
        <v>970.1</v>
      </c>
      <c r="AC198" s="5">
        <v>2.1293000000000002</v>
      </c>
      <c r="AD198" s="4">
        <v>7</v>
      </c>
      <c r="AE198" s="5">
        <v>-0.11666700000000001</v>
      </c>
      <c r="AF198" s="5">
        <v>916.9479</v>
      </c>
      <c r="AG198" s="5">
        <v>2.0127000000000002</v>
      </c>
      <c r="AH198" s="8">
        <v>-3.8199999999999998E-2</v>
      </c>
      <c r="AI198" s="8">
        <v>2.2974999999999999</v>
      </c>
      <c r="AJ198" s="15">
        <v>1215.1978999999999</v>
      </c>
      <c r="AK198" s="15">
        <v>3.39</v>
      </c>
      <c r="AL198" s="5">
        <v>122.0454</v>
      </c>
      <c r="AM198" s="5">
        <v>122.0454</v>
      </c>
      <c r="AN198" s="4">
        <v>0</v>
      </c>
      <c r="AO198" s="4">
        <v>0</v>
      </c>
      <c r="AP198" s="8">
        <v>1.7929999999999999</v>
      </c>
      <c r="AQ198" s="8">
        <v>1.4014</v>
      </c>
      <c r="AR198" s="8">
        <v>1.4014</v>
      </c>
      <c r="AS198" s="5">
        <v>119.69799999999999</v>
      </c>
      <c r="AT198" s="5">
        <v>-0.88839999999999997</v>
      </c>
      <c r="AU198" s="7" t="s">
        <v>96</v>
      </c>
      <c r="AV198" s="7"/>
    </row>
    <row r="199" spans="1:48" ht="18" customHeight="1" x14ac:dyDescent="0.25">
      <c r="A199" s="10">
        <v>99</v>
      </c>
      <c r="B199" s="10">
        <v>2</v>
      </c>
      <c r="C199" s="10">
        <v>99</v>
      </c>
      <c r="D199" s="86">
        <v>45287</v>
      </c>
      <c r="E199" s="86">
        <v>45294</v>
      </c>
      <c r="F199" s="88" t="b">
        <f t="shared" si="3"/>
        <v>1</v>
      </c>
      <c r="G199" s="86">
        <v>45470</v>
      </c>
      <c r="H199" s="11">
        <v>21654.75</v>
      </c>
      <c r="I199" s="11">
        <v>21517.35</v>
      </c>
      <c r="J199" s="12"/>
      <c r="K199" s="12"/>
      <c r="L199" s="12" t="s">
        <v>44</v>
      </c>
      <c r="M199" s="90"/>
      <c r="N199" s="90"/>
      <c r="O199" s="10">
        <v>21000</v>
      </c>
      <c r="P199" s="12" t="s">
        <v>97</v>
      </c>
      <c r="Q199" s="10">
        <v>65</v>
      </c>
      <c r="R199" s="11">
        <v>409.6</v>
      </c>
      <c r="S199" s="11">
        <v>458.8</v>
      </c>
      <c r="T199" s="13">
        <v>-0.1037</v>
      </c>
      <c r="U199" s="13">
        <v>0.26550000000000001</v>
      </c>
      <c r="V199" s="10">
        <v>0</v>
      </c>
      <c r="W199" s="14">
        <v>0</v>
      </c>
      <c r="X199" s="11">
        <v>49.2</v>
      </c>
      <c r="Y199" s="14">
        <v>2.2720188411318541E-3</v>
      </c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 t="s">
        <v>96</v>
      </c>
      <c r="AV199" s="12"/>
    </row>
    <row r="200" spans="1:48" ht="18" customHeight="1" x14ac:dyDescent="0.25">
      <c r="A200" s="4">
        <v>100</v>
      </c>
      <c r="B200" s="4">
        <v>1</v>
      </c>
      <c r="C200" s="4">
        <v>100</v>
      </c>
      <c r="D200" s="85">
        <v>45294</v>
      </c>
      <c r="E200" s="85">
        <v>45301</v>
      </c>
      <c r="F200" s="88" t="b">
        <f t="shared" si="3"/>
        <v>1</v>
      </c>
      <c r="G200" s="85">
        <v>45302</v>
      </c>
      <c r="H200" s="5">
        <v>21517.35</v>
      </c>
      <c r="I200" s="5">
        <v>21618.7</v>
      </c>
      <c r="J200" s="5">
        <v>101.35</v>
      </c>
      <c r="K200" s="6">
        <v>4.710152504839118E-3</v>
      </c>
      <c r="L200" s="7" t="s">
        <v>34</v>
      </c>
      <c r="M200" s="91">
        <f>MROUND(H200,100)-100</f>
        <v>21400</v>
      </c>
      <c r="N200" s="91">
        <f>M200-O200</f>
        <v>0</v>
      </c>
      <c r="O200" s="4">
        <v>21400</v>
      </c>
      <c r="P200" s="7" t="s">
        <v>95</v>
      </c>
      <c r="Q200" s="4">
        <v>65</v>
      </c>
      <c r="R200" s="5">
        <v>233.6</v>
      </c>
      <c r="S200" s="5">
        <v>263.35000000000002</v>
      </c>
      <c r="T200" s="8">
        <v>-0.68079999999999996</v>
      </c>
      <c r="U200" s="8">
        <v>0.56769999999999998</v>
      </c>
      <c r="V200" s="5">
        <v>-29.75</v>
      </c>
      <c r="W200" s="6">
        <v>-1.3826051999897759E-3</v>
      </c>
      <c r="X200" s="4">
        <v>0</v>
      </c>
      <c r="Y200" s="6">
        <v>0</v>
      </c>
      <c r="Z200" s="5">
        <v>46529.05</v>
      </c>
      <c r="AA200" s="5">
        <v>47107.15</v>
      </c>
      <c r="AB200" s="5">
        <v>578.1</v>
      </c>
      <c r="AC200" s="5">
        <v>1.2423999999999999</v>
      </c>
      <c r="AD200" s="4">
        <v>7</v>
      </c>
      <c r="AE200" s="5">
        <v>-0.11666700000000001</v>
      </c>
      <c r="AF200" s="5">
        <v>523.81610000000001</v>
      </c>
      <c r="AG200" s="5">
        <v>1.1257999999999999</v>
      </c>
      <c r="AH200" s="8">
        <v>-1.3899999999999999E-2</v>
      </c>
      <c r="AI200" s="8">
        <v>2.3704999999999998</v>
      </c>
      <c r="AJ200" s="15">
        <v>471.26609999999999</v>
      </c>
      <c r="AK200" s="15">
        <v>0.88160000000000005</v>
      </c>
      <c r="AL200" s="5">
        <v>123.12130000000001</v>
      </c>
      <c r="AM200" s="5">
        <v>123.12130000000001</v>
      </c>
      <c r="AN200" s="4">
        <v>0</v>
      </c>
      <c r="AO200" s="4">
        <v>0</v>
      </c>
      <c r="AP200" s="8">
        <v>1.1335999999999999</v>
      </c>
      <c r="AQ200" s="8">
        <v>0.81220000000000003</v>
      </c>
      <c r="AR200" s="8">
        <v>0.81220000000000003</v>
      </c>
      <c r="AS200" s="5">
        <v>123.03660000000001</v>
      </c>
      <c r="AT200" s="5">
        <v>0.81220000000000003</v>
      </c>
      <c r="AU200" s="7" t="s">
        <v>96</v>
      </c>
      <c r="AV200" s="7"/>
    </row>
    <row r="201" spans="1:48" ht="18" customHeight="1" x14ac:dyDescent="0.25">
      <c r="A201" s="10">
        <v>100</v>
      </c>
      <c r="B201" s="10">
        <v>2</v>
      </c>
      <c r="C201" s="10">
        <v>100</v>
      </c>
      <c r="D201" s="86">
        <v>45294</v>
      </c>
      <c r="E201" s="86">
        <v>45301</v>
      </c>
      <c r="F201" s="88" t="b">
        <f t="shared" si="3"/>
        <v>1</v>
      </c>
      <c r="G201" s="86">
        <v>45470</v>
      </c>
      <c r="H201" s="11">
        <v>21517.35</v>
      </c>
      <c r="I201" s="11">
        <v>21618.7</v>
      </c>
      <c r="J201" s="12"/>
      <c r="K201" s="12"/>
      <c r="L201" s="12" t="s">
        <v>44</v>
      </c>
      <c r="M201" s="90"/>
      <c r="N201" s="90"/>
      <c r="O201" s="10">
        <v>22000</v>
      </c>
      <c r="P201" s="12" t="s">
        <v>97</v>
      </c>
      <c r="Q201" s="10">
        <v>65</v>
      </c>
      <c r="R201" s="11">
        <v>804.4</v>
      </c>
      <c r="S201" s="11">
        <v>781.6</v>
      </c>
      <c r="T201" s="13">
        <v>-0.55610000000000004</v>
      </c>
      <c r="U201" s="13">
        <v>0.25840000000000002</v>
      </c>
      <c r="V201" s="10">
        <v>0</v>
      </c>
      <c r="W201" s="14">
        <v>0</v>
      </c>
      <c r="X201" s="11">
        <v>-22.8</v>
      </c>
      <c r="Y201" s="14">
        <v>-1.0596100356224159E-3</v>
      </c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 t="s">
        <v>96</v>
      </c>
      <c r="AV201" s="12"/>
    </row>
    <row r="202" spans="1:48" ht="18" customHeight="1" x14ac:dyDescent="0.25">
      <c r="A202" s="4">
        <v>101</v>
      </c>
      <c r="B202" s="4">
        <v>1</v>
      </c>
      <c r="C202" s="4">
        <v>101</v>
      </c>
      <c r="D202" s="85">
        <v>45301</v>
      </c>
      <c r="E202" s="85">
        <v>45306</v>
      </c>
      <c r="F202" s="88" t="b">
        <f t="shared" si="3"/>
        <v>1</v>
      </c>
      <c r="G202" s="85">
        <v>45309</v>
      </c>
      <c r="H202" s="5">
        <v>21618.7</v>
      </c>
      <c r="I202" s="5">
        <v>22097.45</v>
      </c>
      <c r="J202" s="5">
        <v>478.75</v>
      </c>
      <c r="K202" s="6">
        <v>2.2145179867429581E-2</v>
      </c>
      <c r="L202" s="7" t="s">
        <v>34</v>
      </c>
      <c r="M202" s="91">
        <f>MROUND(H202,100)-100</f>
        <v>21500</v>
      </c>
      <c r="N202" s="91">
        <f>M202-O202</f>
        <v>0</v>
      </c>
      <c r="O202" s="4">
        <v>21500</v>
      </c>
      <c r="P202" s="7" t="s">
        <v>95</v>
      </c>
      <c r="Q202" s="4">
        <v>65</v>
      </c>
      <c r="R202" s="5">
        <v>258.60000000000002</v>
      </c>
      <c r="S202" s="5">
        <v>626.35</v>
      </c>
      <c r="T202" s="8">
        <v>-1.7677</v>
      </c>
      <c r="U202" s="8">
        <v>0.26179999999999998</v>
      </c>
      <c r="V202" s="5">
        <v>-367.75</v>
      </c>
      <c r="W202" s="6">
        <v>-1.701073607571223E-2</v>
      </c>
      <c r="X202" s="4">
        <v>0</v>
      </c>
      <c r="Y202" s="6">
        <v>0</v>
      </c>
      <c r="Z202" s="5">
        <v>47107.15</v>
      </c>
      <c r="AA202" s="5">
        <v>47837.95</v>
      </c>
      <c r="AB202" s="5">
        <v>730.8</v>
      </c>
      <c r="AC202" s="5">
        <v>1.5513999999999999</v>
      </c>
      <c r="AD202" s="4">
        <v>5</v>
      </c>
      <c r="AE202" s="5">
        <v>-8.3333000000000004E-2</v>
      </c>
      <c r="AF202" s="5">
        <v>691.54399999999998</v>
      </c>
      <c r="AG202" s="5">
        <v>1.468</v>
      </c>
      <c r="AH202" s="8">
        <v>0.1749</v>
      </c>
      <c r="AI202" s="8">
        <v>1.7073</v>
      </c>
      <c r="AJ202" s="15">
        <v>236.494</v>
      </c>
      <c r="AK202" s="15">
        <v>-0.63690000000000002</v>
      </c>
      <c r="AL202" s="5">
        <v>122.3372</v>
      </c>
      <c r="AM202" s="5">
        <v>123.12130000000001</v>
      </c>
      <c r="AN202" s="5">
        <v>-0.78420000000000001</v>
      </c>
      <c r="AO202" s="5">
        <v>-0.63690000000000002</v>
      </c>
      <c r="AP202" s="8">
        <v>-0.51859999999999995</v>
      </c>
      <c r="AQ202" s="8">
        <v>0.59119999999999995</v>
      </c>
      <c r="AR202" s="8">
        <v>-0.63690000000000002</v>
      </c>
      <c r="AS202" s="5">
        <v>122.3372</v>
      </c>
      <c r="AT202" s="5">
        <v>-0.63690000000000002</v>
      </c>
      <c r="AU202" s="7" t="s">
        <v>102</v>
      </c>
      <c r="AV202" s="7"/>
    </row>
    <row r="203" spans="1:48" ht="18" customHeight="1" x14ac:dyDescent="0.25">
      <c r="A203" s="10">
        <v>101</v>
      </c>
      <c r="B203" s="10">
        <v>2</v>
      </c>
      <c r="C203" s="10">
        <v>101</v>
      </c>
      <c r="D203" s="86">
        <v>45301</v>
      </c>
      <c r="E203" s="86">
        <v>45306</v>
      </c>
      <c r="F203" s="88" t="b">
        <f t="shared" si="3"/>
        <v>1</v>
      </c>
      <c r="G203" s="86">
        <v>45470</v>
      </c>
      <c r="H203" s="11">
        <v>21618.7</v>
      </c>
      <c r="I203" s="11">
        <v>22097.45</v>
      </c>
      <c r="J203" s="12"/>
      <c r="K203" s="12"/>
      <c r="L203" s="12" t="s">
        <v>44</v>
      </c>
      <c r="M203" s="90"/>
      <c r="N203" s="90"/>
      <c r="O203" s="10">
        <v>22000</v>
      </c>
      <c r="P203" s="12" t="s">
        <v>97</v>
      </c>
      <c r="Q203" s="10">
        <v>65</v>
      </c>
      <c r="R203" s="11">
        <v>781.6</v>
      </c>
      <c r="S203" s="11">
        <v>694.3</v>
      </c>
      <c r="T203" s="13">
        <v>-0.4582</v>
      </c>
      <c r="U203" s="13">
        <v>0.1545</v>
      </c>
      <c r="V203" s="10">
        <v>0</v>
      </c>
      <c r="W203" s="14">
        <v>0</v>
      </c>
      <c r="X203" s="11">
        <v>-87.3</v>
      </c>
      <c r="Y203" s="14">
        <v>-4.038170657810136E-3</v>
      </c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 t="s">
        <v>102</v>
      </c>
      <c r="AV203" s="12"/>
    </row>
    <row r="204" spans="1:48" ht="18" customHeight="1" x14ac:dyDescent="0.25">
      <c r="A204" s="4">
        <v>102</v>
      </c>
      <c r="B204" s="4">
        <v>1</v>
      </c>
      <c r="C204" s="4">
        <v>102</v>
      </c>
      <c r="D204" s="85">
        <v>45306</v>
      </c>
      <c r="E204" s="85">
        <v>45308</v>
      </c>
      <c r="F204" s="88" t="b">
        <f t="shared" si="3"/>
        <v>1</v>
      </c>
      <c r="G204" s="85">
        <v>45309</v>
      </c>
      <c r="H204" s="5">
        <v>22097.45</v>
      </c>
      <c r="I204" s="5">
        <v>21571.95</v>
      </c>
      <c r="J204" s="5">
        <v>-525.5</v>
      </c>
      <c r="K204" s="6">
        <v>-2.3781024507352661E-2</v>
      </c>
      <c r="L204" s="7" t="s">
        <v>34</v>
      </c>
      <c r="M204" s="91">
        <f>MROUND(H204,100)-100</f>
        <v>22000</v>
      </c>
      <c r="N204" s="91">
        <f>M204-O204</f>
        <v>0</v>
      </c>
      <c r="O204" s="4">
        <v>22000</v>
      </c>
      <c r="P204" s="7" t="s">
        <v>95</v>
      </c>
      <c r="Q204" s="4">
        <v>65</v>
      </c>
      <c r="R204" s="5">
        <v>182.25</v>
      </c>
      <c r="S204" s="5">
        <v>4.0999999999999996</v>
      </c>
      <c r="T204" s="8">
        <v>-3.4200000000000001E-2</v>
      </c>
      <c r="U204" s="8">
        <v>0.81100000000000005</v>
      </c>
      <c r="V204" s="5">
        <v>178.15</v>
      </c>
      <c r="W204" s="6">
        <v>8.0620162054897745E-3</v>
      </c>
      <c r="X204" s="4">
        <v>0</v>
      </c>
      <c r="Y204" s="6">
        <v>0</v>
      </c>
      <c r="Z204" s="5">
        <v>47837.95</v>
      </c>
      <c r="AA204" s="5">
        <v>47151.55</v>
      </c>
      <c r="AB204" s="5">
        <v>-686.4</v>
      </c>
      <c r="AC204" s="5">
        <v>-1.4348000000000001</v>
      </c>
      <c r="AD204" s="4">
        <v>2</v>
      </c>
      <c r="AE204" s="5">
        <v>-3.3333000000000002E-2</v>
      </c>
      <c r="AF204" s="5">
        <v>-702.346</v>
      </c>
      <c r="AG204" s="5">
        <v>-1.4681999999999999</v>
      </c>
      <c r="AH204" s="8">
        <v>-1.9943</v>
      </c>
      <c r="AI204" s="8">
        <v>0.43369999999999997</v>
      </c>
      <c r="AJ204" s="9">
        <v>-363.49599999999998</v>
      </c>
      <c r="AK204" s="9">
        <v>6.5199999999999994E-2</v>
      </c>
      <c r="AL204" s="5">
        <v>122.417</v>
      </c>
      <c r="AM204" s="5">
        <v>123.12130000000001</v>
      </c>
      <c r="AN204" s="5">
        <v>-0.70440000000000003</v>
      </c>
      <c r="AO204" s="5">
        <v>-0.57210000000000005</v>
      </c>
      <c r="AP204" s="8">
        <v>0.3871</v>
      </c>
      <c r="AQ204" s="8">
        <v>-0.38750000000000001</v>
      </c>
      <c r="AR204" s="8">
        <v>-0.38750000000000001</v>
      </c>
      <c r="AS204" s="5">
        <v>121.8631</v>
      </c>
      <c r="AT204" s="5">
        <v>-1.0219</v>
      </c>
      <c r="AU204" s="7" t="s">
        <v>96</v>
      </c>
      <c r="AV204" s="7"/>
    </row>
    <row r="205" spans="1:48" ht="18" customHeight="1" x14ac:dyDescent="0.25">
      <c r="A205" s="10">
        <v>102</v>
      </c>
      <c r="B205" s="10">
        <v>2</v>
      </c>
      <c r="C205" s="10">
        <v>102</v>
      </c>
      <c r="D205" s="86">
        <v>45306</v>
      </c>
      <c r="E205" s="86">
        <v>45308</v>
      </c>
      <c r="F205" s="88" t="b">
        <f t="shared" si="3"/>
        <v>1</v>
      </c>
      <c r="G205" s="86">
        <v>45470</v>
      </c>
      <c r="H205" s="11">
        <v>22097.45</v>
      </c>
      <c r="I205" s="11">
        <v>21571.95</v>
      </c>
      <c r="J205" s="12"/>
      <c r="K205" s="12"/>
      <c r="L205" s="12" t="s">
        <v>44</v>
      </c>
      <c r="M205" s="90"/>
      <c r="N205" s="90"/>
      <c r="O205" s="10">
        <v>22000</v>
      </c>
      <c r="P205" s="12" t="s">
        <v>97</v>
      </c>
      <c r="Q205" s="10">
        <v>65</v>
      </c>
      <c r="R205" s="11">
        <v>694.3</v>
      </c>
      <c r="S205" s="10">
        <v>855</v>
      </c>
      <c r="T205" s="13">
        <v>-1.24E-2</v>
      </c>
      <c r="U205" s="13">
        <v>0.79579999999999995</v>
      </c>
      <c r="V205" s="10">
        <v>0</v>
      </c>
      <c r="W205" s="14">
        <v>0</v>
      </c>
      <c r="X205" s="11">
        <v>160.69999999999999</v>
      </c>
      <c r="Y205" s="14">
        <v>7.2723323279382914E-3</v>
      </c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 t="s">
        <v>96</v>
      </c>
      <c r="AV205" s="12"/>
    </row>
    <row r="206" spans="1:48" ht="18" customHeight="1" x14ac:dyDescent="0.25">
      <c r="A206" s="4">
        <v>103</v>
      </c>
      <c r="B206" s="4">
        <v>1</v>
      </c>
      <c r="C206" s="4">
        <v>103</v>
      </c>
      <c r="D206" s="85">
        <v>45308</v>
      </c>
      <c r="E206" s="85">
        <v>45315</v>
      </c>
      <c r="F206" s="88" t="b">
        <f t="shared" si="3"/>
        <v>1</v>
      </c>
      <c r="G206" s="85">
        <v>45316</v>
      </c>
      <c r="H206" s="5">
        <v>21571.95</v>
      </c>
      <c r="I206" s="5">
        <v>21453.95</v>
      </c>
      <c r="J206" s="4">
        <v>-118</v>
      </c>
      <c r="K206" s="6">
        <v>-5.4700664520360926E-3</v>
      </c>
      <c r="L206" s="7" t="s">
        <v>34</v>
      </c>
      <c r="M206" s="91">
        <f>MROUND(H206,100)-100</f>
        <v>21500</v>
      </c>
      <c r="N206" s="91">
        <f>M206-O206</f>
        <v>0</v>
      </c>
      <c r="O206" s="4">
        <v>21500</v>
      </c>
      <c r="P206" s="7" t="s">
        <v>95</v>
      </c>
      <c r="Q206" s="4">
        <v>65</v>
      </c>
      <c r="R206" s="5">
        <v>258.75</v>
      </c>
      <c r="S206" s="5">
        <v>65.349999999999994</v>
      </c>
      <c r="T206" s="8">
        <v>-0.22320000000000001</v>
      </c>
      <c r="U206" s="8">
        <v>1.1248</v>
      </c>
      <c r="V206" s="5">
        <v>193.4</v>
      </c>
      <c r="W206" s="6">
        <v>8.9653462018964448E-3</v>
      </c>
      <c r="X206" s="4">
        <v>0</v>
      </c>
      <c r="Y206" s="6">
        <v>0</v>
      </c>
      <c r="Z206" s="5">
        <v>47151.55</v>
      </c>
      <c r="AA206" s="5">
        <v>47423.4</v>
      </c>
      <c r="AB206" s="5">
        <v>271.85000000000002</v>
      </c>
      <c r="AC206" s="5">
        <v>0.57650000000000001</v>
      </c>
      <c r="AD206" s="4">
        <v>7</v>
      </c>
      <c r="AE206" s="5">
        <v>-0.11666700000000001</v>
      </c>
      <c r="AF206" s="5">
        <v>216.8399</v>
      </c>
      <c r="AG206" s="5">
        <v>0.45989999999999998</v>
      </c>
      <c r="AH206" s="8">
        <v>-2.7547999999999999</v>
      </c>
      <c r="AI206" s="8">
        <v>2.7443</v>
      </c>
      <c r="AJ206" s="15">
        <v>395.8399</v>
      </c>
      <c r="AK206" s="15">
        <v>1.2897000000000001</v>
      </c>
      <c r="AL206" s="5">
        <v>123.9958</v>
      </c>
      <c r="AM206" s="5">
        <v>123.9958</v>
      </c>
      <c r="AN206" s="4">
        <v>0</v>
      </c>
      <c r="AO206" s="4">
        <v>0</v>
      </c>
      <c r="AP206" s="8">
        <v>1.946</v>
      </c>
      <c r="AQ206" s="8">
        <v>-0.93530000000000002</v>
      </c>
      <c r="AR206" s="8">
        <v>-0.93530000000000002</v>
      </c>
      <c r="AS206" s="5">
        <v>121.27200000000001</v>
      </c>
      <c r="AT206" s="5">
        <v>-1.5021</v>
      </c>
      <c r="AU206" s="7" t="s">
        <v>96</v>
      </c>
      <c r="AV206" s="7"/>
    </row>
    <row r="207" spans="1:48" ht="18" customHeight="1" x14ac:dyDescent="0.25">
      <c r="A207" s="10">
        <v>103</v>
      </c>
      <c r="B207" s="10">
        <v>2</v>
      </c>
      <c r="C207" s="10">
        <v>103</v>
      </c>
      <c r="D207" s="86">
        <v>45308</v>
      </c>
      <c r="E207" s="86">
        <v>45315</v>
      </c>
      <c r="F207" s="88" t="b">
        <f t="shared" si="3"/>
        <v>1</v>
      </c>
      <c r="G207" s="86">
        <v>45470</v>
      </c>
      <c r="H207" s="11">
        <v>21571.95</v>
      </c>
      <c r="I207" s="11">
        <v>21453.95</v>
      </c>
      <c r="J207" s="12"/>
      <c r="K207" s="12"/>
      <c r="L207" s="12" t="s">
        <v>44</v>
      </c>
      <c r="M207" s="90"/>
      <c r="N207" s="90"/>
      <c r="O207" s="10">
        <v>22000</v>
      </c>
      <c r="P207" s="12" t="s">
        <v>97</v>
      </c>
      <c r="Q207" s="10">
        <v>65</v>
      </c>
      <c r="R207" s="10">
        <v>855</v>
      </c>
      <c r="S207" s="11">
        <v>840.6</v>
      </c>
      <c r="T207" s="13">
        <v>-0.57509999999999994</v>
      </c>
      <c r="U207" s="13">
        <v>0.69469999999999998</v>
      </c>
      <c r="V207" s="10">
        <v>0</v>
      </c>
      <c r="W207" s="14">
        <v>0</v>
      </c>
      <c r="X207" s="11">
        <v>-14.4</v>
      </c>
      <c r="Y207" s="14">
        <v>-6.6753353312982836E-4</v>
      </c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 t="s">
        <v>96</v>
      </c>
      <c r="AV207" s="12"/>
    </row>
    <row r="208" spans="1:48" ht="18" customHeight="1" x14ac:dyDescent="0.25">
      <c r="A208" s="4">
        <v>104</v>
      </c>
      <c r="B208" s="4">
        <v>1</v>
      </c>
      <c r="C208" s="4">
        <v>104</v>
      </c>
      <c r="D208" s="85">
        <v>45315</v>
      </c>
      <c r="E208" s="85">
        <v>45322</v>
      </c>
      <c r="F208" s="88" t="b">
        <f t="shared" si="3"/>
        <v>1</v>
      </c>
      <c r="G208" s="85">
        <v>45323</v>
      </c>
      <c r="H208" s="5">
        <v>21453.95</v>
      </c>
      <c r="I208" s="5">
        <v>21725.7</v>
      </c>
      <c r="J208" s="5">
        <v>271.75</v>
      </c>
      <c r="K208" s="6">
        <v>1.2666665112951231E-2</v>
      </c>
      <c r="L208" s="7" t="s">
        <v>34</v>
      </c>
      <c r="M208" s="91">
        <f>MROUND(H208,100)-100</f>
        <v>21400</v>
      </c>
      <c r="N208" s="91">
        <f>M208-O208</f>
        <v>0</v>
      </c>
      <c r="O208" s="4">
        <v>21400</v>
      </c>
      <c r="P208" s="7" t="s">
        <v>95</v>
      </c>
      <c r="Q208" s="4">
        <v>65</v>
      </c>
      <c r="R208" s="5">
        <v>284.35000000000002</v>
      </c>
      <c r="S208" s="5">
        <v>359.65</v>
      </c>
      <c r="T208" s="8">
        <v>-0.99450000000000005</v>
      </c>
      <c r="U208" s="8">
        <v>0.60570000000000002</v>
      </c>
      <c r="V208" s="5">
        <v>-75.3</v>
      </c>
      <c r="W208" s="6">
        <v>-3.5098431757322082E-3</v>
      </c>
      <c r="X208" s="4">
        <v>0</v>
      </c>
      <c r="Y208" s="6">
        <v>0</v>
      </c>
      <c r="Z208" s="5">
        <v>47423.4</v>
      </c>
      <c r="AA208" s="5">
        <v>48568.6</v>
      </c>
      <c r="AB208" s="5">
        <v>1145.2</v>
      </c>
      <c r="AC208" s="5">
        <v>2.4148000000000001</v>
      </c>
      <c r="AD208" s="4">
        <v>7</v>
      </c>
      <c r="AE208" s="5">
        <v>-0.11666700000000001</v>
      </c>
      <c r="AF208" s="5">
        <v>1089.8726999999999</v>
      </c>
      <c r="AG208" s="5">
        <v>2.2982</v>
      </c>
      <c r="AH208" s="8">
        <v>-1.0116000000000001</v>
      </c>
      <c r="AI208" s="8">
        <v>2.3574999999999999</v>
      </c>
      <c r="AJ208" s="15">
        <v>948.27269999999999</v>
      </c>
      <c r="AK208" s="15">
        <v>1.6382000000000001</v>
      </c>
      <c r="AL208" s="5">
        <v>126.0271</v>
      </c>
      <c r="AM208" s="5">
        <v>126.0271</v>
      </c>
      <c r="AN208" s="4">
        <v>0</v>
      </c>
      <c r="AO208" s="4">
        <v>0</v>
      </c>
      <c r="AP208" s="8">
        <v>0.77729999999999999</v>
      </c>
      <c r="AQ208" s="8">
        <v>4.4400000000000002E-2</v>
      </c>
      <c r="AR208" s="8">
        <v>4.4400000000000002E-2</v>
      </c>
      <c r="AS208" s="5">
        <v>124.0508</v>
      </c>
      <c r="AT208" s="5">
        <v>4.4400000000000002E-2</v>
      </c>
      <c r="AU208" s="7" t="s">
        <v>96</v>
      </c>
      <c r="AV208" s="7"/>
    </row>
    <row r="209" spans="1:48" ht="18" customHeight="1" x14ac:dyDescent="0.25">
      <c r="A209" s="10">
        <v>104</v>
      </c>
      <c r="B209" s="10">
        <v>2</v>
      </c>
      <c r="C209" s="10">
        <v>104</v>
      </c>
      <c r="D209" s="86">
        <v>45315</v>
      </c>
      <c r="E209" s="86">
        <v>45322</v>
      </c>
      <c r="F209" s="88" t="b">
        <f t="shared" si="3"/>
        <v>1</v>
      </c>
      <c r="G209" s="86">
        <v>45470</v>
      </c>
      <c r="H209" s="11">
        <v>21453.95</v>
      </c>
      <c r="I209" s="11">
        <v>21725.7</v>
      </c>
      <c r="J209" s="12"/>
      <c r="K209" s="12"/>
      <c r="L209" s="12" t="s">
        <v>44</v>
      </c>
      <c r="M209" s="90"/>
      <c r="N209" s="90"/>
      <c r="O209" s="10">
        <v>22000</v>
      </c>
      <c r="P209" s="12" t="s">
        <v>97</v>
      </c>
      <c r="Q209" s="10">
        <v>65</v>
      </c>
      <c r="R209" s="11">
        <v>840.6</v>
      </c>
      <c r="S209" s="11">
        <v>774.3</v>
      </c>
      <c r="T209" s="13">
        <v>-0.5857</v>
      </c>
      <c r="U209" s="13">
        <v>0.45029999999999998</v>
      </c>
      <c r="V209" s="10">
        <v>0</v>
      </c>
      <c r="W209" s="14">
        <v>0</v>
      </c>
      <c r="X209" s="11">
        <v>-66.3</v>
      </c>
      <c r="Y209" s="14">
        <v>-3.090340007318E-3</v>
      </c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 t="s">
        <v>96</v>
      </c>
      <c r="AV209" s="12"/>
    </row>
    <row r="210" spans="1:48" ht="18" customHeight="1" x14ac:dyDescent="0.25">
      <c r="A210" s="4">
        <v>105</v>
      </c>
      <c r="B210" s="4">
        <v>1</v>
      </c>
      <c r="C210" s="4">
        <v>105</v>
      </c>
      <c r="D210" s="85">
        <v>45322</v>
      </c>
      <c r="E210" s="85">
        <v>45329</v>
      </c>
      <c r="F210" s="88" t="b">
        <f t="shared" si="3"/>
        <v>1</v>
      </c>
      <c r="G210" s="85">
        <v>45330</v>
      </c>
      <c r="H210" s="5">
        <v>21725.7</v>
      </c>
      <c r="I210" s="5">
        <v>21930.5</v>
      </c>
      <c r="J210" s="5">
        <v>204.8</v>
      </c>
      <c r="K210" s="6">
        <v>9.426623768163972E-3</v>
      </c>
      <c r="L210" s="7" t="s">
        <v>34</v>
      </c>
      <c r="M210" s="91">
        <f>MROUND(H210,100)-100</f>
        <v>21600</v>
      </c>
      <c r="N210" s="91">
        <f>M210-O210</f>
        <v>0</v>
      </c>
      <c r="O210" s="4">
        <v>21600</v>
      </c>
      <c r="P210" s="7" t="s">
        <v>95</v>
      </c>
      <c r="Q210" s="4">
        <v>65</v>
      </c>
      <c r="R210" s="5">
        <v>334.4</v>
      </c>
      <c r="S210" s="4">
        <v>354</v>
      </c>
      <c r="T210" s="8">
        <v>-1.1486000000000001</v>
      </c>
      <c r="U210" s="8">
        <v>0.63239999999999996</v>
      </c>
      <c r="V210" s="5">
        <v>-19.600000000000001</v>
      </c>
      <c r="W210" s="6">
        <v>-9.0215735281256768E-4</v>
      </c>
      <c r="X210" s="4">
        <v>0</v>
      </c>
      <c r="Y210" s="6">
        <v>0</v>
      </c>
      <c r="Z210" s="5">
        <v>48568.6</v>
      </c>
      <c r="AA210" s="5">
        <v>49352.05</v>
      </c>
      <c r="AB210" s="5">
        <v>783.45</v>
      </c>
      <c r="AC210" s="5">
        <v>1.6131</v>
      </c>
      <c r="AD210" s="4">
        <v>7</v>
      </c>
      <c r="AE210" s="5">
        <v>-0.11666700000000001</v>
      </c>
      <c r="AF210" s="5">
        <v>726.78660000000002</v>
      </c>
      <c r="AG210" s="5">
        <v>1.4964</v>
      </c>
      <c r="AH210" s="8">
        <v>-1.2133</v>
      </c>
      <c r="AI210" s="8">
        <v>1.6567000000000001</v>
      </c>
      <c r="AJ210" s="15">
        <v>640.78660000000002</v>
      </c>
      <c r="AK210" s="15">
        <v>1.1006</v>
      </c>
      <c r="AL210" s="5">
        <v>127.4141</v>
      </c>
      <c r="AM210" s="5">
        <v>127.4141</v>
      </c>
      <c r="AN210" s="4">
        <v>0</v>
      </c>
      <c r="AO210" s="4">
        <v>0</v>
      </c>
      <c r="AP210" s="8">
        <v>-5.6399999999999999E-2</v>
      </c>
      <c r="AQ210" s="8">
        <v>-0.52180000000000004</v>
      </c>
      <c r="AR210" s="8">
        <v>-0.52180000000000004</v>
      </c>
      <c r="AS210" s="5">
        <v>125.3695</v>
      </c>
      <c r="AT210" s="5">
        <v>-0.52180000000000004</v>
      </c>
      <c r="AU210" s="7" t="s">
        <v>96</v>
      </c>
      <c r="AV210" s="7"/>
    </row>
    <row r="211" spans="1:48" ht="18" customHeight="1" x14ac:dyDescent="0.25">
      <c r="A211" s="10">
        <v>105</v>
      </c>
      <c r="B211" s="10">
        <v>2</v>
      </c>
      <c r="C211" s="10">
        <v>105</v>
      </c>
      <c r="D211" s="86">
        <v>45322</v>
      </c>
      <c r="E211" s="86">
        <v>45329</v>
      </c>
      <c r="F211" s="88" t="b">
        <f t="shared" si="3"/>
        <v>1</v>
      </c>
      <c r="G211" s="86">
        <v>45470</v>
      </c>
      <c r="H211" s="11">
        <v>21725.7</v>
      </c>
      <c r="I211" s="11">
        <v>21930.5</v>
      </c>
      <c r="J211" s="12"/>
      <c r="K211" s="12"/>
      <c r="L211" s="12" t="s">
        <v>44</v>
      </c>
      <c r="M211" s="90"/>
      <c r="N211" s="90"/>
      <c r="O211" s="10">
        <v>22000</v>
      </c>
      <c r="P211" s="12" t="s">
        <v>97</v>
      </c>
      <c r="Q211" s="10">
        <v>65</v>
      </c>
      <c r="R211" s="11">
        <v>774.3</v>
      </c>
      <c r="S211" s="11">
        <v>707.9</v>
      </c>
      <c r="T211" s="13">
        <v>-0.5645</v>
      </c>
      <c r="U211" s="13">
        <v>5.91E-2</v>
      </c>
      <c r="V211" s="10">
        <v>0</v>
      </c>
      <c r="W211" s="14">
        <v>0</v>
      </c>
      <c r="X211" s="11">
        <v>-66.400000000000006</v>
      </c>
      <c r="Y211" s="14">
        <v>-3.0562881748344129E-3</v>
      </c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 t="s">
        <v>96</v>
      </c>
      <c r="AV211" s="12"/>
    </row>
    <row r="212" spans="1:48" ht="18" customHeight="1" x14ac:dyDescent="0.25">
      <c r="A212" s="4">
        <v>106</v>
      </c>
      <c r="B212" s="4">
        <v>1</v>
      </c>
      <c r="C212" s="4">
        <v>106</v>
      </c>
      <c r="D212" s="85">
        <v>45329</v>
      </c>
      <c r="E212" s="85">
        <v>45336</v>
      </c>
      <c r="F212" s="88" t="b">
        <f t="shared" si="3"/>
        <v>1</v>
      </c>
      <c r="G212" s="85">
        <v>45337</v>
      </c>
      <c r="H212" s="5">
        <v>21930.5</v>
      </c>
      <c r="I212" s="5">
        <v>21840.05</v>
      </c>
      <c r="J212" s="5">
        <v>-90.45</v>
      </c>
      <c r="K212" s="6">
        <v>-4.1243929686965641E-3</v>
      </c>
      <c r="L212" s="7" t="s">
        <v>34</v>
      </c>
      <c r="M212" s="91">
        <f>MROUND(H212,100)-100</f>
        <v>21800</v>
      </c>
      <c r="N212" s="91">
        <f>M212-O212</f>
        <v>0</v>
      </c>
      <c r="O212" s="4">
        <v>21800</v>
      </c>
      <c r="P212" s="7" t="s">
        <v>95</v>
      </c>
      <c r="Q212" s="4">
        <v>65</v>
      </c>
      <c r="R212" s="5">
        <v>283.3</v>
      </c>
      <c r="S212" s="5">
        <v>124.2</v>
      </c>
      <c r="T212" s="8">
        <v>-0.23569999999999999</v>
      </c>
      <c r="U212" s="8">
        <v>1.2226999999999999</v>
      </c>
      <c r="V212" s="5">
        <v>159.1</v>
      </c>
      <c r="W212" s="6">
        <v>7.2547365541141334E-3</v>
      </c>
      <c r="X212" s="4">
        <v>0</v>
      </c>
      <c r="Y212" s="6">
        <v>0</v>
      </c>
      <c r="Z212" s="5">
        <v>49352.05</v>
      </c>
      <c r="AA212" s="5">
        <v>48331.9</v>
      </c>
      <c r="AB212" s="5">
        <v>-1020.15</v>
      </c>
      <c r="AC212" s="5">
        <v>-2.0670999999999999</v>
      </c>
      <c r="AD212" s="4">
        <v>7</v>
      </c>
      <c r="AE212" s="5">
        <v>-0.11666700000000001</v>
      </c>
      <c r="AF212" s="5">
        <v>-1077.7274</v>
      </c>
      <c r="AG212" s="5">
        <v>-2.1838000000000002</v>
      </c>
      <c r="AH212" s="8">
        <v>-4.9759000000000002</v>
      </c>
      <c r="AI212" s="8">
        <v>0.85170000000000001</v>
      </c>
      <c r="AJ212" s="9">
        <v>-903.92740000000003</v>
      </c>
      <c r="AK212" s="9">
        <v>-1.3913</v>
      </c>
      <c r="AL212" s="5">
        <v>125.6414</v>
      </c>
      <c r="AM212" s="5">
        <v>127.4141</v>
      </c>
      <c r="AN212" s="5">
        <v>-1.7726999999999999</v>
      </c>
      <c r="AO212" s="5">
        <v>-1.3913</v>
      </c>
      <c r="AP212" s="8">
        <v>0.47120000000000001</v>
      </c>
      <c r="AQ212" s="8">
        <v>-3.1055000000000001</v>
      </c>
      <c r="AR212" s="8">
        <v>-3.1055000000000001</v>
      </c>
      <c r="AS212" s="5">
        <v>123.4573</v>
      </c>
      <c r="AT212" s="5">
        <v>-3.1055000000000001</v>
      </c>
      <c r="AU212" s="7" t="s">
        <v>96</v>
      </c>
      <c r="AV212" s="7"/>
    </row>
    <row r="213" spans="1:48" ht="18" customHeight="1" x14ac:dyDescent="0.25">
      <c r="A213" s="10">
        <v>106</v>
      </c>
      <c r="B213" s="10">
        <v>2</v>
      </c>
      <c r="C213" s="10">
        <v>106</v>
      </c>
      <c r="D213" s="86">
        <v>45329</v>
      </c>
      <c r="E213" s="86">
        <v>45336</v>
      </c>
      <c r="F213" s="88" t="b">
        <f t="shared" si="3"/>
        <v>1</v>
      </c>
      <c r="G213" s="86">
        <v>45470</v>
      </c>
      <c r="H213" s="11">
        <v>21930.5</v>
      </c>
      <c r="I213" s="11">
        <v>21840.05</v>
      </c>
      <c r="J213" s="12"/>
      <c r="K213" s="12"/>
      <c r="L213" s="12" t="s">
        <v>44</v>
      </c>
      <c r="M213" s="90"/>
      <c r="N213" s="90"/>
      <c r="O213" s="10">
        <v>22000</v>
      </c>
      <c r="P213" s="12" t="s">
        <v>97</v>
      </c>
      <c r="Q213" s="10">
        <v>65</v>
      </c>
      <c r="R213" s="11">
        <v>707.9</v>
      </c>
      <c r="S213" s="11">
        <v>722.6</v>
      </c>
      <c r="T213" s="13">
        <v>-0.14480000000000001</v>
      </c>
      <c r="U213" s="13">
        <v>0.64770000000000005</v>
      </c>
      <c r="V213" s="10">
        <v>0</v>
      </c>
      <c r="W213" s="14">
        <v>0</v>
      </c>
      <c r="X213" s="11">
        <v>14.7</v>
      </c>
      <c r="Y213" s="14">
        <v>6.7029935477987276E-4</v>
      </c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 t="s">
        <v>96</v>
      </c>
      <c r="AV213" s="12"/>
    </row>
    <row r="214" spans="1:48" ht="18" customHeight="1" x14ac:dyDescent="0.25">
      <c r="A214" s="4">
        <v>107</v>
      </c>
      <c r="B214" s="4">
        <v>1</v>
      </c>
      <c r="C214" s="4">
        <v>107</v>
      </c>
      <c r="D214" s="85">
        <v>45336</v>
      </c>
      <c r="E214" s="85">
        <v>45343</v>
      </c>
      <c r="F214" s="88" t="b">
        <f t="shared" si="3"/>
        <v>1</v>
      </c>
      <c r="G214" s="85">
        <v>45344</v>
      </c>
      <c r="H214" s="5">
        <v>21840.05</v>
      </c>
      <c r="I214" s="5">
        <v>22055.05</v>
      </c>
      <c r="J214" s="4">
        <v>215</v>
      </c>
      <c r="K214" s="6">
        <v>9.8442998070059368E-3</v>
      </c>
      <c r="L214" s="7" t="s">
        <v>34</v>
      </c>
      <c r="M214" s="91">
        <f>MROUND(H214,100)-100</f>
        <v>21700</v>
      </c>
      <c r="N214" s="91">
        <f>M214-O214</f>
        <v>0</v>
      </c>
      <c r="O214" s="4">
        <v>21700</v>
      </c>
      <c r="P214" s="7" t="s">
        <v>95</v>
      </c>
      <c r="Q214" s="4">
        <v>65</v>
      </c>
      <c r="R214" s="5">
        <v>291.75</v>
      </c>
      <c r="S214" s="5">
        <v>325.5</v>
      </c>
      <c r="T214" s="8">
        <v>-1.1628000000000001</v>
      </c>
      <c r="U214" s="8">
        <v>0.2331</v>
      </c>
      <c r="V214" s="5">
        <v>-33.75</v>
      </c>
      <c r="W214" s="6">
        <v>-1.545326132495118E-3</v>
      </c>
      <c r="X214" s="4">
        <v>0</v>
      </c>
      <c r="Y214" s="6">
        <v>0</v>
      </c>
      <c r="Z214" s="5">
        <v>48331.9</v>
      </c>
      <c r="AA214" s="5">
        <v>48630.5</v>
      </c>
      <c r="AB214" s="5">
        <v>298.60000000000002</v>
      </c>
      <c r="AC214" s="5">
        <v>0.61780000000000002</v>
      </c>
      <c r="AD214" s="4">
        <v>7</v>
      </c>
      <c r="AE214" s="5">
        <v>-0.11666700000000001</v>
      </c>
      <c r="AF214" s="5">
        <v>242.21279999999999</v>
      </c>
      <c r="AG214" s="5">
        <v>0.50109999999999999</v>
      </c>
      <c r="AH214" s="8">
        <v>0.22989999999999999</v>
      </c>
      <c r="AI214" s="8">
        <v>2.383</v>
      </c>
      <c r="AJ214" s="15">
        <v>129.11279999999999</v>
      </c>
      <c r="AK214" s="15">
        <v>-1.6799999999999999E-2</v>
      </c>
      <c r="AL214" s="5">
        <v>125.6203</v>
      </c>
      <c r="AM214" s="5">
        <v>127.4141</v>
      </c>
      <c r="AN214" s="5">
        <v>-1.7938000000000001</v>
      </c>
      <c r="AO214" s="5">
        <v>-1.4078999999999999</v>
      </c>
      <c r="AP214" s="8">
        <v>0.59040000000000004</v>
      </c>
      <c r="AQ214" s="8">
        <v>0.5282</v>
      </c>
      <c r="AR214" s="8">
        <v>-1.6799999999999999E-2</v>
      </c>
      <c r="AS214" s="5">
        <v>125.6203</v>
      </c>
      <c r="AT214" s="5">
        <v>-1.4078999999999999</v>
      </c>
      <c r="AU214" s="7" t="s">
        <v>96</v>
      </c>
      <c r="AV214" s="7"/>
    </row>
    <row r="215" spans="1:48" ht="18" customHeight="1" x14ac:dyDescent="0.25">
      <c r="A215" s="10">
        <v>107</v>
      </c>
      <c r="B215" s="10">
        <v>2</v>
      </c>
      <c r="C215" s="10">
        <v>107</v>
      </c>
      <c r="D215" s="86">
        <v>45336</v>
      </c>
      <c r="E215" s="86">
        <v>45343</v>
      </c>
      <c r="F215" s="88" t="b">
        <f t="shared" si="3"/>
        <v>1</v>
      </c>
      <c r="G215" s="86">
        <v>45470</v>
      </c>
      <c r="H215" s="11">
        <v>21840.05</v>
      </c>
      <c r="I215" s="11">
        <v>22055.05</v>
      </c>
      <c r="J215" s="12"/>
      <c r="K215" s="12"/>
      <c r="L215" s="12" t="s">
        <v>44</v>
      </c>
      <c r="M215" s="90"/>
      <c r="N215" s="90"/>
      <c r="O215" s="10">
        <v>22000</v>
      </c>
      <c r="P215" s="12" t="s">
        <v>97</v>
      </c>
      <c r="Q215" s="10">
        <v>65</v>
      </c>
      <c r="R215" s="11">
        <v>722.6</v>
      </c>
      <c r="S215" s="11">
        <v>643.25</v>
      </c>
      <c r="T215" s="13">
        <v>-0.62980000000000003</v>
      </c>
      <c r="U215" s="13">
        <v>6.5199999999999994E-2</v>
      </c>
      <c r="V215" s="10">
        <v>0</v>
      </c>
      <c r="W215" s="14">
        <v>0</v>
      </c>
      <c r="X215" s="11">
        <v>-79.349999999999994</v>
      </c>
      <c r="Y215" s="14">
        <v>-3.633233440399633E-3</v>
      </c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 t="s">
        <v>96</v>
      </c>
      <c r="AV215" s="12"/>
    </row>
    <row r="216" spans="1:48" ht="18" customHeight="1" x14ac:dyDescent="0.25">
      <c r="A216" s="4">
        <v>108</v>
      </c>
      <c r="B216" s="4">
        <v>1</v>
      </c>
      <c r="C216" s="4">
        <v>108</v>
      </c>
      <c r="D216" s="85">
        <v>45343</v>
      </c>
      <c r="E216" s="85">
        <v>45350</v>
      </c>
      <c r="F216" s="88" t="b">
        <f t="shared" si="3"/>
        <v>1</v>
      </c>
      <c r="G216" s="85">
        <v>45351</v>
      </c>
      <c r="H216" s="5">
        <v>22055.05</v>
      </c>
      <c r="I216" s="5">
        <v>21951.15</v>
      </c>
      <c r="J216" s="5">
        <v>-103.9</v>
      </c>
      <c r="K216" s="6">
        <v>-4.7109392180022256E-3</v>
      </c>
      <c r="L216" s="7" t="s">
        <v>34</v>
      </c>
      <c r="M216" s="91">
        <f>MROUND(H216,100)-100</f>
        <v>22000</v>
      </c>
      <c r="N216" s="91">
        <f>M216-O216</f>
        <v>0</v>
      </c>
      <c r="O216" s="4">
        <v>22000</v>
      </c>
      <c r="P216" s="7" t="s">
        <v>95</v>
      </c>
      <c r="Q216" s="4">
        <v>65</v>
      </c>
      <c r="R216" s="5">
        <v>225.5</v>
      </c>
      <c r="S216" s="5">
        <v>57.4</v>
      </c>
      <c r="T216" s="8">
        <v>-0.68240000000000001</v>
      </c>
      <c r="U216" s="8">
        <v>0.82750000000000001</v>
      </c>
      <c r="V216" s="5">
        <v>168.1</v>
      </c>
      <c r="W216" s="6">
        <v>7.6218371756128413E-3</v>
      </c>
      <c r="X216" s="4">
        <v>0</v>
      </c>
      <c r="Y216" s="6">
        <v>0</v>
      </c>
      <c r="Z216" s="5">
        <v>48630.5</v>
      </c>
      <c r="AA216" s="5">
        <v>48089.1</v>
      </c>
      <c r="AB216" s="5">
        <v>-541.4</v>
      </c>
      <c r="AC216" s="5">
        <v>-1.1133</v>
      </c>
      <c r="AD216" s="4">
        <v>7</v>
      </c>
      <c r="AE216" s="5">
        <v>-0.11666700000000001</v>
      </c>
      <c r="AF216" s="5">
        <v>-598.13559999999995</v>
      </c>
      <c r="AG216" s="5">
        <v>-1.23</v>
      </c>
      <c r="AH216" s="8">
        <v>-1.4688000000000001</v>
      </c>
      <c r="AI216" s="8">
        <v>1.7668999999999999</v>
      </c>
      <c r="AJ216" s="9">
        <v>-430.68560000000002</v>
      </c>
      <c r="AK216" s="9">
        <v>-0.4708</v>
      </c>
      <c r="AL216" s="5">
        <v>125.02889999999999</v>
      </c>
      <c r="AM216" s="5">
        <v>127.4141</v>
      </c>
      <c r="AN216" s="5">
        <v>-2.3852000000000002</v>
      </c>
      <c r="AO216" s="5">
        <v>-1.8720000000000001</v>
      </c>
      <c r="AP216" s="8">
        <v>0.60370000000000001</v>
      </c>
      <c r="AQ216" s="8">
        <v>-0.48620000000000002</v>
      </c>
      <c r="AR216" s="8">
        <v>-0.48620000000000002</v>
      </c>
      <c r="AS216" s="5">
        <v>125.0095</v>
      </c>
      <c r="AT216" s="5">
        <v>-1.8872</v>
      </c>
      <c r="AU216" s="7" t="s">
        <v>96</v>
      </c>
      <c r="AV216" s="7"/>
    </row>
    <row r="217" spans="1:48" ht="18" customHeight="1" x14ac:dyDescent="0.25">
      <c r="A217" s="10">
        <v>108</v>
      </c>
      <c r="B217" s="10">
        <v>2</v>
      </c>
      <c r="C217" s="10">
        <v>108</v>
      </c>
      <c r="D217" s="86">
        <v>45343</v>
      </c>
      <c r="E217" s="86">
        <v>45350</v>
      </c>
      <c r="F217" s="88" t="b">
        <f t="shared" si="3"/>
        <v>1</v>
      </c>
      <c r="G217" s="86">
        <v>45470</v>
      </c>
      <c r="H217" s="11">
        <v>22055.05</v>
      </c>
      <c r="I217" s="11">
        <v>21951.15</v>
      </c>
      <c r="J217" s="12"/>
      <c r="K217" s="12"/>
      <c r="L217" s="12" t="s">
        <v>44</v>
      </c>
      <c r="M217" s="90"/>
      <c r="N217" s="90"/>
      <c r="O217" s="10">
        <v>22000</v>
      </c>
      <c r="P217" s="12" t="s">
        <v>97</v>
      </c>
      <c r="Q217" s="10">
        <v>65</v>
      </c>
      <c r="R217" s="11">
        <v>643.25</v>
      </c>
      <c r="S217" s="11">
        <v>642.6</v>
      </c>
      <c r="T217" s="13">
        <v>-0.48080000000000001</v>
      </c>
      <c r="U217" s="13">
        <v>0.15509999999999999</v>
      </c>
      <c r="V217" s="10">
        <v>0</v>
      </c>
      <c r="W217" s="14">
        <v>0</v>
      </c>
      <c r="X217" s="11">
        <v>-0.65</v>
      </c>
      <c r="Y217" s="14">
        <v>-2.947170829356542E-5</v>
      </c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 t="s">
        <v>96</v>
      </c>
      <c r="AV217" s="12"/>
    </row>
    <row r="218" spans="1:48" ht="18" customHeight="1" x14ac:dyDescent="0.25">
      <c r="A218" s="4">
        <v>109</v>
      </c>
      <c r="B218" s="4">
        <v>1</v>
      </c>
      <c r="C218" s="4">
        <v>109</v>
      </c>
      <c r="D218" s="85">
        <v>45350</v>
      </c>
      <c r="E218" s="85">
        <v>45355</v>
      </c>
      <c r="F218" s="88" t="b">
        <f t="shared" si="3"/>
        <v>1</v>
      </c>
      <c r="G218" s="85">
        <v>45358</v>
      </c>
      <c r="H218" s="5">
        <v>21951.15</v>
      </c>
      <c r="I218" s="5">
        <v>22405.599999999999</v>
      </c>
      <c r="J218" s="5">
        <v>454.45</v>
      </c>
      <c r="K218" s="6">
        <v>2.070278778105019E-2</v>
      </c>
      <c r="L218" s="7" t="s">
        <v>34</v>
      </c>
      <c r="M218" s="91">
        <f>MROUND(H218,100)-100</f>
        <v>21900</v>
      </c>
      <c r="N218" s="91">
        <f>M218-O218</f>
        <v>0</v>
      </c>
      <c r="O218" s="4">
        <v>21900</v>
      </c>
      <c r="P218" s="7" t="s">
        <v>95</v>
      </c>
      <c r="Q218" s="4">
        <v>65</v>
      </c>
      <c r="R218" s="5">
        <v>257.45</v>
      </c>
      <c r="S218" s="5">
        <v>510.75</v>
      </c>
      <c r="T218" s="8">
        <v>-1.4011</v>
      </c>
      <c r="U218" s="8">
        <v>0.1706</v>
      </c>
      <c r="V218" s="5">
        <v>-253.3</v>
      </c>
      <c r="W218" s="6">
        <v>-1.1539258763208309E-2</v>
      </c>
      <c r="X218" s="4">
        <v>0</v>
      </c>
      <c r="Y218" s="6">
        <v>0</v>
      </c>
      <c r="Z218" s="5">
        <v>48089.1</v>
      </c>
      <c r="AA218" s="5">
        <v>49248.9</v>
      </c>
      <c r="AB218" s="5">
        <v>1159.8</v>
      </c>
      <c r="AC218" s="5">
        <v>2.4117999999999999</v>
      </c>
      <c r="AD218" s="4">
        <v>5</v>
      </c>
      <c r="AE218" s="5">
        <v>-8.3333000000000004E-2</v>
      </c>
      <c r="AF218" s="5">
        <v>1119.7257999999999</v>
      </c>
      <c r="AG218" s="5">
        <v>2.3283999999999998</v>
      </c>
      <c r="AH218" s="8">
        <v>-1.1399999999999999</v>
      </c>
      <c r="AI218" s="8">
        <v>2.5049000000000001</v>
      </c>
      <c r="AJ218" s="15">
        <v>723.67579999999998</v>
      </c>
      <c r="AK218" s="15">
        <v>0.5242</v>
      </c>
      <c r="AL218" s="5">
        <v>125.68429999999999</v>
      </c>
      <c r="AM218" s="5">
        <v>127.4141</v>
      </c>
      <c r="AN218" s="5">
        <v>-1.7298</v>
      </c>
      <c r="AO218" s="5">
        <v>-1.3576999999999999</v>
      </c>
      <c r="AP218" s="8">
        <v>0.40610000000000002</v>
      </c>
      <c r="AQ218" s="8">
        <v>-0.8901</v>
      </c>
      <c r="AR218" s="8">
        <v>-0.8901</v>
      </c>
      <c r="AS218" s="5">
        <v>123.916</v>
      </c>
      <c r="AT218" s="5">
        <v>-2.7454999999999998</v>
      </c>
      <c r="AU218" s="7" t="s">
        <v>102</v>
      </c>
      <c r="AV218" s="7"/>
    </row>
    <row r="219" spans="1:48" ht="18" customHeight="1" x14ac:dyDescent="0.25">
      <c r="A219" s="10">
        <v>109</v>
      </c>
      <c r="B219" s="10">
        <v>2</v>
      </c>
      <c r="C219" s="10">
        <v>109</v>
      </c>
      <c r="D219" s="86">
        <v>45350</v>
      </c>
      <c r="E219" s="86">
        <v>45355</v>
      </c>
      <c r="F219" s="88" t="b">
        <f t="shared" si="3"/>
        <v>1</v>
      </c>
      <c r="G219" s="86">
        <v>45470</v>
      </c>
      <c r="H219" s="11">
        <v>21951.15</v>
      </c>
      <c r="I219" s="11">
        <v>22405.599999999999</v>
      </c>
      <c r="J219" s="12"/>
      <c r="K219" s="12"/>
      <c r="L219" s="12" t="s">
        <v>44</v>
      </c>
      <c r="M219" s="90"/>
      <c r="N219" s="90"/>
      <c r="O219" s="10">
        <v>22000</v>
      </c>
      <c r="P219" s="12" t="s">
        <v>97</v>
      </c>
      <c r="Q219" s="10">
        <v>65</v>
      </c>
      <c r="R219" s="11">
        <v>642.6</v>
      </c>
      <c r="S219" s="11">
        <v>499.85</v>
      </c>
      <c r="T219" s="13">
        <v>-0.69769999999999999</v>
      </c>
      <c r="U219" s="13">
        <v>7.9299999999999995E-2</v>
      </c>
      <c r="V219" s="10">
        <v>0</v>
      </c>
      <c r="W219" s="14">
        <v>0</v>
      </c>
      <c r="X219" s="11">
        <v>-142.75</v>
      </c>
      <c r="Y219" s="14">
        <v>-6.5030761486300258E-3</v>
      </c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 t="s">
        <v>102</v>
      </c>
      <c r="AV219" s="12"/>
    </row>
    <row r="220" spans="1:48" ht="18" customHeight="1" x14ac:dyDescent="0.25">
      <c r="A220" s="4">
        <v>110</v>
      </c>
      <c r="B220" s="4">
        <v>1</v>
      </c>
      <c r="C220" s="4">
        <v>110</v>
      </c>
      <c r="D220" s="85">
        <v>45355</v>
      </c>
      <c r="E220" s="85">
        <v>45357</v>
      </c>
      <c r="F220" s="88" t="b">
        <f t="shared" si="3"/>
        <v>1</v>
      </c>
      <c r="G220" s="85">
        <v>45358</v>
      </c>
      <c r="H220" s="5">
        <v>22405.599999999999</v>
      </c>
      <c r="I220" s="5">
        <v>22474.05</v>
      </c>
      <c r="J220" s="5">
        <v>68.45</v>
      </c>
      <c r="K220" s="6">
        <v>3.0550398114757029E-3</v>
      </c>
      <c r="L220" s="7" t="s">
        <v>34</v>
      </c>
      <c r="M220" s="91">
        <f>MROUND(H220,100)-100</f>
        <v>22300</v>
      </c>
      <c r="N220" s="91">
        <f>M220-O220</f>
        <v>0</v>
      </c>
      <c r="O220" s="4">
        <v>22300</v>
      </c>
      <c r="P220" s="7" t="s">
        <v>95</v>
      </c>
      <c r="Q220" s="4">
        <v>65</v>
      </c>
      <c r="R220" s="5">
        <v>181.95</v>
      </c>
      <c r="S220" s="4">
        <v>224</v>
      </c>
      <c r="T220" s="8">
        <v>-0.27600000000000002</v>
      </c>
      <c r="U220" s="8">
        <v>0.57220000000000004</v>
      </c>
      <c r="V220" s="5">
        <v>-42.05</v>
      </c>
      <c r="W220" s="6">
        <v>-1.8767629521191131E-3</v>
      </c>
      <c r="X220" s="4">
        <v>0</v>
      </c>
      <c r="Y220" s="6">
        <v>0</v>
      </c>
      <c r="Z220" s="5">
        <v>49248.9</v>
      </c>
      <c r="AA220" s="5">
        <v>48857.3</v>
      </c>
      <c r="AB220" s="5">
        <v>-391.6</v>
      </c>
      <c r="AC220" s="5">
        <v>-0.79510000000000003</v>
      </c>
      <c r="AD220" s="4">
        <v>2</v>
      </c>
      <c r="AE220" s="5">
        <v>-3.3333000000000002E-2</v>
      </c>
      <c r="AF220" s="5">
        <v>-408.0163</v>
      </c>
      <c r="AG220" s="5">
        <v>-0.82850000000000001</v>
      </c>
      <c r="AH220" s="8">
        <v>-2.3803000000000001</v>
      </c>
      <c r="AI220" s="8">
        <v>0.25280000000000002</v>
      </c>
      <c r="AJ220" s="9">
        <v>-501.16629999999998</v>
      </c>
      <c r="AK220" s="9">
        <v>-1.2442</v>
      </c>
      <c r="AL220" s="5">
        <v>124.12050000000001</v>
      </c>
      <c r="AM220" s="5">
        <v>127.4141</v>
      </c>
      <c r="AN220" s="5">
        <v>-3.2936000000000001</v>
      </c>
      <c r="AO220" s="5">
        <v>-2.585</v>
      </c>
      <c r="AP220" s="8">
        <v>-0.28070000000000001</v>
      </c>
      <c r="AQ220" s="8">
        <v>-1.7191000000000001</v>
      </c>
      <c r="AR220" s="8">
        <v>-1.7191000000000001</v>
      </c>
      <c r="AS220" s="5">
        <v>123.5236</v>
      </c>
      <c r="AT220" s="5">
        <v>-3.0533999999999999</v>
      </c>
      <c r="AU220" s="7" t="s">
        <v>96</v>
      </c>
      <c r="AV220" s="7"/>
    </row>
    <row r="221" spans="1:48" ht="18" customHeight="1" x14ac:dyDescent="0.25">
      <c r="A221" s="10">
        <v>110</v>
      </c>
      <c r="B221" s="10">
        <v>2</v>
      </c>
      <c r="C221" s="10">
        <v>110</v>
      </c>
      <c r="D221" s="86">
        <v>45355</v>
      </c>
      <c r="E221" s="86">
        <v>45357</v>
      </c>
      <c r="F221" s="88" t="b">
        <f t="shared" si="3"/>
        <v>1</v>
      </c>
      <c r="G221" s="86">
        <v>45470</v>
      </c>
      <c r="H221" s="11">
        <v>22405.599999999999</v>
      </c>
      <c r="I221" s="11">
        <v>22474.05</v>
      </c>
      <c r="J221" s="12"/>
      <c r="K221" s="12"/>
      <c r="L221" s="12" t="s">
        <v>44</v>
      </c>
      <c r="M221" s="90"/>
      <c r="N221" s="90"/>
      <c r="O221" s="10">
        <v>22000</v>
      </c>
      <c r="P221" s="12" t="s">
        <v>97</v>
      </c>
      <c r="Q221" s="10">
        <v>65</v>
      </c>
      <c r="R221" s="11">
        <v>499.85</v>
      </c>
      <c r="S221" s="11">
        <v>448.75</v>
      </c>
      <c r="T221" s="13">
        <v>-0.25750000000000001</v>
      </c>
      <c r="U221" s="13">
        <v>8.8999999999999996E-2</v>
      </c>
      <c r="V221" s="10">
        <v>0</v>
      </c>
      <c r="W221" s="14">
        <v>0</v>
      </c>
      <c r="X221" s="11">
        <v>-51.1</v>
      </c>
      <c r="Y221" s="14">
        <v>-2.280679830042489E-3</v>
      </c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 t="s">
        <v>96</v>
      </c>
      <c r="AV221" s="12"/>
    </row>
    <row r="222" spans="1:48" ht="18" customHeight="1" x14ac:dyDescent="0.25">
      <c r="A222" s="4">
        <v>111</v>
      </c>
      <c r="B222" s="4">
        <v>1</v>
      </c>
      <c r="C222" s="4">
        <v>111</v>
      </c>
      <c r="D222" s="85">
        <v>45357</v>
      </c>
      <c r="E222" s="85">
        <v>45364</v>
      </c>
      <c r="F222" s="88" t="b">
        <f t="shared" si="3"/>
        <v>1</v>
      </c>
      <c r="G222" s="85">
        <v>45365</v>
      </c>
      <c r="H222" s="5">
        <v>22474.05</v>
      </c>
      <c r="I222" s="5">
        <v>21997.7</v>
      </c>
      <c r="J222" s="5">
        <v>-476.35</v>
      </c>
      <c r="K222" s="6">
        <v>-2.119555665311771E-2</v>
      </c>
      <c r="L222" s="7" t="s">
        <v>34</v>
      </c>
      <c r="M222" s="91">
        <f>MROUND(H222,100)-100</f>
        <v>22400</v>
      </c>
      <c r="N222" s="91">
        <f>M222-O222</f>
        <v>0</v>
      </c>
      <c r="O222" s="4">
        <v>22400</v>
      </c>
      <c r="P222" s="7" t="s">
        <v>95</v>
      </c>
      <c r="Q222" s="4">
        <v>65</v>
      </c>
      <c r="R222" s="5">
        <v>241.85</v>
      </c>
      <c r="S222" s="5">
        <v>6.4</v>
      </c>
      <c r="T222" s="8">
        <v>-4.8500000000000001E-2</v>
      </c>
      <c r="U222" s="8">
        <v>1.0571999999999999</v>
      </c>
      <c r="V222" s="5">
        <v>235.45</v>
      </c>
      <c r="W222" s="6">
        <v>1.0476527372680939E-2</v>
      </c>
      <c r="X222" s="4">
        <v>0</v>
      </c>
      <c r="Y222" s="6">
        <v>0</v>
      </c>
      <c r="Z222" s="5">
        <v>48857.3</v>
      </c>
      <c r="AA222" s="5">
        <v>45971.4</v>
      </c>
      <c r="AB222" s="5">
        <v>-2885.9</v>
      </c>
      <c r="AC222" s="5">
        <v>-5.9067999999999996</v>
      </c>
      <c r="AD222" s="4">
        <v>7</v>
      </c>
      <c r="AE222" s="5">
        <v>-0.11666700000000001</v>
      </c>
      <c r="AF222" s="5">
        <v>-2942.9002</v>
      </c>
      <c r="AG222" s="5">
        <v>-6.0235000000000003</v>
      </c>
      <c r="AH222" s="8">
        <v>-6.6595000000000004</v>
      </c>
      <c r="AI222" s="8">
        <v>0.64790000000000003</v>
      </c>
      <c r="AJ222" s="9">
        <v>-2631.7501999999999</v>
      </c>
      <c r="AK222" s="9">
        <v>-4.6390000000000002</v>
      </c>
      <c r="AL222" s="5">
        <v>118.3626</v>
      </c>
      <c r="AM222" s="5">
        <v>127.4141</v>
      </c>
      <c r="AN222" s="5">
        <v>-9.0516000000000005</v>
      </c>
      <c r="AO222" s="5">
        <v>-7.1040000000000001</v>
      </c>
      <c r="AP222" s="8">
        <v>0.38740000000000002</v>
      </c>
      <c r="AQ222" s="8">
        <v>-5.1201999999999996</v>
      </c>
      <c r="AR222" s="8">
        <v>-5.1201999999999996</v>
      </c>
      <c r="AS222" s="5">
        <v>117.7653</v>
      </c>
      <c r="AT222" s="5">
        <v>-7.5728</v>
      </c>
      <c r="AU222" s="7" t="s">
        <v>96</v>
      </c>
      <c r="AV222" s="7"/>
    </row>
    <row r="223" spans="1:48" ht="18" customHeight="1" x14ac:dyDescent="0.25">
      <c r="A223" s="10">
        <v>111</v>
      </c>
      <c r="B223" s="10">
        <v>2</v>
      </c>
      <c r="C223" s="10">
        <v>111</v>
      </c>
      <c r="D223" s="86">
        <v>45357</v>
      </c>
      <c r="E223" s="86">
        <v>45364</v>
      </c>
      <c r="F223" s="88" t="b">
        <f t="shared" si="3"/>
        <v>1</v>
      </c>
      <c r="G223" s="86">
        <v>45470</v>
      </c>
      <c r="H223" s="11">
        <v>22474.05</v>
      </c>
      <c r="I223" s="11">
        <v>21997.7</v>
      </c>
      <c r="J223" s="12"/>
      <c r="K223" s="12"/>
      <c r="L223" s="12" t="s">
        <v>44</v>
      </c>
      <c r="M223" s="90"/>
      <c r="N223" s="90"/>
      <c r="O223" s="10">
        <v>22000</v>
      </c>
      <c r="P223" s="12" t="s">
        <v>97</v>
      </c>
      <c r="Q223" s="10">
        <v>65</v>
      </c>
      <c r="R223" s="11">
        <v>448.75</v>
      </c>
      <c r="S223" s="11">
        <v>524.45000000000005</v>
      </c>
      <c r="T223" s="13">
        <v>-0.21199999999999999</v>
      </c>
      <c r="U223" s="13">
        <v>0.48209999999999997</v>
      </c>
      <c r="V223" s="10">
        <v>0</v>
      </c>
      <c r="W223" s="14">
        <v>0</v>
      </c>
      <c r="X223" s="11">
        <v>75.7</v>
      </c>
      <c r="Y223" s="14">
        <v>3.368329250847089E-3</v>
      </c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 t="s">
        <v>96</v>
      </c>
      <c r="AV223" s="12"/>
    </row>
    <row r="224" spans="1:48" ht="18" customHeight="1" x14ac:dyDescent="0.25">
      <c r="A224" s="4">
        <v>112</v>
      </c>
      <c r="B224" s="4">
        <v>1</v>
      </c>
      <c r="C224" s="4">
        <v>112</v>
      </c>
      <c r="D224" s="85">
        <v>45364</v>
      </c>
      <c r="E224" s="85">
        <v>45371</v>
      </c>
      <c r="F224" s="88" t="b">
        <f t="shared" si="3"/>
        <v>1</v>
      </c>
      <c r="G224" s="85">
        <v>45372</v>
      </c>
      <c r="H224" s="5">
        <v>21997.7</v>
      </c>
      <c r="I224" s="5">
        <v>21839.1</v>
      </c>
      <c r="J224" s="5">
        <v>-158.6</v>
      </c>
      <c r="K224" s="6">
        <v>-7.2098446655786737E-3</v>
      </c>
      <c r="L224" s="7" t="s">
        <v>34</v>
      </c>
      <c r="M224" s="91">
        <f>MROUND(H224,100)-100</f>
        <v>21900</v>
      </c>
      <c r="N224" s="91">
        <f>M224-O224</f>
        <v>0</v>
      </c>
      <c r="O224" s="4">
        <v>21900</v>
      </c>
      <c r="P224" s="7" t="s">
        <v>95</v>
      </c>
      <c r="Q224" s="4">
        <v>65</v>
      </c>
      <c r="R224" s="4">
        <v>280</v>
      </c>
      <c r="S224" s="5">
        <v>51.9</v>
      </c>
      <c r="T224" s="8">
        <v>-0.68189999999999995</v>
      </c>
      <c r="U224" s="8">
        <v>1.1303000000000001</v>
      </c>
      <c r="V224" s="5">
        <v>228.1</v>
      </c>
      <c r="W224" s="6">
        <v>1.036926587779631E-2</v>
      </c>
      <c r="X224" s="4">
        <v>0</v>
      </c>
      <c r="Y224" s="6">
        <v>0</v>
      </c>
      <c r="Z224" s="5">
        <v>45971.4</v>
      </c>
      <c r="AA224" s="5">
        <v>45919.9</v>
      </c>
      <c r="AB224" s="5">
        <v>-51.5</v>
      </c>
      <c r="AC224" s="5">
        <v>-0.112</v>
      </c>
      <c r="AD224" s="4">
        <v>7</v>
      </c>
      <c r="AE224" s="5">
        <v>-0.11666700000000001</v>
      </c>
      <c r="AF224" s="5">
        <v>-105.13330000000001</v>
      </c>
      <c r="AG224" s="5">
        <v>-0.22869999999999999</v>
      </c>
      <c r="AH224" s="8">
        <v>-1.4913000000000001</v>
      </c>
      <c r="AI224" s="8">
        <v>2.5194000000000001</v>
      </c>
      <c r="AJ224" s="15">
        <v>149.8167</v>
      </c>
      <c r="AK224" s="15">
        <v>0.93030000000000002</v>
      </c>
      <c r="AL224" s="5">
        <v>119.4637</v>
      </c>
      <c r="AM224" s="5">
        <v>127.4141</v>
      </c>
      <c r="AN224" s="5">
        <v>-7.9504000000000001</v>
      </c>
      <c r="AO224" s="5">
        <v>-6.2397999999999998</v>
      </c>
      <c r="AP224" s="8">
        <v>1.5177</v>
      </c>
      <c r="AQ224" s="8">
        <v>4.0000000000000002E-4</v>
      </c>
      <c r="AR224" s="8">
        <v>4.0000000000000002E-4</v>
      </c>
      <c r="AS224" s="5">
        <v>118.363</v>
      </c>
      <c r="AT224" s="5">
        <v>-7.1036999999999999</v>
      </c>
      <c r="AU224" s="7" t="s">
        <v>96</v>
      </c>
      <c r="AV224" s="7"/>
    </row>
    <row r="225" spans="1:48" ht="18" customHeight="1" x14ac:dyDescent="0.25">
      <c r="A225" s="10">
        <v>112</v>
      </c>
      <c r="B225" s="10">
        <v>2</v>
      </c>
      <c r="C225" s="10">
        <v>112</v>
      </c>
      <c r="D225" s="86">
        <v>45364</v>
      </c>
      <c r="E225" s="86">
        <v>45371</v>
      </c>
      <c r="F225" s="88" t="b">
        <f t="shared" si="3"/>
        <v>1</v>
      </c>
      <c r="G225" s="86">
        <v>45470</v>
      </c>
      <c r="H225" s="11">
        <v>21997.7</v>
      </c>
      <c r="I225" s="11">
        <v>21839.1</v>
      </c>
      <c r="J225" s="12"/>
      <c r="K225" s="12"/>
      <c r="L225" s="12" t="s">
        <v>44</v>
      </c>
      <c r="M225" s="90"/>
      <c r="N225" s="90"/>
      <c r="O225" s="10">
        <v>22000</v>
      </c>
      <c r="P225" s="12" t="s">
        <v>97</v>
      </c>
      <c r="Q225" s="10">
        <v>65</v>
      </c>
      <c r="R225" s="11">
        <v>524.45000000000005</v>
      </c>
      <c r="S225" s="11">
        <v>551.29999999999995</v>
      </c>
      <c r="T225" s="13">
        <v>-0.31979999999999997</v>
      </c>
      <c r="U225" s="13">
        <v>0.3614</v>
      </c>
      <c r="V225" s="10">
        <v>0</v>
      </c>
      <c r="W225" s="14">
        <v>0</v>
      </c>
      <c r="X225" s="11">
        <v>26.85</v>
      </c>
      <c r="Y225" s="14">
        <v>1.220582151770412E-3</v>
      </c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 t="s">
        <v>96</v>
      </c>
      <c r="AV225" s="12"/>
    </row>
    <row r="226" spans="1:48" ht="18" customHeight="1" x14ac:dyDescent="0.25">
      <c r="A226" s="4">
        <v>113</v>
      </c>
      <c r="B226" s="4">
        <v>1</v>
      </c>
      <c r="C226" s="4">
        <v>113</v>
      </c>
      <c r="D226" s="85">
        <v>45371</v>
      </c>
      <c r="E226" s="85">
        <v>45378</v>
      </c>
      <c r="F226" s="88" t="b">
        <f t="shared" si="3"/>
        <v>1</v>
      </c>
      <c r="G226" s="85">
        <v>45379</v>
      </c>
      <c r="H226" s="5">
        <v>21839.1</v>
      </c>
      <c r="I226" s="5">
        <v>22123.65</v>
      </c>
      <c r="J226" s="5">
        <v>284.55</v>
      </c>
      <c r="K226" s="6">
        <v>1.302938307897304E-2</v>
      </c>
      <c r="L226" s="7" t="s">
        <v>34</v>
      </c>
      <c r="M226" s="91">
        <f>MROUND(H226,100)-100</f>
        <v>21700</v>
      </c>
      <c r="N226" s="91">
        <f>M226-O226</f>
        <v>0</v>
      </c>
      <c r="O226" s="4">
        <v>21700</v>
      </c>
      <c r="P226" s="7" t="s">
        <v>95</v>
      </c>
      <c r="Q226" s="4">
        <v>65</v>
      </c>
      <c r="R226" s="5">
        <v>298.55</v>
      </c>
      <c r="S226" s="5">
        <v>464.35</v>
      </c>
      <c r="T226" s="8">
        <v>-1.2462</v>
      </c>
      <c r="U226" s="8">
        <v>-6.6199999999999995E-2</v>
      </c>
      <c r="V226" s="5">
        <v>-165.8</v>
      </c>
      <c r="W226" s="6">
        <v>-7.5918879441002618E-3</v>
      </c>
      <c r="X226" s="4">
        <v>0</v>
      </c>
      <c r="Y226" s="6">
        <v>0</v>
      </c>
      <c r="Z226" s="5">
        <v>45919.9</v>
      </c>
      <c r="AA226" s="5">
        <v>47837.35</v>
      </c>
      <c r="AB226" s="5">
        <v>1917.45</v>
      </c>
      <c r="AC226" s="5">
        <v>4.1756000000000002</v>
      </c>
      <c r="AD226" s="4">
        <v>7</v>
      </c>
      <c r="AE226" s="5">
        <v>-0.11666700000000001</v>
      </c>
      <c r="AF226" s="5">
        <v>1863.8768</v>
      </c>
      <c r="AG226" s="5">
        <v>4.0590000000000002</v>
      </c>
      <c r="AH226" s="8">
        <v>1.0828</v>
      </c>
      <c r="AI226" s="8">
        <v>4.7023999999999999</v>
      </c>
      <c r="AJ226" s="15">
        <v>1561.3768</v>
      </c>
      <c r="AK226" s="15">
        <v>2.6739000000000002</v>
      </c>
      <c r="AL226" s="5">
        <v>122.658</v>
      </c>
      <c r="AM226" s="5">
        <v>127.4141</v>
      </c>
      <c r="AN226" s="5">
        <v>-4.7561</v>
      </c>
      <c r="AO226" s="5">
        <v>-3.7328000000000001</v>
      </c>
      <c r="AP226" s="8">
        <v>2.762</v>
      </c>
      <c r="AQ226" s="8">
        <v>0.80569999999999997</v>
      </c>
      <c r="AR226" s="8">
        <v>0.80569999999999997</v>
      </c>
      <c r="AS226" s="5">
        <v>120.42619999999999</v>
      </c>
      <c r="AT226" s="5">
        <v>-5.4843999999999999</v>
      </c>
      <c r="AU226" s="7" t="s">
        <v>96</v>
      </c>
      <c r="AV226" s="7"/>
    </row>
    <row r="227" spans="1:48" ht="18" customHeight="1" x14ac:dyDescent="0.25">
      <c r="A227" s="10">
        <v>113</v>
      </c>
      <c r="B227" s="10">
        <v>2</v>
      </c>
      <c r="C227" s="10">
        <v>113</v>
      </c>
      <c r="D227" s="86">
        <v>45371</v>
      </c>
      <c r="E227" s="86">
        <v>45378</v>
      </c>
      <c r="F227" s="88" t="b">
        <f t="shared" si="3"/>
        <v>1</v>
      </c>
      <c r="G227" s="86">
        <v>45470</v>
      </c>
      <c r="H227" s="11">
        <v>21839.1</v>
      </c>
      <c r="I227" s="11">
        <v>22123.65</v>
      </c>
      <c r="J227" s="12"/>
      <c r="K227" s="12"/>
      <c r="L227" s="12" t="s">
        <v>44</v>
      </c>
      <c r="M227" s="90"/>
      <c r="N227" s="90"/>
      <c r="O227" s="10">
        <v>22000</v>
      </c>
      <c r="P227" s="12" t="s">
        <v>97</v>
      </c>
      <c r="Q227" s="10">
        <v>65</v>
      </c>
      <c r="R227" s="11">
        <v>551.29999999999995</v>
      </c>
      <c r="S227" s="11">
        <v>414.6</v>
      </c>
      <c r="T227" s="13">
        <v>-0.69420000000000004</v>
      </c>
      <c r="U227" s="13">
        <v>-0.2109</v>
      </c>
      <c r="V227" s="10">
        <v>0</v>
      </c>
      <c r="W227" s="14">
        <v>0</v>
      </c>
      <c r="X227" s="11">
        <v>-136.69999999999999</v>
      </c>
      <c r="Y227" s="14">
        <v>-6.2594154521019626E-3</v>
      </c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 t="s">
        <v>96</v>
      </c>
      <c r="AV227" s="12"/>
    </row>
    <row r="228" spans="1:48" ht="18" customHeight="1" x14ac:dyDescent="0.25">
      <c r="A228" s="4">
        <v>114</v>
      </c>
      <c r="B228" s="4">
        <v>1</v>
      </c>
      <c r="C228" s="4">
        <v>114</v>
      </c>
      <c r="D228" s="85">
        <v>45378</v>
      </c>
      <c r="E228" s="89">
        <v>45379</v>
      </c>
      <c r="F228" s="88" t="b">
        <f t="shared" si="3"/>
        <v>0</v>
      </c>
      <c r="G228" s="85">
        <v>45386</v>
      </c>
      <c r="H228" s="5">
        <v>22123.65</v>
      </c>
      <c r="I228" s="5">
        <v>22326.9</v>
      </c>
      <c r="J228" s="5">
        <v>203.25</v>
      </c>
      <c r="K228" s="6">
        <v>9.1870012407536724E-3</v>
      </c>
      <c r="L228" s="7" t="s">
        <v>34</v>
      </c>
      <c r="M228" s="91">
        <f>MROUND(H228,100)-100</f>
        <v>22000</v>
      </c>
      <c r="N228" s="91">
        <f>M228-O228</f>
        <v>0</v>
      </c>
      <c r="O228" s="4">
        <v>22000</v>
      </c>
      <c r="P228" s="7" t="s">
        <v>95</v>
      </c>
      <c r="Q228" s="4">
        <v>65</v>
      </c>
      <c r="R228" s="5">
        <v>315.7</v>
      </c>
      <c r="S228" s="5">
        <v>421.45</v>
      </c>
      <c r="T228" s="8">
        <v>-1.1223000000000001</v>
      </c>
      <c r="U228" s="8">
        <v>-4.36E-2</v>
      </c>
      <c r="V228" s="5">
        <v>-105.75</v>
      </c>
      <c r="W228" s="6">
        <v>-4.7799526750784789E-3</v>
      </c>
      <c r="X228" s="4">
        <v>0</v>
      </c>
      <c r="Y228" s="6">
        <v>0</v>
      </c>
      <c r="Z228" s="5">
        <v>47837.35</v>
      </c>
      <c r="AA228" s="5">
        <v>48075.75</v>
      </c>
      <c r="AB228" s="5">
        <v>238.4</v>
      </c>
      <c r="AC228" s="5">
        <v>0.49840000000000001</v>
      </c>
      <c r="AD228" s="4">
        <v>1</v>
      </c>
      <c r="AE228" s="5">
        <v>-1.6667000000000001E-2</v>
      </c>
      <c r="AF228" s="5">
        <v>230.4271</v>
      </c>
      <c r="AG228" s="5">
        <v>0.48170000000000002</v>
      </c>
      <c r="AH228" s="8">
        <v>-0.12570000000000001</v>
      </c>
      <c r="AI228" s="8">
        <v>0.84630000000000005</v>
      </c>
      <c r="AJ228" s="15">
        <v>77.927099999999996</v>
      </c>
      <c r="AK228" s="15">
        <v>-0.20760000000000001</v>
      </c>
      <c r="AL228" s="5">
        <v>122.4034</v>
      </c>
      <c r="AM228" s="5">
        <v>127.4141</v>
      </c>
      <c r="AN228" s="5">
        <v>-5.0106999999999999</v>
      </c>
      <c r="AO228" s="5">
        <v>-3.9325999999999999</v>
      </c>
      <c r="AP228" s="8">
        <v>-0.58699999999999997</v>
      </c>
      <c r="AQ228" s="8">
        <v>-0.16950000000000001</v>
      </c>
      <c r="AR228" s="8">
        <v>-0.58699999999999997</v>
      </c>
      <c r="AS228" s="5">
        <v>121.938</v>
      </c>
      <c r="AT228" s="5">
        <v>-4.2979000000000003</v>
      </c>
      <c r="AU228" s="7" t="s">
        <v>98</v>
      </c>
      <c r="AV228" s="7"/>
    </row>
    <row r="229" spans="1:48" ht="18" customHeight="1" x14ac:dyDescent="0.25">
      <c r="A229" s="10">
        <v>114</v>
      </c>
      <c r="B229" s="10">
        <v>2</v>
      </c>
      <c r="C229" s="10">
        <v>114</v>
      </c>
      <c r="D229" s="86">
        <v>45378</v>
      </c>
      <c r="E229" s="89">
        <v>45379</v>
      </c>
      <c r="F229" s="88" t="b">
        <f t="shared" si="3"/>
        <v>0</v>
      </c>
      <c r="G229" s="86">
        <v>45470</v>
      </c>
      <c r="H229" s="11">
        <v>22123.65</v>
      </c>
      <c r="I229" s="11">
        <v>22326.9</v>
      </c>
      <c r="J229" s="12"/>
      <c r="K229" s="12"/>
      <c r="L229" s="12" t="s">
        <v>44</v>
      </c>
      <c r="M229" s="90"/>
      <c r="N229" s="90"/>
      <c r="O229" s="10">
        <v>22000</v>
      </c>
      <c r="P229" s="12" t="s">
        <v>97</v>
      </c>
      <c r="Q229" s="10">
        <v>65</v>
      </c>
      <c r="R229" s="11">
        <v>414.6</v>
      </c>
      <c r="S229" s="11">
        <v>367.85</v>
      </c>
      <c r="T229" s="13">
        <v>-0.311</v>
      </c>
      <c r="U229" s="13">
        <v>-2.0000000000000001E-4</v>
      </c>
      <c r="V229" s="10">
        <v>0</v>
      </c>
      <c r="W229" s="14">
        <v>0</v>
      </c>
      <c r="X229" s="11">
        <v>-46.75</v>
      </c>
      <c r="Y229" s="14">
        <v>-2.1131232866186179E-3</v>
      </c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 t="s">
        <v>98</v>
      </c>
      <c r="AV229" s="12"/>
    </row>
    <row r="230" spans="1:48" ht="18" customHeight="1" x14ac:dyDescent="0.25">
      <c r="A230" s="4">
        <v>115</v>
      </c>
      <c r="B230" s="4">
        <v>1</v>
      </c>
      <c r="C230" s="4">
        <v>115</v>
      </c>
      <c r="D230" s="85">
        <v>45412</v>
      </c>
      <c r="E230" s="85">
        <v>45420</v>
      </c>
      <c r="F230" s="88" t="b">
        <f t="shared" si="3"/>
        <v>1</v>
      </c>
      <c r="G230" s="85">
        <v>45421</v>
      </c>
      <c r="H230" s="5">
        <v>22604.85</v>
      </c>
      <c r="I230" s="5">
        <v>22302.5</v>
      </c>
      <c r="J230" s="5">
        <v>-302.35000000000002</v>
      </c>
      <c r="K230" s="6">
        <v>-1.337544818921603E-2</v>
      </c>
      <c r="L230" s="7" t="s">
        <v>34</v>
      </c>
      <c r="M230" s="91">
        <f>MROUND(H230,100)-100</f>
        <v>22500</v>
      </c>
      <c r="N230" s="91">
        <f>M230-O230</f>
        <v>0</v>
      </c>
      <c r="O230" s="4">
        <v>22500</v>
      </c>
      <c r="P230" s="7" t="s">
        <v>95</v>
      </c>
      <c r="Q230" s="4">
        <v>65</v>
      </c>
      <c r="R230" s="5">
        <v>270.39999999999998</v>
      </c>
      <c r="S230" s="5">
        <v>14.95</v>
      </c>
      <c r="T230" s="8">
        <v>-0.39810000000000001</v>
      </c>
      <c r="U230" s="8">
        <v>1.1419999999999999</v>
      </c>
      <c r="V230" s="5">
        <v>255.45</v>
      </c>
      <c r="W230" s="6">
        <v>1.130067220087724E-2</v>
      </c>
      <c r="X230" s="4">
        <v>0</v>
      </c>
      <c r="Y230" s="6">
        <v>0</v>
      </c>
      <c r="Z230" s="5">
        <v>50868.2</v>
      </c>
      <c r="AA230" s="5">
        <v>50036.3</v>
      </c>
      <c r="AB230" s="5">
        <v>-831.9</v>
      </c>
      <c r="AC230" s="5">
        <v>-1.6354</v>
      </c>
      <c r="AD230" s="4">
        <v>8</v>
      </c>
      <c r="AE230" s="5">
        <v>-0.13333300000000001</v>
      </c>
      <c r="AF230" s="5">
        <v>-899.72429999999997</v>
      </c>
      <c r="AG230" s="5">
        <v>-1.7686999999999999</v>
      </c>
      <c r="AH230" s="8">
        <v>-3.2795000000000001</v>
      </c>
      <c r="AI230" s="8">
        <v>0.88229999999999997</v>
      </c>
      <c r="AJ230" s="9">
        <v>-439.47430000000003</v>
      </c>
      <c r="AK230" s="9">
        <v>0.26740000000000003</v>
      </c>
      <c r="AL230" s="5">
        <v>100.26739999999999</v>
      </c>
      <c r="AM230" s="5">
        <v>100.26739999999999</v>
      </c>
      <c r="AN230" s="4">
        <v>0</v>
      </c>
      <c r="AO230" s="4">
        <v>0</v>
      </c>
      <c r="AP230" s="8">
        <v>0.27539999999999998</v>
      </c>
      <c r="AQ230" s="8">
        <v>-0.85129999999999995</v>
      </c>
      <c r="AR230" s="8">
        <v>-0.85129999999999995</v>
      </c>
      <c r="AS230" s="5">
        <v>99.148700000000005</v>
      </c>
      <c r="AT230" s="5">
        <v>-0.85129999999999995</v>
      </c>
      <c r="AU230" s="7" t="s">
        <v>96</v>
      </c>
      <c r="AV230" s="7"/>
    </row>
    <row r="231" spans="1:48" ht="18" customHeight="1" x14ac:dyDescent="0.25">
      <c r="A231" s="10">
        <v>115</v>
      </c>
      <c r="B231" s="10">
        <v>2</v>
      </c>
      <c r="C231" s="10">
        <v>115</v>
      </c>
      <c r="D231" s="86">
        <v>45412</v>
      </c>
      <c r="E231" s="86">
        <v>45420</v>
      </c>
      <c r="F231" s="88" t="b">
        <f t="shared" si="3"/>
        <v>1</v>
      </c>
      <c r="G231" s="86">
        <v>45470</v>
      </c>
      <c r="H231" s="11">
        <v>22604.85</v>
      </c>
      <c r="I231" s="11">
        <v>22302.5</v>
      </c>
      <c r="J231" s="12"/>
      <c r="K231" s="12"/>
      <c r="L231" s="12" t="s">
        <v>44</v>
      </c>
      <c r="M231" s="90"/>
      <c r="N231" s="90"/>
      <c r="O231" s="10">
        <v>23000</v>
      </c>
      <c r="P231" s="12" t="s">
        <v>97</v>
      </c>
      <c r="Q231" s="10">
        <v>65</v>
      </c>
      <c r="R231" s="11">
        <v>647.20000000000005</v>
      </c>
      <c r="S231" s="10">
        <v>852</v>
      </c>
      <c r="T231" s="13">
        <v>-0.20880000000000001</v>
      </c>
      <c r="U231" s="13">
        <v>1.2862</v>
      </c>
      <c r="V231" s="10">
        <v>0</v>
      </c>
      <c r="W231" s="14">
        <v>0</v>
      </c>
      <c r="X231" s="11">
        <v>204.8</v>
      </c>
      <c r="Y231" s="14">
        <v>9.0600026100593461E-3</v>
      </c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 t="s">
        <v>96</v>
      </c>
      <c r="AV231" s="12"/>
    </row>
    <row r="232" spans="1:48" ht="18" customHeight="1" x14ac:dyDescent="0.25">
      <c r="A232" s="4">
        <v>116</v>
      </c>
      <c r="B232" s="4">
        <v>1</v>
      </c>
      <c r="C232" s="4">
        <v>116</v>
      </c>
      <c r="D232" s="85">
        <v>45420</v>
      </c>
      <c r="E232" s="85">
        <v>45427</v>
      </c>
      <c r="F232" s="88" t="b">
        <f t="shared" si="3"/>
        <v>1</v>
      </c>
      <c r="G232" s="85">
        <v>45428</v>
      </c>
      <c r="H232" s="5">
        <v>22302.5</v>
      </c>
      <c r="I232" s="5">
        <v>22200.55</v>
      </c>
      <c r="J232" s="5">
        <v>-101.95</v>
      </c>
      <c r="K232" s="6">
        <v>-4.5712364084743856E-3</v>
      </c>
      <c r="L232" s="7" t="s">
        <v>34</v>
      </c>
      <c r="M232" s="91">
        <f>MROUND(H232,100)-100</f>
        <v>22200</v>
      </c>
      <c r="N232" s="91">
        <f>M232-O232</f>
        <v>0</v>
      </c>
      <c r="O232" s="4">
        <v>22200</v>
      </c>
      <c r="P232" s="7" t="s">
        <v>95</v>
      </c>
      <c r="Q232" s="4">
        <v>65</v>
      </c>
      <c r="R232" s="5">
        <v>253.15</v>
      </c>
      <c r="S232" s="5">
        <v>74.55</v>
      </c>
      <c r="T232" s="8">
        <v>-3.09E-2</v>
      </c>
      <c r="U232" s="8">
        <v>1.0183</v>
      </c>
      <c r="V232" s="5">
        <v>178.6</v>
      </c>
      <c r="W232" s="6">
        <v>8.0080708440757754E-3</v>
      </c>
      <c r="X232" s="4">
        <v>0</v>
      </c>
      <c r="Y232" s="6">
        <v>0</v>
      </c>
      <c r="Z232" s="5">
        <v>50036.3</v>
      </c>
      <c r="AA232" s="5">
        <v>50707.75</v>
      </c>
      <c r="AB232" s="5">
        <v>671.45</v>
      </c>
      <c r="AC232" s="5">
        <v>1.3419000000000001</v>
      </c>
      <c r="AD232" s="4">
        <v>7</v>
      </c>
      <c r="AE232" s="5">
        <v>-0.11666700000000001</v>
      </c>
      <c r="AF232" s="5">
        <v>613.07429999999999</v>
      </c>
      <c r="AG232" s="5">
        <v>1.2253000000000001</v>
      </c>
      <c r="AH232" s="8">
        <v>-3.0150999999999999</v>
      </c>
      <c r="AI232" s="8">
        <v>1.3454999999999999</v>
      </c>
      <c r="AJ232" s="15">
        <v>832.37429999999995</v>
      </c>
      <c r="AK232" s="15">
        <v>2.2086000000000001</v>
      </c>
      <c r="AL232" s="5">
        <v>102.4819</v>
      </c>
      <c r="AM232" s="5">
        <v>102.4819</v>
      </c>
      <c r="AN232" s="4">
        <v>0</v>
      </c>
      <c r="AO232" s="4">
        <v>0</v>
      </c>
      <c r="AP232" s="8">
        <v>1.3192999999999999</v>
      </c>
      <c r="AQ232" s="8">
        <v>-0.81620000000000004</v>
      </c>
      <c r="AR232" s="8">
        <v>-0.81620000000000004</v>
      </c>
      <c r="AS232" s="5">
        <v>99.448999999999998</v>
      </c>
      <c r="AT232" s="5">
        <v>-0.81620000000000004</v>
      </c>
      <c r="AU232" s="7" t="s">
        <v>96</v>
      </c>
      <c r="AV232" s="7"/>
    </row>
    <row r="233" spans="1:48" ht="18" customHeight="1" x14ac:dyDescent="0.25">
      <c r="A233" s="10">
        <v>116</v>
      </c>
      <c r="B233" s="10">
        <v>2</v>
      </c>
      <c r="C233" s="10">
        <v>116</v>
      </c>
      <c r="D233" s="86">
        <v>45420</v>
      </c>
      <c r="E233" s="86">
        <v>45427</v>
      </c>
      <c r="F233" s="88" t="b">
        <f t="shared" si="3"/>
        <v>1</v>
      </c>
      <c r="G233" s="86">
        <v>45470</v>
      </c>
      <c r="H233" s="11">
        <v>22302.5</v>
      </c>
      <c r="I233" s="11">
        <v>22200.55</v>
      </c>
      <c r="J233" s="12"/>
      <c r="K233" s="12"/>
      <c r="L233" s="12" t="s">
        <v>44</v>
      </c>
      <c r="M233" s="90"/>
      <c r="N233" s="90"/>
      <c r="O233" s="10">
        <v>22000</v>
      </c>
      <c r="P233" s="12" t="s">
        <v>97</v>
      </c>
      <c r="Q233" s="10">
        <v>65</v>
      </c>
      <c r="R233" s="11">
        <v>405.25</v>
      </c>
      <c r="S233" s="11">
        <v>445.95</v>
      </c>
      <c r="T233" s="13">
        <v>4.7000000000000002E-3</v>
      </c>
      <c r="U233" s="13">
        <v>1.1806000000000001</v>
      </c>
      <c r="V233" s="10">
        <v>0</v>
      </c>
      <c r="W233" s="14">
        <v>0</v>
      </c>
      <c r="X233" s="11">
        <v>40.700000000000003</v>
      </c>
      <c r="Y233" s="14">
        <v>1.824907521578299E-3</v>
      </c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 t="s">
        <v>96</v>
      </c>
      <c r="AV233" s="12"/>
    </row>
    <row r="234" spans="1:48" ht="18" customHeight="1" x14ac:dyDescent="0.25">
      <c r="A234" s="4">
        <v>117</v>
      </c>
      <c r="B234" s="4">
        <v>1</v>
      </c>
      <c r="C234" s="4">
        <v>117</v>
      </c>
      <c r="D234" s="85">
        <v>45427</v>
      </c>
      <c r="E234" s="85">
        <v>45434</v>
      </c>
      <c r="F234" s="88" t="b">
        <f t="shared" si="3"/>
        <v>1</v>
      </c>
      <c r="G234" s="85">
        <v>45435</v>
      </c>
      <c r="H234" s="5">
        <v>22200.55</v>
      </c>
      <c r="I234" s="5">
        <v>22597.8</v>
      </c>
      <c r="J234" s="5">
        <v>397.25</v>
      </c>
      <c r="K234" s="6">
        <v>1.7893700831736151E-2</v>
      </c>
      <c r="L234" s="7" t="s">
        <v>34</v>
      </c>
      <c r="M234" s="91">
        <f>MROUND(H234,100)-100</f>
        <v>22100</v>
      </c>
      <c r="N234" s="91">
        <f>M234-O234</f>
        <v>0</v>
      </c>
      <c r="O234" s="4">
        <v>22100</v>
      </c>
      <c r="P234" s="7" t="s">
        <v>95</v>
      </c>
      <c r="Q234" s="4">
        <v>65</v>
      </c>
      <c r="R234" s="5">
        <v>257.39999999999998</v>
      </c>
      <c r="S234" s="5">
        <v>501.5</v>
      </c>
      <c r="T234" s="8">
        <v>-1.2690999999999999</v>
      </c>
      <c r="U234" s="8">
        <v>0.31909999999999999</v>
      </c>
      <c r="V234" s="5">
        <v>-244.1</v>
      </c>
      <c r="W234" s="6">
        <v>-1.099522309131981E-2</v>
      </c>
      <c r="X234" s="4">
        <v>0</v>
      </c>
      <c r="Y234" s="6">
        <v>0</v>
      </c>
      <c r="Z234" s="5">
        <v>50707.75</v>
      </c>
      <c r="AA234" s="5">
        <v>52167.5</v>
      </c>
      <c r="AB234" s="5">
        <v>1459.75</v>
      </c>
      <c r="AC234" s="5">
        <v>2.8788</v>
      </c>
      <c r="AD234" s="4">
        <v>7</v>
      </c>
      <c r="AE234" s="5">
        <v>-0.11666700000000001</v>
      </c>
      <c r="AF234" s="5">
        <v>1400.5909999999999</v>
      </c>
      <c r="AG234" s="5">
        <v>2.7621000000000002</v>
      </c>
      <c r="AH234" s="8">
        <v>1.6E-2</v>
      </c>
      <c r="AI234" s="8">
        <v>3.1623000000000001</v>
      </c>
      <c r="AJ234" s="15">
        <v>998.94100000000003</v>
      </c>
      <c r="AK234" s="15">
        <v>0.95289999999999997</v>
      </c>
      <c r="AL234" s="5">
        <v>103.4585</v>
      </c>
      <c r="AM234" s="5">
        <v>103.4585</v>
      </c>
      <c r="AN234" s="4">
        <v>0</v>
      </c>
      <c r="AO234" s="4">
        <v>0</v>
      </c>
      <c r="AP234" s="8">
        <v>1.1501999999999999</v>
      </c>
      <c r="AQ234" s="8">
        <v>0.55469999999999997</v>
      </c>
      <c r="AR234" s="8">
        <v>0.55469999999999997</v>
      </c>
      <c r="AS234" s="5">
        <v>103.0504</v>
      </c>
      <c r="AT234" s="5">
        <v>0.55469999999999997</v>
      </c>
      <c r="AU234" s="7" t="s">
        <v>96</v>
      </c>
      <c r="AV234" s="7"/>
    </row>
    <row r="235" spans="1:48" ht="18" customHeight="1" x14ac:dyDescent="0.25">
      <c r="A235" s="10">
        <v>117</v>
      </c>
      <c r="B235" s="10">
        <v>2</v>
      </c>
      <c r="C235" s="10">
        <v>117</v>
      </c>
      <c r="D235" s="86">
        <v>45427</v>
      </c>
      <c r="E235" s="86">
        <v>45434</v>
      </c>
      <c r="F235" s="88" t="b">
        <f t="shared" si="3"/>
        <v>1</v>
      </c>
      <c r="G235" s="86">
        <v>45470</v>
      </c>
      <c r="H235" s="11">
        <v>22200.55</v>
      </c>
      <c r="I235" s="11">
        <v>22597.8</v>
      </c>
      <c r="J235" s="12"/>
      <c r="K235" s="12"/>
      <c r="L235" s="12" t="s">
        <v>44</v>
      </c>
      <c r="M235" s="90"/>
      <c r="N235" s="90"/>
      <c r="O235" s="10">
        <v>22000</v>
      </c>
      <c r="P235" s="12" t="s">
        <v>97</v>
      </c>
      <c r="Q235" s="10">
        <v>65</v>
      </c>
      <c r="R235" s="11">
        <v>445.95</v>
      </c>
      <c r="S235" s="11">
        <v>288.39999999999998</v>
      </c>
      <c r="T235" s="13">
        <v>-0.74299999999999999</v>
      </c>
      <c r="U235" s="13">
        <v>0.21959999999999999</v>
      </c>
      <c r="V235" s="10">
        <v>0</v>
      </c>
      <c r="W235" s="14">
        <v>0</v>
      </c>
      <c r="X235" s="11">
        <v>-157.55000000000001</v>
      </c>
      <c r="Y235" s="14">
        <v>-7.0966710284204679E-3</v>
      </c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 t="s">
        <v>96</v>
      </c>
      <c r="AV235" s="12"/>
    </row>
    <row r="236" spans="1:48" ht="18" customHeight="1" x14ac:dyDescent="0.25">
      <c r="A236" s="4">
        <v>118</v>
      </c>
      <c r="B236" s="4">
        <v>1</v>
      </c>
      <c r="C236" s="4">
        <v>118</v>
      </c>
      <c r="D236" s="85">
        <v>45434</v>
      </c>
      <c r="E236" s="85">
        <v>45441</v>
      </c>
      <c r="F236" s="88" t="b">
        <f t="shared" si="3"/>
        <v>1</v>
      </c>
      <c r="G236" s="85">
        <v>45442</v>
      </c>
      <c r="H236" s="5">
        <v>22597.8</v>
      </c>
      <c r="I236" s="5">
        <v>22704.7</v>
      </c>
      <c r="J236" s="5">
        <v>106.9</v>
      </c>
      <c r="K236" s="6">
        <v>4.7305489914947476E-3</v>
      </c>
      <c r="L236" s="7" t="s">
        <v>34</v>
      </c>
      <c r="M236" s="91">
        <f>MROUND(H236,100)-100</f>
        <v>22500</v>
      </c>
      <c r="N236" s="91">
        <f>M236-O236</f>
        <v>0</v>
      </c>
      <c r="O236" s="4">
        <v>22500</v>
      </c>
      <c r="P236" s="7" t="s">
        <v>95</v>
      </c>
      <c r="Q236" s="4">
        <v>65</v>
      </c>
      <c r="R236" s="5">
        <v>258.85000000000002</v>
      </c>
      <c r="S236" s="5">
        <v>259.64999999999998</v>
      </c>
      <c r="T236" s="8">
        <v>-1.9019999999999999</v>
      </c>
      <c r="U236" s="8">
        <v>8.4099999999999994E-2</v>
      </c>
      <c r="V236" s="5">
        <v>-0.8</v>
      </c>
      <c r="W236" s="6">
        <v>-3.5401676269371363E-5</v>
      </c>
      <c r="X236" s="4">
        <v>0</v>
      </c>
      <c r="Y236" s="6">
        <v>0</v>
      </c>
      <c r="Z236" s="5">
        <v>52167.5</v>
      </c>
      <c r="AA236" s="5">
        <v>52125.75</v>
      </c>
      <c r="AB236" s="5">
        <v>-41.75</v>
      </c>
      <c r="AC236" s="5">
        <v>-0.08</v>
      </c>
      <c r="AD236" s="4">
        <v>7</v>
      </c>
      <c r="AE236" s="5">
        <v>-0.11666700000000001</v>
      </c>
      <c r="AF236" s="5">
        <v>-102.6121</v>
      </c>
      <c r="AG236" s="5">
        <v>-0.19670000000000001</v>
      </c>
      <c r="AH236" s="8">
        <v>-0.71260000000000001</v>
      </c>
      <c r="AI236" s="8">
        <v>1.5948</v>
      </c>
      <c r="AJ236" s="9">
        <v>-128.06209999999999</v>
      </c>
      <c r="AK236" s="9">
        <v>-0.30930000000000002</v>
      </c>
      <c r="AL236" s="5">
        <v>103.13849999999999</v>
      </c>
      <c r="AM236" s="5">
        <v>103.4585</v>
      </c>
      <c r="AN236" s="5">
        <v>-0.32</v>
      </c>
      <c r="AO236" s="5">
        <v>-0.30930000000000002</v>
      </c>
      <c r="AP236" s="8">
        <v>-0.7873</v>
      </c>
      <c r="AQ236" s="8">
        <v>-0.62670000000000003</v>
      </c>
      <c r="AR236" s="8">
        <v>-0.7873</v>
      </c>
      <c r="AS236" s="5">
        <v>102.6439</v>
      </c>
      <c r="AT236" s="5">
        <v>-0.7873</v>
      </c>
      <c r="AU236" s="7" t="s">
        <v>96</v>
      </c>
      <c r="AV236" s="7"/>
    </row>
    <row r="237" spans="1:48" ht="18" customHeight="1" x14ac:dyDescent="0.25">
      <c r="A237" s="10">
        <v>118</v>
      </c>
      <c r="B237" s="10">
        <v>2</v>
      </c>
      <c r="C237" s="10">
        <v>118</v>
      </c>
      <c r="D237" s="86">
        <v>45434</v>
      </c>
      <c r="E237" s="86">
        <v>45441</v>
      </c>
      <c r="F237" s="88" t="b">
        <f t="shared" si="3"/>
        <v>1</v>
      </c>
      <c r="G237" s="86">
        <v>45470</v>
      </c>
      <c r="H237" s="11">
        <v>22597.8</v>
      </c>
      <c r="I237" s="11">
        <v>22704.7</v>
      </c>
      <c r="J237" s="12"/>
      <c r="K237" s="12"/>
      <c r="L237" s="12" t="s">
        <v>44</v>
      </c>
      <c r="M237" s="90"/>
      <c r="N237" s="90"/>
      <c r="O237" s="10">
        <v>22000</v>
      </c>
      <c r="P237" s="12" t="s">
        <v>97</v>
      </c>
      <c r="Q237" s="10">
        <v>65</v>
      </c>
      <c r="R237" s="11">
        <v>288.39999999999998</v>
      </c>
      <c r="S237" s="11">
        <v>263.75</v>
      </c>
      <c r="T237" s="13">
        <v>-0.48010000000000003</v>
      </c>
      <c r="U237" s="13">
        <v>1.8E-3</v>
      </c>
      <c r="V237" s="10">
        <v>0</v>
      </c>
      <c r="W237" s="14">
        <v>0</v>
      </c>
      <c r="X237" s="11">
        <v>-24.65</v>
      </c>
      <c r="Y237" s="14">
        <v>-1.090814150050005E-3</v>
      </c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 t="s">
        <v>96</v>
      </c>
      <c r="AV237" s="12"/>
    </row>
    <row r="238" spans="1:48" ht="18" customHeight="1" x14ac:dyDescent="0.25">
      <c r="A238" s="4">
        <v>119</v>
      </c>
      <c r="B238" s="4">
        <v>1</v>
      </c>
      <c r="C238" s="4">
        <v>119</v>
      </c>
      <c r="D238" s="85">
        <v>45441</v>
      </c>
      <c r="E238" s="85">
        <v>45446</v>
      </c>
      <c r="F238" s="88" t="b">
        <f t="shared" si="3"/>
        <v>1</v>
      </c>
      <c r="G238" s="85">
        <v>45449</v>
      </c>
      <c r="H238" s="5">
        <v>22704.7</v>
      </c>
      <c r="I238" s="5">
        <v>23263.9</v>
      </c>
      <c r="J238" s="5">
        <v>559.20000000000005</v>
      </c>
      <c r="K238" s="6">
        <v>2.462926178280268E-2</v>
      </c>
      <c r="L238" s="7" t="s">
        <v>34</v>
      </c>
      <c r="M238" s="91">
        <f>MROUND(H238,100)-100</f>
        <v>22600</v>
      </c>
      <c r="N238" s="91">
        <f>M238-O238</f>
        <v>0</v>
      </c>
      <c r="O238" s="4">
        <v>22600</v>
      </c>
      <c r="P238" s="7" t="s">
        <v>95</v>
      </c>
      <c r="Q238" s="4">
        <v>65</v>
      </c>
      <c r="R238" s="5">
        <v>553.45000000000005</v>
      </c>
      <c r="S238" s="5">
        <v>781.4</v>
      </c>
      <c r="T238" s="8">
        <v>-1.7199</v>
      </c>
      <c r="U238" s="8">
        <v>0.89610000000000001</v>
      </c>
      <c r="V238" s="5">
        <v>-227.95</v>
      </c>
      <c r="W238" s="6">
        <v>-1.003977150105485E-2</v>
      </c>
      <c r="X238" s="4">
        <v>0</v>
      </c>
      <c r="Y238" s="6">
        <v>0</v>
      </c>
      <c r="Z238" s="5">
        <v>52125.75</v>
      </c>
      <c r="AA238" s="5">
        <v>53353.35</v>
      </c>
      <c r="AB238" s="5">
        <v>1227.5999999999999</v>
      </c>
      <c r="AC238" s="5">
        <v>2.3551000000000002</v>
      </c>
      <c r="AD238" s="4">
        <v>5</v>
      </c>
      <c r="AE238" s="5">
        <v>-8.3333000000000004E-2</v>
      </c>
      <c r="AF238" s="5">
        <v>1184.1619000000001</v>
      </c>
      <c r="AG238" s="5">
        <v>2.2717000000000001</v>
      </c>
      <c r="AH238" s="8">
        <v>-1.8349</v>
      </c>
      <c r="AI238" s="8">
        <v>2.9445000000000001</v>
      </c>
      <c r="AJ238" s="15">
        <v>732.36189999999999</v>
      </c>
      <c r="AK238" s="15">
        <v>0.28179999999999999</v>
      </c>
      <c r="AL238" s="5">
        <v>103.42910000000001</v>
      </c>
      <c r="AM238" s="5">
        <v>103.4585</v>
      </c>
      <c r="AN238" s="5">
        <v>-2.9399999999999999E-2</v>
      </c>
      <c r="AO238" s="5">
        <v>-2.8400000000000002E-2</v>
      </c>
      <c r="AP238" s="8">
        <v>0.2074</v>
      </c>
      <c r="AQ238" s="8">
        <v>-0.5464</v>
      </c>
      <c r="AR238" s="8">
        <v>-0.5464</v>
      </c>
      <c r="AS238" s="5">
        <v>102.5749</v>
      </c>
      <c r="AT238" s="5">
        <v>-0.85399999999999998</v>
      </c>
      <c r="AU238" s="7" t="s">
        <v>102</v>
      </c>
      <c r="AV238" s="7"/>
    </row>
    <row r="239" spans="1:48" ht="18" customHeight="1" x14ac:dyDescent="0.25">
      <c r="A239" s="10">
        <v>119</v>
      </c>
      <c r="B239" s="10">
        <v>2</v>
      </c>
      <c r="C239" s="10">
        <v>119</v>
      </c>
      <c r="D239" s="86">
        <v>45441</v>
      </c>
      <c r="E239" s="86">
        <v>45446</v>
      </c>
      <c r="F239" s="88" t="b">
        <f t="shared" si="3"/>
        <v>1</v>
      </c>
      <c r="G239" s="86">
        <v>45652</v>
      </c>
      <c r="H239" s="11">
        <v>22704.7</v>
      </c>
      <c r="I239" s="11">
        <v>23263.9</v>
      </c>
      <c r="J239" s="12"/>
      <c r="K239" s="12"/>
      <c r="L239" s="12" t="s">
        <v>44</v>
      </c>
      <c r="M239" s="90"/>
      <c r="N239" s="90"/>
      <c r="O239" s="10">
        <v>23000</v>
      </c>
      <c r="P239" s="12" t="s">
        <v>97</v>
      </c>
      <c r="Q239" s="10">
        <v>65</v>
      </c>
      <c r="R239" s="11">
        <v>740.9</v>
      </c>
      <c r="S239" s="11">
        <v>517.04999999999995</v>
      </c>
      <c r="T239" s="13">
        <v>-1.0172000000000001</v>
      </c>
      <c r="U239" s="13">
        <v>0.39240000000000003</v>
      </c>
      <c r="V239" s="10">
        <v>0</v>
      </c>
      <c r="W239" s="14">
        <v>0</v>
      </c>
      <c r="X239" s="11">
        <v>-223.85</v>
      </c>
      <c r="Y239" s="14">
        <v>-9.8591921496430247E-3</v>
      </c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 t="s">
        <v>102</v>
      </c>
      <c r="AV239" s="12"/>
    </row>
    <row r="240" spans="1:48" ht="18" customHeight="1" x14ac:dyDescent="0.25">
      <c r="A240" s="4">
        <v>120</v>
      </c>
      <c r="B240" s="4">
        <v>1</v>
      </c>
      <c r="C240" s="4">
        <v>120</v>
      </c>
      <c r="D240" s="85">
        <v>45446</v>
      </c>
      <c r="E240" s="85">
        <v>45448</v>
      </c>
      <c r="F240" s="88" t="b">
        <f t="shared" si="3"/>
        <v>1</v>
      </c>
      <c r="G240" s="85">
        <v>45449</v>
      </c>
      <c r="H240" s="5">
        <v>23263.9</v>
      </c>
      <c r="I240" s="5">
        <v>22620.35</v>
      </c>
      <c r="J240" s="5">
        <v>-643.54999999999995</v>
      </c>
      <c r="K240" s="6">
        <v>-2.766303156392522E-2</v>
      </c>
      <c r="L240" s="7" t="s">
        <v>34</v>
      </c>
      <c r="M240" s="91">
        <f>MROUND(H240,100)-100</f>
        <v>23200</v>
      </c>
      <c r="N240" s="91">
        <f>M240-O240</f>
        <v>0</v>
      </c>
      <c r="O240" s="4">
        <v>23200</v>
      </c>
      <c r="P240" s="7" t="s">
        <v>95</v>
      </c>
      <c r="Q240" s="4">
        <v>65</v>
      </c>
      <c r="R240" s="5">
        <v>374.35</v>
      </c>
      <c r="S240" s="5">
        <v>17.25</v>
      </c>
      <c r="T240" s="8">
        <v>0.4662</v>
      </c>
      <c r="U240" s="8">
        <v>1.5920000000000001</v>
      </c>
      <c r="V240" s="5">
        <v>357.1</v>
      </c>
      <c r="W240" s="6">
        <v>1.534996281792821E-2</v>
      </c>
      <c r="X240" s="4">
        <v>0</v>
      </c>
      <c r="Y240" s="6">
        <v>0</v>
      </c>
      <c r="Z240" s="5">
        <v>53353.35</v>
      </c>
      <c r="AA240" s="5">
        <v>51266.7</v>
      </c>
      <c r="AB240" s="5">
        <v>-2086.65</v>
      </c>
      <c r="AC240" s="5">
        <v>-3.911</v>
      </c>
      <c r="AD240" s="4">
        <v>2</v>
      </c>
      <c r="AE240" s="5">
        <v>-3.3333000000000002E-2</v>
      </c>
      <c r="AF240" s="5">
        <v>-2104.4344999999998</v>
      </c>
      <c r="AG240" s="5">
        <v>-3.9443000000000001</v>
      </c>
      <c r="AH240" s="8">
        <v>-11.460599999999999</v>
      </c>
      <c r="AI240" s="8">
        <v>8.9800000000000005E-2</v>
      </c>
      <c r="AJ240" s="9">
        <v>-1542.7845</v>
      </c>
      <c r="AK240" s="9">
        <v>-1.53</v>
      </c>
      <c r="AL240" s="5">
        <v>101.8466</v>
      </c>
      <c r="AM240" s="5">
        <v>103.4585</v>
      </c>
      <c r="AN240" s="5">
        <v>-1.6117999999999999</v>
      </c>
      <c r="AO240" s="5">
        <v>-1.5579000000000001</v>
      </c>
      <c r="AP240" s="8">
        <v>0.69850000000000001</v>
      </c>
      <c r="AQ240" s="8">
        <v>-5.8975999999999997</v>
      </c>
      <c r="AR240" s="8">
        <v>-5.8975999999999997</v>
      </c>
      <c r="AS240" s="5">
        <v>97.329300000000003</v>
      </c>
      <c r="AT240" s="5">
        <v>-5.9242999999999997</v>
      </c>
      <c r="AU240" s="7" t="s">
        <v>96</v>
      </c>
      <c r="AV240" s="7"/>
    </row>
    <row r="241" spans="1:48" ht="18" customHeight="1" x14ac:dyDescent="0.25">
      <c r="A241" s="10">
        <v>120</v>
      </c>
      <c r="B241" s="10">
        <v>2</v>
      </c>
      <c r="C241" s="10">
        <v>120</v>
      </c>
      <c r="D241" s="86">
        <v>45446</v>
      </c>
      <c r="E241" s="86">
        <v>45448</v>
      </c>
      <c r="F241" s="88" t="b">
        <f t="shared" si="3"/>
        <v>1</v>
      </c>
      <c r="G241" s="86">
        <v>45652</v>
      </c>
      <c r="H241" s="11">
        <v>23263.9</v>
      </c>
      <c r="I241" s="11">
        <v>22620.35</v>
      </c>
      <c r="J241" s="12"/>
      <c r="K241" s="12"/>
      <c r="L241" s="12" t="s">
        <v>44</v>
      </c>
      <c r="M241" s="90"/>
      <c r="N241" s="90"/>
      <c r="O241" s="10">
        <v>23000</v>
      </c>
      <c r="P241" s="12" t="s">
        <v>97</v>
      </c>
      <c r="Q241" s="10">
        <v>65</v>
      </c>
      <c r="R241" s="11">
        <v>517.04999999999995</v>
      </c>
      <c r="S241" s="11">
        <v>721.6</v>
      </c>
      <c r="T241" s="13">
        <v>0.14249999999999999</v>
      </c>
      <c r="U241" s="13">
        <v>3.9710000000000001</v>
      </c>
      <c r="V241" s="10">
        <v>0</v>
      </c>
      <c r="W241" s="14">
        <v>0</v>
      </c>
      <c r="X241" s="11">
        <v>204.55</v>
      </c>
      <c r="Y241" s="14">
        <v>8.7925928154780585E-3</v>
      </c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 t="s">
        <v>96</v>
      </c>
      <c r="AV241" s="12"/>
    </row>
    <row r="242" spans="1:48" ht="18" customHeight="1" x14ac:dyDescent="0.25">
      <c r="A242" s="4">
        <v>121</v>
      </c>
      <c r="B242" s="4">
        <v>1</v>
      </c>
      <c r="C242" s="4">
        <v>121</v>
      </c>
      <c r="D242" s="85">
        <v>45448</v>
      </c>
      <c r="E242" s="85">
        <v>45450</v>
      </c>
      <c r="F242" s="88" t="b">
        <f t="shared" si="3"/>
        <v>1</v>
      </c>
      <c r="G242" s="85">
        <v>45456</v>
      </c>
      <c r="H242" s="5">
        <v>22620.35</v>
      </c>
      <c r="I242" s="5">
        <v>23290.15</v>
      </c>
      <c r="J242" s="5">
        <v>669.8</v>
      </c>
      <c r="K242" s="6">
        <v>2.961050558457318E-2</v>
      </c>
      <c r="L242" s="7" t="s">
        <v>34</v>
      </c>
      <c r="M242" s="91">
        <f>MROUND(H242,100)-100</f>
        <v>22500</v>
      </c>
      <c r="N242" s="91">
        <f>M242-O242</f>
        <v>0</v>
      </c>
      <c r="O242" s="4">
        <v>22500</v>
      </c>
      <c r="P242" s="7" t="s">
        <v>95</v>
      </c>
      <c r="Q242" s="4">
        <v>65</v>
      </c>
      <c r="R242" s="5">
        <v>356.05</v>
      </c>
      <c r="S242" s="5">
        <v>831.3</v>
      </c>
      <c r="T242" s="8">
        <v>-2.1968999999999999</v>
      </c>
      <c r="U242" s="8">
        <v>9.2799999999999994E-2</v>
      </c>
      <c r="V242" s="5">
        <v>-475.25</v>
      </c>
      <c r="W242" s="6">
        <v>-2.1009842906939989E-2</v>
      </c>
      <c r="X242" s="4">
        <v>0</v>
      </c>
      <c r="Y242" s="6">
        <v>0</v>
      </c>
      <c r="Z242" s="5">
        <v>51266.7</v>
      </c>
      <c r="AA242" s="5">
        <v>53194.7</v>
      </c>
      <c r="AB242" s="4">
        <v>1928</v>
      </c>
      <c r="AC242" s="5">
        <v>3.7606999999999999</v>
      </c>
      <c r="AD242" s="4">
        <v>2</v>
      </c>
      <c r="AE242" s="5">
        <v>-3.3333000000000002E-2</v>
      </c>
      <c r="AF242" s="5">
        <v>1910.9111</v>
      </c>
      <c r="AG242" s="5">
        <v>3.7273999999999998</v>
      </c>
      <c r="AH242" s="8">
        <v>1.0598000000000001</v>
      </c>
      <c r="AI242" s="8">
        <v>3.8041</v>
      </c>
      <c r="AJ242" s="15">
        <v>1263.2111</v>
      </c>
      <c r="AK242" s="15">
        <v>0.86399999999999999</v>
      </c>
      <c r="AL242" s="5">
        <v>102.7266</v>
      </c>
      <c r="AM242" s="5">
        <v>103.4585</v>
      </c>
      <c r="AN242" s="5">
        <v>-0.7319</v>
      </c>
      <c r="AO242" s="5">
        <v>-0.70740000000000003</v>
      </c>
      <c r="AP242" s="8">
        <v>0.81320000000000003</v>
      </c>
      <c r="AQ242" s="8">
        <v>1.0570999999999999</v>
      </c>
      <c r="AR242" s="8">
        <v>0.81320000000000003</v>
      </c>
      <c r="AS242" s="5">
        <v>102.67489999999999</v>
      </c>
      <c r="AT242" s="5">
        <v>-0.75739999999999996</v>
      </c>
      <c r="AU242" s="7" t="s">
        <v>102</v>
      </c>
      <c r="AV242" s="7"/>
    </row>
    <row r="243" spans="1:48" ht="18" customHeight="1" x14ac:dyDescent="0.25">
      <c r="A243" s="10">
        <v>121</v>
      </c>
      <c r="B243" s="10">
        <v>2</v>
      </c>
      <c r="C243" s="10">
        <v>121</v>
      </c>
      <c r="D243" s="86">
        <v>45448</v>
      </c>
      <c r="E243" s="86">
        <v>45450</v>
      </c>
      <c r="F243" s="88" t="b">
        <f t="shared" si="3"/>
        <v>1</v>
      </c>
      <c r="G243" s="86">
        <v>45652</v>
      </c>
      <c r="H243" s="11">
        <v>22620.35</v>
      </c>
      <c r="I243" s="11">
        <v>23290.15</v>
      </c>
      <c r="J243" s="12"/>
      <c r="K243" s="12"/>
      <c r="L243" s="12" t="s">
        <v>44</v>
      </c>
      <c r="M243" s="90"/>
      <c r="N243" s="90"/>
      <c r="O243" s="10">
        <v>23000</v>
      </c>
      <c r="P243" s="12" t="s">
        <v>97</v>
      </c>
      <c r="Q243" s="10">
        <v>65</v>
      </c>
      <c r="R243" s="11">
        <v>721.6</v>
      </c>
      <c r="S243" s="11">
        <v>549.15</v>
      </c>
      <c r="T243" s="13">
        <v>-0.79400000000000004</v>
      </c>
      <c r="U243" s="13">
        <v>-9.5500000000000002E-2</v>
      </c>
      <c r="V243" s="10">
        <v>0</v>
      </c>
      <c r="W243" s="14">
        <v>0</v>
      </c>
      <c r="X243" s="11">
        <v>-172.45</v>
      </c>
      <c r="Y243" s="14">
        <v>-7.623666300477225E-3</v>
      </c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 t="s">
        <v>102</v>
      </c>
      <c r="AV243" s="12"/>
    </row>
    <row r="244" spans="1:48" ht="18" customHeight="1" x14ac:dyDescent="0.25">
      <c r="A244" s="4">
        <v>122</v>
      </c>
      <c r="B244" s="4">
        <v>1</v>
      </c>
      <c r="C244" s="4">
        <v>122</v>
      </c>
      <c r="D244" s="85">
        <v>45450</v>
      </c>
      <c r="E244" s="85">
        <v>45455</v>
      </c>
      <c r="F244" s="88" t="b">
        <f t="shared" si="3"/>
        <v>1</v>
      </c>
      <c r="G244" s="85">
        <v>45456</v>
      </c>
      <c r="H244" s="5">
        <v>23290.15</v>
      </c>
      <c r="I244" s="5">
        <v>23322.95</v>
      </c>
      <c r="J244" s="5">
        <v>32.799999999999997</v>
      </c>
      <c r="K244" s="6">
        <v>1.408320684924743E-3</v>
      </c>
      <c r="L244" s="7" t="s">
        <v>34</v>
      </c>
      <c r="M244" s="91">
        <f>MROUND(H244,100)-100</f>
        <v>23200</v>
      </c>
      <c r="N244" s="91">
        <f>M244-O244</f>
        <v>0</v>
      </c>
      <c r="O244" s="4">
        <v>23200</v>
      </c>
      <c r="P244" s="7" t="s">
        <v>95</v>
      </c>
      <c r="Q244" s="4">
        <v>65</v>
      </c>
      <c r="R244" s="5">
        <v>267.25</v>
      </c>
      <c r="S244" s="5">
        <v>162.75</v>
      </c>
      <c r="T244" s="8">
        <v>-0.2394</v>
      </c>
      <c r="U244" s="8">
        <v>0.52490000000000003</v>
      </c>
      <c r="V244" s="5">
        <v>104.5</v>
      </c>
      <c r="W244" s="6">
        <v>4.4868753528852327E-3</v>
      </c>
      <c r="X244" s="4">
        <v>0</v>
      </c>
      <c r="Y244" s="6">
        <v>0</v>
      </c>
      <c r="Z244" s="5">
        <v>53194.7</v>
      </c>
      <c r="AA244" s="5">
        <v>54226.1</v>
      </c>
      <c r="AB244" s="5">
        <v>1031.4000000000001</v>
      </c>
      <c r="AC244" s="5">
        <v>1.9389000000000001</v>
      </c>
      <c r="AD244" s="4">
        <v>5</v>
      </c>
      <c r="AE244" s="5">
        <v>-8.3333000000000004E-2</v>
      </c>
      <c r="AF244" s="5">
        <v>987.0711</v>
      </c>
      <c r="AG244" s="5">
        <v>1.8555999999999999</v>
      </c>
      <c r="AH244" s="8">
        <v>-0.433</v>
      </c>
      <c r="AI244" s="8">
        <v>2.0093999999999999</v>
      </c>
      <c r="AJ244" s="15">
        <v>1052.4711</v>
      </c>
      <c r="AK244" s="15">
        <v>2.1364000000000001</v>
      </c>
      <c r="AL244" s="5">
        <v>104.9212</v>
      </c>
      <c r="AM244" s="5">
        <v>104.9212</v>
      </c>
      <c r="AN244" s="4">
        <v>0</v>
      </c>
      <c r="AO244" s="4">
        <v>0</v>
      </c>
      <c r="AP244" s="8">
        <v>1.5547</v>
      </c>
      <c r="AQ244" s="8">
        <v>0.25869999999999999</v>
      </c>
      <c r="AR244" s="8">
        <v>0.25869999999999999</v>
      </c>
      <c r="AS244" s="5">
        <v>102.9923</v>
      </c>
      <c r="AT244" s="5">
        <v>-0.45050000000000001</v>
      </c>
      <c r="AU244" s="7" t="s">
        <v>96</v>
      </c>
      <c r="AV244" s="7"/>
    </row>
    <row r="245" spans="1:48" ht="18" customHeight="1" x14ac:dyDescent="0.25">
      <c r="A245" s="10">
        <v>122</v>
      </c>
      <c r="B245" s="10">
        <v>2</v>
      </c>
      <c r="C245" s="10">
        <v>122</v>
      </c>
      <c r="D245" s="86">
        <v>45450</v>
      </c>
      <c r="E245" s="86">
        <v>45455</v>
      </c>
      <c r="F245" s="88" t="b">
        <f t="shared" si="3"/>
        <v>1</v>
      </c>
      <c r="G245" s="86">
        <v>45652</v>
      </c>
      <c r="H245" s="11">
        <v>23290.15</v>
      </c>
      <c r="I245" s="11">
        <v>23322.95</v>
      </c>
      <c r="J245" s="12"/>
      <c r="K245" s="12"/>
      <c r="L245" s="12" t="s">
        <v>44</v>
      </c>
      <c r="M245" s="90"/>
      <c r="N245" s="90"/>
      <c r="O245" s="10">
        <v>23000</v>
      </c>
      <c r="P245" s="12" t="s">
        <v>97</v>
      </c>
      <c r="Q245" s="10">
        <v>65</v>
      </c>
      <c r="R245" s="11">
        <v>549.15</v>
      </c>
      <c r="S245" s="11">
        <v>510.05</v>
      </c>
      <c r="T245" s="13">
        <v>-0.21529999999999999</v>
      </c>
      <c r="U245" s="13">
        <v>0.1668</v>
      </c>
      <c r="V245" s="10">
        <v>0</v>
      </c>
      <c r="W245" s="14">
        <v>0</v>
      </c>
      <c r="X245" s="11">
        <v>-39.1</v>
      </c>
      <c r="Y245" s="14">
        <v>-1.678821304285288E-3</v>
      </c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 t="s">
        <v>96</v>
      </c>
      <c r="AV245" s="12"/>
    </row>
    <row r="246" spans="1:48" ht="18" customHeight="1" x14ac:dyDescent="0.25">
      <c r="A246" s="4">
        <v>123</v>
      </c>
      <c r="B246" s="4">
        <v>1</v>
      </c>
      <c r="C246" s="4">
        <v>123</v>
      </c>
      <c r="D246" s="85">
        <v>45455</v>
      </c>
      <c r="E246" s="85">
        <v>45462</v>
      </c>
      <c r="F246" s="88" t="b">
        <f t="shared" si="3"/>
        <v>1</v>
      </c>
      <c r="G246" s="85">
        <v>45463</v>
      </c>
      <c r="H246" s="5">
        <v>23322.95</v>
      </c>
      <c r="I246" s="4">
        <v>23516</v>
      </c>
      <c r="J246" s="5">
        <v>193.05</v>
      </c>
      <c r="K246" s="6">
        <v>8.2772548069605257E-3</v>
      </c>
      <c r="L246" s="7" t="s">
        <v>34</v>
      </c>
      <c r="M246" s="91">
        <f>MROUND(H246,100)-100</f>
        <v>23200</v>
      </c>
      <c r="N246" s="91">
        <f>M246-O246</f>
        <v>0</v>
      </c>
      <c r="O246" s="4">
        <v>23200</v>
      </c>
      <c r="P246" s="7" t="s">
        <v>95</v>
      </c>
      <c r="Q246" s="4">
        <v>65</v>
      </c>
      <c r="R246" s="5">
        <v>263.05</v>
      </c>
      <c r="S246" s="5">
        <v>312.14999999999998</v>
      </c>
      <c r="T246" s="8">
        <v>-0.9889</v>
      </c>
      <c r="U246" s="8">
        <v>0.19739999999999999</v>
      </c>
      <c r="V246" s="5">
        <v>-49.1</v>
      </c>
      <c r="W246" s="6">
        <v>-2.1052225383152651E-3</v>
      </c>
      <c r="X246" s="4">
        <v>0</v>
      </c>
      <c r="Y246" s="6">
        <v>0</v>
      </c>
      <c r="Z246" s="5">
        <v>54226.1</v>
      </c>
      <c r="AA246" s="5">
        <v>54951.7</v>
      </c>
      <c r="AB246" s="5">
        <v>725.6</v>
      </c>
      <c r="AC246" s="5">
        <v>1.3381000000000001</v>
      </c>
      <c r="AD246" s="4">
        <v>7</v>
      </c>
      <c r="AE246" s="5">
        <v>-0.11666700000000001</v>
      </c>
      <c r="AF246" s="5">
        <v>662.33619999999996</v>
      </c>
      <c r="AG246" s="5">
        <v>1.2214</v>
      </c>
      <c r="AH246" s="8">
        <v>0.22550000000000001</v>
      </c>
      <c r="AI246" s="8">
        <v>2.5608</v>
      </c>
      <c r="AJ246" s="15">
        <v>521.33619999999996</v>
      </c>
      <c r="AK246" s="15">
        <v>0.61680000000000001</v>
      </c>
      <c r="AL246" s="5">
        <v>105.5684</v>
      </c>
      <c r="AM246" s="5">
        <v>105.5684</v>
      </c>
      <c r="AN246" s="4">
        <v>0</v>
      </c>
      <c r="AO246" s="4">
        <v>0</v>
      </c>
      <c r="AP246" s="8">
        <v>1.0631999999999999</v>
      </c>
      <c r="AQ246" s="8">
        <v>0.3755</v>
      </c>
      <c r="AR246" s="8">
        <v>0.3755</v>
      </c>
      <c r="AS246" s="5">
        <v>105.3152</v>
      </c>
      <c r="AT246" s="5">
        <v>0.3755</v>
      </c>
      <c r="AU246" s="7" t="s">
        <v>96</v>
      </c>
      <c r="AV246" s="7"/>
    </row>
    <row r="247" spans="1:48" ht="18" customHeight="1" x14ac:dyDescent="0.25">
      <c r="A247" s="10">
        <v>123</v>
      </c>
      <c r="B247" s="10">
        <v>2</v>
      </c>
      <c r="C247" s="10">
        <v>123</v>
      </c>
      <c r="D247" s="86">
        <v>45455</v>
      </c>
      <c r="E247" s="86">
        <v>45462</v>
      </c>
      <c r="F247" s="88" t="b">
        <f t="shared" si="3"/>
        <v>1</v>
      </c>
      <c r="G247" s="86">
        <v>45652</v>
      </c>
      <c r="H247" s="11">
        <v>23322.95</v>
      </c>
      <c r="I247" s="10">
        <v>23516</v>
      </c>
      <c r="J247" s="12"/>
      <c r="K247" s="12"/>
      <c r="L247" s="12" t="s">
        <v>44</v>
      </c>
      <c r="M247" s="90"/>
      <c r="N247" s="90"/>
      <c r="O247" s="10">
        <v>23000</v>
      </c>
      <c r="P247" s="12" t="s">
        <v>97</v>
      </c>
      <c r="Q247" s="10">
        <v>65</v>
      </c>
      <c r="R247" s="11">
        <v>510.05</v>
      </c>
      <c r="S247" s="11">
        <v>418.15</v>
      </c>
      <c r="T247" s="13">
        <v>-0.50870000000000004</v>
      </c>
      <c r="U247" s="13">
        <v>-4.7399999999999998E-2</v>
      </c>
      <c r="V247" s="10">
        <v>0</v>
      </c>
      <c r="W247" s="14">
        <v>0</v>
      </c>
      <c r="X247" s="11">
        <v>-91.9</v>
      </c>
      <c r="Y247" s="14">
        <v>-3.9403248731399764E-3</v>
      </c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 t="s">
        <v>96</v>
      </c>
      <c r="AV247" s="12"/>
    </row>
    <row r="248" spans="1:48" ht="18" customHeight="1" x14ac:dyDescent="0.25">
      <c r="A248" s="4">
        <v>124</v>
      </c>
      <c r="B248" s="4">
        <v>1</v>
      </c>
      <c r="C248" s="4">
        <v>124</v>
      </c>
      <c r="D248" s="85">
        <v>45462</v>
      </c>
      <c r="E248" s="85">
        <v>45468</v>
      </c>
      <c r="F248" s="88" t="b">
        <f t="shared" si="3"/>
        <v>1</v>
      </c>
      <c r="G248" s="85">
        <v>45470</v>
      </c>
      <c r="H248" s="4">
        <v>23516</v>
      </c>
      <c r="I248" s="5">
        <v>23721.3</v>
      </c>
      <c r="J248" s="5">
        <v>205.3</v>
      </c>
      <c r="K248" s="6">
        <v>8.7302262289505016E-3</v>
      </c>
      <c r="L248" s="7" t="s">
        <v>34</v>
      </c>
      <c r="M248" s="91">
        <f>MROUND(H248,100)-100</f>
        <v>23400</v>
      </c>
      <c r="N248" s="91">
        <f>M248-O248</f>
        <v>0</v>
      </c>
      <c r="O248" s="4">
        <v>23400</v>
      </c>
      <c r="P248" s="7" t="s">
        <v>95</v>
      </c>
      <c r="Q248" s="4">
        <v>65</v>
      </c>
      <c r="R248" s="5">
        <v>225.5</v>
      </c>
      <c r="S248" s="5">
        <v>356.05</v>
      </c>
      <c r="T248" s="8">
        <v>-0.61019999999999996</v>
      </c>
      <c r="U248" s="8">
        <v>0.55030000000000001</v>
      </c>
      <c r="V248" s="5">
        <v>-130.55000000000001</v>
      </c>
      <c r="W248" s="6">
        <v>-5.551539377445144E-3</v>
      </c>
      <c r="X248" s="4">
        <v>0</v>
      </c>
      <c r="Y248" s="6">
        <v>0</v>
      </c>
      <c r="Z248" s="5">
        <v>54951.7</v>
      </c>
      <c r="AA248" s="5">
        <v>55368.55</v>
      </c>
      <c r="AB248" s="5">
        <v>416.85</v>
      </c>
      <c r="AC248" s="5">
        <v>0.75860000000000005</v>
      </c>
      <c r="AD248" s="4">
        <v>6</v>
      </c>
      <c r="AE248" s="5">
        <v>-0.1</v>
      </c>
      <c r="AF248" s="5">
        <v>361.89830000000001</v>
      </c>
      <c r="AG248" s="5">
        <v>0.65859999999999996</v>
      </c>
      <c r="AH248" s="8">
        <v>-0.25409999999999999</v>
      </c>
      <c r="AI248" s="8">
        <v>1.6657999999999999</v>
      </c>
      <c r="AJ248" s="15">
        <v>188.44829999999999</v>
      </c>
      <c r="AK248" s="15">
        <v>-7.9000000000000001E-2</v>
      </c>
      <c r="AL248" s="5">
        <v>105.485</v>
      </c>
      <c r="AM248" s="5">
        <v>105.5684</v>
      </c>
      <c r="AN248" s="5">
        <v>-8.3400000000000002E-2</v>
      </c>
      <c r="AO248" s="5">
        <v>-7.9000000000000001E-2</v>
      </c>
      <c r="AP248" s="8">
        <v>0.8508</v>
      </c>
      <c r="AQ248" s="8">
        <v>0.34660000000000002</v>
      </c>
      <c r="AR248" s="8">
        <v>-7.9000000000000001E-2</v>
      </c>
      <c r="AS248" s="5">
        <v>105.485</v>
      </c>
      <c r="AT248" s="5">
        <v>-7.9000000000000001E-2</v>
      </c>
      <c r="AU248" s="7" t="s">
        <v>103</v>
      </c>
      <c r="AV248" s="7"/>
    </row>
    <row r="249" spans="1:48" ht="18" customHeight="1" x14ac:dyDescent="0.25">
      <c r="A249" s="10">
        <v>124</v>
      </c>
      <c r="B249" s="10">
        <v>2</v>
      </c>
      <c r="C249" s="10">
        <v>124</v>
      </c>
      <c r="D249" s="86">
        <v>45462</v>
      </c>
      <c r="E249" s="86">
        <v>45468</v>
      </c>
      <c r="F249" s="88" t="b">
        <f t="shared" si="3"/>
        <v>1</v>
      </c>
      <c r="G249" s="86">
        <v>45652</v>
      </c>
      <c r="H249" s="10">
        <v>23516</v>
      </c>
      <c r="I249" s="11">
        <v>23721.3</v>
      </c>
      <c r="J249" s="12"/>
      <c r="K249" s="12"/>
      <c r="L249" s="12" t="s">
        <v>44</v>
      </c>
      <c r="M249" s="90"/>
      <c r="N249" s="90"/>
      <c r="O249" s="10">
        <v>23000</v>
      </c>
      <c r="P249" s="12" t="s">
        <v>97</v>
      </c>
      <c r="Q249" s="10">
        <v>65</v>
      </c>
      <c r="R249" s="11">
        <v>418.15</v>
      </c>
      <c r="S249" s="11">
        <v>375.25</v>
      </c>
      <c r="T249" s="13">
        <v>-0.20480000000000001</v>
      </c>
      <c r="U249" s="13">
        <v>5.04E-2</v>
      </c>
      <c r="V249" s="10">
        <v>0</v>
      </c>
      <c r="W249" s="14">
        <v>0</v>
      </c>
      <c r="X249" s="11">
        <v>-42.9</v>
      </c>
      <c r="Y249" s="14">
        <v>-1.824289845211771E-3</v>
      </c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 t="s">
        <v>103</v>
      </c>
      <c r="AV249" s="12"/>
    </row>
    <row r="250" spans="1:48" ht="18" customHeight="1" x14ac:dyDescent="0.25">
      <c r="A250" s="4">
        <v>125</v>
      </c>
      <c r="B250" s="4">
        <v>1</v>
      </c>
      <c r="C250" s="4">
        <v>125</v>
      </c>
      <c r="D250" s="85">
        <v>45468</v>
      </c>
      <c r="E250" s="85">
        <v>45469</v>
      </c>
      <c r="F250" s="88" t="b">
        <f t="shared" si="3"/>
        <v>1</v>
      </c>
      <c r="G250" s="85">
        <v>45470</v>
      </c>
      <c r="H250" s="5">
        <v>23721.3</v>
      </c>
      <c r="I250" s="5">
        <v>23868.799999999999</v>
      </c>
      <c r="J250" s="5">
        <v>147.5</v>
      </c>
      <c r="K250" s="6">
        <v>6.2180403266262809E-3</v>
      </c>
      <c r="L250" s="7" t="s">
        <v>34</v>
      </c>
      <c r="M250" s="91">
        <f>MROUND(H250,100)-100</f>
        <v>23600</v>
      </c>
      <c r="N250" s="91">
        <f>M250-O250</f>
        <v>200</v>
      </c>
      <c r="O250" s="4">
        <v>23400</v>
      </c>
      <c r="P250" s="7" t="s">
        <v>95</v>
      </c>
      <c r="Q250" s="4">
        <v>65</v>
      </c>
      <c r="R250" s="5">
        <v>356.05</v>
      </c>
      <c r="S250" s="5">
        <v>473.85</v>
      </c>
      <c r="T250" s="8">
        <v>-0.65259999999999996</v>
      </c>
      <c r="U250" s="8">
        <v>0.25440000000000002</v>
      </c>
      <c r="V250" s="5">
        <v>-117.8</v>
      </c>
      <c r="W250" s="6">
        <v>-4.9660010201801764E-3</v>
      </c>
      <c r="X250" s="4">
        <v>0</v>
      </c>
      <c r="Y250" s="6">
        <v>0</v>
      </c>
      <c r="Z250" s="5">
        <v>55368.55</v>
      </c>
      <c r="AA250" s="5">
        <v>55245.8</v>
      </c>
      <c r="AB250" s="5">
        <v>-122.75</v>
      </c>
      <c r="AC250" s="5">
        <v>-0.22170000000000001</v>
      </c>
      <c r="AD250" s="4">
        <v>1</v>
      </c>
      <c r="AE250" s="5">
        <v>-1.6667000000000001E-2</v>
      </c>
      <c r="AF250" s="5">
        <v>-131.97810000000001</v>
      </c>
      <c r="AG250" s="5">
        <v>-0.2384</v>
      </c>
      <c r="AH250" s="8">
        <v>-0.37840000000000001</v>
      </c>
      <c r="AI250" s="8">
        <v>0.25929999999999997</v>
      </c>
      <c r="AJ250" s="9">
        <v>-310.97809999999998</v>
      </c>
      <c r="AK250" s="9">
        <v>-0.99299999999999999</v>
      </c>
      <c r="AL250" s="5">
        <v>104.4375</v>
      </c>
      <c r="AM250" s="5">
        <v>105.5684</v>
      </c>
      <c r="AN250" s="5">
        <v>-1.1309</v>
      </c>
      <c r="AO250" s="5">
        <v>-1.0711999999999999</v>
      </c>
      <c r="AP250" s="8">
        <v>-0.6694</v>
      </c>
      <c r="AQ250" s="8">
        <v>-6.54E-2</v>
      </c>
      <c r="AR250" s="8">
        <v>-0.99299999999999999</v>
      </c>
      <c r="AS250" s="5">
        <v>104.4375</v>
      </c>
      <c r="AT250" s="5">
        <v>-1.0711999999999999</v>
      </c>
      <c r="AU250" s="7" t="s">
        <v>96</v>
      </c>
      <c r="AV250" s="7"/>
    </row>
    <row r="251" spans="1:48" ht="18" customHeight="1" x14ac:dyDescent="0.25">
      <c r="A251" s="10">
        <v>125</v>
      </c>
      <c r="B251" s="10">
        <v>2</v>
      </c>
      <c r="C251" s="10">
        <v>125</v>
      </c>
      <c r="D251" s="86">
        <v>45468</v>
      </c>
      <c r="E251" s="86">
        <v>45469</v>
      </c>
      <c r="F251" s="88" t="b">
        <f t="shared" si="3"/>
        <v>1</v>
      </c>
      <c r="G251" s="86">
        <v>45652</v>
      </c>
      <c r="H251" s="11">
        <v>23721.3</v>
      </c>
      <c r="I251" s="11">
        <v>23868.799999999999</v>
      </c>
      <c r="J251" s="12"/>
      <c r="K251" s="12"/>
      <c r="L251" s="12" t="s">
        <v>44</v>
      </c>
      <c r="M251" s="90"/>
      <c r="N251" s="90"/>
      <c r="O251" s="10">
        <v>24000</v>
      </c>
      <c r="P251" s="12" t="s">
        <v>97</v>
      </c>
      <c r="Q251" s="10">
        <v>65</v>
      </c>
      <c r="R251" s="11">
        <v>660.5</v>
      </c>
      <c r="S251" s="11">
        <v>599.29999999999995</v>
      </c>
      <c r="T251" s="13">
        <v>-0.27610000000000001</v>
      </c>
      <c r="U251" s="13">
        <v>5.8599999999999999E-2</v>
      </c>
      <c r="V251" s="10">
        <v>0</v>
      </c>
      <c r="W251" s="14">
        <v>0</v>
      </c>
      <c r="X251" s="11">
        <v>-61.2</v>
      </c>
      <c r="Y251" s="14">
        <v>-2.5799597829798539E-3</v>
      </c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 t="s">
        <v>96</v>
      </c>
      <c r="AV251" s="12"/>
    </row>
    <row r="252" spans="1:48" ht="18" customHeight="1" x14ac:dyDescent="0.25">
      <c r="A252" s="4">
        <v>126</v>
      </c>
      <c r="B252" s="4">
        <v>1</v>
      </c>
      <c r="C252" s="4">
        <v>126</v>
      </c>
      <c r="D252" s="85">
        <v>45469</v>
      </c>
      <c r="E252" s="85">
        <v>45476</v>
      </c>
      <c r="F252" s="88" t="b">
        <f t="shared" si="3"/>
        <v>1</v>
      </c>
      <c r="G252" s="85">
        <v>45477</v>
      </c>
      <c r="H252" s="5">
        <v>23868.799999999999</v>
      </c>
      <c r="I252" s="5">
        <v>24286.5</v>
      </c>
      <c r="J252" s="5">
        <v>417.7</v>
      </c>
      <c r="K252" s="6">
        <v>1.74998324172141E-2</v>
      </c>
      <c r="L252" s="7" t="s">
        <v>34</v>
      </c>
      <c r="M252" s="91">
        <f>MROUND(H252,100)-100</f>
        <v>23800</v>
      </c>
      <c r="N252" s="91">
        <f>M252-O252</f>
        <v>0</v>
      </c>
      <c r="O252" s="4">
        <v>23800</v>
      </c>
      <c r="P252" s="7" t="s">
        <v>95</v>
      </c>
      <c r="Q252" s="4">
        <v>65</v>
      </c>
      <c r="R252" s="5">
        <v>239.2</v>
      </c>
      <c r="S252" s="5">
        <v>485.05</v>
      </c>
      <c r="T252" s="8">
        <v>-1.2243999999999999</v>
      </c>
      <c r="U252" s="8">
        <v>0.1804</v>
      </c>
      <c r="V252" s="5">
        <v>-245.85</v>
      </c>
      <c r="W252" s="6">
        <v>-1.0300056978147201E-2</v>
      </c>
      <c r="X252" s="4">
        <v>0</v>
      </c>
      <c r="Y252" s="6">
        <v>0</v>
      </c>
      <c r="Z252" s="5">
        <v>55245.8</v>
      </c>
      <c r="AA252" s="5">
        <v>56293.3</v>
      </c>
      <c r="AB252" s="5">
        <v>1047.5</v>
      </c>
      <c r="AC252" s="5">
        <v>1.8960999999999999</v>
      </c>
      <c r="AD252" s="4">
        <v>7</v>
      </c>
      <c r="AE252" s="5">
        <v>-0.11666700000000001</v>
      </c>
      <c r="AF252" s="5">
        <v>983.04660000000001</v>
      </c>
      <c r="AG252" s="5">
        <v>1.7794000000000001</v>
      </c>
      <c r="AH252" s="8">
        <v>-0.50529999999999997</v>
      </c>
      <c r="AI252" s="8">
        <v>2.1762000000000001</v>
      </c>
      <c r="AJ252" s="15">
        <v>673.39660000000003</v>
      </c>
      <c r="AK252" s="15">
        <v>0.48209999999999997</v>
      </c>
      <c r="AL252" s="5">
        <v>104.941</v>
      </c>
      <c r="AM252" s="5">
        <v>105.5684</v>
      </c>
      <c r="AN252" s="5">
        <v>-0.62739999999999996</v>
      </c>
      <c r="AO252" s="5">
        <v>-0.59430000000000005</v>
      </c>
      <c r="AP252" s="8">
        <v>0.66669999999999996</v>
      </c>
      <c r="AQ252" s="8">
        <v>-0.2535</v>
      </c>
      <c r="AR252" s="8">
        <v>-0.2535</v>
      </c>
      <c r="AS252" s="5">
        <v>104.1728</v>
      </c>
      <c r="AT252" s="5">
        <v>-1.3220000000000001</v>
      </c>
      <c r="AU252" s="7" t="s">
        <v>96</v>
      </c>
      <c r="AV252" s="7"/>
    </row>
    <row r="253" spans="1:48" ht="18" customHeight="1" x14ac:dyDescent="0.25">
      <c r="A253" s="10">
        <v>126</v>
      </c>
      <c r="B253" s="10">
        <v>2</v>
      </c>
      <c r="C253" s="10">
        <v>126</v>
      </c>
      <c r="D253" s="86">
        <v>45469</v>
      </c>
      <c r="E253" s="86">
        <v>45476</v>
      </c>
      <c r="F253" s="88" t="b">
        <f t="shared" si="3"/>
        <v>1</v>
      </c>
      <c r="G253" s="86">
        <v>45652</v>
      </c>
      <c r="H253" s="11">
        <v>23868.799999999999</v>
      </c>
      <c r="I253" s="11">
        <v>24286.5</v>
      </c>
      <c r="J253" s="12"/>
      <c r="K253" s="12"/>
      <c r="L253" s="12" t="s">
        <v>44</v>
      </c>
      <c r="M253" s="90"/>
      <c r="N253" s="90"/>
      <c r="O253" s="10">
        <v>23000</v>
      </c>
      <c r="P253" s="12" t="s">
        <v>97</v>
      </c>
      <c r="Q253" s="10">
        <v>65</v>
      </c>
      <c r="R253" s="11">
        <v>342.95</v>
      </c>
      <c r="S253" s="11">
        <v>279.14999999999998</v>
      </c>
      <c r="T253" s="13">
        <v>-0.28510000000000002</v>
      </c>
      <c r="U253" s="13">
        <v>7.1400000000000005E-2</v>
      </c>
      <c r="V253" s="10">
        <v>0</v>
      </c>
      <c r="W253" s="14">
        <v>0</v>
      </c>
      <c r="X253" s="11">
        <v>-63.8</v>
      </c>
      <c r="Y253" s="14">
        <v>-2.6729454350449119E-3</v>
      </c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 t="s">
        <v>96</v>
      </c>
      <c r="AV253" s="12"/>
    </row>
    <row r="254" spans="1:48" ht="18" customHeight="1" x14ac:dyDescent="0.25">
      <c r="A254" s="4">
        <v>127</v>
      </c>
      <c r="B254" s="4">
        <v>1</v>
      </c>
      <c r="C254" s="4">
        <v>127</v>
      </c>
      <c r="D254" s="85">
        <v>45476</v>
      </c>
      <c r="E254" s="85">
        <v>45483</v>
      </c>
      <c r="F254" s="88" t="b">
        <f t="shared" si="3"/>
        <v>1</v>
      </c>
      <c r="G254" s="85">
        <v>45484</v>
      </c>
      <c r="H254" s="5">
        <v>24286.5</v>
      </c>
      <c r="I254" s="5">
        <v>24324.45</v>
      </c>
      <c r="J254" s="5">
        <v>37.950000000000003</v>
      </c>
      <c r="K254" s="6">
        <v>1.562596504230746E-3</v>
      </c>
      <c r="L254" s="7" t="s">
        <v>34</v>
      </c>
      <c r="M254" s="91">
        <f>MROUND(H254,100)-100</f>
        <v>24200</v>
      </c>
      <c r="N254" s="91">
        <f>M254-O254</f>
        <v>0</v>
      </c>
      <c r="O254" s="4">
        <v>24200</v>
      </c>
      <c r="P254" s="7" t="s">
        <v>95</v>
      </c>
      <c r="Q254" s="4">
        <v>65</v>
      </c>
      <c r="R254" s="5">
        <v>233.1</v>
      </c>
      <c r="S254" s="5">
        <v>145.1</v>
      </c>
      <c r="T254" s="8">
        <v>-0.26079999999999998</v>
      </c>
      <c r="U254" s="8">
        <v>0.64990000000000003</v>
      </c>
      <c r="V254" s="4">
        <v>88</v>
      </c>
      <c r="W254" s="6">
        <v>3.6234121837234682E-3</v>
      </c>
      <c r="X254" s="4">
        <v>0</v>
      </c>
      <c r="Y254" s="6">
        <v>0</v>
      </c>
      <c r="Z254" s="5">
        <v>56293.3</v>
      </c>
      <c r="AA254" s="5">
        <v>56921.15</v>
      </c>
      <c r="AB254" s="5">
        <v>627.85</v>
      </c>
      <c r="AC254" s="5">
        <v>1.1153</v>
      </c>
      <c r="AD254" s="4">
        <v>7</v>
      </c>
      <c r="AE254" s="5">
        <v>-0.11666700000000001</v>
      </c>
      <c r="AF254" s="5">
        <v>562.17449999999997</v>
      </c>
      <c r="AG254" s="5">
        <v>0.99870000000000003</v>
      </c>
      <c r="AH254" s="8">
        <v>-1.1198999999999999</v>
      </c>
      <c r="AI254" s="8">
        <v>1.7998000000000001</v>
      </c>
      <c r="AJ254" s="15">
        <v>640.12450000000001</v>
      </c>
      <c r="AK254" s="15">
        <v>1.3197000000000001</v>
      </c>
      <c r="AL254" s="5">
        <v>106.3259</v>
      </c>
      <c r="AM254" s="5">
        <v>106.3259</v>
      </c>
      <c r="AN254" s="4">
        <v>0</v>
      </c>
      <c r="AO254" s="4">
        <v>0</v>
      </c>
      <c r="AP254" s="8">
        <v>1.3167</v>
      </c>
      <c r="AQ254" s="8">
        <v>-0.37780000000000002</v>
      </c>
      <c r="AR254" s="8">
        <v>-0.37780000000000002</v>
      </c>
      <c r="AS254" s="5">
        <v>104.5446</v>
      </c>
      <c r="AT254" s="5">
        <v>-0.9698</v>
      </c>
      <c r="AU254" s="7" t="s">
        <v>96</v>
      </c>
      <c r="AV254" s="7"/>
    </row>
    <row r="255" spans="1:48" ht="18" customHeight="1" x14ac:dyDescent="0.25">
      <c r="A255" s="10">
        <v>127</v>
      </c>
      <c r="B255" s="10">
        <v>2</v>
      </c>
      <c r="C255" s="10">
        <v>127</v>
      </c>
      <c r="D255" s="86">
        <v>45476</v>
      </c>
      <c r="E255" s="86">
        <v>45483</v>
      </c>
      <c r="F255" s="88" t="b">
        <f t="shared" si="3"/>
        <v>1</v>
      </c>
      <c r="G255" s="86">
        <v>45652</v>
      </c>
      <c r="H255" s="11">
        <v>24286.5</v>
      </c>
      <c r="I255" s="11">
        <v>24324.45</v>
      </c>
      <c r="J255" s="12"/>
      <c r="K255" s="12"/>
      <c r="L255" s="12" t="s">
        <v>44</v>
      </c>
      <c r="M255" s="90"/>
      <c r="N255" s="90"/>
      <c r="O255" s="10">
        <v>24000</v>
      </c>
      <c r="P255" s="12" t="s">
        <v>97</v>
      </c>
      <c r="Q255" s="10">
        <v>65</v>
      </c>
      <c r="R255" s="11">
        <v>495.6</v>
      </c>
      <c r="S255" s="11">
        <v>485.55</v>
      </c>
      <c r="T255" s="13">
        <v>-0.2223</v>
      </c>
      <c r="U255" s="13">
        <v>9.2200000000000004E-2</v>
      </c>
      <c r="V255" s="10">
        <v>0</v>
      </c>
      <c r="W255" s="14">
        <v>0</v>
      </c>
      <c r="X255" s="11">
        <v>-10.050000000000001</v>
      </c>
      <c r="Y255" s="14">
        <v>-4.1381014143660057E-4</v>
      </c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 t="s">
        <v>96</v>
      </c>
      <c r="AV255" s="12"/>
    </row>
    <row r="256" spans="1:48" ht="18" customHeight="1" x14ac:dyDescent="0.25">
      <c r="A256" s="4">
        <v>128</v>
      </c>
      <c r="B256" s="4">
        <v>1</v>
      </c>
      <c r="C256" s="4">
        <v>128</v>
      </c>
      <c r="D256" s="85">
        <v>45483</v>
      </c>
      <c r="E256" s="85">
        <v>45489</v>
      </c>
      <c r="F256" s="88" t="b">
        <f t="shared" si="3"/>
        <v>1</v>
      </c>
      <c r="G256" s="85">
        <v>45491</v>
      </c>
      <c r="H256" s="5">
        <v>24324.45</v>
      </c>
      <c r="I256" s="4">
        <v>24613</v>
      </c>
      <c r="J256" s="5">
        <v>288.55</v>
      </c>
      <c r="K256" s="6">
        <v>1.1862549821270369E-2</v>
      </c>
      <c r="L256" s="7" t="s">
        <v>34</v>
      </c>
      <c r="M256" s="91">
        <f>MROUND(H256,100)-100</f>
        <v>24200</v>
      </c>
      <c r="N256" s="91">
        <f>M256-O256</f>
        <v>0</v>
      </c>
      <c r="O256" s="4">
        <v>24200</v>
      </c>
      <c r="P256" s="7" t="s">
        <v>95</v>
      </c>
      <c r="Q256" s="4">
        <v>65</v>
      </c>
      <c r="R256" s="5">
        <v>235.35</v>
      </c>
      <c r="S256" s="5">
        <v>438.15</v>
      </c>
      <c r="T256" s="8">
        <v>-1.0422</v>
      </c>
      <c r="U256" s="8">
        <v>0.34039999999999998</v>
      </c>
      <c r="V256" s="5">
        <v>-202.8</v>
      </c>
      <c r="W256" s="6">
        <v>-8.3372902573336707E-3</v>
      </c>
      <c r="X256" s="4">
        <v>0</v>
      </c>
      <c r="Y256" s="6">
        <v>0</v>
      </c>
      <c r="Z256" s="5">
        <v>56921.15</v>
      </c>
      <c r="AA256" s="4">
        <v>57664</v>
      </c>
      <c r="AB256" s="5">
        <v>742.85</v>
      </c>
      <c r="AC256" s="5">
        <v>1.3050999999999999</v>
      </c>
      <c r="AD256" s="4">
        <v>6</v>
      </c>
      <c r="AE256" s="5">
        <v>-0.1</v>
      </c>
      <c r="AF256" s="5">
        <v>685.92880000000002</v>
      </c>
      <c r="AG256" s="5">
        <v>1.2051000000000001</v>
      </c>
      <c r="AH256" s="8">
        <v>-4.6100000000000002E-2</v>
      </c>
      <c r="AI256" s="8">
        <v>1.6353</v>
      </c>
      <c r="AJ256" s="15">
        <v>419.5788</v>
      </c>
      <c r="AK256" s="15">
        <v>0.1101</v>
      </c>
      <c r="AL256" s="5">
        <v>106.443</v>
      </c>
      <c r="AM256" s="5">
        <v>106.443</v>
      </c>
      <c r="AN256" s="4">
        <v>0</v>
      </c>
      <c r="AO256" s="4">
        <v>0</v>
      </c>
      <c r="AP256" s="8">
        <v>0.30549999999999999</v>
      </c>
      <c r="AQ256" s="8">
        <v>0.37430000000000002</v>
      </c>
      <c r="AR256" s="8">
        <v>0.1101</v>
      </c>
      <c r="AS256" s="5">
        <v>106.443</v>
      </c>
      <c r="AT256" s="5">
        <v>0.1101</v>
      </c>
      <c r="AU256" s="7" t="s">
        <v>96</v>
      </c>
      <c r="AV256" s="7"/>
    </row>
    <row r="257" spans="1:48" ht="18" customHeight="1" x14ac:dyDescent="0.25">
      <c r="A257" s="10">
        <v>128</v>
      </c>
      <c r="B257" s="10">
        <v>2</v>
      </c>
      <c r="C257" s="10">
        <v>128</v>
      </c>
      <c r="D257" s="86">
        <v>45483</v>
      </c>
      <c r="E257" s="86">
        <v>45489</v>
      </c>
      <c r="F257" s="88" t="b">
        <f t="shared" si="3"/>
        <v>1</v>
      </c>
      <c r="G257" s="86">
        <v>45652</v>
      </c>
      <c r="H257" s="11">
        <v>24324.45</v>
      </c>
      <c r="I257" s="10">
        <v>24613</v>
      </c>
      <c r="J257" s="12"/>
      <c r="K257" s="12"/>
      <c r="L257" s="12" t="s">
        <v>44</v>
      </c>
      <c r="M257" s="90"/>
      <c r="N257" s="90"/>
      <c r="O257" s="10">
        <v>24000</v>
      </c>
      <c r="P257" s="12" t="s">
        <v>97</v>
      </c>
      <c r="Q257" s="10">
        <v>65</v>
      </c>
      <c r="R257" s="11">
        <v>485.55</v>
      </c>
      <c r="S257" s="10">
        <v>422</v>
      </c>
      <c r="T257" s="13">
        <v>-0.28760000000000002</v>
      </c>
      <c r="U257" s="13">
        <v>0.08</v>
      </c>
      <c r="V257" s="10">
        <v>0</v>
      </c>
      <c r="W257" s="14">
        <v>0</v>
      </c>
      <c r="X257" s="11">
        <v>-63.55</v>
      </c>
      <c r="Y257" s="14">
        <v>-2.6125976126901121E-3</v>
      </c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 t="s">
        <v>96</v>
      </c>
      <c r="AV257" s="12"/>
    </row>
    <row r="258" spans="1:48" ht="18" customHeight="1" x14ac:dyDescent="0.25">
      <c r="A258" s="4">
        <v>129</v>
      </c>
      <c r="B258" s="4">
        <v>1</v>
      </c>
      <c r="C258" s="4">
        <v>129</v>
      </c>
      <c r="D258" s="85">
        <v>45489</v>
      </c>
      <c r="E258" s="85">
        <v>45491</v>
      </c>
      <c r="F258" s="88" t="b">
        <f t="shared" si="3"/>
        <v>1</v>
      </c>
      <c r="G258" s="85">
        <v>45498</v>
      </c>
      <c r="H258" s="4">
        <v>24613</v>
      </c>
      <c r="I258" s="5">
        <v>24800.85</v>
      </c>
      <c r="J258" s="5">
        <v>187.85</v>
      </c>
      <c r="K258" s="6">
        <v>7.6321456141063664E-3</v>
      </c>
      <c r="L258" s="7" t="s">
        <v>34</v>
      </c>
      <c r="M258" s="91">
        <f>MROUND(H258,100)-100</f>
        <v>24500</v>
      </c>
      <c r="N258" s="91">
        <f>M258-O258</f>
        <v>0</v>
      </c>
      <c r="O258" s="4">
        <v>24500</v>
      </c>
      <c r="P258" s="7" t="s">
        <v>95</v>
      </c>
      <c r="Q258" s="4">
        <v>65</v>
      </c>
      <c r="R258" s="4">
        <v>312</v>
      </c>
      <c r="S258" s="5">
        <v>420.45</v>
      </c>
      <c r="T258" s="8">
        <v>-0.54849999999999999</v>
      </c>
      <c r="U258" s="8">
        <v>0.2722</v>
      </c>
      <c r="V258" s="5">
        <v>-108.45</v>
      </c>
      <c r="W258" s="6">
        <v>-4.4062081014098241E-3</v>
      </c>
      <c r="X258" s="4">
        <v>0</v>
      </c>
      <c r="Y258" s="6">
        <v>0</v>
      </c>
      <c r="Z258" s="4">
        <v>57664</v>
      </c>
      <c r="AA258" s="5">
        <v>57111.1</v>
      </c>
      <c r="AB258" s="5">
        <v>-552.9</v>
      </c>
      <c r="AC258" s="5">
        <v>-0.95879999999999999</v>
      </c>
      <c r="AD258" s="4">
        <v>2</v>
      </c>
      <c r="AE258" s="5">
        <v>-3.3333000000000002E-2</v>
      </c>
      <c r="AF258" s="5">
        <v>-572.12130000000002</v>
      </c>
      <c r="AG258" s="5">
        <v>-0.99219999999999997</v>
      </c>
      <c r="AH258" s="8">
        <v>-1.7150000000000001</v>
      </c>
      <c r="AI258" s="8">
        <v>-9.2700000000000005E-2</v>
      </c>
      <c r="AJ258" s="9">
        <v>-698.07129999999995</v>
      </c>
      <c r="AK258" s="9">
        <v>-1.5039</v>
      </c>
      <c r="AL258" s="5">
        <v>104.84220000000001</v>
      </c>
      <c r="AM258" s="5">
        <v>106.443</v>
      </c>
      <c r="AN258" s="5">
        <v>-1.6008</v>
      </c>
      <c r="AO258" s="5">
        <v>-1.5039</v>
      </c>
      <c r="AP258" s="8">
        <v>-0.73019999999999996</v>
      </c>
      <c r="AQ258" s="8">
        <v>-1.329</v>
      </c>
      <c r="AR258" s="8">
        <v>-1.5039</v>
      </c>
      <c r="AS258" s="5">
        <v>104.84220000000001</v>
      </c>
      <c r="AT258" s="5">
        <v>-1.5039</v>
      </c>
      <c r="AU258" s="7" t="s">
        <v>103</v>
      </c>
      <c r="AV258" s="7"/>
    </row>
    <row r="259" spans="1:48" ht="18" customHeight="1" x14ac:dyDescent="0.25">
      <c r="A259" s="10">
        <v>129</v>
      </c>
      <c r="B259" s="10">
        <v>2</v>
      </c>
      <c r="C259" s="10">
        <v>129</v>
      </c>
      <c r="D259" s="86">
        <v>45489</v>
      </c>
      <c r="E259" s="86">
        <v>45491</v>
      </c>
      <c r="F259" s="88" t="b">
        <f t="shared" si="3"/>
        <v>1</v>
      </c>
      <c r="G259" s="86">
        <v>45652</v>
      </c>
      <c r="H259" s="10">
        <v>24613</v>
      </c>
      <c r="I259" s="11">
        <v>24800.85</v>
      </c>
      <c r="J259" s="12"/>
      <c r="K259" s="12"/>
      <c r="L259" s="12" t="s">
        <v>44</v>
      </c>
      <c r="M259" s="90"/>
      <c r="N259" s="90"/>
      <c r="O259" s="10">
        <v>24000</v>
      </c>
      <c r="P259" s="12" t="s">
        <v>97</v>
      </c>
      <c r="Q259" s="10">
        <v>65</v>
      </c>
      <c r="R259" s="10">
        <v>422</v>
      </c>
      <c r="S259" s="11">
        <v>404.5</v>
      </c>
      <c r="T259" s="13">
        <v>-8.8999999999999996E-2</v>
      </c>
      <c r="U259" s="13">
        <v>0.1138</v>
      </c>
      <c r="V259" s="10">
        <v>0</v>
      </c>
      <c r="W259" s="14">
        <v>0</v>
      </c>
      <c r="X259" s="11">
        <v>-17.5</v>
      </c>
      <c r="Y259" s="14">
        <v>-7.1100637874294069E-4</v>
      </c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 t="s">
        <v>103</v>
      </c>
      <c r="AV259" s="12"/>
    </row>
    <row r="260" spans="1:48" ht="18" customHeight="1" x14ac:dyDescent="0.25">
      <c r="A260" s="4">
        <v>130</v>
      </c>
      <c r="B260" s="4">
        <v>1</v>
      </c>
      <c r="C260" s="4">
        <v>130</v>
      </c>
      <c r="D260" s="85">
        <v>45491</v>
      </c>
      <c r="E260" s="85">
        <v>45497</v>
      </c>
      <c r="F260" s="88" t="b">
        <f t="shared" ref="F260:F323" si="4">E260=D262</f>
        <v>1</v>
      </c>
      <c r="G260" s="85">
        <v>45498</v>
      </c>
      <c r="H260" s="5">
        <v>24800.85</v>
      </c>
      <c r="I260" s="5">
        <v>24413.5</v>
      </c>
      <c r="J260" s="5">
        <v>-387.35</v>
      </c>
      <c r="K260" s="6">
        <v>-1.5618416304279899E-2</v>
      </c>
      <c r="L260" s="7" t="s">
        <v>34</v>
      </c>
      <c r="M260" s="91">
        <f>MROUND(H260,100)-100</f>
        <v>24700</v>
      </c>
      <c r="N260" s="91">
        <f>M260-O260</f>
        <v>200</v>
      </c>
      <c r="O260" s="4">
        <v>24500</v>
      </c>
      <c r="P260" s="7" t="s">
        <v>95</v>
      </c>
      <c r="Q260" s="4">
        <v>65</v>
      </c>
      <c r="R260" s="5">
        <v>420.45</v>
      </c>
      <c r="S260" s="4">
        <v>34</v>
      </c>
      <c r="T260" s="8">
        <v>-5.9700000000000003E-2</v>
      </c>
      <c r="U260" s="8">
        <v>1.6026</v>
      </c>
      <c r="V260" s="5">
        <v>386.45</v>
      </c>
      <c r="W260" s="6">
        <v>1.558212722547816E-2</v>
      </c>
      <c r="X260" s="4">
        <v>0</v>
      </c>
      <c r="Y260" s="6">
        <v>0</v>
      </c>
      <c r="Z260" s="5">
        <v>57111.1</v>
      </c>
      <c r="AA260" s="5">
        <v>56872.75</v>
      </c>
      <c r="AB260" s="5">
        <v>-238.35</v>
      </c>
      <c r="AC260" s="5">
        <v>-0.4173</v>
      </c>
      <c r="AD260" s="4">
        <v>6</v>
      </c>
      <c r="AE260" s="5">
        <v>-0.1</v>
      </c>
      <c r="AF260" s="5">
        <v>-295.46109999999999</v>
      </c>
      <c r="AG260" s="5">
        <v>-0.51729999999999998</v>
      </c>
      <c r="AH260" s="8">
        <v>-4.7859999999999996</v>
      </c>
      <c r="AI260" s="8">
        <v>-8.8999999999999996E-2</v>
      </c>
      <c r="AJ260" s="15">
        <v>174.5889</v>
      </c>
      <c r="AK260" s="15">
        <v>1.3779999999999999</v>
      </c>
      <c r="AL260" s="5">
        <v>106.2869</v>
      </c>
      <c r="AM260" s="5">
        <v>106.443</v>
      </c>
      <c r="AN260" s="5">
        <v>-0.15609999999999999</v>
      </c>
      <c r="AO260" s="5">
        <v>-0.14660000000000001</v>
      </c>
      <c r="AP260" s="8">
        <v>-0.30030000000000001</v>
      </c>
      <c r="AQ260" s="8">
        <v>-2.1312000000000002</v>
      </c>
      <c r="AR260" s="8">
        <v>-2.1312000000000002</v>
      </c>
      <c r="AS260" s="5">
        <v>102.6078</v>
      </c>
      <c r="AT260" s="5">
        <v>-3.6030000000000002</v>
      </c>
      <c r="AU260" s="7" t="s">
        <v>96</v>
      </c>
      <c r="AV260" s="7"/>
    </row>
    <row r="261" spans="1:48" ht="18" customHeight="1" x14ac:dyDescent="0.25">
      <c r="A261" s="10">
        <v>130</v>
      </c>
      <c r="B261" s="10">
        <v>2</v>
      </c>
      <c r="C261" s="10">
        <v>130</v>
      </c>
      <c r="D261" s="86">
        <v>45491</v>
      </c>
      <c r="E261" s="86">
        <v>45497</v>
      </c>
      <c r="F261" s="88" t="b">
        <f t="shared" si="4"/>
        <v>1</v>
      </c>
      <c r="G261" s="86">
        <v>45652</v>
      </c>
      <c r="H261" s="11">
        <v>24800.85</v>
      </c>
      <c r="I261" s="11">
        <v>24413.5</v>
      </c>
      <c r="J261" s="12"/>
      <c r="K261" s="12"/>
      <c r="L261" s="12" t="s">
        <v>44</v>
      </c>
      <c r="M261" s="90"/>
      <c r="N261" s="90"/>
      <c r="O261" s="10">
        <v>25000</v>
      </c>
      <c r="P261" s="12" t="s">
        <v>97</v>
      </c>
      <c r="Q261" s="10">
        <v>65</v>
      </c>
      <c r="R261" s="11">
        <v>689.05</v>
      </c>
      <c r="S261" s="11">
        <v>772.65</v>
      </c>
      <c r="T261" s="13">
        <v>-0.15160000000000001</v>
      </c>
      <c r="U261" s="13">
        <v>1.0522</v>
      </c>
      <c r="V261" s="10">
        <v>0</v>
      </c>
      <c r="W261" s="14">
        <v>0</v>
      </c>
      <c r="X261" s="11">
        <v>83.6</v>
      </c>
      <c r="Y261" s="14">
        <v>3.3708522086944599E-3</v>
      </c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 t="s">
        <v>96</v>
      </c>
      <c r="AV261" s="12"/>
    </row>
    <row r="262" spans="1:48" ht="18" customHeight="1" x14ac:dyDescent="0.25">
      <c r="A262" s="4">
        <v>131</v>
      </c>
      <c r="B262" s="4">
        <v>1</v>
      </c>
      <c r="C262" s="4">
        <v>131</v>
      </c>
      <c r="D262" s="85">
        <v>45497</v>
      </c>
      <c r="E262" s="85">
        <v>45504</v>
      </c>
      <c r="F262" s="88" t="b">
        <f t="shared" si="4"/>
        <v>1</v>
      </c>
      <c r="G262" s="85">
        <v>45505</v>
      </c>
      <c r="H262" s="5">
        <v>24413.5</v>
      </c>
      <c r="I262" s="5">
        <v>24951.15</v>
      </c>
      <c r="J262" s="5">
        <v>537.65</v>
      </c>
      <c r="K262" s="6">
        <v>2.2022651401888301E-2</v>
      </c>
      <c r="L262" s="7" t="s">
        <v>34</v>
      </c>
      <c r="M262" s="91">
        <f>MROUND(H262,100)-100</f>
        <v>24300</v>
      </c>
      <c r="N262" s="91">
        <f>M262-O262</f>
        <v>0</v>
      </c>
      <c r="O262" s="4">
        <v>24300</v>
      </c>
      <c r="P262" s="7" t="s">
        <v>95</v>
      </c>
      <c r="Q262" s="4">
        <v>65</v>
      </c>
      <c r="R262" s="5">
        <v>247.8</v>
      </c>
      <c r="S262" s="5">
        <v>660.3</v>
      </c>
      <c r="T262" s="8">
        <v>-2.012</v>
      </c>
      <c r="U262" s="8">
        <v>0.44890000000000002</v>
      </c>
      <c r="V262" s="5">
        <v>-412.5</v>
      </c>
      <c r="W262" s="6">
        <v>-1.6896389292809309E-2</v>
      </c>
      <c r="X262" s="4">
        <v>0</v>
      </c>
      <c r="Y262" s="6">
        <v>0</v>
      </c>
      <c r="Z262" s="5">
        <v>56872.75</v>
      </c>
      <c r="AA262" s="5">
        <v>58990.9</v>
      </c>
      <c r="AB262" s="5">
        <v>2118.15</v>
      </c>
      <c r="AC262" s="5">
        <v>3.7244000000000002</v>
      </c>
      <c r="AD262" s="4">
        <v>7</v>
      </c>
      <c r="AE262" s="5">
        <v>-0.11666700000000001</v>
      </c>
      <c r="AF262" s="5">
        <v>2051.7984999999999</v>
      </c>
      <c r="AG262" s="5">
        <v>3.6076999999999999</v>
      </c>
      <c r="AH262" s="8">
        <v>-0.98719999999999997</v>
      </c>
      <c r="AI262" s="8">
        <v>3.8231999999999999</v>
      </c>
      <c r="AJ262" s="15">
        <v>1534.8985</v>
      </c>
      <c r="AK262" s="15">
        <v>1.4903999999999999</v>
      </c>
      <c r="AL262" s="5">
        <v>107.871</v>
      </c>
      <c r="AM262" s="5">
        <v>107.871</v>
      </c>
      <c r="AN262" s="4">
        <v>0</v>
      </c>
      <c r="AO262" s="4">
        <v>0</v>
      </c>
      <c r="AP262" s="8">
        <v>1.3013999999999999</v>
      </c>
      <c r="AQ262" s="8">
        <v>-0.34370000000000001</v>
      </c>
      <c r="AR262" s="8">
        <v>-0.34370000000000001</v>
      </c>
      <c r="AS262" s="5">
        <v>105.9216</v>
      </c>
      <c r="AT262" s="5">
        <v>-0.48980000000000001</v>
      </c>
      <c r="AU262" s="7" t="s">
        <v>99</v>
      </c>
      <c r="AV262" s="7"/>
    </row>
    <row r="263" spans="1:48" ht="18" customHeight="1" x14ac:dyDescent="0.25">
      <c r="A263" s="10">
        <v>131</v>
      </c>
      <c r="B263" s="10">
        <v>2</v>
      </c>
      <c r="C263" s="10">
        <v>131</v>
      </c>
      <c r="D263" s="86">
        <v>45497</v>
      </c>
      <c r="E263" s="86">
        <v>45504</v>
      </c>
      <c r="F263" s="88" t="b">
        <f t="shared" si="4"/>
        <v>1</v>
      </c>
      <c r="G263" s="86">
        <v>45652</v>
      </c>
      <c r="H263" s="11">
        <v>24413.5</v>
      </c>
      <c r="I263" s="11">
        <v>24951.15</v>
      </c>
      <c r="J263" s="12"/>
      <c r="K263" s="12"/>
      <c r="L263" s="12" t="s">
        <v>44</v>
      </c>
      <c r="M263" s="90"/>
      <c r="N263" s="90"/>
      <c r="O263" s="10">
        <v>24000</v>
      </c>
      <c r="P263" s="12" t="s">
        <v>97</v>
      </c>
      <c r="Q263" s="10">
        <v>65</v>
      </c>
      <c r="R263" s="11">
        <v>442.45</v>
      </c>
      <c r="S263" s="11">
        <v>338.05</v>
      </c>
      <c r="T263" s="13">
        <v>-0.50980000000000003</v>
      </c>
      <c r="U263" s="13">
        <v>0.1946</v>
      </c>
      <c r="V263" s="10">
        <v>0</v>
      </c>
      <c r="W263" s="14">
        <v>0</v>
      </c>
      <c r="X263" s="11">
        <v>-104.4</v>
      </c>
      <c r="Y263" s="14">
        <v>-4.27632252647101E-3</v>
      </c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 t="s">
        <v>99</v>
      </c>
      <c r="AV263" s="12"/>
    </row>
    <row r="264" spans="1:48" ht="18" customHeight="1" x14ac:dyDescent="0.25">
      <c r="A264" s="4">
        <v>132</v>
      </c>
      <c r="B264" s="4">
        <v>1</v>
      </c>
      <c r="C264" s="4">
        <v>132</v>
      </c>
      <c r="D264" s="85">
        <v>45504</v>
      </c>
      <c r="E264" s="85">
        <v>45511</v>
      </c>
      <c r="F264" s="88" t="b">
        <f t="shared" si="4"/>
        <v>1</v>
      </c>
      <c r="G264" s="85">
        <v>45512</v>
      </c>
      <c r="H264" s="5">
        <v>24951.15</v>
      </c>
      <c r="I264" s="5">
        <v>24297.5</v>
      </c>
      <c r="J264" s="5">
        <v>-653.65</v>
      </c>
      <c r="K264" s="6">
        <v>-2.619718930790765E-2</v>
      </c>
      <c r="L264" s="7" t="s">
        <v>34</v>
      </c>
      <c r="M264" s="91">
        <f>MROUND(H264,100)-100</f>
        <v>24900</v>
      </c>
      <c r="N264" s="91">
        <f>M264-O264</f>
        <v>0</v>
      </c>
      <c r="O264" s="4">
        <v>24900</v>
      </c>
      <c r="P264" s="7" t="s">
        <v>95</v>
      </c>
      <c r="Q264" s="4">
        <v>65</v>
      </c>
      <c r="R264" s="5">
        <v>216.4</v>
      </c>
      <c r="S264" s="5">
        <v>1.25</v>
      </c>
      <c r="T264" s="8">
        <v>-0.29499999999999998</v>
      </c>
      <c r="U264" s="8">
        <v>0.8639</v>
      </c>
      <c r="V264" s="5">
        <v>215.15</v>
      </c>
      <c r="W264" s="6">
        <v>8.6228490470379119E-3</v>
      </c>
      <c r="X264" s="4">
        <v>0</v>
      </c>
      <c r="Y264" s="6">
        <v>0</v>
      </c>
      <c r="Z264" s="5">
        <v>58990.9</v>
      </c>
      <c r="AA264" s="5">
        <v>56873.8</v>
      </c>
      <c r="AB264" s="5">
        <v>-2117.1</v>
      </c>
      <c r="AC264" s="5">
        <v>-3.5889000000000002</v>
      </c>
      <c r="AD264" s="4">
        <v>7</v>
      </c>
      <c r="AE264" s="5">
        <v>-0.11666700000000001</v>
      </c>
      <c r="AF264" s="5">
        <v>-2185.9227000000001</v>
      </c>
      <c r="AG264" s="5">
        <v>-3.7054999999999998</v>
      </c>
      <c r="AH264" s="8">
        <v>-6.2450000000000001</v>
      </c>
      <c r="AI264" s="8">
        <v>0.4904</v>
      </c>
      <c r="AJ264" s="9">
        <v>-1814.6226999999999</v>
      </c>
      <c r="AK264" s="9">
        <v>-2.2174</v>
      </c>
      <c r="AL264" s="5">
        <v>105.4791</v>
      </c>
      <c r="AM264" s="5">
        <v>107.871</v>
      </c>
      <c r="AN264" s="5">
        <v>-2.3919000000000001</v>
      </c>
      <c r="AO264" s="5">
        <v>-2.2174</v>
      </c>
      <c r="AP264" s="8">
        <v>0.1094</v>
      </c>
      <c r="AQ264" s="8">
        <v>-3.9906000000000001</v>
      </c>
      <c r="AR264" s="8">
        <v>-3.9906000000000001</v>
      </c>
      <c r="AS264" s="5">
        <v>103.5663</v>
      </c>
      <c r="AT264" s="5">
        <v>-3.9906000000000001</v>
      </c>
      <c r="AU264" s="7" t="s">
        <v>96</v>
      </c>
      <c r="AV264" s="7"/>
    </row>
    <row r="265" spans="1:48" ht="18" customHeight="1" x14ac:dyDescent="0.25">
      <c r="A265" s="10">
        <v>132</v>
      </c>
      <c r="B265" s="10">
        <v>2</v>
      </c>
      <c r="C265" s="10">
        <v>132</v>
      </c>
      <c r="D265" s="86">
        <v>45504</v>
      </c>
      <c r="E265" s="86">
        <v>45511</v>
      </c>
      <c r="F265" s="88" t="b">
        <f t="shared" si="4"/>
        <v>1</v>
      </c>
      <c r="G265" s="86">
        <v>45652</v>
      </c>
      <c r="H265" s="11">
        <v>24951.15</v>
      </c>
      <c r="I265" s="11">
        <v>24297.5</v>
      </c>
      <c r="J265" s="12"/>
      <c r="K265" s="12"/>
      <c r="L265" s="12" t="s">
        <v>44</v>
      </c>
      <c r="M265" s="90"/>
      <c r="N265" s="90"/>
      <c r="O265" s="10">
        <v>24000</v>
      </c>
      <c r="P265" s="12" t="s">
        <v>97</v>
      </c>
      <c r="Q265" s="10">
        <v>65</v>
      </c>
      <c r="R265" s="11">
        <v>338.05</v>
      </c>
      <c r="S265" s="11">
        <v>494.2</v>
      </c>
      <c r="T265" s="13">
        <v>-8.5999999999999993E-2</v>
      </c>
      <c r="U265" s="13">
        <v>1.3905000000000001</v>
      </c>
      <c r="V265" s="10">
        <v>0</v>
      </c>
      <c r="W265" s="14">
        <v>0</v>
      </c>
      <c r="X265" s="11">
        <v>156.15</v>
      </c>
      <c r="Y265" s="14">
        <v>6.2582285786426679E-3</v>
      </c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 t="s">
        <v>96</v>
      </c>
      <c r="AV265" s="12"/>
    </row>
    <row r="266" spans="1:48" ht="18" customHeight="1" x14ac:dyDescent="0.25">
      <c r="A266" s="4">
        <v>133</v>
      </c>
      <c r="B266" s="4">
        <v>1</v>
      </c>
      <c r="C266" s="4">
        <v>133</v>
      </c>
      <c r="D266" s="85">
        <v>45511</v>
      </c>
      <c r="E266" s="85">
        <v>45517</v>
      </c>
      <c r="F266" s="88" t="b">
        <f t="shared" si="4"/>
        <v>1</v>
      </c>
      <c r="G266" s="85">
        <v>45518</v>
      </c>
      <c r="H266" s="5">
        <v>24297.5</v>
      </c>
      <c r="I266" s="4">
        <v>24139</v>
      </c>
      <c r="J266" s="5">
        <v>-158.5</v>
      </c>
      <c r="K266" s="6">
        <v>-6.5233048667558387E-3</v>
      </c>
      <c r="L266" s="7" t="s">
        <v>34</v>
      </c>
      <c r="M266" s="91">
        <f>MROUND(H266,100)-100</f>
        <v>24200</v>
      </c>
      <c r="N266" s="91">
        <f>M266-O266</f>
        <v>0</v>
      </c>
      <c r="O266" s="4">
        <v>24200</v>
      </c>
      <c r="P266" s="7" t="s">
        <v>95</v>
      </c>
      <c r="Q266" s="4">
        <v>65</v>
      </c>
      <c r="R266" s="5">
        <v>281.3</v>
      </c>
      <c r="S266" s="5">
        <v>64.599999999999994</v>
      </c>
      <c r="T266" s="8">
        <v>-0.26790000000000003</v>
      </c>
      <c r="U266" s="8">
        <v>0.93630000000000002</v>
      </c>
      <c r="V266" s="5">
        <v>216.7</v>
      </c>
      <c r="W266" s="6">
        <v>8.9186130260314848E-3</v>
      </c>
      <c r="X266" s="4">
        <v>0</v>
      </c>
      <c r="Y266" s="6">
        <v>0</v>
      </c>
      <c r="Z266" s="5">
        <v>56873.8</v>
      </c>
      <c r="AA266" s="5">
        <v>56881.5</v>
      </c>
      <c r="AB266" s="5">
        <v>7.7</v>
      </c>
      <c r="AC266" s="5">
        <v>1.35E-2</v>
      </c>
      <c r="AD266" s="4">
        <v>6</v>
      </c>
      <c r="AE266" s="5">
        <v>-0.1</v>
      </c>
      <c r="AF266" s="5">
        <v>-49.1738</v>
      </c>
      <c r="AG266" s="5">
        <v>-8.6499999999999994E-2</v>
      </c>
      <c r="AH266" s="8">
        <v>-0.49099999999999999</v>
      </c>
      <c r="AI266" s="8">
        <v>1.2782</v>
      </c>
      <c r="AJ266" s="15">
        <v>207.77619999999999</v>
      </c>
      <c r="AK266" s="15">
        <v>0.97099999999999997</v>
      </c>
      <c r="AL266" s="5">
        <v>106.5033</v>
      </c>
      <c r="AM266" s="5">
        <v>107.871</v>
      </c>
      <c r="AN266" s="5">
        <v>-1.3676999999999999</v>
      </c>
      <c r="AO266" s="5">
        <v>-1.2679</v>
      </c>
      <c r="AP266" s="8">
        <v>0.84919999999999995</v>
      </c>
      <c r="AQ266" s="8">
        <v>0.81259999999999999</v>
      </c>
      <c r="AR266" s="8">
        <v>0.81259999999999999</v>
      </c>
      <c r="AS266" s="5">
        <v>106.33620000000001</v>
      </c>
      <c r="AT266" s="5">
        <v>-1.4228000000000001</v>
      </c>
      <c r="AU266" s="7" t="s">
        <v>96</v>
      </c>
      <c r="AV266" s="7"/>
    </row>
    <row r="267" spans="1:48" ht="18" customHeight="1" x14ac:dyDescent="0.25">
      <c r="A267" s="10">
        <v>133</v>
      </c>
      <c r="B267" s="10">
        <v>2</v>
      </c>
      <c r="C267" s="10">
        <v>133</v>
      </c>
      <c r="D267" s="86">
        <v>45511</v>
      </c>
      <c r="E267" s="86">
        <v>45517</v>
      </c>
      <c r="F267" s="88" t="b">
        <f t="shared" si="4"/>
        <v>1</v>
      </c>
      <c r="G267" s="86">
        <v>45652</v>
      </c>
      <c r="H267" s="11">
        <v>24297.5</v>
      </c>
      <c r="I267" s="10">
        <v>24139</v>
      </c>
      <c r="J267" s="12"/>
      <c r="K267" s="12"/>
      <c r="L267" s="12" t="s">
        <v>44</v>
      </c>
      <c r="M267" s="90"/>
      <c r="N267" s="90"/>
      <c r="O267" s="10">
        <v>24000</v>
      </c>
      <c r="P267" s="12" t="s">
        <v>97</v>
      </c>
      <c r="Q267" s="10">
        <v>65</v>
      </c>
      <c r="R267" s="11">
        <v>494.2</v>
      </c>
      <c r="S267" s="11">
        <v>534.45000000000005</v>
      </c>
      <c r="T267" s="13">
        <v>-0.16109999999999999</v>
      </c>
      <c r="U267" s="13">
        <v>0.36730000000000002</v>
      </c>
      <c r="V267" s="10">
        <v>0</v>
      </c>
      <c r="W267" s="14">
        <v>0</v>
      </c>
      <c r="X267" s="11">
        <v>40.25</v>
      </c>
      <c r="Y267" s="14">
        <v>1.6565490276777451E-3</v>
      </c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 t="s">
        <v>96</v>
      </c>
      <c r="AV267" s="12"/>
    </row>
    <row r="268" spans="1:48" ht="18" customHeight="1" x14ac:dyDescent="0.25">
      <c r="A268" s="4">
        <v>134</v>
      </c>
      <c r="B268" s="4">
        <v>1</v>
      </c>
      <c r="C268" s="4">
        <v>134</v>
      </c>
      <c r="D268" s="85">
        <v>45517</v>
      </c>
      <c r="E268" s="85">
        <v>45524</v>
      </c>
      <c r="F268" s="88" t="b">
        <f t="shared" si="4"/>
        <v>1</v>
      </c>
      <c r="G268" s="85">
        <v>45526</v>
      </c>
      <c r="H268" s="4">
        <v>24139</v>
      </c>
      <c r="I268" s="5">
        <v>24698.85</v>
      </c>
      <c r="J268" s="5">
        <v>559.85</v>
      </c>
      <c r="K268" s="6">
        <v>2.319275860640457E-2</v>
      </c>
      <c r="L268" s="7" t="s">
        <v>34</v>
      </c>
      <c r="M268" s="91">
        <f>MROUND(H268,100)-100</f>
        <v>24000</v>
      </c>
      <c r="N268" s="91">
        <f>M268-O268</f>
        <v>0</v>
      </c>
      <c r="O268" s="4">
        <v>24000</v>
      </c>
      <c r="P268" s="7" t="s">
        <v>95</v>
      </c>
      <c r="Q268" s="4">
        <v>65</v>
      </c>
      <c r="R268" s="5">
        <v>307.14999999999998</v>
      </c>
      <c r="S268" s="5">
        <v>692.75</v>
      </c>
      <c r="T268" s="8">
        <v>-1.8704000000000001</v>
      </c>
      <c r="U268" s="8">
        <v>0.17979999999999999</v>
      </c>
      <c r="V268" s="5">
        <v>-385.6</v>
      </c>
      <c r="W268" s="6">
        <v>-1.5974149716226849E-2</v>
      </c>
      <c r="X268" s="4">
        <v>0</v>
      </c>
      <c r="Y268" s="6">
        <v>0</v>
      </c>
      <c r="Z268" s="5">
        <v>56881.5</v>
      </c>
      <c r="AA268" s="5">
        <v>58247.85</v>
      </c>
      <c r="AB268" s="5">
        <v>1366.35</v>
      </c>
      <c r="AC268" s="5">
        <v>2.4020999999999999</v>
      </c>
      <c r="AD268" s="4">
        <v>7</v>
      </c>
      <c r="AE268" s="5">
        <v>-0.11666700000000001</v>
      </c>
      <c r="AF268" s="5">
        <v>1299.9882</v>
      </c>
      <c r="AG268" s="5">
        <v>2.2854000000000001</v>
      </c>
      <c r="AH268" s="8">
        <v>-0.95599999999999996</v>
      </c>
      <c r="AI268" s="8">
        <v>2.3439000000000001</v>
      </c>
      <c r="AJ268" s="15">
        <v>713.53819999999996</v>
      </c>
      <c r="AK268" s="15">
        <v>-0.14410000000000001</v>
      </c>
      <c r="AL268" s="5">
        <v>106.3498</v>
      </c>
      <c r="AM268" s="5">
        <v>107.871</v>
      </c>
      <c r="AN268" s="5">
        <v>-1.5212000000000001</v>
      </c>
      <c r="AO268" s="5">
        <v>-1.4101999999999999</v>
      </c>
      <c r="AP268" s="8">
        <v>-0.36909999999999998</v>
      </c>
      <c r="AQ268" s="8">
        <v>-0.73270000000000002</v>
      </c>
      <c r="AR268" s="8">
        <v>-0.73270000000000002</v>
      </c>
      <c r="AS268" s="5">
        <v>105.7229</v>
      </c>
      <c r="AT268" s="5">
        <v>-1.9913000000000001</v>
      </c>
      <c r="AU268" s="7" t="s">
        <v>102</v>
      </c>
      <c r="AV268" s="7"/>
    </row>
    <row r="269" spans="1:48" ht="18" customHeight="1" x14ac:dyDescent="0.25">
      <c r="A269" s="10">
        <v>134</v>
      </c>
      <c r="B269" s="10">
        <v>2</v>
      </c>
      <c r="C269" s="10">
        <v>134</v>
      </c>
      <c r="D269" s="86">
        <v>45517</v>
      </c>
      <c r="E269" s="86">
        <v>45524</v>
      </c>
      <c r="F269" s="88" t="b">
        <f t="shared" si="4"/>
        <v>1</v>
      </c>
      <c r="G269" s="86">
        <v>45652</v>
      </c>
      <c r="H269" s="10">
        <v>24139</v>
      </c>
      <c r="I269" s="11">
        <v>24698.85</v>
      </c>
      <c r="J269" s="12"/>
      <c r="K269" s="12"/>
      <c r="L269" s="12" t="s">
        <v>44</v>
      </c>
      <c r="M269" s="90"/>
      <c r="N269" s="90"/>
      <c r="O269" s="10">
        <v>24000</v>
      </c>
      <c r="P269" s="12" t="s">
        <v>97</v>
      </c>
      <c r="Q269" s="10">
        <v>65</v>
      </c>
      <c r="R269" s="11">
        <v>534.45000000000005</v>
      </c>
      <c r="S269" s="11">
        <v>333.6</v>
      </c>
      <c r="T269" s="13">
        <v>-0.84260000000000002</v>
      </c>
      <c r="U269" s="13">
        <v>4.3499999999999997E-2</v>
      </c>
      <c r="V269" s="10">
        <v>0</v>
      </c>
      <c r="W269" s="14">
        <v>0</v>
      </c>
      <c r="X269" s="11">
        <v>-200.85</v>
      </c>
      <c r="Y269" s="14">
        <v>-8.3205600894817513E-3</v>
      </c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 t="s">
        <v>102</v>
      </c>
      <c r="AV269" s="12"/>
    </row>
    <row r="270" spans="1:48" ht="18" customHeight="1" x14ac:dyDescent="0.25">
      <c r="A270" s="4">
        <v>135</v>
      </c>
      <c r="B270" s="4">
        <v>1</v>
      </c>
      <c r="C270" s="4">
        <v>135</v>
      </c>
      <c r="D270" s="85">
        <v>45524</v>
      </c>
      <c r="E270" s="85">
        <v>45525</v>
      </c>
      <c r="F270" s="88" t="b">
        <f t="shared" si="4"/>
        <v>1</v>
      </c>
      <c r="G270" s="85">
        <v>45526</v>
      </c>
      <c r="H270" s="5">
        <v>24698.85</v>
      </c>
      <c r="I270" s="5">
        <v>24770.2</v>
      </c>
      <c r="J270" s="5">
        <v>71.349999999999994</v>
      </c>
      <c r="K270" s="6">
        <v>2.8887984663253552E-3</v>
      </c>
      <c r="L270" s="7" t="s">
        <v>34</v>
      </c>
      <c r="M270" s="91">
        <f>MROUND(H270,100)-100</f>
        <v>24600</v>
      </c>
      <c r="N270" s="91">
        <f>M270-O270</f>
        <v>0</v>
      </c>
      <c r="O270" s="4">
        <v>24600</v>
      </c>
      <c r="P270" s="7" t="s">
        <v>95</v>
      </c>
      <c r="Q270" s="4">
        <v>65</v>
      </c>
      <c r="R270" s="5">
        <v>141.05000000000001</v>
      </c>
      <c r="S270" s="5">
        <v>180.75</v>
      </c>
      <c r="T270" s="8">
        <v>-0.23830000000000001</v>
      </c>
      <c r="U270" s="8">
        <v>9.4899999999999998E-2</v>
      </c>
      <c r="V270" s="5">
        <v>-39.700000000000003</v>
      </c>
      <c r="W270" s="6">
        <v>-1.607362286098341E-3</v>
      </c>
      <c r="X270" s="4">
        <v>0</v>
      </c>
      <c r="Y270" s="6">
        <v>0</v>
      </c>
      <c r="Z270" s="5">
        <v>58247.85</v>
      </c>
      <c r="AA270" s="5">
        <v>58444.05</v>
      </c>
      <c r="AB270" s="5">
        <v>196.2</v>
      </c>
      <c r="AC270" s="5">
        <v>0.33679999999999999</v>
      </c>
      <c r="AD270" s="4">
        <v>1</v>
      </c>
      <c r="AE270" s="5">
        <v>-1.6667000000000001E-2</v>
      </c>
      <c r="AF270" s="5">
        <v>186.49199999999999</v>
      </c>
      <c r="AG270" s="5">
        <v>0.32019999999999998</v>
      </c>
      <c r="AH270" s="8">
        <v>-0.19539999999999999</v>
      </c>
      <c r="AI270" s="8">
        <v>0.43070000000000003</v>
      </c>
      <c r="AJ270" s="15">
        <v>124.992</v>
      </c>
      <c r="AK270" s="15">
        <v>7.1199999999999999E-2</v>
      </c>
      <c r="AL270" s="5">
        <v>106.4255</v>
      </c>
      <c r="AM270" s="5">
        <v>107.871</v>
      </c>
      <c r="AN270" s="5">
        <v>-1.4455</v>
      </c>
      <c r="AO270" s="5">
        <v>-1.34</v>
      </c>
      <c r="AP270" s="8">
        <v>8.8800000000000004E-2</v>
      </c>
      <c r="AQ270" s="8">
        <v>-1.77E-2</v>
      </c>
      <c r="AR270" s="8">
        <v>-1.77E-2</v>
      </c>
      <c r="AS270" s="5">
        <v>106.331</v>
      </c>
      <c r="AT270" s="5">
        <v>-1.4277</v>
      </c>
      <c r="AU270" s="7" t="s">
        <v>96</v>
      </c>
      <c r="AV270" s="7"/>
    </row>
    <row r="271" spans="1:48" ht="18" customHeight="1" x14ac:dyDescent="0.25">
      <c r="A271" s="10">
        <v>135</v>
      </c>
      <c r="B271" s="10">
        <v>2</v>
      </c>
      <c r="C271" s="10">
        <v>135</v>
      </c>
      <c r="D271" s="86">
        <v>45524</v>
      </c>
      <c r="E271" s="86">
        <v>45525</v>
      </c>
      <c r="F271" s="88" t="b">
        <f t="shared" si="4"/>
        <v>1</v>
      </c>
      <c r="G271" s="86">
        <v>45652</v>
      </c>
      <c r="H271" s="11">
        <v>24698.85</v>
      </c>
      <c r="I271" s="11">
        <v>24770.2</v>
      </c>
      <c r="J271" s="12"/>
      <c r="K271" s="12"/>
      <c r="L271" s="12" t="s">
        <v>44</v>
      </c>
      <c r="M271" s="90"/>
      <c r="N271" s="90"/>
      <c r="O271" s="10">
        <v>24000</v>
      </c>
      <c r="P271" s="12" t="s">
        <v>97</v>
      </c>
      <c r="Q271" s="10">
        <v>65</v>
      </c>
      <c r="R271" s="11">
        <v>333.6</v>
      </c>
      <c r="S271" s="11">
        <v>311.8</v>
      </c>
      <c r="T271" s="13">
        <v>-0.1036</v>
      </c>
      <c r="U271" s="13">
        <v>8.2799999999999999E-2</v>
      </c>
      <c r="V271" s="10">
        <v>0</v>
      </c>
      <c r="W271" s="14">
        <v>0</v>
      </c>
      <c r="X271" s="11">
        <v>-21.8</v>
      </c>
      <c r="Y271" s="14">
        <v>-8.8263218732855995E-4</v>
      </c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 t="s">
        <v>96</v>
      </c>
      <c r="AV271" s="12"/>
    </row>
    <row r="272" spans="1:48" ht="18" customHeight="1" x14ac:dyDescent="0.25">
      <c r="A272" s="4">
        <v>136</v>
      </c>
      <c r="B272" s="4">
        <v>1</v>
      </c>
      <c r="C272" s="4">
        <v>136</v>
      </c>
      <c r="D272" s="85">
        <v>45525</v>
      </c>
      <c r="E272" s="85">
        <v>45532</v>
      </c>
      <c r="F272" s="88" t="b">
        <f t="shared" si="4"/>
        <v>1</v>
      </c>
      <c r="G272" s="85">
        <v>45533</v>
      </c>
      <c r="H272" s="5">
        <v>24770.2</v>
      </c>
      <c r="I272" s="5">
        <v>25052.35</v>
      </c>
      <c r="J272" s="5">
        <v>282.14999999999998</v>
      </c>
      <c r="K272" s="6">
        <v>1.1390703345148599E-2</v>
      </c>
      <c r="L272" s="7" t="s">
        <v>34</v>
      </c>
      <c r="M272" s="91">
        <f>MROUND(H272,100)-100</f>
        <v>24700</v>
      </c>
      <c r="N272" s="91">
        <f>M272-O272</f>
        <v>0</v>
      </c>
      <c r="O272" s="4">
        <v>24700</v>
      </c>
      <c r="P272" s="7" t="s">
        <v>95</v>
      </c>
      <c r="Q272" s="4">
        <v>65</v>
      </c>
      <c r="R272" s="5">
        <v>210.9</v>
      </c>
      <c r="S272" s="5">
        <v>348.6</v>
      </c>
      <c r="T272" s="8">
        <v>-0.96930000000000005</v>
      </c>
      <c r="U272" s="8">
        <v>8.7999999999999995E-2</v>
      </c>
      <c r="V272" s="5">
        <v>-137.69999999999999</v>
      </c>
      <c r="W272" s="6">
        <v>-5.5590992402160654E-3</v>
      </c>
      <c r="X272" s="4">
        <v>0</v>
      </c>
      <c r="Y272" s="6">
        <v>0</v>
      </c>
      <c r="Z272" s="5">
        <v>58444.05</v>
      </c>
      <c r="AA272" s="5">
        <v>59146.400000000001</v>
      </c>
      <c r="AB272" s="5">
        <v>702.35</v>
      </c>
      <c r="AC272" s="5">
        <v>1.2017</v>
      </c>
      <c r="AD272" s="4">
        <v>7</v>
      </c>
      <c r="AE272" s="5">
        <v>-0.11666700000000001</v>
      </c>
      <c r="AF272" s="5">
        <v>634.1653</v>
      </c>
      <c r="AG272" s="5">
        <v>1.0851</v>
      </c>
      <c r="AH272" s="8">
        <v>9.35E-2</v>
      </c>
      <c r="AI272" s="8">
        <v>1.5388999999999999</v>
      </c>
      <c r="AJ272" s="15">
        <v>469.31529999999998</v>
      </c>
      <c r="AK272" s="15">
        <v>0.41959999999999997</v>
      </c>
      <c r="AL272" s="5">
        <v>106.8721</v>
      </c>
      <c r="AM272" s="5">
        <v>107.871</v>
      </c>
      <c r="AN272" s="5">
        <v>-0.99890000000000001</v>
      </c>
      <c r="AO272" s="5">
        <v>-0.92600000000000005</v>
      </c>
      <c r="AP272" s="8">
        <v>0.41299999999999998</v>
      </c>
      <c r="AQ272" s="8">
        <v>0.23319999999999999</v>
      </c>
      <c r="AR272" s="8">
        <v>0.23319999999999999</v>
      </c>
      <c r="AS272" s="5">
        <v>106.6737</v>
      </c>
      <c r="AT272" s="5">
        <v>-1.1099000000000001</v>
      </c>
      <c r="AU272" s="7" t="s">
        <v>96</v>
      </c>
      <c r="AV272" s="7"/>
    </row>
    <row r="273" spans="1:48" ht="18" customHeight="1" x14ac:dyDescent="0.25">
      <c r="A273" s="10">
        <v>136</v>
      </c>
      <c r="B273" s="10">
        <v>2</v>
      </c>
      <c r="C273" s="10">
        <v>136</v>
      </c>
      <c r="D273" s="86">
        <v>45525</v>
      </c>
      <c r="E273" s="86">
        <v>45532</v>
      </c>
      <c r="F273" s="88" t="b">
        <f t="shared" si="4"/>
        <v>1</v>
      </c>
      <c r="G273" s="86">
        <v>45652</v>
      </c>
      <c r="H273" s="11">
        <v>24770.2</v>
      </c>
      <c r="I273" s="11">
        <v>25052.35</v>
      </c>
      <c r="J273" s="12"/>
      <c r="K273" s="12"/>
      <c r="L273" s="12" t="s">
        <v>44</v>
      </c>
      <c r="M273" s="90"/>
      <c r="N273" s="90"/>
      <c r="O273" s="10">
        <v>24000</v>
      </c>
      <c r="P273" s="12" t="s">
        <v>97</v>
      </c>
      <c r="Q273" s="10">
        <v>65</v>
      </c>
      <c r="R273" s="11">
        <v>311.8</v>
      </c>
      <c r="S273" s="11">
        <v>284.64999999999998</v>
      </c>
      <c r="T273" s="13">
        <v>-0.15659999999999999</v>
      </c>
      <c r="U273" s="13">
        <v>5.1700000000000003E-2</v>
      </c>
      <c r="V273" s="10">
        <v>0</v>
      </c>
      <c r="W273" s="14">
        <v>0</v>
      </c>
      <c r="X273" s="11">
        <v>-27.15</v>
      </c>
      <c r="Y273" s="14">
        <v>-1.096075122526261E-3</v>
      </c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 t="s">
        <v>96</v>
      </c>
      <c r="AV273" s="12"/>
    </row>
    <row r="274" spans="1:48" ht="18" customHeight="1" x14ac:dyDescent="0.25">
      <c r="A274" s="4">
        <v>137</v>
      </c>
      <c r="B274" s="4">
        <v>1</v>
      </c>
      <c r="C274" s="4">
        <v>137</v>
      </c>
      <c r="D274" s="85">
        <v>45532</v>
      </c>
      <c r="E274" s="85">
        <v>45539</v>
      </c>
      <c r="F274" s="88" t="b">
        <f t="shared" si="4"/>
        <v>1</v>
      </c>
      <c r="G274" s="85">
        <v>45540</v>
      </c>
      <c r="H274" s="5">
        <v>25052.35</v>
      </c>
      <c r="I274" s="5">
        <v>25198.7</v>
      </c>
      <c r="J274" s="5">
        <v>146.35</v>
      </c>
      <c r="K274" s="6">
        <v>5.8417673391917323E-3</v>
      </c>
      <c r="L274" s="7" t="s">
        <v>34</v>
      </c>
      <c r="M274" s="91">
        <f>MROUND(H274,100)-100</f>
        <v>25000</v>
      </c>
      <c r="N274" s="91">
        <f>M274-O274</f>
        <v>0</v>
      </c>
      <c r="O274" s="4">
        <v>25000</v>
      </c>
      <c r="P274" s="7" t="s">
        <v>95</v>
      </c>
      <c r="Q274" s="4">
        <v>65</v>
      </c>
      <c r="R274" s="5">
        <v>204.7</v>
      </c>
      <c r="S274" s="5">
        <v>187.05</v>
      </c>
      <c r="T274" s="8">
        <v>-0.77959999999999996</v>
      </c>
      <c r="U274" s="8">
        <v>0.30420000000000003</v>
      </c>
      <c r="V274" s="5">
        <v>17.649999999999999</v>
      </c>
      <c r="W274" s="6">
        <v>7.0452472522537801E-4</v>
      </c>
      <c r="X274" s="4">
        <v>0</v>
      </c>
      <c r="Y274" s="6">
        <v>0</v>
      </c>
      <c r="Z274" s="5">
        <v>59146.400000000001</v>
      </c>
      <c r="AA274" s="5">
        <v>59223.7</v>
      </c>
      <c r="AB274" s="5">
        <v>77.3</v>
      </c>
      <c r="AC274" s="5">
        <v>0.13070000000000001</v>
      </c>
      <c r="AD274" s="4">
        <v>7</v>
      </c>
      <c r="AE274" s="5">
        <v>-0.11666700000000001</v>
      </c>
      <c r="AF274" s="5">
        <v>8.2958999999999996</v>
      </c>
      <c r="AG274" s="5">
        <v>1.4E-2</v>
      </c>
      <c r="AH274" s="8">
        <v>-1.0706</v>
      </c>
      <c r="AI274" s="8">
        <v>0.56459999999999999</v>
      </c>
      <c r="AJ274" s="15">
        <v>18.445900000000002</v>
      </c>
      <c r="AK274" s="15">
        <v>5.45E-2</v>
      </c>
      <c r="AL274" s="5">
        <v>106.93040000000001</v>
      </c>
      <c r="AM274" s="5">
        <v>107.871</v>
      </c>
      <c r="AN274" s="5">
        <v>-0.94069999999999998</v>
      </c>
      <c r="AO274" s="5">
        <v>-0.872</v>
      </c>
      <c r="AP274" s="8">
        <v>-0.38479999999999998</v>
      </c>
      <c r="AQ274" s="8">
        <v>-0.72509999999999997</v>
      </c>
      <c r="AR274" s="8">
        <v>-0.72509999999999997</v>
      </c>
      <c r="AS274" s="5">
        <v>106.0972</v>
      </c>
      <c r="AT274" s="5">
        <v>-1.6444000000000001</v>
      </c>
      <c r="AU274" s="7" t="s">
        <v>96</v>
      </c>
      <c r="AV274" s="7"/>
    </row>
    <row r="275" spans="1:48" ht="18" customHeight="1" x14ac:dyDescent="0.25">
      <c r="A275" s="10">
        <v>137</v>
      </c>
      <c r="B275" s="10">
        <v>2</v>
      </c>
      <c r="C275" s="10">
        <v>137</v>
      </c>
      <c r="D275" s="86">
        <v>45532</v>
      </c>
      <c r="E275" s="86">
        <v>45539</v>
      </c>
      <c r="F275" s="88" t="b">
        <f t="shared" si="4"/>
        <v>1</v>
      </c>
      <c r="G275" s="86">
        <v>45652</v>
      </c>
      <c r="H275" s="11">
        <v>25052.35</v>
      </c>
      <c r="I275" s="11">
        <v>25198.7</v>
      </c>
      <c r="J275" s="12"/>
      <c r="K275" s="12"/>
      <c r="L275" s="12" t="s">
        <v>44</v>
      </c>
      <c r="M275" s="90"/>
      <c r="N275" s="90"/>
      <c r="O275" s="10">
        <v>24000</v>
      </c>
      <c r="P275" s="12" t="s">
        <v>97</v>
      </c>
      <c r="Q275" s="10">
        <v>65</v>
      </c>
      <c r="R275" s="11">
        <v>284.64999999999998</v>
      </c>
      <c r="S275" s="11">
        <v>277.14999999999998</v>
      </c>
      <c r="T275" s="13">
        <v>-0.16980000000000001</v>
      </c>
      <c r="U275" s="13">
        <v>4.1300000000000003E-2</v>
      </c>
      <c r="V275" s="10">
        <v>0</v>
      </c>
      <c r="W275" s="14">
        <v>0</v>
      </c>
      <c r="X275" s="11">
        <v>-7.5</v>
      </c>
      <c r="Y275" s="14">
        <v>-2.99373112702002E-4</v>
      </c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 t="s">
        <v>96</v>
      </c>
      <c r="AV275" s="12"/>
    </row>
    <row r="276" spans="1:48" ht="18" customHeight="1" x14ac:dyDescent="0.25">
      <c r="A276" s="4">
        <v>138</v>
      </c>
      <c r="B276" s="4">
        <v>1</v>
      </c>
      <c r="C276" s="4">
        <v>138</v>
      </c>
      <c r="D276" s="85">
        <v>45539</v>
      </c>
      <c r="E276" s="85">
        <v>45546</v>
      </c>
      <c r="F276" s="88" t="b">
        <f t="shared" si="4"/>
        <v>1</v>
      </c>
      <c r="G276" s="85">
        <v>45547</v>
      </c>
      <c r="H276" s="5">
        <v>25198.7</v>
      </c>
      <c r="I276" s="5">
        <v>24918.45</v>
      </c>
      <c r="J276" s="5">
        <v>-280.25</v>
      </c>
      <c r="K276" s="6">
        <v>-1.112160547964776E-2</v>
      </c>
      <c r="L276" s="7" t="s">
        <v>34</v>
      </c>
      <c r="M276" s="91">
        <f>MROUND(H276,100)-100</f>
        <v>25100</v>
      </c>
      <c r="N276" s="91">
        <f>M276-O276</f>
        <v>0</v>
      </c>
      <c r="O276" s="4">
        <v>25100</v>
      </c>
      <c r="P276" s="7" t="s">
        <v>95</v>
      </c>
      <c r="Q276" s="4">
        <v>65</v>
      </c>
      <c r="R276" s="5">
        <v>217.85</v>
      </c>
      <c r="S276" s="5">
        <v>12.4</v>
      </c>
      <c r="T276" s="8">
        <v>-0.1575</v>
      </c>
      <c r="U276" s="8">
        <v>0.82169999999999999</v>
      </c>
      <c r="V276" s="5">
        <v>205.45</v>
      </c>
      <c r="W276" s="6">
        <v>8.1531983792814695E-3</v>
      </c>
      <c r="X276" s="4">
        <v>0</v>
      </c>
      <c r="Y276" s="6">
        <v>0</v>
      </c>
      <c r="Z276" s="5">
        <v>59223.7</v>
      </c>
      <c r="AA276" s="5">
        <v>58938.05</v>
      </c>
      <c r="AB276" s="5">
        <v>-285.64999999999998</v>
      </c>
      <c r="AC276" s="5">
        <v>-0.48230000000000001</v>
      </c>
      <c r="AD276" s="4">
        <v>7</v>
      </c>
      <c r="AE276" s="5">
        <v>-0.11666700000000001</v>
      </c>
      <c r="AF276" s="5">
        <v>-354.74430000000001</v>
      </c>
      <c r="AG276" s="5">
        <v>-0.59899999999999998</v>
      </c>
      <c r="AH276" s="8">
        <v>-2.5</v>
      </c>
      <c r="AI276" s="8">
        <v>0.61419999999999997</v>
      </c>
      <c r="AJ276" s="9">
        <v>-85.794300000000007</v>
      </c>
      <c r="AK276" s="9">
        <v>0.46829999999999999</v>
      </c>
      <c r="AL276" s="5">
        <v>107.4311</v>
      </c>
      <c r="AM276" s="5">
        <v>107.871</v>
      </c>
      <c r="AN276" s="5">
        <v>-0.43990000000000001</v>
      </c>
      <c r="AO276" s="5">
        <v>-0.4078</v>
      </c>
      <c r="AP276" s="8">
        <v>0.3589</v>
      </c>
      <c r="AQ276" s="8">
        <v>-1.165</v>
      </c>
      <c r="AR276" s="8">
        <v>-1.165</v>
      </c>
      <c r="AS276" s="5">
        <v>105.6846</v>
      </c>
      <c r="AT276" s="5">
        <v>-2.0268999999999999</v>
      </c>
      <c r="AU276" s="7" t="s">
        <v>96</v>
      </c>
      <c r="AV276" s="7"/>
    </row>
    <row r="277" spans="1:48" ht="18" customHeight="1" x14ac:dyDescent="0.25">
      <c r="A277" s="10">
        <v>138</v>
      </c>
      <c r="B277" s="10">
        <v>2</v>
      </c>
      <c r="C277" s="10">
        <v>138</v>
      </c>
      <c r="D277" s="86">
        <v>45539</v>
      </c>
      <c r="E277" s="86">
        <v>45546</v>
      </c>
      <c r="F277" s="88" t="b">
        <f t="shared" si="4"/>
        <v>1</v>
      </c>
      <c r="G277" s="86">
        <v>45652</v>
      </c>
      <c r="H277" s="11">
        <v>25198.7</v>
      </c>
      <c r="I277" s="11">
        <v>24918.45</v>
      </c>
      <c r="J277" s="12"/>
      <c r="K277" s="12"/>
      <c r="L277" s="12" t="s">
        <v>44</v>
      </c>
      <c r="M277" s="90"/>
      <c r="N277" s="90"/>
      <c r="O277" s="10">
        <v>25000</v>
      </c>
      <c r="P277" s="12" t="s">
        <v>97</v>
      </c>
      <c r="Q277" s="10">
        <v>65</v>
      </c>
      <c r="R277" s="11">
        <v>508.5</v>
      </c>
      <c r="S277" s="10">
        <v>572</v>
      </c>
      <c r="T277" s="13">
        <v>-9.7799999999999998E-2</v>
      </c>
      <c r="U277" s="13">
        <v>0.51329999999999998</v>
      </c>
      <c r="V277" s="10">
        <v>0</v>
      </c>
      <c r="W277" s="14">
        <v>0</v>
      </c>
      <c r="X277" s="11">
        <v>63.5</v>
      </c>
      <c r="Y277" s="14">
        <v>2.5199712683590821E-3</v>
      </c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 t="s">
        <v>96</v>
      </c>
      <c r="AV277" s="12"/>
    </row>
    <row r="278" spans="1:48" ht="18" customHeight="1" x14ac:dyDescent="0.25">
      <c r="A278" s="4">
        <v>139</v>
      </c>
      <c r="B278" s="4">
        <v>1</v>
      </c>
      <c r="C278" s="4">
        <v>139</v>
      </c>
      <c r="D278" s="85">
        <v>45546</v>
      </c>
      <c r="E278" s="85">
        <v>45552</v>
      </c>
      <c r="F278" s="88" t="b">
        <f t="shared" si="4"/>
        <v>1</v>
      </c>
      <c r="G278" s="85">
        <v>45554</v>
      </c>
      <c r="H278" s="5">
        <v>24918.45</v>
      </c>
      <c r="I278" s="5">
        <v>25418.55</v>
      </c>
      <c r="J278" s="5">
        <v>500.1</v>
      </c>
      <c r="K278" s="6">
        <v>2.0069466600049359E-2</v>
      </c>
      <c r="L278" s="7" t="s">
        <v>34</v>
      </c>
      <c r="M278" s="91">
        <f>MROUND(H278,100)-100</f>
        <v>24800</v>
      </c>
      <c r="N278" s="91">
        <f>M278-O278</f>
        <v>0</v>
      </c>
      <c r="O278" s="4">
        <v>24800</v>
      </c>
      <c r="P278" s="7" t="s">
        <v>95</v>
      </c>
      <c r="Q278" s="4">
        <v>65</v>
      </c>
      <c r="R278" s="5">
        <v>231.15</v>
      </c>
      <c r="S278" s="5">
        <v>621.4</v>
      </c>
      <c r="T278" s="8">
        <v>-1.7435</v>
      </c>
      <c r="U278" s="8">
        <v>-0.1232</v>
      </c>
      <c r="V278" s="5">
        <v>-390.25</v>
      </c>
      <c r="W278" s="6">
        <v>-1.566108646404572E-2</v>
      </c>
      <c r="X278" s="4">
        <v>0</v>
      </c>
      <c r="Y278" s="6">
        <v>0</v>
      </c>
      <c r="Z278" s="5">
        <v>58938.05</v>
      </c>
      <c r="AA278" s="5">
        <v>60180.75</v>
      </c>
      <c r="AB278" s="5">
        <v>1242.7</v>
      </c>
      <c r="AC278" s="5">
        <v>2.1084999999999998</v>
      </c>
      <c r="AD278" s="4">
        <v>6</v>
      </c>
      <c r="AE278" s="5">
        <v>-0.1</v>
      </c>
      <c r="AF278" s="5">
        <v>1183.7619</v>
      </c>
      <c r="AG278" s="5">
        <v>2.0085000000000002</v>
      </c>
      <c r="AH278" s="8">
        <v>0.4229</v>
      </c>
      <c r="AI278" s="8">
        <v>2.4091999999999998</v>
      </c>
      <c r="AJ278" s="15">
        <v>604.81190000000004</v>
      </c>
      <c r="AK278" s="15">
        <v>-0.31490000000000001</v>
      </c>
      <c r="AL278" s="5">
        <v>107.0928</v>
      </c>
      <c r="AM278" s="5">
        <v>107.871</v>
      </c>
      <c r="AN278" s="5">
        <v>-0.7782</v>
      </c>
      <c r="AO278" s="5">
        <v>-0.72140000000000004</v>
      </c>
      <c r="AP278" s="8">
        <v>-0.27339999999999998</v>
      </c>
      <c r="AQ278" s="8">
        <v>0.16930000000000001</v>
      </c>
      <c r="AR278" s="8">
        <v>-0.31490000000000001</v>
      </c>
      <c r="AS278" s="5">
        <v>107.0928</v>
      </c>
      <c r="AT278" s="5">
        <v>-0.72140000000000004</v>
      </c>
      <c r="AU278" s="7" t="s">
        <v>102</v>
      </c>
      <c r="AV278" s="7"/>
    </row>
    <row r="279" spans="1:48" ht="18" customHeight="1" x14ac:dyDescent="0.25">
      <c r="A279" s="10">
        <v>139</v>
      </c>
      <c r="B279" s="10">
        <v>2</v>
      </c>
      <c r="C279" s="10">
        <v>139</v>
      </c>
      <c r="D279" s="86">
        <v>45546</v>
      </c>
      <c r="E279" s="86">
        <v>45552</v>
      </c>
      <c r="F279" s="88" t="b">
        <f t="shared" si="4"/>
        <v>1</v>
      </c>
      <c r="G279" s="86">
        <v>45652</v>
      </c>
      <c r="H279" s="11">
        <v>24918.45</v>
      </c>
      <c r="I279" s="11">
        <v>25418.55</v>
      </c>
      <c r="J279" s="12"/>
      <c r="K279" s="12"/>
      <c r="L279" s="12" t="s">
        <v>44</v>
      </c>
      <c r="M279" s="90"/>
      <c r="N279" s="90"/>
      <c r="O279" s="10">
        <v>25000</v>
      </c>
      <c r="P279" s="12" t="s">
        <v>97</v>
      </c>
      <c r="Q279" s="10">
        <v>65</v>
      </c>
      <c r="R279" s="10">
        <v>572</v>
      </c>
      <c r="S279" s="11">
        <v>383.3</v>
      </c>
      <c r="T279" s="13">
        <v>-0.93910000000000005</v>
      </c>
      <c r="U279" s="13">
        <v>-0.13039999999999999</v>
      </c>
      <c r="V279" s="10">
        <v>0</v>
      </c>
      <c r="W279" s="14">
        <v>0</v>
      </c>
      <c r="X279" s="11">
        <v>-188.7</v>
      </c>
      <c r="Y279" s="14">
        <v>-7.5727021544277429E-3</v>
      </c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 t="s">
        <v>102</v>
      </c>
      <c r="AV279" s="12"/>
    </row>
    <row r="280" spans="1:48" ht="18" customHeight="1" x14ac:dyDescent="0.25">
      <c r="A280" s="4">
        <v>140</v>
      </c>
      <c r="B280" s="4">
        <v>1</v>
      </c>
      <c r="C280" s="4">
        <v>140</v>
      </c>
      <c r="D280" s="85">
        <v>45552</v>
      </c>
      <c r="E280" s="85">
        <v>45553</v>
      </c>
      <c r="F280" s="88" t="b">
        <f t="shared" si="4"/>
        <v>1</v>
      </c>
      <c r="G280" s="85">
        <v>45554</v>
      </c>
      <c r="H280" s="5">
        <v>25418.55</v>
      </c>
      <c r="I280" s="5">
        <v>25377.55</v>
      </c>
      <c r="J280" s="4">
        <v>-41</v>
      </c>
      <c r="K280" s="6">
        <v>-1.612995233795791E-3</v>
      </c>
      <c r="L280" s="7" t="s">
        <v>34</v>
      </c>
      <c r="M280" s="91">
        <f>MROUND(H280,100)-100</f>
        <v>25300</v>
      </c>
      <c r="N280" s="91">
        <f>M280-O280</f>
        <v>0</v>
      </c>
      <c r="O280" s="4">
        <v>25300</v>
      </c>
      <c r="P280" s="7" t="s">
        <v>95</v>
      </c>
      <c r="Q280" s="4">
        <v>65</v>
      </c>
      <c r="R280" s="5">
        <v>172.45</v>
      </c>
      <c r="S280" s="5">
        <v>154.44999999999999</v>
      </c>
      <c r="T280" s="8">
        <v>-0.21890000000000001</v>
      </c>
      <c r="U280" s="8">
        <v>0.25319999999999998</v>
      </c>
      <c r="V280" s="4">
        <v>18</v>
      </c>
      <c r="W280" s="6">
        <v>7.0814424898351801E-4</v>
      </c>
      <c r="X280" s="4">
        <v>0</v>
      </c>
      <c r="Y280" s="6">
        <v>0</v>
      </c>
      <c r="Z280" s="5">
        <v>60180.75</v>
      </c>
      <c r="AA280" s="5">
        <v>59752.85</v>
      </c>
      <c r="AB280" s="5">
        <v>-427.9</v>
      </c>
      <c r="AC280" s="5">
        <v>-0.71099999999999997</v>
      </c>
      <c r="AD280" s="4">
        <v>1</v>
      </c>
      <c r="AE280" s="5">
        <v>-1.6667000000000001E-2</v>
      </c>
      <c r="AF280" s="5">
        <v>-437.93009999999998</v>
      </c>
      <c r="AG280" s="5">
        <v>-0.72770000000000001</v>
      </c>
      <c r="AH280" s="8">
        <v>-1.2418</v>
      </c>
      <c r="AI280" s="8">
        <v>0.1721</v>
      </c>
      <c r="AJ280" s="9">
        <v>-394.08010000000002</v>
      </c>
      <c r="AK280" s="9">
        <v>-0.55520000000000003</v>
      </c>
      <c r="AL280" s="5">
        <v>106.4982</v>
      </c>
      <c r="AM280" s="5">
        <v>107.871</v>
      </c>
      <c r="AN280" s="5">
        <v>-1.3728</v>
      </c>
      <c r="AO280" s="5">
        <v>-1.2726</v>
      </c>
      <c r="AP280" s="8">
        <v>-6.7500000000000004E-2</v>
      </c>
      <c r="AQ280" s="8">
        <v>-0.77029999999999998</v>
      </c>
      <c r="AR280" s="8">
        <v>-0.77029999999999998</v>
      </c>
      <c r="AS280" s="5">
        <v>106.2679</v>
      </c>
      <c r="AT280" s="5">
        <v>-1.4862</v>
      </c>
      <c r="AU280" s="7" t="s">
        <v>96</v>
      </c>
      <c r="AV280" s="7"/>
    </row>
    <row r="281" spans="1:48" ht="18" customHeight="1" x14ac:dyDescent="0.25">
      <c r="A281" s="10">
        <v>140</v>
      </c>
      <c r="B281" s="10">
        <v>2</v>
      </c>
      <c r="C281" s="10">
        <v>140</v>
      </c>
      <c r="D281" s="86">
        <v>45552</v>
      </c>
      <c r="E281" s="86">
        <v>45553</v>
      </c>
      <c r="F281" s="88" t="b">
        <f t="shared" si="4"/>
        <v>1</v>
      </c>
      <c r="G281" s="86">
        <v>45652</v>
      </c>
      <c r="H281" s="11">
        <v>25418.55</v>
      </c>
      <c r="I281" s="11">
        <v>25377.55</v>
      </c>
      <c r="J281" s="12"/>
      <c r="K281" s="12"/>
      <c r="L281" s="12" t="s">
        <v>44</v>
      </c>
      <c r="M281" s="90"/>
      <c r="N281" s="90"/>
      <c r="O281" s="10">
        <v>25000</v>
      </c>
      <c r="P281" s="12" t="s">
        <v>97</v>
      </c>
      <c r="Q281" s="10">
        <v>65</v>
      </c>
      <c r="R281" s="11">
        <v>383.3</v>
      </c>
      <c r="S281" s="11">
        <v>409.15</v>
      </c>
      <c r="T281" s="13">
        <v>-2.07E-2</v>
      </c>
      <c r="U281" s="13">
        <v>0.21829999999999999</v>
      </c>
      <c r="V281" s="10">
        <v>0</v>
      </c>
      <c r="W281" s="14">
        <v>0</v>
      </c>
      <c r="X281" s="11">
        <v>25.85</v>
      </c>
      <c r="Y281" s="14">
        <v>1.016973824234663E-3</v>
      </c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 t="s">
        <v>96</v>
      </c>
      <c r="AV281" s="12"/>
    </row>
    <row r="282" spans="1:48" ht="18" customHeight="1" x14ac:dyDescent="0.25">
      <c r="A282" s="4">
        <v>141</v>
      </c>
      <c r="B282" s="4">
        <v>1</v>
      </c>
      <c r="C282" s="4">
        <v>141</v>
      </c>
      <c r="D282" s="85">
        <v>45553</v>
      </c>
      <c r="E282" s="85">
        <v>45558</v>
      </c>
      <c r="F282" s="88" t="b">
        <f t="shared" si="4"/>
        <v>1</v>
      </c>
      <c r="G282" s="85">
        <v>45561</v>
      </c>
      <c r="H282" s="5">
        <v>25377.55</v>
      </c>
      <c r="I282" s="5">
        <v>25939.05</v>
      </c>
      <c r="J282" s="5">
        <v>561.5</v>
      </c>
      <c r="K282" s="6">
        <v>2.212585533276459E-2</v>
      </c>
      <c r="L282" s="7" t="s">
        <v>34</v>
      </c>
      <c r="M282" s="91">
        <f>MROUND(H282,100)-100</f>
        <v>25300</v>
      </c>
      <c r="N282" s="91">
        <f>M282-O282</f>
        <v>0</v>
      </c>
      <c r="O282" s="4">
        <v>25300</v>
      </c>
      <c r="P282" s="7" t="s">
        <v>95</v>
      </c>
      <c r="Q282" s="4">
        <v>65</v>
      </c>
      <c r="R282" s="5">
        <v>266.05</v>
      </c>
      <c r="S282" s="5">
        <v>630.35</v>
      </c>
      <c r="T282" s="8">
        <v>-1.5972999999999999</v>
      </c>
      <c r="U282" s="8">
        <v>8.4500000000000006E-2</v>
      </c>
      <c r="V282" s="5">
        <v>-364.3</v>
      </c>
      <c r="W282" s="6">
        <v>-1.4355207654009151E-2</v>
      </c>
      <c r="X282" s="4">
        <v>0</v>
      </c>
      <c r="Y282" s="6">
        <v>0</v>
      </c>
      <c r="Z282" s="5">
        <v>59752.85</v>
      </c>
      <c r="AA282" s="5">
        <v>60712.4</v>
      </c>
      <c r="AB282" s="5">
        <v>959.55</v>
      </c>
      <c r="AC282" s="5">
        <v>1.6059000000000001</v>
      </c>
      <c r="AD282" s="4">
        <v>5</v>
      </c>
      <c r="AE282" s="5">
        <v>-8.3333000000000004E-2</v>
      </c>
      <c r="AF282" s="5">
        <v>909.75599999999997</v>
      </c>
      <c r="AG282" s="5">
        <v>1.5225</v>
      </c>
      <c r="AH282" s="8">
        <v>-2.3605</v>
      </c>
      <c r="AI282" s="8">
        <v>1.5999000000000001</v>
      </c>
      <c r="AJ282" s="15">
        <v>441.60599999999999</v>
      </c>
      <c r="AK282" s="15">
        <v>-0.32219999999999999</v>
      </c>
      <c r="AL282" s="5">
        <v>106.1551</v>
      </c>
      <c r="AM282" s="5">
        <v>107.871</v>
      </c>
      <c r="AN282" s="5">
        <v>-1.7159</v>
      </c>
      <c r="AO282" s="5">
        <v>-1.5907</v>
      </c>
      <c r="AP282" s="8">
        <v>-0.4194</v>
      </c>
      <c r="AQ282" s="8">
        <v>-2.2492000000000001</v>
      </c>
      <c r="AR282" s="8">
        <v>-2.2492000000000001</v>
      </c>
      <c r="AS282" s="5">
        <v>104.10290000000001</v>
      </c>
      <c r="AT282" s="5">
        <v>-3.4931999999999999</v>
      </c>
      <c r="AU282" s="7" t="s">
        <v>102</v>
      </c>
      <c r="AV282" s="7"/>
    </row>
    <row r="283" spans="1:48" ht="18" customHeight="1" x14ac:dyDescent="0.25">
      <c r="A283" s="10">
        <v>141</v>
      </c>
      <c r="B283" s="10">
        <v>2</v>
      </c>
      <c r="C283" s="10">
        <v>141</v>
      </c>
      <c r="D283" s="86">
        <v>45553</v>
      </c>
      <c r="E283" s="86">
        <v>45558</v>
      </c>
      <c r="F283" s="88" t="b">
        <f t="shared" si="4"/>
        <v>1</v>
      </c>
      <c r="G283" s="86">
        <v>45652</v>
      </c>
      <c r="H283" s="11">
        <v>25377.55</v>
      </c>
      <c r="I283" s="11">
        <v>25939.05</v>
      </c>
      <c r="J283" s="12"/>
      <c r="K283" s="12"/>
      <c r="L283" s="12" t="s">
        <v>44</v>
      </c>
      <c r="M283" s="90"/>
      <c r="N283" s="90"/>
      <c r="O283" s="10">
        <v>25000</v>
      </c>
      <c r="P283" s="12" t="s">
        <v>97</v>
      </c>
      <c r="Q283" s="10">
        <v>65</v>
      </c>
      <c r="R283" s="11">
        <v>409.15</v>
      </c>
      <c r="S283" s="11">
        <v>305.3</v>
      </c>
      <c r="T283" s="13">
        <v>-0.42199999999999999</v>
      </c>
      <c r="U283" s="13">
        <v>2.6800000000000001E-2</v>
      </c>
      <c r="V283" s="10">
        <v>0</v>
      </c>
      <c r="W283" s="14">
        <v>0</v>
      </c>
      <c r="X283" s="11">
        <v>-103.85</v>
      </c>
      <c r="Y283" s="14">
        <v>-4.092199601616389E-3</v>
      </c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 t="s">
        <v>102</v>
      </c>
      <c r="AV283" s="12"/>
    </row>
    <row r="284" spans="1:48" ht="18" customHeight="1" x14ac:dyDescent="0.25">
      <c r="A284" s="4">
        <v>142</v>
      </c>
      <c r="B284" s="4">
        <v>1</v>
      </c>
      <c r="C284" s="4">
        <v>142</v>
      </c>
      <c r="D284" s="85">
        <v>45558</v>
      </c>
      <c r="E284" s="85">
        <v>45560</v>
      </c>
      <c r="F284" s="88" t="b">
        <f t="shared" si="4"/>
        <v>1</v>
      </c>
      <c r="G284" s="85">
        <v>45561</v>
      </c>
      <c r="H284" s="5">
        <v>25939.05</v>
      </c>
      <c r="I284" s="5">
        <v>26004.15</v>
      </c>
      <c r="J284" s="5">
        <v>65.099999999999994</v>
      </c>
      <c r="K284" s="6">
        <v>2.509729539054051E-3</v>
      </c>
      <c r="L284" s="7" t="s">
        <v>34</v>
      </c>
      <c r="M284" s="91">
        <f>MROUND(H284,100)-100</f>
        <v>25800</v>
      </c>
      <c r="N284" s="91">
        <f>M284-O284</f>
        <v>0</v>
      </c>
      <c r="O284" s="4">
        <v>25800</v>
      </c>
      <c r="P284" s="7" t="s">
        <v>95</v>
      </c>
      <c r="Q284" s="4">
        <v>65</v>
      </c>
      <c r="R284" s="5">
        <v>191.5</v>
      </c>
      <c r="S284" s="5">
        <v>206.35</v>
      </c>
      <c r="T284" s="8">
        <v>-0.20630000000000001</v>
      </c>
      <c r="U284" s="8">
        <v>0.23899999999999999</v>
      </c>
      <c r="V284" s="5">
        <v>-14.85</v>
      </c>
      <c r="W284" s="6">
        <v>-5.7249590867822838E-4</v>
      </c>
      <c r="X284" s="4">
        <v>0</v>
      </c>
      <c r="Y284" s="6">
        <v>0</v>
      </c>
      <c r="Z284" s="5">
        <v>60712.4</v>
      </c>
      <c r="AA284" s="5">
        <v>60465.15</v>
      </c>
      <c r="AB284" s="5">
        <v>-247.25</v>
      </c>
      <c r="AC284" s="5">
        <v>-0.40720000000000001</v>
      </c>
      <c r="AD284" s="4">
        <v>2</v>
      </c>
      <c r="AE284" s="5">
        <v>-3.3333000000000002E-2</v>
      </c>
      <c r="AF284" s="5">
        <v>-267.48750000000001</v>
      </c>
      <c r="AG284" s="5">
        <v>-0.44059999999999999</v>
      </c>
      <c r="AH284" s="8">
        <v>-0.73809999999999998</v>
      </c>
      <c r="AI284" s="8">
        <v>0.33500000000000002</v>
      </c>
      <c r="AJ284" s="9">
        <v>-320.48750000000001</v>
      </c>
      <c r="AK284" s="9">
        <v>-0.64490000000000003</v>
      </c>
      <c r="AL284" s="5">
        <v>105.4705</v>
      </c>
      <c r="AM284" s="5">
        <v>107.871</v>
      </c>
      <c r="AN284" s="5">
        <v>-2.4005000000000001</v>
      </c>
      <c r="AO284" s="5">
        <v>-2.2254</v>
      </c>
      <c r="AP284" s="8">
        <v>-4.8800000000000003E-2</v>
      </c>
      <c r="AQ284" s="8">
        <v>-0.48249999999999998</v>
      </c>
      <c r="AR284" s="8">
        <v>-0.64490000000000003</v>
      </c>
      <c r="AS284" s="5">
        <v>105.4705</v>
      </c>
      <c r="AT284" s="5">
        <v>-2.2254</v>
      </c>
      <c r="AU284" s="7" t="s">
        <v>96</v>
      </c>
      <c r="AV284" s="7"/>
    </row>
    <row r="285" spans="1:48" ht="18" customHeight="1" x14ac:dyDescent="0.25">
      <c r="A285" s="10">
        <v>142</v>
      </c>
      <c r="B285" s="10">
        <v>2</v>
      </c>
      <c r="C285" s="10">
        <v>142</v>
      </c>
      <c r="D285" s="86">
        <v>45558</v>
      </c>
      <c r="E285" s="86">
        <v>45560</v>
      </c>
      <c r="F285" s="88" t="b">
        <f t="shared" si="4"/>
        <v>1</v>
      </c>
      <c r="G285" s="86">
        <v>45652</v>
      </c>
      <c r="H285" s="11">
        <v>25939.05</v>
      </c>
      <c r="I285" s="11">
        <v>26004.15</v>
      </c>
      <c r="J285" s="12"/>
      <c r="K285" s="12"/>
      <c r="L285" s="12" t="s">
        <v>44</v>
      </c>
      <c r="M285" s="90"/>
      <c r="N285" s="90"/>
      <c r="O285" s="10">
        <v>25000</v>
      </c>
      <c r="P285" s="12" t="s">
        <v>97</v>
      </c>
      <c r="Q285" s="10">
        <v>65</v>
      </c>
      <c r="R285" s="11">
        <v>305.3</v>
      </c>
      <c r="S285" s="11">
        <v>267.14999999999998</v>
      </c>
      <c r="T285" s="13">
        <v>-0.17749999999999999</v>
      </c>
      <c r="U285" s="13">
        <v>1.66E-2</v>
      </c>
      <c r="V285" s="10">
        <v>0</v>
      </c>
      <c r="W285" s="14">
        <v>0</v>
      </c>
      <c r="X285" s="11">
        <v>-38.15</v>
      </c>
      <c r="Y285" s="14">
        <v>-1.4707554825639331E-3</v>
      </c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 t="s">
        <v>96</v>
      </c>
      <c r="AV285" s="12"/>
    </row>
    <row r="286" spans="1:48" ht="18" customHeight="1" x14ac:dyDescent="0.25">
      <c r="A286" s="4">
        <v>143</v>
      </c>
      <c r="B286" s="4">
        <v>1</v>
      </c>
      <c r="C286" s="4">
        <v>143</v>
      </c>
      <c r="D286" s="85">
        <v>45560</v>
      </c>
      <c r="E286" s="85">
        <v>45566</v>
      </c>
      <c r="F286" s="88" t="b">
        <f t="shared" si="4"/>
        <v>1</v>
      </c>
      <c r="G286" s="85">
        <v>45568</v>
      </c>
      <c r="H286" s="5">
        <v>26004.15</v>
      </c>
      <c r="I286" s="5">
        <v>25796.9</v>
      </c>
      <c r="J286" s="5">
        <v>-207.25</v>
      </c>
      <c r="K286" s="6">
        <v>-7.9698817304161059E-3</v>
      </c>
      <c r="L286" s="7" t="s">
        <v>34</v>
      </c>
      <c r="M286" s="91">
        <f>MROUND(H286,100)-100</f>
        <v>25900</v>
      </c>
      <c r="N286" s="91">
        <f>M286-O286</f>
        <v>0</v>
      </c>
      <c r="O286" s="4">
        <v>25900</v>
      </c>
      <c r="P286" s="7" t="s">
        <v>95</v>
      </c>
      <c r="Q286" s="4">
        <v>65</v>
      </c>
      <c r="R286" s="5">
        <v>233.65</v>
      </c>
      <c r="S286" s="5">
        <v>38.75</v>
      </c>
      <c r="T286" s="8">
        <v>-0.77049999999999996</v>
      </c>
      <c r="U286" s="8">
        <v>0.78849999999999998</v>
      </c>
      <c r="V286" s="5">
        <v>194.9</v>
      </c>
      <c r="W286" s="6">
        <v>7.4949575356241206E-3</v>
      </c>
      <c r="X286" s="4">
        <v>0</v>
      </c>
      <c r="Y286" s="6">
        <v>0</v>
      </c>
      <c r="Z286" s="5">
        <v>60465.15</v>
      </c>
      <c r="AA286" s="5">
        <v>60358.3</v>
      </c>
      <c r="AB286" s="5">
        <v>-106.85</v>
      </c>
      <c r="AC286" s="5">
        <v>-0.1767</v>
      </c>
      <c r="AD286" s="4">
        <v>6</v>
      </c>
      <c r="AE286" s="5">
        <v>-0.1</v>
      </c>
      <c r="AF286" s="5">
        <v>-167.3151</v>
      </c>
      <c r="AG286" s="5">
        <v>-0.2767</v>
      </c>
      <c r="AH286" s="8">
        <v>-1.1335</v>
      </c>
      <c r="AI286" s="8">
        <v>0.34889999999999999</v>
      </c>
      <c r="AJ286" s="15">
        <v>6.7348999999999997</v>
      </c>
      <c r="AK286" s="15">
        <v>0.3926</v>
      </c>
      <c r="AL286" s="5">
        <v>105.88460000000001</v>
      </c>
      <c r="AM286" s="5">
        <v>107.871</v>
      </c>
      <c r="AN286" s="5">
        <v>-1.9864999999999999</v>
      </c>
      <c r="AO286" s="5">
        <v>-1.8414999999999999</v>
      </c>
      <c r="AP286" s="8">
        <v>-0.67079999999999995</v>
      </c>
      <c r="AQ286" s="8">
        <v>-0.33789999999999998</v>
      </c>
      <c r="AR286" s="8">
        <v>-0.67079999999999995</v>
      </c>
      <c r="AS286" s="5">
        <v>104.76300000000001</v>
      </c>
      <c r="AT286" s="5">
        <v>-2.8812000000000002</v>
      </c>
      <c r="AU286" s="7" t="s">
        <v>96</v>
      </c>
      <c r="AV286" s="7"/>
    </row>
    <row r="287" spans="1:48" ht="18" customHeight="1" x14ac:dyDescent="0.25">
      <c r="A287" s="10">
        <v>143</v>
      </c>
      <c r="B287" s="10">
        <v>2</v>
      </c>
      <c r="C287" s="10">
        <v>143</v>
      </c>
      <c r="D287" s="86">
        <v>45560</v>
      </c>
      <c r="E287" s="86">
        <v>45566</v>
      </c>
      <c r="F287" s="88" t="b">
        <f t="shared" si="4"/>
        <v>1</v>
      </c>
      <c r="G287" s="86">
        <v>45652</v>
      </c>
      <c r="H287" s="11">
        <v>26004.15</v>
      </c>
      <c r="I287" s="11">
        <v>25796.9</v>
      </c>
      <c r="J287" s="12"/>
      <c r="K287" s="12"/>
      <c r="L287" s="12" t="s">
        <v>44</v>
      </c>
      <c r="M287" s="90"/>
      <c r="N287" s="90"/>
      <c r="O287" s="10">
        <v>25000</v>
      </c>
      <c r="P287" s="12" t="s">
        <v>97</v>
      </c>
      <c r="Q287" s="10">
        <v>65</v>
      </c>
      <c r="R287" s="11">
        <v>267.14999999999998</v>
      </c>
      <c r="S287" s="11">
        <v>246.3</v>
      </c>
      <c r="T287" s="13">
        <v>-0.2492</v>
      </c>
      <c r="U287" s="13">
        <v>7.1000000000000004E-3</v>
      </c>
      <c r="V287" s="10">
        <v>0</v>
      </c>
      <c r="W287" s="14">
        <v>0</v>
      </c>
      <c r="X287" s="11">
        <v>-20.85</v>
      </c>
      <c r="Y287" s="14">
        <v>-8.0179509809011253E-4</v>
      </c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 t="s">
        <v>96</v>
      </c>
      <c r="AV287" s="12"/>
    </row>
    <row r="288" spans="1:48" ht="18" customHeight="1" x14ac:dyDescent="0.25">
      <c r="A288" s="4">
        <v>144</v>
      </c>
      <c r="B288" s="4">
        <v>1</v>
      </c>
      <c r="C288" s="4">
        <v>144</v>
      </c>
      <c r="D288" s="85">
        <v>45566</v>
      </c>
      <c r="E288" s="85">
        <v>45574</v>
      </c>
      <c r="F288" s="88" t="b">
        <f t="shared" si="4"/>
        <v>1</v>
      </c>
      <c r="G288" s="85">
        <v>45575</v>
      </c>
      <c r="H288" s="5">
        <v>25796.9</v>
      </c>
      <c r="I288" s="5">
        <v>24981.95</v>
      </c>
      <c r="J288" s="5">
        <v>-814.95</v>
      </c>
      <c r="K288" s="6">
        <v>-3.1591005120770323E-2</v>
      </c>
      <c r="L288" s="7" t="s">
        <v>34</v>
      </c>
      <c r="M288" s="91">
        <f>MROUND(H288,100)-100</f>
        <v>25700</v>
      </c>
      <c r="N288" s="91">
        <f>M288-O288</f>
        <v>0</v>
      </c>
      <c r="O288" s="4">
        <v>25700</v>
      </c>
      <c r="P288" s="7" t="s">
        <v>95</v>
      </c>
      <c r="Q288" s="4">
        <v>65</v>
      </c>
      <c r="R288" s="5">
        <v>269.64999999999998</v>
      </c>
      <c r="S288" s="5">
        <v>1.3</v>
      </c>
      <c r="T288" s="8">
        <v>0.35289999999999999</v>
      </c>
      <c r="U288" s="8">
        <v>1.0416000000000001</v>
      </c>
      <c r="V288" s="5">
        <v>268.35000000000002</v>
      </c>
      <c r="W288" s="6">
        <v>1.0402412692998001E-2</v>
      </c>
      <c r="X288" s="4">
        <v>0</v>
      </c>
      <c r="Y288" s="6">
        <v>0</v>
      </c>
      <c r="Z288" s="5">
        <v>60358.3</v>
      </c>
      <c r="AA288" s="5">
        <v>59102.65</v>
      </c>
      <c r="AB288" s="5">
        <v>-1255.6500000000001</v>
      </c>
      <c r="AC288" s="5">
        <v>-2.0802999999999998</v>
      </c>
      <c r="AD288" s="4">
        <v>8</v>
      </c>
      <c r="AE288" s="5">
        <v>-0.13333300000000001</v>
      </c>
      <c r="AF288" s="5">
        <v>-1336.1277</v>
      </c>
      <c r="AG288" s="5">
        <v>-2.2136999999999998</v>
      </c>
      <c r="AH288" s="8">
        <v>-5.9508999999999999</v>
      </c>
      <c r="AI288" s="8">
        <v>-0.46179999999999999</v>
      </c>
      <c r="AJ288" s="9">
        <v>-626.6277</v>
      </c>
      <c r="AK288" s="9">
        <v>0.53659999999999997</v>
      </c>
      <c r="AL288" s="5">
        <v>106.4528</v>
      </c>
      <c r="AM288" s="5">
        <v>107.871</v>
      </c>
      <c r="AN288" s="5">
        <v>-1.4182999999999999</v>
      </c>
      <c r="AO288" s="5">
        <v>-1.3148</v>
      </c>
      <c r="AP288" s="8">
        <v>8.0299999999999996E-2</v>
      </c>
      <c r="AQ288" s="8">
        <v>-2.6368999999999998</v>
      </c>
      <c r="AR288" s="8">
        <v>-2.6368999999999998</v>
      </c>
      <c r="AS288" s="5">
        <v>103.0925</v>
      </c>
      <c r="AT288" s="5">
        <v>-4.4298000000000002</v>
      </c>
      <c r="AU288" s="7" t="s">
        <v>96</v>
      </c>
      <c r="AV288" s="7"/>
    </row>
    <row r="289" spans="1:48" ht="18" customHeight="1" x14ac:dyDescent="0.25">
      <c r="A289" s="10">
        <v>144</v>
      </c>
      <c r="B289" s="10">
        <v>2</v>
      </c>
      <c r="C289" s="10">
        <v>144</v>
      </c>
      <c r="D289" s="86">
        <v>45566</v>
      </c>
      <c r="E289" s="86">
        <v>45574</v>
      </c>
      <c r="F289" s="88" t="b">
        <f t="shared" si="4"/>
        <v>1</v>
      </c>
      <c r="G289" s="86">
        <v>45652</v>
      </c>
      <c r="H289" s="11">
        <v>25796.9</v>
      </c>
      <c r="I289" s="11">
        <v>24981.95</v>
      </c>
      <c r="J289" s="12"/>
      <c r="K289" s="12"/>
      <c r="L289" s="12" t="s">
        <v>44</v>
      </c>
      <c r="M289" s="90"/>
      <c r="N289" s="90"/>
      <c r="O289" s="10">
        <v>26000</v>
      </c>
      <c r="P289" s="12" t="s">
        <v>97</v>
      </c>
      <c r="Q289" s="10">
        <v>65</v>
      </c>
      <c r="R289" s="11">
        <v>512.79999999999995</v>
      </c>
      <c r="S289" s="11">
        <v>953.95</v>
      </c>
      <c r="T289" s="13">
        <v>0.18920000000000001</v>
      </c>
      <c r="U289" s="13">
        <v>2.2724000000000002</v>
      </c>
      <c r="V289" s="10">
        <v>0</v>
      </c>
      <c r="W289" s="14">
        <v>0</v>
      </c>
      <c r="X289" s="11">
        <v>441.15</v>
      </c>
      <c r="Y289" s="14">
        <v>1.7100891967639521E-2</v>
      </c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 t="s">
        <v>96</v>
      </c>
      <c r="AV289" s="12"/>
    </row>
    <row r="290" spans="1:48" ht="18" customHeight="1" x14ac:dyDescent="0.25">
      <c r="A290" s="4">
        <v>145</v>
      </c>
      <c r="B290" s="4">
        <v>1</v>
      </c>
      <c r="C290" s="4">
        <v>145</v>
      </c>
      <c r="D290" s="85">
        <v>45574</v>
      </c>
      <c r="E290" s="85">
        <v>45581</v>
      </c>
      <c r="F290" s="88" t="b">
        <f t="shared" si="4"/>
        <v>1</v>
      </c>
      <c r="G290" s="85">
        <v>45582</v>
      </c>
      <c r="H290" s="5">
        <v>24981.95</v>
      </c>
      <c r="I290" s="5">
        <v>24971.3</v>
      </c>
      <c r="J290" s="5">
        <v>-10.65</v>
      </c>
      <c r="K290" s="6">
        <v>-4.263077942274322E-4</v>
      </c>
      <c r="L290" s="7" t="s">
        <v>34</v>
      </c>
      <c r="M290" s="91">
        <f>MROUND(H290,100)-100</f>
        <v>24900</v>
      </c>
      <c r="N290" s="91">
        <f>M290-O290</f>
        <v>0</v>
      </c>
      <c r="O290" s="4">
        <v>24900</v>
      </c>
      <c r="P290" s="7" t="s">
        <v>95</v>
      </c>
      <c r="Q290" s="4">
        <v>65</v>
      </c>
      <c r="R290" s="5">
        <v>261.39999999999998</v>
      </c>
      <c r="S290" s="5">
        <v>121.4</v>
      </c>
      <c r="T290" s="8">
        <v>-0.3947</v>
      </c>
      <c r="U290" s="8">
        <v>0.68610000000000004</v>
      </c>
      <c r="V290" s="4">
        <v>140</v>
      </c>
      <c r="W290" s="6">
        <v>5.6040461212995777E-3</v>
      </c>
      <c r="X290" s="4">
        <v>0</v>
      </c>
      <c r="Y290" s="6">
        <v>0</v>
      </c>
      <c r="Z290" s="5">
        <v>59102.65</v>
      </c>
      <c r="AA290" s="5">
        <v>59451.85</v>
      </c>
      <c r="AB290" s="5">
        <v>349.2</v>
      </c>
      <c r="AC290" s="5">
        <v>0.59079999999999999</v>
      </c>
      <c r="AD290" s="4">
        <v>7</v>
      </c>
      <c r="AE290" s="5">
        <v>-0.11666700000000001</v>
      </c>
      <c r="AF290" s="5">
        <v>280.24689999999998</v>
      </c>
      <c r="AG290" s="5">
        <v>0.47420000000000001</v>
      </c>
      <c r="AH290" s="8">
        <v>-0.50090000000000001</v>
      </c>
      <c r="AI290" s="8">
        <v>0.89349999999999996</v>
      </c>
      <c r="AJ290" s="15">
        <v>397.34690000000001</v>
      </c>
      <c r="AK290" s="15">
        <v>0.94289999999999996</v>
      </c>
      <c r="AL290" s="5">
        <v>107.45650000000001</v>
      </c>
      <c r="AM290" s="5">
        <v>107.871</v>
      </c>
      <c r="AN290" s="5">
        <v>-0.41449999999999998</v>
      </c>
      <c r="AO290" s="5">
        <v>-0.38429999999999997</v>
      </c>
      <c r="AP290" s="8">
        <v>-0.2049</v>
      </c>
      <c r="AQ290" s="8">
        <v>0.33889999999999998</v>
      </c>
      <c r="AR290" s="8">
        <v>-0.2049</v>
      </c>
      <c r="AS290" s="5">
        <v>106.2346</v>
      </c>
      <c r="AT290" s="5">
        <v>-1.5169999999999999</v>
      </c>
      <c r="AU290" s="7" t="s">
        <v>96</v>
      </c>
      <c r="AV290" s="7"/>
    </row>
    <row r="291" spans="1:48" ht="18" customHeight="1" x14ac:dyDescent="0.25">
      <c r="A291" s="10">
        <v>145</v>
      </c>
      <c r="B291" s="10">
        <v>2</v>
      </c>
      <c r="C291" s="10">
        <v>145</v>
      </c>
      <c r="D291" s="86">
        <v>45574</v>
      </c>
      <c r="E291" s="86">
        <v>45581</v>
      </c>
      <c r="F291" s="88" t="b">
        <f t="shared" si="4"/>
        <v>1</v>
      </c>
      <c r="G291" s="86">
        <v>45652</v>
      </c>
      <c r="H291" s="11">
        <v>24981.95</v>
      </c>
      <c r="I291" s="11">
        <v>24971.3</v>
      </c>
      <c r="J291" s="12"/>
      <c r="K291" s="12"/>
      <c r="L291" s="12" t="s">
        <v>44</v>
      </c>
      <c r="M291" s="90"/>
      <c r="N291" s="90"/>
      <c r="O291" s="10">
        <v>26000</v>
      </c>
      <c r="P291" s="12" t="s">
        <v>97</v>
      </c>
      <c r="Q291" s="10">
        <v>65</v>
      </c>
      <c r="R291" s="11">
        <v>953.95</v>
      </c>
      <c r="S291" s="11">
        <v>931.05</v>
      </c>
      <c r="T291" s="13">
        <v>-0.70369999999999999</v>
      </c>
      <c r="U291" s="13">
        <v>0.1537</v>
      </c>
      <c r="V291" s="10">
        <v>0</v>
      </c>
      <c r="W291" s="14">
        <v>0</v>
      </c>
      <c r="X291" s="11">
        <v>-22.9</v>
      </c>
      <c r="Y291" s="14">
        <v>-9.1666182984114527E-4</v>
      </c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 t="s">
        <v>96</v>
      </c>
      <c r="AV291" s="12"/>
    </row>
    <row r="292" spans="1:48" ht="18" customHeight="1" x14ac:dyDescent="0.25">
      <c r="A292" s="4">
        <v>146</v>
      </c>
      <c r="B292" s="4">
        <v>1</v>
      </c>
      <c r="C292" s="4">
        <v>146</v>
      </c>
      <c r="D292" s="85">
        <v>45581</v>
      </c>
      <c r="E292" s="85">
        <v>45588</v>
      </c>
      <c r="F292" s="88" t="b">
        <f t="shared" si="4"/>
        <v>1</v>
      </c>
      <c r="G292" s="85">
        <v>45589</v>
      </c>
      <c r="H292" s="5">
        <v>24971.3</v>
      </c>
      <c r="I292" s="5">
        <v>24435.5</v>
      </c>
      <c r="J292" s="5">
        <v>-535.79999999999995</v>
      </c>
      <c r="K292" s="6">
        <v>-2.1456632213781419E-2</v>
      </c>
      <c r="L292" s="7" t="s">
        <v>34</v>
      </c>
      <c r="M292" s="91">
        <f>MROUND(H292,100)-100</f>
        <v>24900</v>
      </c>
      <c r="N292" s="91">
        <f>M292-O292</f>
        <v>0</v>
      </c>
      <c r="O292" s="4">
        <v>24900</v>
      </c>
      <c r="P292" s="7" t="s">
        <v>95</v>
      </c>
      <c r="Q292" s="4">
        <v>65</v>
      </c>
      <c r="R292" s="5">
        <v>233.25</v>
      </c>
      <c r="S292" s="5">
        <v>1.9</v>
      </c>
      <c r="T292" s="8">
        <v>-6.1100000000000002E-2</v>
      </c>
      <c r="U292" s="8">
        <v>0.92769999999999997</v>
      </c>
      <c r="V292" s="5">
        <v>231.35</v>
      </c>
      <c r="W292" s="6">
        <v>9.2646358019005826E-3</v>
      </c>
      <c r="X292" s="4">
        <v>0</v>
      </c>
      <c r="Y292" s="6">
        <v>0</v>
      </c>
      <c r="Z292" s="5">
        <v>59451.85</v>
      </c>
      <c r="AA292" s="5">
        <v>56533.55</v>
      </c>
      <c r="AB292" s="5">
        <v>-2918.3</v>
      </c>
      <c r="AC292" s="5">
        <v>-4.9086999999999996</v>
      </c>
      <c r="AD292" s="4">
        <v>7</v>
      </c>
      <c r="AE292" s="5">
        <v>-0.11666700000000001</v>
      </c>
      <c r="AF292" s="5">
        <v>-2987.6605</v>
      </c>
      <c r="AG292" s="5">
        <v>-5.0252999999999997</v>
      </c>
      <c r="AH292" s="8">
        <v>-6.5136000000000003</v>
      </c>
      <c r="AI292" s="8">
        <v>0.14979999999999999</v>
      </c>
      <c r="AJ292" s="9">
        <v>-2352.7105000000001</v>
      </c>
      <c r="AK292" s="9">
        <v>-2.4826000000000001</v>
      </c>
      <c r="AL292" s="5">
        <v>104.78879999999999</v>
      </c>
      <c r="AM292" s="5">
        <v>107.871</v>
      </c>
      <c r="AN292" s="5">
        <v>-3.0821999999999998</v>
      </c>
      <c r="AO292" s="5">
        <v>-2.8573</v>
      </c>
      <c r="AP292" s="8">
        <v>2.06E-2</v>
      </c>
      <c r="AQ292" s="8">
        <v>-3.8576999999999999</v>
      </c>
      <c r="AR292" s="8">
        <v>-3.8576999999999999</v>
      </c>
      <c r="AS292" s="5">
        <v>103.3111</v>
      </c>
      <c r="AT292" s="5">
        <v>-4.2271999999999998</v>
      </c>
      <c r="AU292" s="7" t="s">
        <v>96</v>
      </c>
      <c r="AV292" s="7"/>
    </row>
    <row r="293" spans="1:48" ht="18" customHeight="1" x14ac:dyDescent="0.25">
      <c r="A293" s="10">
        <v>146</v>
      </c>
      <c r="B293" s="10">
        <v>2</v>
      </c>
      <c r="C293" s="10">
        <v>146</v>
      </c>
      <c r="D293" s="86">
        <v>45581</v>
      </c>
      <c r="E293" s="86">
        <v>45588</v>
      </c>
      <c r="F293" s="88" t="b">
        <f t="shared" si="4"/>
        <v>1</v>
      </c>
      <c r="G293" s="86">
        <v>45652</v>
      </c>
      <c r="H293" s="11">
        <v>24971.3</v>
      </c>
      <c r="I293" s="11">
        <v>24435.5</v>
      </c>
      <c r="J293" s="12"/>
      <c r="K293" s="12"/>
      <c r="L293" s="12" t="s">
        <v>44</v>
      </c>
      <c r="M293" s="90"/>
      <c r="N293" s="90"/>
      <c r="O293" s="10">
        <v>26000</v>
      </c>
      <c r="P293" s="12" t="s">
        <v>97</v>
      </c>
      <c r="Q293" s="10">
        <v>65</v>
      </c>
      <c r="R293" s="11">
        <v>931.05</v>
      </c>
      <c r="S293" s="11">
        <v>1334.65</v>
      </c>
      <c r="T293" s="13">
        <v>-6.8099999999999994E-2</v>
      </c>
      <c r="U293" s="13">
        <v>1.7282</v>
      </c>
      <c r="V293" s="10">
        <v>0</v>
      </c>
      <c r="W293" s="14">
        <v>0</v>
      </c>
      <c r="X293" s="11">
        <v>403.6</v>
      </c>
      <c r="Y293" s="14">
        <v>1.616255461269538E-2</v>
      </c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 t="s">
        <v>96</v>
      </c>
      <c r="AV293" s="12"/>
    </row>
    <row r="294" spans="1:48" ht="18" customHeight="1" x14ac:dyDescent="0.25">
      <c r="A294" s="4">
        <v>147</v>
      </c>
      <c r="B294" s="4">
        <v>1</v>
      </c>
      <c r="C294" s="4">
        <v>147</v>
      </c>
      <c r="D294" s="85">
        <v>45588</v>
      </c>
      <c r="E294" s="89">
        <v>45590</v>
      </c>
      <c r="F294" s="88" t="b">
        <f t="shared" si="4"/>
        <v>0</v>
      </c>
      <c r="G294" s="85">
        <v>45596</v>
      </c>
      <c r="H294" s="5">
        <v>24435.5</v>
      </c>
      <c r="I294" s="5">
        <v>24180.799999999999</v>
      </c>
      <c r="J294" s="5">
        <v>-254.7</v>
      </c>
      <c r="K294" s="6">
        <v>-1.0423359456528411E-2</v>
      </c>
      <c r="L294" s="7" t="s">
        <v>34</v>
      </c>
      <c r="M294" s="91">
        <f>MROUND(H294,100)-100</f>
        <v>24300</v>
      </c>
      <c r="N294" s="91">
        <f>M294-O294</f>
        <v>0</v>
      </c>
      <c r="O294" s="4">
        <v>24300</v>
      </c>
      <c r="P294" s="7" t="s">
        <v>95</v>
      </c>
      <c r="Q294" s="4">
        <v>65</v>
      </c>
      <c r="R294" s="5">
        <v>297.45</v>
      </c>
      <c r="S294" s="5">
        <v>101.05</v>
      </c>
      <c r="T294" s="8">
        <v>-0.15160000000000001</v>
      </c>
      <c r="U294" s="8">
        <v>0.95350000000000001</v>
      </c>
      <c r="V294" s="5">
        <v>196.4</v>
      </c>
      <c r="W294" s="6">
        <v>8.0374864439033376E-3</v>
      </c>
      <c r="X294" s="4">
        <v>0</v>
      </c>
      <c r="Y294" s="6">
        <v>0</v>
      </c>
      <c r="Z294" s="5">
        <v>56533.55</v>
      </c>
      <c r="AA294" s="5">
        <v>55277.95</v>
      </c>
      <c r="AB294" s="5">
        <v>-1255.5999999999999</v>
      </c>
      <c r="AC294" s="5">
        <v>-2.2210000000000001</v>
      </c>
      <c r="AD294" s="4">
        <v>2</v>
      </c>
      <c r="AE294" s="5">
        <v>-3.3333000000000002E-2</v>
      </c>
      <c r="AF294" s="5">
        <v>-1274.4445000000001</v>
      </c>
      <c r="AG294" s="5">
        <v>-2.2543000000000002</v>
      </c>
      <c r="AH294" s="8">
        <v>-3.2031000000000001</v>
      </c>
      <c r="AI294" s="8">
        <v>0.44779999999999998</v>
      </c>
      <c r="AJ294" s="9">
        <v>-859.14449999999999</v>
      </c>
      <c r="AK294" s="9">
        <v>-0.55469999999999997</v>
      </c>
      <c r="AL294" s="5">
        <v>104.2075</v>
      </c>
      <c r="AM294" s="5">
        <v>107.871</v>
      </c>
      <c r="AN294" s="5">
        <v>-3.6635</v>
      </c>
      <c r="AO294" s="5">
        <v>-3.3961999999999999</v>
      </c>
      <c r="AP294" s="8">
        <v>0.1149</v>
      </c>
      <c r="AQ294" s="8">
        <v>-0.85860000000000003</v>
      </c>
      <c r="AR294" s="8">
        <v>-0.85860000000000003</v>
      </c>
      <c r="AS294" s="5">
        <v>103.8891</v>
      </c>
      <c r="AT294" s="5">
        <v>-3.6913999999999998</v>
      </c>
      <c r="AU294" s="7" t="s">
        <v>98</v>
      </c>
      <c r="AV294" s="7"/>
    </row>
    <row r="295" spans="1:48" ht="18" customHeight="1" x14ac:dyDescent="0.25">
      <c r="A295" s="10">
        <v>147</v>
      </c>
      <c r="B295" s="10">
        <v>2</v>
      </c>
      <c r="C295" s="10">
        <v>147</v>
      </c>
      <c r="D295" s="86">
        <v>45588</v>
      </c>
      <c r="E295" s="89">
        <v>45590</v>
      </c>
      <c r="F295" s="88" t="b">
        <f t="shared" si="4"/>
        <v>0</v>
      </c>
      <c r="G295" s="86">
        <v>45652</v>
      </c>
      <c r="H295" s="11">
        <v>24435.5</v>
      </c>
      <c r="I295" s="11">
        <v>24180.799999999999</v>
      </c>
      <c r="J295" s="12"/>
      <c r="K295" s="12"/>
      <c r="L295" s="12" t="s">
        <v>44</v>
      </c>
      <c r="M295" s="90"/>
      <c r="N295" s="90"/>
      <c r="O295" s="10">
        <v>26000</v>
      </c>
      <c r="P295" s="12" t="s">
        <v>97</v>
      </c>
      <c r="Q295" s="10">
        <v>65</v>
      </c>
      <c r="R295" s="11">
        <v>1334.65</v>
      </c>
      <c r="S295" s="11">
        <v>1553.55</v>
      </c>
      <c r="T295" s="13">
        <v>-0.18129999999999999</v>
      </c>
      <c r="U295" s="13">
        <v>1.391</v>
      </c>
      <c r="V295" s="10">
        <v>0</v>
      </c>
      <c r="W295" s="14">
        <v>0</v>
      </c>
      <c r="X295" s="11">
        <v>218.9</v>
      </c>
      <c r="Y295" s="14">
        <v>8.958277915328109E-3</v>
      </c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 t="s">
        <v>98</v>
      </c>
      <c r="AV295" s="12"/>
    </row>
    <row r="296" spans="1:48" ht="18" customHeight="1" x14ac:dyDescent="0.25">
      <c r="A296" s="4">
        <v>148</v>
      </c>
      <c r="B296" s="4">
        <v>1</v>
      </c>
      <c r="C296" s="4">
        <v>148</v>
      </c>
      <c r="D296" s="85">
        <v>45744</v>
      </c>
      <c r="E296" s="85">
        <v>45749</v>
      </c>
      <c r="F296" s="88" t="b">
        <f t="shared" si="4"/>
        <v>1</v>
      </c>
      <c r="G296" s="85">
        <v>45750</v>
      </c>
      <c r="H296" s="5">
        <v>23519.35</v>
      </c>
      <c r="I296" s="5">
        <v>23332.35</v>
      </c>
      <c r="J296" s="4">
        <v>-187</v>
      </c>
      <c r="K296" s="6">
        <v>-7.9509000036140452E-3</v>
      </c>
      <c r="L296" s="7" t="s">
        <v>34</v>
      </c>
      <c r="M296" s="91">
        <f>MROUND(H296,100)-100</f>
        <v>23400</v>
      </c>
      <c r="N296" s="91">
        <f>M296-O296</f>
        <v>0</v>
      </c>
      <c r="O296" s="4">
        <v>23400</v>
      </c>
      <c r="P296" s="7" t="s">
        <v>95</v>
      </c>
      <c r="Q296" s="4">
        <v>65</v>
      </c>
      <c r="R296" s="5">
        <v>206.9</v>
      </c>
      <c r="S296" s="5">
        <v>39.9</v>
      </c>
      <c r="T296" s="8">
        <v>-6.8000000000000005E-2</v>
      </c>
      <c r="U296" s="8">
        <v>0.79190000000000005</v>
      </c>
      <c r="V296" s="4">
        <v>167</v>
      </c>
      <c r="W296" s="6">
        <v>7.1005363668638806E-3</v>
      </c>
      <c r="X296" s="4">
        <v>0</v>
      </c>
      <c r="Y296" s="6">
        <v>0</v>
      </c>
      <c r="Z296" s="5">
        <v>51672.25</v>
      </c>
      <c r="AA296" s="5">
        <v>52053.2</v>
      </c>
      <c r="AB296" s="5">
        <v>380.95</v>
      </c>
      <c r="AC296" s="5">
        <v>0.73719999999999997</v>
      </c>
      <c r="AD296" s="4">
        <v>5</v>
      </c>
      <c r="AE296" s="5">
        <v>-8.3333000000000004E-2</v>
      </c>
      <c r="AF296" s="5">
        <v>337.88979999999998</v>
      </c>
      <c r="AG296" s="5">
        <v>0.65390000000000004</v>
      </c>
      <c r="AH296" s="8">
        <v>-1.5891999999999999</v>
      </c>
      <c r="AI296" s="8">
        <v>0.70920000000000005</v>
      </c>
      <c r="AJ296" s="15">
        <v>616.08979999999997</v>
      </c>
      <c r="AK296" s="15">
        <v>1.8368</v>
      </c>
      <c r="AL296" s="5">
        <v>101.8368</v>
      </c>
      <c r="AM296" s="5">
        <v>101.8368</v>
      </c>
      <c r="AN296" s="4">
        <v>0</v>
      </c>
      <c r="AO296" s="4">
        <v>0</v>
      </c>
      <c r="AP296" s="8">
        <v>0.59</v>
      </c>
      <c r="AQ296" s="8">
        <v>3.4099999999999998E-2</v>
      </c>
      <c r="AR296" s="8">
        <v>3.4099999999999998E-2</v>
      </c>
      <c r="AS296" s="5">
        <v>100.0341</v>
      </c>
      <c r="AT296" s="5">
        <v>3.4099999999999998E-2</v>
      </c>
      <c r="AU296" s="7" t="s">
        <v>96</v>
      </c>
      <c r="AV296" s="7"/>
    </row>
    <row r="297" spans="1:48" ht="18" customHeight="1" x14ac:dyDescent="0.25">
      <c r="A297" s="10">
        <v>148</v>
      </c>
      <c r="B297" s="10">
        <v>2</v>
      </c>
      <c r="C297" s="10">
        <v>148</v>
      </c>
      <c r="D297" s="86">
        <v>45744</v>
      </c>
      <c r="E297" s="86">
        <v>45749</v>
      </c>
      <c r="F297" s="88" t="b">
        <f t="shared" si="4"/>
        <v>1</v>
      </c>
      <c r="G297" s="86">
        <v>45834</v>
      </c>
      <c r="H297" s="11">
        <v>23519.35</v>
      </c>
      <c r="I297" s="11">
        <v>23332.35</v>
      </c>
      <c r="J297" s="12"/>
      <c r="K297" s="12"/>
      <c r="L297" s="12" t="s">
        <v>44</v>
      </c>
      <c r="M297" s="90"/>
      <c r="N297" s="90"/>
      <c r="O297" s="10">
        <v>24000</v>
      </c>
      <c r="P297" s="12" t="s">
        <v>97</v>
      </c>
      <c r="Q297" s="10">
        <v>65</v>
      </c>
      <c r="R297" s="11">
        <v>632.85</v>
      </c>
      <c r="S297" s="11">
        <v>744.05</v>
      </c>
      <c r="T297" s="13">
        <v>-5.1200000000000002E-2</v>
      </c>
      <c r="U297" s="13">
        <v>0.83140000000000003</v>
      </c>
      <c r="V297" s="10">
        <v>0</v>
      </c>
      <c r="W297" s="14">
        <v>0</v>
      </c>
      <c r="X297" s="11">
        <v>111.2</v>
      </c>
      <c r="Y297" s="14">
        <v>4.7280218203309193E-3</v>
      </c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 t="s">
        <v>96</v>
      </c>
      <c r="AV297" s="12"/>
    </row>
    <row r="298" spans="1:48" ht="18" customHeight="1" x14ac:dyDescent="0.25">
      <c r="A298" s="4">
        <v>149</v>
      </c>
      <c r="B298" s="4">
        <v>1</v>
      </c>
      <c r="C298" s="4">
        <v>149</v>
      </c>
      <c r="D298" s="85">
        <v>45749</v>
      </c>
      <c r="E298" s="85">
        <v>45755</v>
      </c>
      <c r="F298" s="88" t="b">
        <f t="shared" si="4"/>
        <v>1</v>
      </c>
      <c r="G298" s="85">
        <v>45756</v>
      </c>
      <c r="H298" s="5">
        <v>23332.35</v>
      </c>
      <c r="I298" s="5">
        <v>22535.85</v>
      </c>
      <c r="J298" s="5">
        <v>-796.5</v>
      </c>
      <c r="K298" s="6">
        <v>-3.4137152922873178E-2</v>
      </c>
      <c r="L298" s="7" t="s">
        <v>34</v>
      </c>
      <c r="M298" s="91">
        <f>MROUND(H298,100)-100</f>
        <v>23200</v>
      </c>
      <c r="N298" s="91">
        <f>M298-O298</f>
        <v>0</v>
      </c>
      <c r="O298" s="4">
        <v>23200</v>
      </c>
      <c r="P298" s="7" t="s">
        <v>95</v>
      </c>
      <c r="Q298" s="4">
        <v>65</v>
      </c>
      <c r="R298" s="5">
        <v>266.2</v>
      </c>
      <c r="S298" s="5">
        <v>13.25</v>
      </c>
      <c r="T298" s="8">
        <v>0.12620000000000001</v>
      </c>
      <c r="U298" s="8">
        <v>1.1334</v>
      </c>
      <c r="V298" s="5">
        <v>252.95</v>
      </c>
      <c r="W298" s="6">
        <v>1.0841171163641901E-2</v>
      </c>
      <c r="X298" s="4">
        <v>0</v>
      </c>
      <c r="Y298" s="6">
        <v>0</v>
      </c>
      <c r="Z298" s="5">
        <v>52053.2</v>
      </c>
      <c r="AA298" s="4">
        <v>49838</v>
      </c>
      <c r="AB298" s="5">
        <v>-2215.1999999999998</v>
      </c>
      <c r="AC298" s="5">
        <v>-4.2556000000000003</v>
      </c>
      <c r="AD298" s="4">
        <v>6</v>
      </c>
      <c r="AE298" s="5">
        <v>-0.1</v>
      </c>
      <c r="AF298" s="5">
        <v>-2267.2532000000001</v>
      </c>
      <c r="AG298" s="5">
        <v>-4.3555999999999999</v>
      </c>
      <c r="AH298" s="8">
        <v>-9.8469999999999995</v>
      </c>
      <c r="AI298" s="8">
        <v>0.28599999999999998</v>
      </c>
      <c r="AJ298" s="9">
        <v>-1570.2031999999999</v>
      </c>
      <c r="AK298" s="9">
        <v>-1.3681000000000001</v>
      </c>
      <c r="AL298" s="5">
        <v>100.4436</v>
      </c>
      <c r="AM298" s="5">
        <v>101.8368</v>
      </c>
      <c r="AN298" s="5">
        <v>-1.3932</v>
      </c>
      <c r="AO298" s="5">
        <v>-1.3681000000000001</v>
      </c>
      <c r="AP298" s="8">
        <v>0.41909999999999997</v>
      </c>
      <c r="AQ298" s="8">
        <v>-4.6576000000000004</v>
      </c>
      <c r="AR298" s="8">
        <v>-4.6576000000000004</v>
      </c>
      <c r="AS298" s="5">
        <v>97.093599999999995</v>
      </c>
      <c r="AT298" s="5">
        <v>-4.6576000000000004</v>
      </c>
      <c r="AU298" s="7" t="s">
        <v>96</v>
      </c>
      <c r="AV298" s="7"/>
    </row>
    <row r="299" spans="1:48" ht="18" customHeight="1" x14ac:dyDescent="0.25">
      <c r="A299" s="10">
        <v>149</v>
      </c>
      <c r="B299" s="10">
        <v>2</v>
      </c>
      <c r="C299" s="10">
        <v>149</v>
      </c>
      <c r="D299" s="86">
        <v>45749</v>
      </c>
      <c r="E299" s="86">
        <v>45755</v>
      </c>
      <c r="F299" s="88" t="b">
        <f t="shared" si="4"/>
        <v>1</v>
      </c>
      <c r="G299" s="86">
        <v>45834</v>
      </c>
      <c r="H299" s="11">
        <v>23332.35</v>
      </c>
      <c r="I299" s="11">
        <v>22535.85</v>
      </c>
      <c r="J299" s="12"/>
      <c r="K299" s="12"/>
      <c r="L299" s="12" t="s">
        <v>44</v>
      </c>
      <c r="M299" s="90"/>
      <c r="N299" s="90"/>
      <c r="O299" s="10">
        <v>23000</v>
      </c>
      <c r="P299" s="12" t="s">
        <v>97</v>
      </c>
      <c r="Q299" s="10">
        <v>65</v>
      </c>
      <c r="R299" s="11">
        <v>342.4</v>
      </c>
      <c r="S299" s="11">
        <v>786.5</v>
      </c>
      <c r="T299" s="13">
        <v>6.8999999999999999E-3</v>
      </c>
      <c r="U299" s="13">
        <v>4.056</v>
      </c>
      <c r="V299" s="10">
        <v>0</v>
      </c>
      <c r="W299" s="14">
        <v>0</v>
      </c>
      <c r="X299" s="11">
        <v>444.1</v>
      </c>
      <c r="Y299" s="14">
        <v>1.90336592756409E-2</v>
      </c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 t="s">
        <v>96</v>
      </c>
      <c r="AV299" s="12"/>
    </row>
    <row r="300" spans="1:48" ht="18" customHeight="1" x14ac:dyDescent="0.25">
      <c r="A300" s="4">
        <v>150</v>
      </c>
      <c r="B300" s="4">
        <v>1</v>
      </c>
      <c r="C300" s="4">
        <v>150</v>
      </c>
      <c r="D300" s="85">
        <v>45755</v>
      </c>
      <c r="E300" s="85">
        <v>45762</v>
      </c>
      <c r="F300" s="88" t="b">
        <f t="shared" si="4"/>
        <v>1</v>
      </c>
      <c r="G300" s="85">
        <v>45764</v>
      </c>
      <c r="H300" s="5">
        <v>22535.85</v>
      </c>
      <c r="I300" s="5">
        <v>23328.55</v>
      </c>
      <c r="J300" s="5">
        <v>792.7</v>
      </c>
      <c r="K300" s="6">
        <v>3.5175065506737047E-2</v>
      </c>
      <c r="L300" s="7" t="s">
        <v>34</v>
      </c>
      <c r="M300" s="91">
        <f>MROUND(H300,100)-100</f>
        <v>22400</v>
      </c>
      <c r="N300" s="91">
        <f>M300-O300</f>
        <v>0</v>
      </c>
      <c r="O300" s="4">
        <v>22400</v>
      </c>
      <c r="P300" s="7" t="s">
        <v>95</v>
      </c>
      <c r="Q300" s="4">
        <v>65</v>
      </c>
      <c r="R300" s="4">
        <v>442</v>
      </c>
      <c r="S300" s="5">
        <v>902.1</v>
      </c>
      <c r="T300" s="8">
        <v>-2.2928000000000002</v>
      </c>
      <c r="U300" s="8">
        <v>0.75970000000000004</v>
      </c>
      <c r="V300" s="5">
        <v>-460.1</v>
      </c>
      <c r="W300" s="6">
        <v>-2.041635882382959E-2</v>
      </c>
      <c r="X300" s="4">
        <v>0</v>
      </c>
      <c r="Y300" s="6">
        <v>0</v>
      </c>
      <c r="Z300" s="4">
        <v>49838</v>
      </c>
      <c r="AA300" s="5">
        <v>51974.45</v>
      </c>
      <c r="AB300" s="5">
        <v>2136.4499999999998</v>
      </c>
      <c r="AC300" s="5">
        <v>4.2868000000000004</v>
      </c>
      <c r="AD300" s="4">
        <v>7</v>
      </c>
      <c r="AE300" s="5">
        <v>-0.11666700000000001</v>
      </c>
      <c r="AF300" s="5">
        <v>2078.3056999999999</v>
      </c>
      <c r="AG300" s="5">
        <v>4.1700999999999997</v>
      </c>
      <c r="AH300" s="8">
        <v>-1.8869</v>
      </c>
      <c r="AI300" s="8">
        <v>4.3262999999999998</v>
      </c>
      <c r="AJ300" s="15">
        <v>1237.5056999999999</v>
      </c>
      <c r="AK300" s="15">
        <v>0.43919999999999998</v>
      </c>
      <c r="AL300" s="5">
        <v>100.8847</v>
      </c>
      <c r="AM300" s="5">
        <v>101.8368</v>
      </c>
      <c r="AN300" s="5">
        <v>-0.95209999999999995</v>
      </c>
      <c r="AO300" s="5">
        <v>-0.93489999999999995</v>
      </c>
      <c r="AP300" s="8">
        <v>0.30980000000000002</v>
      </c>
      <c r="AQ300" s="8">
        <v>-0.39079999999999998</v>
      </c>
      <c r="AR300" s="8">
        <v>-0.39079999999999998</v>
      </c>
      <c r="AS300" s="5">
        <v>100.051</v>
      </c>
      <c r="AT300" s="5">
        <v>-1.7536</v>
      </c>
      <c r="AU300" s="7" t="s">
        <v>102</v>
      </c>
      <c r="AV300" s="7"/>
    </row>
    <row r="301" spans="1:48" ht="18" customHeight="1" x14ac:dyDescent="0.25">
      <c r="A301" s="10">
        <v>150</v>
      </c>
      <c r="B301" s="10">
        <v>2</v>
      </c>
      <c r="C301" s="10">
        <v>150</v>
      </c>
      <c r="D301" s="86">
        <v>45755</v>
      </c>
      <c r="E301" s="86">
        <v>45762</v>
      </c>
      <c r="F301" s="88" t="b">
        <f t="shared" si="4"/>
        <v>1</v>
      </c>
      <c r="G301" s="86">
        <v>45834</v>
      </c>
      <c r="H301" s="11">
        <v>22535.85</v>
      </c>
      <c r="I301" s="11">
        <v>23328.55</v>
      </c>
      <c r="J301" s="12"/>
      <c r="K301" s="12"/>
      <c r="L301" s="12" t="s">
        <v>44</v>
      </c>
      <c r="M301" s="90"/>
      <c r="N301" s="90"/>
      <c r="O301" s="10">
        <v>23000</v>
      </c>
      <c r="P301" s="12" t="s">
        <v>97</v>
      </c>
      <c r="Q301" s="10">
        <v>65</v>
      </c>
      <c r="R301" s="11">
        <v>786.5</v>
      </c>
      <c r="S301" s="11">
        <v>405.8</v>
      </c>
      <c r="T301" s="13">
        <v>-1.7237</v>
      </c>
      <c r="U301" s="13">
        <v>0.73640000000000005</v>
      </c>
      <c r="V301" s="10">
        <v>0</v>
      </c>
      <c r="W301" s="14">
        <v>0</v>
      </c>
      <c r="X301" s="11">
        <v>-380.7</v>
      </c>
      <c r="Y301" s="14">
        <v>-1.689308368665926E-2</v>
      </c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 t="s">
        <v>102</v>
      </c>
      <c r="AV301" s="12"/>
    </row>
    <row r="302" spans="1:48" ht="18" customHeight="1" x14ac:dyDescent="0.25">
      <c r="A302" s="4">
        <v>151</v>
      </c>
      <c r="B302" s="4">
        <v>1</v>
      </c>
      <c r="C302" s="4">
        <v>151</v>
      </c>
      <c r="D302" s="85">
        <v>45762</v>
      </c>
      <c r="E302" s="85">
        <v>45763</v>
      </c>
      <c r="F302" s="88" t="b">
        <f t="shared" si="4"/>
        <v>1</v>
      </c>
      <c r="G302" s="85">
        <v>45764</v>
      </c>
      <c r="H302" s="5">
        <v>23328.55</v>
      </c>
      <c r="I302" s="5">
        <v>23437.200000000001</v>
      </c>
      <c r="J302" s="5">
        <v>108.65</v>
      </c>
      <c r="K302" s="6">
        <v>4.657383335012249E-3</v>
      </c>
      <c r="L302" s="7" t="s">
        <v>34</v>
      </c>
      <c r="M302" s="91">
        <f>MROUND(H302,100)-100</f>
        <v>23200</v>
      </c>
      <c r="N302" s="91">
        <f>M302-O302</f>
        <v>0</v>
      </c>
      <c r="O302" s="4">
        <v>23200</v>
      </c>
      <c r="P302" s="7" t="s">
        <v>95</v>
      </c>
      <c r="Q302" s="4">
        <v>65</v>
      </c>
      <c r="R302" s="5">
        <v>157.75</v>
      </c>
      <c r="S302" s="5">
        <v>208.25</v>
      </c>
      <c r="T302" s="8">
        <v>-0.33610000000000001</v>
      </c>
      <c r="U302" s="8">
        <v>0.2467</v>
      </c>
      <c r="V302" s="5">
        <v>-50.5</v>
      </c>
      <c r="W302" s="6">
        <v>-2.1647294838299E-3</v>
      </c>
      <c r="X302" s="4">
        <v>0</v>
      </c>
      <c r="Y302" s="6">
        <v>0</v>
      </c>
      <c r="Z302" s="5">
        <v>51974.45</v>
      </c>
      <c r="AA302" s="5">
        <v>52345.55</v>
      </c>
      <c r="AB302" s="5">
        <v>371.1</v>
      </c>
      <c r="AC302" s="5">
        <v>0.71399999999999997</v>
      </c>
      <c r="AD302" s="4">
        <v>1</v>
      </c>
      <c r="AE302" s="5">
        <v>-1.6667000000000001E-2</v>
      </c>
      <c r="AF302" s="5">
        <v>362.43759999999997</v>
      </c>
      <c r="AG302" s="5">
        <v>0.69730000000000003</v>
      </c>
      <c r="AH302" s="8">
        <v>-7.0099999999999996E-2</v>
      </c>
      <c r="AI302" s="8">
        <v>0.74760000000000004</v>
      </c>
      <c r="AJ302" s="15">
        <v>275.48759999999999</v>
      </c>
      <c r="AK302" s="15">
        <v>0.3246</v>
      </c>
      <c r="AL302" s="5">
        <v>101.2122</v>
      </c>
      <c r="AM302" s="5">
        <v>101.8368</v>
      </c>
      <c r="AN302" s="5">
        <v>-0.62460000000000004</v>
      </c>
      <c r="AO302" s="5">
        <v>-0.61329999999999996</v>
      </c>
      <c r="AP302" s="8">
        <v>0.22220000000000001</v>
      </c>
      <c r="AQ302" s="8">
        <v>0.25890000000000002</v>
      </c>
      <c r="AR302" s="8">
        <v>0.22220000000000001</v>
      </c>
      <c r="AS302" s="5">
        <v>101.10890000000001</v>
      </c>
      <c r="AT302" s="5">
        <v>-0.71479999999999999</v>
      </c>
      <c r="AU302" s="7" t="s">
        <v>96</v>
      </c>
      <c r="AV302" s="7"/>
    </row>
    <row r="303" spans="1:48" ht="18" customHeight="1" x14ac:dyDescent="0.25">
      <c r="A303" s="10">
        <v>151</v>
      </c>
      <c r="B303" s="10">
        <v>2</v>
      </c>
      <c r="C303" s="10">
        <v>151</v>
      </c>
      <c r="D303" s="86">
        <v>45762</v>
      </c>
      <c r="E303" s="86">
        <v>45763</v>
      </c>
      <c r="F303" s="88" t="b">
        <f t="shared" si="4"/>
        <v>1</v>
      </c>
      <c r="G303" s="86">
        <v>45834</v>
      </c>
      <c r="H303" s="11">
        <v>23328.55</v>
      </c>
      <c r="I303" s="11">
        <v>23437.200000000001</v>
      </c>
      <c r="J303" s="12"/>
      <c r="K303" s="12"/>
      <c r="L303" s="12" t="s">
        <v>44</v>
      </c>
      <c r="M303" s="90"/>
      <c r="N303" s="90"/>
      <c r="O303" s="10">
        <v>23000</v>
      </c>
      <c r="P303" s="12" t="s">
        <v>97</v>
      </c>
      <c r="Q303" s="10">
        <v>65</v>
      </c>
      <c r="R303" s="11">
        <v>405.8</v>
      </c>
      <c r="S303" s="11">
        <v>369.35</v>
      </c>
      <c r="T303" s="13">
        <v>-0.1893</v>
      </c>
      <c r="U303" s="13">
        <v>8.2299999999999998E-2</v>
      </c>
      <c r="V303" s="10">
        <v>0</v>
      </c>
      <c r="W303" s="14">
        <v>0</v>
      </c>
      <c r="X303" s="11">
        <v>-36.450000000000003</v>
      </c>
      <c r="Y303" s="14">
        <v>-1.562463162091086E-3</v>
      </c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 t="s">
        <v>96</v>
      </c>
      <c r="AV303" s="12"/>
    </row>
    <row r="304" spans="1:48" ht="18" customHeight="1" x14ac:dyDescent="0.25">
      <c r="A304" s="4">
        <v>152</v>
      </c>
      <c r="B304" s="4">
        <v>1</v>
      </c>
      <c r="C304" s="4">
        <v>152</v>
      </c>
      <c r="D304" s="85">
        <v>45763</v>
      </c>
      <c r="E304" s="85">
        <v>45768</v>
      </c>
      <c r="F304" s="88" t="b">
        <f t="shared" si="4"/>
        <v>1</v>
      </c>
      <c r="G304" s="85">
        <v>45771</v>
      </c>
      <c r="H304" s="5">
        <v>23437.200000000001</v>
      </c>
      <c r="I304" s="5">
        <v>24125.55</v>
      </c>
      <c r="J304" s="5">
        <v>688.35</v>
      </c>
      <c r="K304" s="6">
        <v>2.9369975935691978E-2</v>
      </c>
      <c r="L304" s="7" t="s">
        <v>34</v>
      </c>
      <c r="M304" s="91">
        <f>MROUND(H304,100)-100</f>
        <v>23300</v>
      </c>
      <c r="N304" s="91">
        <f>M304-O304</f>
        <v>0</v>
      </c>
      <c r="O304" s="4">
        <v>23300</v>
      </c>
      <c r="P304" s="7" t="s">
        <v>95</v>
      </c>
      <c r="Q304" s="4">
        <v>65</v>
      </c>
      <c r="R304" s="5">
        <v>280.14999999999998</v>
      </c>
      <c r="S304" s="5">
        <v>855.4</v>
      </c>
      <c r="T304" s="8">
        <v>-2.6833</v>
      </c>
      <c r="U304" s="8">
        <v>0.29799999999999999</v>
      </c>
      <c r="V304" s="5">
        <v>-575.25</v>
      </c>
      <c r="W304" s="6">
        <v>-2.4544314167221339E-2</v>
      </c>
      <c r="X304" s="4">
        <v>0</v>
      </c>
      <c r="Y304" s="6">
        <v>0</v>
      </c>
      <c r="Z304" s="5">
        <v>52345.55</v>
      </c>
      <c r="AA304" s="5">
        <v>53974.45</v>
      </c>
      <c r="AB304" s="5">
        <v>1628.9</v>
      </c>
      <c r="AC304" s="5">
        <v>3.1118000000000001</v>
      </c>
      <c r="AD304" s="4">
        <v>5</v>
      </c>
      <c r="AE304" s="5">
        <v>-8.3333000000000004E-2</v>
      </c>
      <c r="AF304" s="5">
        <v>1585.2787000000001</v>
      </c>
      <c r="AG304" s="5">
        <v>3.0285000000000002</v>
      </c>
      <c r="AH304" s="8">
        <v>-0.55859999999999999</v>
      </c>
      <c r="AI304" s="8">
        <v>3.1225000000000001</v>
      </c>
      <c r="AJ304" s="15">
        <v>843.82870000000003</v>
      </c>
      <c r="AK304" s="15">
        <v>-0.1351</v>
      </c>
      <c r="AL304" s="5">
        <v>101.07550000000001</v>
      </c>
      <c r="AM304" s="5">
        <v>101.8368</v>
      </c>
      <c r="AN304" s="5">
        <v>-0.76129999999999998</v>
      </c>
      <c r="AO304" s="5">
        <v>-0.74760000000000004</v>
      </c>
      <c r="AP304" s="8">
        <v>-0.29380000000000001</v>
      </c>
      <c r="AQ304" s="8">
        <v>-0.13919999999999999</v>
      </c>
      <c r="AR304" s="8">
        <v>-0.29380000000000001</v>
      </c>
      <c r="AS304" s="5">
        <v>100.9148</v>
      </c>
      <c r="AT304" s="5">
        <v>-0.90529999999999999</v>
      </c>
      <c r="AU304" s="7" t="s">
        <v>102</v>
      </c>
      <c r="AV304" s="7"/>
    </row>
    <row r="305" spans="1:48" ht="18" customHeight="1" x14ac:dyDescent="0.25">
      <c r="A305" s="10">
        <v>152</v>
      </c>
      <c r="B305" s="10">
        <v>2</v>
      </c>
      <c r="C305" s="10">
        <v>152</v>
      </c>
      <c r="D305" s="86">
        <v>45763</v>
      </c>
      <c r="E305" s="86">
        <v>45768</v>
      </c>
      <c r="F305" s="88" t="b">
        <f t="shared" si="4"/>
        <v>1</v>
      </c>
      <c r="G305" s="86">
        <v>45834</v>
      </c>
      <c r="H305" s="11">
        <v>23437.200000000001</v>
      </c>
      <c r="I305" s="11">
        <v>24125.55</v>
      </c>
      <c r="J305" s="12"/>
      <c r="K305" s="12"/>
      <c r="L305" s="12" t="s">
        <v>44</v>
      </c>
      <c r="M305" s="90"/>
      <c r="N305" s="90"/>
      <c r="O305" s="10">
        <v>23000</v>
      </c>
      <c r="P305" s="12" t="s">
        <v>97</v>
      </c>
      <c r="Q305" s="10">
        <v>65</v>
      </c>
      <c r="R305" s="11">
        <v>369.35</v>
      </c>
      <c r="S305" s="11">
        <v>203.15</v>
      </c>
      <c r="T305" s="13">
        <v>-0.73299999999999998</v>
      </c>
      <c r="U305" s="13">
        <v>0.12139999999999999</v>
      </c>
      <c r="V305" s="10">
        <v>0</v>
      </c>
      <c r="W305" s="14">
        <v>0</v>
      </c>
      <c r="X305" s="11">
        <v>-166.2</v>
      </c>
      <c r="Y305" s="14">
        <v>-7.0912907685218374E-3</v>
      </c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 t="s">
        <v>102</v>
      </c>
      <c r="AV305" s="12"/>
    </row>
    <row r="306" spans="1:48" ht="18" customHeight="1" x14ac:dyDescent="0.25">
      <c r="A306" s="4">
        <v>153</v>
      </c>
      <c r="B306" s="4">
        <v>1</v>
      </c>
      <c r="C306" s="4">
        <v>153</v>
      </c>
      <c r="D306" s="85">
        <v>45768</v>
      </c>
      <c r="E306" s="85">
        <v>45770</v>
      </c>
      <c r="F306" s="88" t="b">
        <f t="shared" si="4"/>
        <v>1</v>
      </c>
      <c r="G306" s="85">
        <v>45771</v>
      </c>
      <c r="H306" s="5">
        <v>24125.55</v>
      </c>
      <c r="I306" s="5">
        <v>24328.95</v>
      </c>
      <c r="J306" s="5">
        <v>203.4</v>
      </c>
      <c r="K306" s="6">
        <v>8.4308958759489426E-3</v>
      </c>
      <c r="L306" s="7" t="s">
        <v>34</v>
      </c>
      <c r="M306" s="91">
        <f>MROUND(H306,100)-100</f>
        <v>24000</v>
      </c>
      <c r="N306" s="91">
        <f>M306-O306</f>
        <v>0</v>
      </c>
      <c r="O306" s="4">
        <v>24000</v>
      </c>
      <c r="P306" s="7" t="s">
        <v>95</v>
      </c>
      <c r="Q306" s="4">
        <v>65</v>
      </c>
      <c r="R306" s="5">
        <v>207.6</v>
      </c>
      <c r="S306" s="5">
        <v>322.35000000000002</v>
      </c>
      <c r="T306" s="8">
        <v>-0.68159999999999998</v>
      </c>
      <c r="U306" s="8">
        <v>0.18240000000000001</v>
      </c>
      <c r="V306" s="5">
        <v>-114.75</v>
      </c>
      <c r="W306" s="6">
        <v>-4.7563682485995138E-3</v>
      </c>
      <c r="X306" s="4">
        <v>0</v>
      </c>
      <c r="Y306" s="6">
        <v>0</v>
      </c>
      <c r="Z306" s="5">
        <v>53974.45</v>
      </c>
      <c r="AA306" s="5">
        <v>55041.1</v>
      </c>
      <c r="AB306" s="5">
        <v>1066.6500000000001</v>
      </c>
      <c r="AC306" s="5">
        <v>1.9762</v>
      </c>
      <c r="AD306" s="4">
        <v>2</v>
      </c>
      <c r="AE306" s="5">
        <v>-3.3333000000000002E-2</v>
      </c>
      <c r="AF306" s="5">
        <v>1048.6585</v>
      </c>
      <c r="AG306" s="5">
        <v>1.9429000000000001</v>
      </c>
      <c r="AH306" s="8">
        <v>-0.2586</v>
      </c>
      <c r="AI306" s="8">
        <v>2.0072999999999999</v>
      </c>
      <c r="AJ306" s="15">
        <v>920.25850000000003</v>
      </c>
      <c r="AK306" s="15">
        <v>1.4107000000000001</v>
      </c>
      <c r="AL306" s="5">
        <v>102.5013</v>
      </c>
      <c r="AM306" s="5">
        <v>102.5013</v>
      </c>
      <c r="AN306" s="4">
        <v>0</v>
      </c>
      <c r="AO306" s="4">
        <v>0</v>
      </c>
      <c r="AP306" s="8">
        <v>1.2030000000000001</v>
      </c>
      <c r="AQ306" s="8">
        <v>1.44E-2</v>
      </c>
      <c r="AR306" s="8">
        <v>1.44E-2</v>
      </c>
      <c r="AS306" s="5">
        <v>101.09</v>
      </c>
      <c r="AT306" s="5">
        <v>-0.73329999999999995</v>
      </c>
      <c r="AU306" s="7" t="s">
        <v>96</v>
      </c>
      <c r="AV306" s="7"/>
    </row>
    <row r="307" spans="1:48" ht="18" customHeight="1" x14ac:dyDescent="0.25">
      <c r="A307" s="10">
        <v>153</v>
      </c>
      <c r="B307" s="10">
        <v>2</v>
      </c>
      <c r="C307" s="10">
        <v>153</v>
      </c>
      <c r="D307" s="86">
        <v>45768</v>
      </c>
      <c r="E307" s="86">
        <v>45770</v>
      </c>
      <c r="F307" s="88" t="b">
        <f t="shared" si="4"/>
        <v>1</v>
      </c>
      <c r="G307" s="86">
        <v>45834</v>
      </c>
      <c r="H307" s="11">
        <v>24125.55</v>
      </c>
      <c r="I307" s="11">
        <v>24328.95</v>
      </c>
      <c r="J307" s="12"/>
      <c r="K307" s="12"/>
      <c r="L307" s="12" t="s">
        <v>44</v>
      </c>
      <c r="M307" s="90"/>
      <c r="N307" s="90"/>
      <c r="O307" s="10">
        <v>23000</v>
      </c>
      <c r="P307" s="12" t="s">
        <v>97</v>
      </c>
      <c r="Q307" s="10">
        <v>65</v>
      </c>
      <c r="R307" s="11">
        <v>203.15</v>
      </c>
      <c r="S307" s="11">
        <v>189.5</v>
      </c>
      <c r="T307" s="13">
        <v>-0.1227</v>
      </c>
      <c r="U307" s="13">
        <v>9.06E-2</v>
      </c>
      <c r="V307" s="10">
        <v>0</v>
      </c>
      <c r="W307" s="14">
        <v>0</v>
      </c>
      <c r="X307" s="11">
        <v>-13.65</v>
      </c>
      <c r="Y307" s="14">
        <v>-5.6579020996412523E-4</v>
      </c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 t="s">
        <v>96</v>
      </c>
      <c r="AV307" s="12"/>
    </row>
    <row r="308" spans="1:48" ht="18" customHeight="1" x14ac:dyDescent="0.25">
      <c r="A308" s="4">
        <v>154</v>
      </c>
      <c r="B308" s="4">
        <v>1</v>
      </c>
      <c r="C308" s="4">
        <v>154</v>
      </c>
      <c r="D308" s="85">
        <v>45770</v>
      </c>
      <c r="E308" s="85">
        <v>45776</v>
      </c>
      <c r="F308" s="88" t="b">
        <f t="shared" si="4"/>
        <v>1</v>
      </c>
      <c r="G308" s="85">
        <v>45777</v>
      </c>
      <c r="H308" s="5">
        <v>24328.95</v>
      </c>
      <c r="I308" s="5">
        <v>24335.95</v>
      </c>
      <c r="J308" s="4">
        <v>7</v>
      </c>
      <c r="K308" s="6">
        <v>2.8772306244207011E-4</v>
      </c>
      <c r="L308" s="7" t="s">
        <v>34</v>
      </c>
      <c r="M308" s="91">
        <f>MROUND(H308,100)-100</f>
        <v>24200</v>
      </c>
      <c r="N308" s="91">
        <f>M308-O308</f>
        <v>0</v>
      </c>
      <c r="O308" s="4">
        <v>24200</v>
      </c>
      <c r="P308" s="7" t="s">
        <v>95</v>
      </c>
      <c r="Q308" s="4">
        <v>65</v>
      </c>
      <c r="R308" s="5">
        <v>285.85000000000002</v>
      </c>
      <c r="S308" s="5">
        <v>140.9</v>
      </c>
      <c r="T308" s="8">
        <v>-0.12230000000000001</v>
      </c>
      <c r="U308" s="8">
        <v>0.91080000000000005</v>
      </c>
      <c r="V308" s="5">
        <v>144.94999999999999</v>
      </c>
      <c r="W308" s="6">
        <v>5.9579225572825786E-3</v>
      </c>
      <c r="X308" s="4">
        <v>0</v>
      </c>
      <c r="Y308" s="6">
        <v>0</v>
      </c>
      <c r="Z308" s="5">
        <v>55041.1</v>
      </c>
      <c r="AA308" s="5">
        <v>54587.95</v>
      </c>
      <c r="AB308" s="5">
        <v>-453.15</v>
      </c>
      <c r="AC308" s="5">
        <v>-0.82330000000000003</v>
      </c>
      <c r="AD308" s="4">
        <v>6</v>
      </c>
      <c r="AE308" s="5">
        <v>-0.1</v>
      </c>
      <c r="AF308" s="5">
        <v>-508.19110000000001</v>
      </c>
      <c r="AG308" s="5">
        <v>-0.92330000000000001</v>
      </c>
      <c r="AH308" s="8">
        <v>-3.5293999999999999</v>
      </c>
      <c r="AI308" s="8">
        <v>0.31440000000000001</v>
      </c>
      <c r="AJ308" s="9">
        <v>-354.29109999999997</v>
      </c>
      <c r="AK308" s="9">
        <v>-0.29070000000000001</v>
      </c>
      <c r="AL308" s="5">
        <v>102.2034</v>
      </c>
      <c r="AM308" s="5">
        <v>102.5013</v>
      </c>
      <c r="AN308" s="5">
        <v>-0.29799999999999999</v>
      </c>
      <c r="AO308" s="5">
        <v>-0.29070000000000001</v>
      </c>
      <c r="AP308" s="8">
        <v>0.12839999999999999</v>
      </c>
      <c r="AQ308" s="8">
        <v>-2.1972999999999998</v>
      </c>
      <c r="AR308" s="8">
        <v>-2.1972999999999998</v>
      </c>
      <c r="AS308" s="5">
        <v>100.2491</v>
      </c>
      <c r="AT308" s="5">
        <v>-2.1972999999999998</v>
      </c>
      <c r="AU308" s="7" t="s">
        <v>96</v>
      </c>
      <c r="AV308" s="7"/>
    </row>
    <row r="309" spans="1:48" ht="18" customHeight="1" x14ac:dyDescent="0.25">
      <c r="A309" s="10">
        <v>154</v>
      </c>
      <c r="B309" s="10">
        <v>2</v>
      </c>
      <c r="C309" s="10">
        <v>154</v>
      </c>
      <c r="D309" s="86">
        <v>45770</v>
      </c>
      <c r="E309" s="86">
        <v>45776</v>
      </c>
      <c r="F309" s="88" t="b">
        <f t="shared" si="4"/>
        <v>1</v>
      </c>
      <c r="G309" s="86">
        <v>45834</v>
      </c>
      <c r="H309" s="11">
        <v>24328.95</v>
      </c>
      <c r="I309" s="11">
        <v>24335.95</v>
      </c>
      <c r="J309" s="12"/>
      <c r="K309" s="12"/>
      <c r="L309" s="12" t="s">
        <v>44</v>
      </c>
      <c r="M309" s="90"/>
      <c r="N309" s="90"/>
      <c r="O309" s="10">
        <v>23000</v>
      </c>
      <c r="P309" s="12" t="s">
        <v>97</v>
      </c>
      <c r="Q309" s="10">
        <v>65</v>
      </c>
      <c r="R309" s="11">
        <v>189.5</v>
      </c>
      <c r="S309" s="11">
        <v>198.45</v>
      </c>
      <c r="T309" s="13">
        <v>-6.3700000000000007E-2</v>
      </c>
      <c r="U309" s="13">
        <v>0.42130000000000001</v>
      </c>
      <c r="V309" s="10">
        <v>0</v>
      </c>
      <c r="W309" s="14">
        <v>0</v>
      </c>
      <c r="X309" s="11">
        <v>8.9499999999999993</v>
      </c>
      <c r="Y309" s="14">
        <v>3.6787448697950378E-4</v>
      </c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 t="s">
        <v>96</v>
      </c>
      <c r="AV309" s="12"/>
    </row>
    <row r="310" spans="1:48" ht="18" customHeight="1" x14ac:dyDescent="0.25">
      <c r="A310" s="4">
        <v>155</v>
      </c>
      <c r="B310" s="4">
        <v>1</v>
      </c>
      <c r="C310" s="4">
        <v>155</v>
      </c>
      <c r="D310" s="85">
        <v>45776</v>
      </c>
      <c r="E310" s="85">
        <v>45784</v>
      </c>
      <c r="F310" s="88" t="b">
        <f t="shared" si="4"/>
        <v>1</v>
      </c>
      <c r="G310" s="85">
        <v>45785</v>
      </c>
      <c r="H310" s="5">
        <v>24335.95</v>
      </c>
      <c r="I310" s="5">
        <v>24414.400000000001</v>
      </c>
      <c r="J310" s="5">
        <v>78.45</v>
      </c>
      <c r="K310" s="6">
        <v>3.2236259525516781E-3</v>
      </c>
      <c r="L310" s="7" t="s">
        <v>34</v>
      </c>
      <c r="M310" s="91">
        <f>MROUND(H310,100)-100</f>
        <v>24200</v>
      </c>
      <c r="N310" s="91">
        <f>M310-O310</f>
        <v>0</v>
      </c>
      <c r="O310" s="4">
        <v>24200</v>
      </c>
      <c r="P310" s="7" t="s">
        <v>95</v>
      </c>
      <c r="Q310" s="4">
        <v>65</v>
      </c>
      <c r="R310" s="5">
        <v>318.45</v>
      </c>
      <c r="S310" s="5">
        <v>195.55</v>
      </c>
      <c r="T310" s="8">
        <v>-0.82410000000000005</v>
      </c>
      <c r="U310" s="8">
        <v>0.82</v>
      </c>
      <c r="V310" s="5">
        <v>122.9</v>
      </c>
      <c r="W310" s="6">
        <v>5.050141868305943E-3</v>
      </c>
      <c r="X310" s="4">
        <v>0</v>
      </c>
      <c r="Y310" s="6">
        <v>0</v>
      </c>
      <c r="Z310" s="5">
        <v>54587.95</v>
      </c>
      <c r="AA310" s="5">
        <v>54287.75</v>
      </c>
      <c r="AB310" s="5">
        <v>-300.2</v>
      </c>
      <c r="AC310" s="5">
        <v>-0.54990000000000006</v>
      </c>
      <c r="AD310" s="4">
        <v>8</v>
      </c>
      <c r="AE310" s="5">
        <v>-0.13333300000000001</v>
      </c>
      <c r="AF310" s="5">
        <v>-372.98390000000001</v>
      </c>
      <c r="AG310" s="5">
        <v>-0.68330000000000002</v>
      </c>
      <c r="AH310" s="8">
        <v>-3.5007000000000001</v>
      </c>
      <c r="AI310" s="8">
        <v>0.44540000000000002</v>
      </c>
      <c r="AJ310" s="9">
        <v>-257.38389999999998</v>
      </c>
      <c r="AK310" s="9">
        <v>-0.20830000000000001</v>
      </c>
      <c r="AL310" s="5">
        <v>101.9905</v>
      </c>
      <c r="AM310" s="5">
        <v>102.5013</v>
      </c>
      <c r="AN310" s="5">
        <v>-0.51090000000000002</v>
      </c>
      <c r="AO310" s="5">
        <v>-0.49840000000000001</v>
      </c>
      <c r="AP310" s="8">
        <v>-0.50980000000000003</v>
      </c>
      <c r="AQ310" s="8">
        <v>-2.4733999999999998</v>
      </c>
      <c r="AR310" s="8">
        <v>-2.4733999999999998</v>
      </c>
      <c r="AS310" s="5">
        <v>99.6755</v>
      </c>
      <c r="AT310" s="5">
        <v>-2.7568999999999999</v>
      </c>
      <c r="AU310" s="7" t="s">
        <v>96</v>
      </c>
      <c r="AV310" s="7"/>
    </row>
    <row r="311" spans="1:48" ht="18" customHeight="1" x14ac:dyDescent="0.25">
      <c r="A311" s="10">
        <v>155</v>
      </c>
      <c r="B311" s="10">
        <v>2</v>
      </c>
      <c r="C311" s="10">
        <v>155</v>
      </c>
      <c r="D311" s="86">
        <v>45776</v>
      </c>
      <c r="E311" s="86">
        <v>45784</v>
      </c>
      <c r="F311" s="88" t="b">
        <f t="shared" si="4"/>
        <v>1</v>
      </c>
      <c r="G311" s="86">
        <v>45834</v>
      </c>
      <c r="H311" s="11">
        <v>24335.95</v>
      </c>
      <c r="I311" s="11">
        <v>24414.400000000001</v>
      </c>
      <c r="J311" s="12"/>
      <c r="K311" s="12"/>
      <c r="L311" s="12" t="s">
        <v>44</v>
      </c>
      <c r="M311" s="90"/>
      <c r="N311" s="90"/>
      <c r="O311" s="10">
        <v>23000</v>
      </c>
      <c r="P311" s="12" t="s">
        <v>97</v>
      </c>
      <c r="Q311" s="10">
        <v>65</v>
      </c>
      <c r="R311" s="11">
        <v>198.45</v>
      </c>
      <c r="S311" s="11">
        <v>191.15</v>
      </c>
      <c r="T311" s="13">
        <v>-0.13109999999999999</v>
      </c>
      <c r="U311" s="13">
        <v>0.20730000000000001</v>
      </c>
      <c r="V311" s="10">
        <v>0</v>
      </c>
      <c r="W311" s="14">
        <v>0</v>
      </c>
      <c r="X311" s="11">
        <v>-7.3</v>
      </c>
      <c r="Y311" s="14">
        <v>-2.9996774319473871E-4</v>
      </c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 t="s">
        <v>96</v>
      </c>
      <c r="AV311" s="12"/>
    </row>
    <row r="312" spans="1:48" ht="18" customHeight="1" x14ac:dyDescent="0.25">
      <c r="A312" s="4">
        <v>156</v>
      </c>
      <c r="B312" s="4">
        <v>1</v>
      </c>
      <c r="C312" s="4">
        <v>156</v>
      </c>
      <c r="D312" s="85">
        <v>45784</v>
      </c>
      <c r="E312" s="85">
        <v>45789</v>
      </c>
      <c r="F312" s="88" t="b">
        <f t="shared" si="4"/>
        <v>1</v>
      </c>
      <c r="G312" s="85">
        <v>45792</v>
      </c>
      <c r="H312" s="5">
        <v>24414.400000000001</v>
      </c>
      <c r="I312" s="5">
        <v>24924.7</v>
      </c>
      <c r="J312" s="5">
        <v>510.3</v>
      </c>
      <c r="K312" s="6">
        <v>2.0901599056294649E-2</v>
      </c>
      <c r="L312" s="7" t="s">
        <v>34</v>
      </c>
      <c r="M312" s="91">
        <f>MROUND(H312,100)-100</f>
        <v>24300</v>
      </c>
      <c r="N312" s="91">
        <f>M312-O312</f>
        <v>0</v>
      </c>
      <c r="O312" s="4">
        <v>24300</v>
      </c>
      <c r="P312" s="7" t="s">
        <v>95</v>
      </c>
      <c r="Q312" s="4">
        <v>65</v>
      </c>
      <c r="R312" s="5">
        <v>286.05</v>
      </c>
      <c r="S312" s="5">
        <v>696.4</v>
      </c>
      <c r="T312" s="8">
        <v>-1.7938000000000001</v>
      </c>
      <c r="U312" s="8">
        <v>0.83909999999999996</v>
      </c>
      <c r="V312" s="5">
        <v>-410.35</v>
      </c>
      <c r="W312" s="6">
        <v>-1.6807703650304741E-2</v>
      </c>
      <c r="X312" s="4">
        <v>0</v>
      </c>
      <c r="Y312" s="6">
        <v>0</v>
      </c>
      <c r="Z312" s="5">
        <v>54287.75</v>
      </c>
      <c r="AA312" s="5">
        <v>55416.05</v>
      </c>
      <c r="AB312" s="5">
        <v>1128.3</v>
      </c>
      <c r="AC312" s="5">
        <v>2.0783999999999998</v>
      </c>
      <c r="AD312" s="4">
        <v>5</v>
      </c>
      <c r="AE312" s="5">
        <v>-8.3333000000000004E-2</v>
      </c>
      <c r="AF312" s="5">
        <v>1083.0601999999999</v>
      </c>
      <c r="AG312" s="5">
        <v>1.9950000000000001</v>
      </c>
      <c r="AH312" s="8">
        <v>-4.0731000000000002</v>
      </c>
      <c r="AI312" s="8">
        <v>2.0413000000000001</v>
      </c>
      <c r="AJ312" s="15">
        <v>507.66019999999997</v>
      </c>
      <c r="AK312" s="15">
        <v>-0.36180000000000001</v>
      </c>
      <c r="AL312" s="5">
        <v>101.6215</v>
      </c>
      <c r="AM312" s="5">
        <v>102.5013</v>
      </c>
      <c r="AN312" s="5">
        <v>-0.87990000000000002</v>
      </c>
      <c r="AO312" s="5">
        <v>-0.85840000000000005</v>
      </c>
      <c r="AP312" s="8">
        <v>-0.47089999999999999</v>
      </c>
      <c r="AQ312" s="8">
        <v>-2.3458000000000001</v>
      </c>
      <c r="AR312" s="8">
        <v>-2.3458000000000001</v>
      </c>
      <c r="AS312" s="5">
        <v>99.597999999999999</v>
      </c>
      <c r="AT312" s="5">
        <v>-2.8325</v>
      </c>
      <c r="AU312" s="7" t="s">
        <v>102</v>
      </c>
      <c r="AV312" s="7"/>
    </row>
    <row r="313" spans="1:48" ht="18" customHeight="1" x14ac:dyDescent="0.25">
      <c r="A313" s="10">
        <v>156</v>
      </c>
      <c r="B313" s="10">
        <v>2</v>
      </c>
      <c r="C313" s="10">
        <v>156</v>
      </c>
      <c r="D313" s="86">
        <v>45784</v>
      </c>
      <c r="E313" s="86">
        <v>45789</v>
      </c>
      <c r="F313" s="88" t="b">
        <f t="shared" si="4"/>
        <v>1</v>
      </c>
      <c r="G313" s="86">
        <v>45834</v>
      </c>
      <c r="H313" s="11">
        <v>24414.400000000001</v>
      </c>
      <c r="I313" s="11">
        <v>24924.7</v>
      </c>
      <c r="J313" s="12"/>
      <c r="K313" s="12"/>
      <c r="L313" s="12" t="s">
        <v>44</v>
      </c>
      <c r="M313" s="90"/>
      <c r="N313" s="90"/>
      <c r="O313" s="10">
        <v>24000</v>
      </c>
      <c r="P313" s="12" t="s">
        <v>97</v>
      </c>
      <c r="Q313" s="10">
        <v>65</v>
      </c>
      <c r="R313" s="11">
        <v>376.4</v>
      </c>
      <c r="S313" s="11">
        <v>211.35</v>
      </c>
      <c r="T313" s="13">
        <v>-0.71840000000000004</v>
      </c>
      <c r="U313" s="13">
        <v>0.88819999999999999</v>
      </c>
      <c r="V313" s="10">
        <v>0</v>
      </c>
      <c r="W313" s="14">
        <v>0</v>
      </c>
      <c r="X313" s="11">
        <v>-165.05</v>
      </c>
      <c r="Y313" s="14">
        <v>-6.7603545448587724E-3</v>
      </c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 t="s">
        <v>102</v>
      </c>
      <c r="AV313" s="12"/>
    </row>
    <row r="314" spans="1:48" ht="18" customHeight="1" x14ac:dyDescent="0.25">
      <c r="A314" s="4">
        <v>157</v>
      </c>
      <c r="B314" s="4">
        <v>1</v>
      </c>
      <c r="C314" s="4">
        <v>157</v>
      </c>
      <c r="D314" s="85">
        <v>45789</v>
      </c>
      <c r="E314" s="85">
        <v>45791</v>
      </c>
      <c r="F314" s="88" t="b">
        <f t="shared" si="4"/>
        <v>1</v>
      </c>
      <c r="G314" s="85">
        <v>45792</v>
      </c>
      <c r="H314" s="5">
        <v>24924.7</v>
      </c>
      <c r="I314" s="5">
        <v>24666.9</v>
      </c>
      <c r="J314" s="5">
        <v>-257.8</v>
      </c>
      <c r="K314" s="6">
        <v>-1.0343153578578681E-2</v>
      </c>
      <c r="L314" s="7" t="s">
        <v>34</v>
      </c>
      <c r="M314" s="91">
        <f>MROUND(H314,100)-100</f>
        <v>24800</v>
      </c>
      <c r="N314" s="91">
        <f>M314-O314</f>
        <v>0</v>
      </c>
      <c r="O314" s="4">
        <v>24800</v>
      </c>
      <c r="P314" s="7" t="s">
        <v>95</v>
      </c>
      <c r="Q314" s="4">
        <v>65</v>
      </c>
      <c r="R314" s="5">
        <v>292.39999999999998</v>
      </c>
      <c r="S314" s="5">
        <v>38.4</v>
      </c>
      <c r="T314" s="8">
        <v>2.23E-2</v>
      </c>
      <c r="U314" s="8">
        <v>1.0831</v>
      </c>
      <c r="V314" s="4">
        <v>254</v>
      </c>
      <c r="W314" s="6">
        <v>1.0190694371446801E-2</v>
      </c>
      <c r="X314" s="4">
        <v>0</v>
      </c>
      <c r="Y314" s="6">
        <v>0</v>
      </c>
      <c r="Z314" s="5">
        <v>55416.05</v>
      </c>
      <c r="AA314" s="5">
        <v>56136.4</v>
      </c>
      <c r="AB314" s="5">
        <v>720.35</v>
      </c>
      <c r="AC314" s="5">
        <v>1.2999000000000001</v>
      </c>
      <c r="AD314" s="4">
        <v>2</v>
      </c>
      <c r="AE314" s="5">
        <v>-3.3333000000000002E-2</v>
      </c>
      <c r="AF314" s="5">
        <v>701.87800000000004</v>
      </c>
      <c r="AG314" s="5">
        <v>1.2665999999999999</v>
      </c>
      <c r="AH314" s="8">
        <v>-0.2888</v>
      </c>
      <c r="AI314" s="8">
        <v>1.3756999999999999</v>
      </c>
      <c r="AJ314" s="15">
        <v>982.57799999999997</v>
      </c>
      <c r="AK314" s="15">
        <v>2.3927999999999998</v>
      </c>
      <c r="AL314" s="5">
        <v>104.0531</v>
      </c>
      <c r="AM314" s="5">
        <v>104.0531</v>
      </c>
      <c r="AN314" s="4">
        <v>0</v>
      </c>
      <c r="AO314" s="4">
        <v>0</v>
      </c>
      <c r="AP314" s="8">
        <v>1.3647</v>
      </c>
      <c r="AQ314" s="8">
        <v>1.0824</v>
      </c>
      <c r="AR314" s="8">
        <v>1.0824</v>
      </c>
      <c r="AS314" s="5">
        <v>102.7214</v>
      </c>
      <c r="AT314" s="5">
        <v>0.2147</v>
      </c>
      <c r="AU314" s="7" t="s">
        <v>96</v>
      </c>
      <c r="AV314" s="7"/>
    </row>
    <row r="315" spans="1:48" ht="18" customHeight="1" x14ac:dyDescent="0.25">
      <c r="A315" s="10">
        <v>157</v>
      </c>
      <c r="B315" s="10">
        <v>2</v>
      </c>
      <c r="C315" s="10">
        <v>157</v>
      </c>
      <c r="D315" s="86">
        <v>45789</v>
      </c>
      <c r="E315" s="86">
        <v>45791</v>
      </c>
      <c r="F315" s="88" t="b">
        <f t="shared" si="4"/>
        <v>1</v>
      </c>
      <c r="G315" s="86">
        <v>45834</v>
      </c>
      <c r="H315" s="11">
        <v>24924.7</v>
      </c>
      <c r="I315" s="11">
        <v>24666.9</v>
      </c>
      <c r="J315" s="12"/>
      <c r="K315" s="12"/>
      <c r="L315" s="12" t="s">
        <v>44</v>
      </c>
      <c r="M315" s="90"/>
      <c r="N315" s="90"/>
      <c r="O315" s="10">
        <v>24000</v>
      </c>
      <c r="P315" s="12" t="s">
        <v>97</v>
      </c>
      <c r="Q315" s="10">
        <v>65</v>
      </c>
      <c r="R315" s="11">
        <v>211.35</v>
      </c>
      <c r="S315" s="11">
        <v>238.05</v>
      </c>
      <c r="T315" s="13">
        <v>-3.3300000000000003E-2</v>
      </c>
      <c r="U315" s="13">
        <v>0.28810000000000002</v>
      </c>
      <c r="V315" s="10">
        <v>0</v>
      </c>
      <c r="W315" s="14">
        <v>0</v>
      </c>
      <c r="X315" s="11">
        <v>26.7</v>
      </c>
      <c r="Y315" s="14">
        <v>1.071226534321376E-3</v>
      </c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 t="s">
        <v>96</v>
      </c>
      <c r="AV315" s="12"/>
    </row>
    <row r="316" spans="1:48" ht="18" customHeight="1" x14ac:dyDescent="0.25">
      <c r="A316" s="4">
        <v>158</v>
      </c>
      <c r="B316" s="4">
        <v>1</v>
      </c>
      <c r="C316" s="4">
        <v>158</v>
      </c>
      <c r="D316" s="85">
        <v>45791</v>
      </c>
      <c r="E316" s="85">
        <v>45798</v>
      </c>
      <c r="F316" s="88" t="b">
        <f t="shared" si="4"/>
        <v>1</v>
      </c>
      <c r="G316" s="85">
        <v>45799</v>
      </c>
      <c r="H316" s="5">
        <v>24666.9</v>
      </c>
      <c r="I316" s="5">
        <v>24813.45</v>
      </c>
      <c r="J316" s="5">
        <v>146.55000000000001</v>
      </c>
      <c r="K316" s="6">
        <v>5.9411600160539021E-3</v>
      </c>
      <c r="L316" s="7" t="s">
        <v>34</v>
      </c>
      <c r="M316" s="91">
        <f>MROUND(H316,100)-100</f>
        <v>24600</v>
      </c>
      <c r="N316" s="91">
        <f>M316-O316</f>
        <v>0</v>
      </c>
      <c r="O316" s="4">
        <v>24600</v>
      </c>
      <c r="P316" s="7" t="s">
        <v>95</v>
      </c>
      <c r="Q316" s="4">
        <v>65</v>
      </c>
      <c r="R316" s="5">
        <v>260.14999999999998</v>
      </c>
      <c r="S316" s="5">
        <v>233.3</v>
      </c>
      <c r="T316" s="8">
        <v>-1.2967</v>
      </c>
      <c r="U316" s="8">
        <v>0.37180000000000002</v>
      </c>
      <c r="V316" s="5">
        <v>26.85</v>
      </c>
      <c r="W316" s="6">
        <v>1.0885032168614619E-3</v>
      </c>
      <c r="X316" s="4">
        <v>0</v>
      </c>
      <c r="Y316" s="6">
        <v>0</v>
      </c>
      <c r="Z316" s="5">
        <v>56136.4</v>
      </c>
      <c r="AA316" s="5">
        <v>56619.6</v>
      </c>
      <c r="AB316" s="5">
        <v>483.2</v>
      </c>
      <c r="AC316" s="5">
        <v>0.86080000000000001</v>
      </c>
      <c r="AD316" s="4">
        <v>7</v>
      </c>
      <c r="AE316" s="5">
        <v>-0.11666700000000001</v>
      </c>
      <c r="AF316" s="5">
        <v>417.70749999999998</v>
      </c>
      <c r="AG316" s="5">
        <v>0.74409999999999998</v>
      </c>
      <c r="AH316" s="8">
        <v>-0.35589999999999999</v>
      </c>
      <c r="AI316" s="8">
        <v>2.2582</v>
      </c>
      <c r="AJ316" s="15">
        <v>396.40750000000003</v>
      </c>
      <c r="AK316" s="15">
        <v>0.65769999999999995</v>
      </c>
      <c r="AL316" s="5">
        <v>104.73739999999999</v>
      </c>
      <c r="AM316" s="5">
        <v>104.73739999999999</v>
      </c>
      <c r="AN316" s="4">
        <v>0</v>
      </c>
      <c r="AO316" s="4">
        <v>0</v>
      </c>
      <c r="AP316" s="8">
        <v>0.54859999999999998</v>
      </c>
      <c r="AQ316" s="8">
        <v>0.1047</v>
      </c>
      <c r="AR316" s="8">
        <v>0.1047</v>
      </c>
      <c r="AS316" s="5">
        <v>104.16200000000001</v>
      </c>
      <c r="AT316" s="5">
        <v>0.1047</v>
      </c>
      <c r="AU316" s="7" t="s">
        <v>96</v>
      </c>
      <c r="AV316" s="7"/>
    </row>
    <row r="317" spans="1:48" ht="18" customHeight="1" x14ac:dyDescent="0.25">
      <c r="A317" s="10">
        <v>158</v>
      </c>
      <c r="B317" s="10">
        <v>2</v>
      </c>
      <c r="C317" s="10">
        <v>158</v>
      </c>
      <c r="D317" s="86">
        <v>45791</v>
      </c>
      <c r="E317" s="86">
        <v>45798</v>
      </c>
      <c r="F317" s="88" t="b">
        <f t="shared" si="4"/>
        <v>1</v>
      </c>
      <c r="G317" s="86">
        <v>45834</v>
      </c>
      <c r="H317" s="11">
        <v>24666.9</v>
      </c>
      <c r="I317" s="11">
        <v>24813.45</v>
      </c>
      <c r="J317" s="12"/>
      <c r="K317" s="12"/>
      <c r="L317" s="12" t="s">
        <v>44</v>
      </c>
      <c r="M317" s="90"/>
      <c r="N317" s="90"/>
      <c r="O317" s="10">
        <v>24000</v>
      </c>
      <c r="P317" s="12" t="s">
        <v>97</v>
      </c>
      <c r="Q317" s="10">
        <v>65</v>
      </c>
      <c r="R317" s="11">
        <v>238.05</v>
      </c>
      <c r="S317" s="11">
        <v>189.9</v>
      </c>
      <c r="T317" s="13">
        <v>-0.41289999999999999</v>
      </c>
      <c r="U317" s="13">
        <v>8.8800000000000004E-2</v>
      </c>
      <c r="V317" s="10">
        <v>0</v>
      </c>
      <c r="W317" s="14">
        <v>0</v>
      </c>
      <c r="X317" s="11">
        <v>-48.15</v>
      </c>
      <c r="Y317" s="14">
        <v>-1.952008562081169E-3</v>
      </c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 t="s">
        <v>96</v>
      </c>
      <c r="AV317" s="12"/>
    </row>
    <row r="318" spans="1:48" ht="18" customHeight="1" x14ac:dyDescent="0.25">
      <c r="A318" s="4">
        <v>159</v>
      </c>
      <c r="B318" s="4">
        <v>1</v>
      </c>
      <c r="C318" s="4">
        <v>159</v>
      </c>
      <c r="D318" s="85">
        <v>45798</v>
      </c>
      <c r="E318" s="85">
        <v>45805</v>
      </c>
      <c r="F318" s="88" t="b">
        <f t="shared" si="4"/>
        <v>1</v>
      </c>
      <c r="G318" s="85">
        <v>45806</v>
      </c>
      <c r="H318" s="5">
        <v>24813.45</v>
      </c>
      <c r="I318" s="5">
        <v>24752.45</v>
      </c>
      <c r="J318" s="4">
        <v>-61</v>
      </c>
      <c r="K318" s="6">
        <v>-2.458344164152909E-3</v>
      </c>
      <c r="L318" s="7" t="s">
        <v>34</v>
      </c>
      <c r="M318" s="91">
        <f>MROUND(H318,100)-100</f>
        <v>24700</v>
      </c>
      <c r="N318" s="91">
        <f>M318-O318</f>
        <v>0</v>
      </c>
      <c r="O318" s="4">
        <v>24700</v>
      </c>
      <c r="P318" s="7" t="s">
        <v>95</v>
      </c>
      <c r="Q318" s="4">
        <v>65</v>
      </c>
      <c r="R318" s="5">
        <v>304.5</v>
      </c>
      <c r="S318" s="5">
        <v>146.4</v>
      </c>
      <c r="T318" s="8">
        <v>-0.75519999999999998</v>
      </c>
      <c r="U318" s="8">
        <v>0.70689999999999997</v>
      </c>
      <c r="V318" s="5">
        <v>158.1</v>
      </c>
      <c r="W318" s="6">
        <v>6.3715444647963098E-3</v>
      </c>
      <c r="X318" s="4">
        <v>0</v>
      </c>
      <c r="Y318" s="6">
        <v>0</v>
      </c>
      <c r="Z318" s="5">
        <v>56619.6</v>
      </c>
      <c r="AA318" s="5">
        <v>57141.4</v>
      </c>
      <c r="AB318" s="5">
        <v>521.79999999999995</v>
      </c>
      <c r="AC318" s="5">
        <v>0.92159999999999997</v>
      </c>
      <c r="AD318" s="4">
        <v>7</v>
      </c>
      <c r="AE318" s="5">
        <v>-0.11666700000000001</v>
      </c>
      <c r="AF318" s="5">
        <v>455.74380000000002</v>
      </c>
      <c r="AG318" s="5">
        <v>0.80489999999999995</v>
      </c>
      <c r="AH318" s="8">
        <v>-1.159</v>
      </c>
      <c r="AI318" s="8">
        <v>1.3956</v>
      </c>
      <c r="AJ318" s="15">
        <v>596.04380000000003</v>
      </c>
      <c r="AK318" s="15">
        <v>1.3703000000000001</v>
      </c>
      <c r="AL318" s="5">
        <v>106.1726</v>
      </c>
      <c r="AM318" s="5">
        <v>106.1726</v>
      </c>
      <c r="AN318" s="4">
        <v>0</v>
      </c>
      <c r="AO318" s="4">
        <v>0</v>
      </c>
      <c r="AP318" s="8">
        <v>0.39760000000000001</v>
      </c>
      <c r="AQ318" s="8">
        <v>-0.2165</v>
      </c>
      <c r="AR318" s="8">
        <v>-0.2165</v>
      </c>
      <c r="AS318" s="5">
        <v>104.5107</v>
      </c>
      <c r="AT318" s="5">
        <v>-0.2165</v>
      </c>
      <c r="AU318" s="7" t="s">
        <v>96</v>
      </c>
      <c r="AV318" s="7"/>
    </row>
    <row r="319" spans="1:48" ht="18" customHeight="1" x14ac:dyDescent="0.25">
      <c r="A319" s="10">
        <v>159</v>
      </c>
      <c r="B319" s="10">
        <v>2</v>
      </c>
      <c r="C319" s="10">
        <v>159</v>
      </c>
      <c r="D319" s="86">
        <v>45798</v>
      </c>
      <c r="E319" s="86">
        <v>45805</v>
      </c>
      <c r="F319" s="88" t="b">
        <f t="shared" si="4"/>
        <v>1</v>
      </c>
      <c r="G319" s="86">
        <v>45834</v>
      </c>
      <c r="H319" s="11">
        <v>24813.45</v>
      </c>
      <c r="I319" s="11">
        <v>24752.45</v>
      </c>
      <c r="J319" s="12"/>
      <c r="K319" s="12"/>
      <c r="L319" s="12" t="s">
        <v>44</v>
      </c>
      <c r="M319" s="90"/>
      <c r="N319" s="90"/>
      <c r="O319" s="10">
        <v>24000</v>
      </c>
      <c r="P319" s="12" t="s">
        <v>97</v>
      </c>
      <c r="Q319" s="10">
        <v>65</v>
      </c>
      <c r="R319" s="11">
        <v>189.9</v>
      </c>
      <c r="S319" s="11">
        <v>172.1</v>
      </c>
      <c r="T319" s="13">
        <v>-0.24279999999999999</v>
      </c>
      <c r="U319" s="13">
        <v>0.2356</v>
      </c>
      <c r="V319" s="10">
        <v>0</v>
      </c>
      <c r="W319" s="14">
        <v>0</v>
      </c>
      <c r="X319" s="11">
        <v>-17.8</v>
      </c>
      <c r="Y319" s="14">
        <v>-7.1735288724461934E-4</v>
      </c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 t="s">
        <v>96</v>
      </c>
      <c r="AV319" s="12"/>
    </row>
    <row r="320" spans="1:48" ht="18" customHeight="1" x14ac:dyDescent="0.25">
      <c r="A320" s="4">
        <v>160</v>
      </c>
      <c r="B320" s="4">
        <v>1</v>
      </c>
      <c r="C320" s="4">
        <v>160</v>
      </c>
      <c r="D320" s="85">
        <v>45805</v>
      </c>
      <c r="E320" s="85">
        <v>45812</v>
      </c>
      <c r="F320" s="88" t="b">
        <f t="shared" si="4"/>
        <v>1</v>
      </c>
      <c r="G320" s="85">
        <v>45813</v>
      </c>
      <c r="H320" s="5">
        <v>24752.45</v>
      </c>
      <c r="I320" s="5">
        <v>24620.2</v>
      </c>
      <c r="J320" s="5">
        <v>-132.25</v>
      </c>
      <c r="K320" s="6">
        <v>-5.3429054497635582E-3</v>
      </c>
      <c r="L320" s="7" t="s">
        <v>34</v>
      </c>
      <c r="M320" s="91">
        <f>MROUND(H320,100)-100</f>
        <v>24700</v>
      </c>
      <c r="N320" s="91">
        <f>M320-O320</f>
        <v>0</v>
      </c>
      <c r="O320" s="4">
        <v>24700</v>
      </c>
      <c r="P320" s="7" t="s">
        <v>95</v>
      </c>
      <c r="Q320" s="4">
        <v>65</v>
      </c>
      <c r="R320" s="5">
        <v>304.10000000000002</v>
      </c>
      <c r="S320" s="5">
        <v>53.55</v>
      </c>
      <c r="T320" s="8">
        <v>-0.24199999999999999</v>
      </c>
      <c r="U320" s="8">
        <v>1.0645</v>
      </c>
      <c r="V320" s="5">
        <v>250.55</v>
      </c>
      <c r="W320" s="6">
        <v>1.012223032467493E-2</v>
      </c>
      <c r="X320" s="4">
        <v>0</v>
      </c>
      <c r="Y320" s="6">
        <v>0</v>
      </c>
      <c r="Z320" s="5">
        <v>57141.4</v>
      </c>
      <c r="AA320" s="5">
        <v>57924.65</v>
      </c>
      <c r="AB320" s="5">
        <v>783.25</v>
      </c>
      <c r="AC320" s="5">
        <v>1.3707</v>
      </c>
      <c r="AD320" s="4">
        <v>7</v>
      </c>
      <c r="AE320" s="5">
        <v>-0.11666700000000001</v>
      </c>
      <c r="AF320" s="5">
        <v>716.58500000000004</v>
      </c>
      <c r="AG320" s="5">
        <v>1.2541</v>
      </c>
      <c r="AH320" s="8">
        <v>-0.14510000000000001</v>
      </c>
      <c r="AI320" s="8">
        <v>1.4483999999999999</v>
      </c>
      <c r="AJ320" s="15">
        <v>1001.485</v>
      </c>
      <c r="AK320" s="15">
        <v>2.4051</v>
      </c>
      <c r="AL320" s="5">
        <v>108.72620000000001</v>
      </c>
      <c r="AM320" s="5">
        <v>108.72620000000001</v>
      </c>
      <c r="AN320" s="4">
        <v>0</v>
      </c>
      <c r="AO320" s="4">
        <v>0</v>
      </c>
      <c r="AP320" s="8">
        <v>0.98760000000000003</v>
      </c>
      <c r="AQ320" s="8">
        <v>1.3107</v>
      </c>
      <c r="AR320" s="8">
        <v>0.98760000000000003</v>
      </c>
      <c r="AS320" s="5">
        <v>107.2212</v>
      </c>
      <c r="AT320" s="5">
        <v>0.98760000000000003</v>
      </c>
      <c r="AU320" s="7" t="s">
        <v>96</v>
      </c>
      <c r="AV320" s="7"/>
    </row>
    <row r="321" spans="1:48" ht="18" customHeight="1" x14ac:dyDescent="0.25">
      <c r="A321" s="10">
        <v>160</v>
      </c>
      <c r="B321" s="10">
        <v>2</v>
      </c>
      <c r="C321" s="10">
        <v>160</v>
      </c>
      <c r="D321" s="86">
        <v>45805</v>
      </c>
      <c r="E321" s="86">
        <v>45812</v>
      </c>
      <c r="F321" s="88" t="b">
        <f t="shared" si="4"/>
        <v>1</v>
      </c>
      <c r="G321" s="86">
        <v>46021</v>
      </c>
      <c r="H321" s="11">
        <v>24752.45</v>
      </c>
      <c r="I321" s="11">
        <v>24620.2</v>
      </c>
      <c r="J321" s="12"/>
      <c r="K321" s="12"/>
      <c r="L321" s="12" t="s">
        <v>44</v>
      </c>
      <c r="M321" s="90"/>
      <c r="N321" s="90"/>
      <c r="O321" s="10">
        <v>25000</v>
      </c>
      <c r="P321" s="12" t="s">
        <v>97</v>
      </c>
      <c r="Q321" s="10">
        <v>65</v>
      </c>
      <c r="R321" s="11">
        <v>769.6</v>
      </c>
      <c r="S321" s="11">
        <v>803.95</v>
      </c>
      <c r="T321" s="13">
        <v>-0.21879999999999999</v>
      </c>
      <c r="U321" s="13">
        <v>0.39129999999999998</v>
      </c>
      <c r="V321" s="10">
        <v>0</v>
      </c>
      <c r="W321" s="14">
        <v>0</v>
      </c>
      <c r="X321" s="11">
        <v>34.35</v>
      </c>
      <c r="Y321" s="14">
        <v>1.387741415496244E-3</v>
      </c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 t="s">
        <v>96</v>
      </c>
      <c r="AV321" s="12"/>
    </row>
    <row r="322" spans="1:48" ht="18" customHeight="1" x14ac:dyDescent="0.25">
      <c r="A322" s="4">
        <v>161</v>
      </c>
      <c r="B322" s="4">
        <v>1</v>
      </c>
      <c r="C322" s="4">
        <v>161</v>
      </c>
      <c r="D322" s="85">
        <v>45812</v>
      </c>
      <c r="E322" s="85">
        <v>45819</v>
      </c>
      <c r="F322" s="88" t="b">
        <f t="shared" si="4"/>
        <v>1</v>
      </c>
      <c r="G322" s="85">
        <v>45820</v>
      </c>
      <c r="H322" s="5">
        <v>24620.2</v>
      </c>
      <c r="I322" s="5">
        <v>25141.4</v>
      </c>
      <c r="J322" s="5">
        <v>521.20000000000005</v>
      </c>
      <c r="K322" s="6">
        <v>2.1169608695298981E-2</v>
      </c>
      <c r="L322" s="7" t="s">
        <v>34</v>
      </c>
      <c r="M322" s="91">
        <f>MROUND(H322,100)-100</f>
        <v>24500</v>
      </c>
      <c r="N322" s="91">
        <f>M322-O322</f>
        <v>0</v>
      </c>
      <c r="O322" s="4">
        <v>24500</v>
      </c>
      <c r="P322" s="7" t="s">
        <v>95</v>
      </c>
      <c r="Q322" s="4">
        <v>65</v>
      </c>
      <c r="R322" s="5">
        <v>302.75</v>
      </c>
      <c r="S322" s="5">
        <v>629.9</v>
      </c>
      <c r="T322" s="8">
        <v>-1.7242</v>
      </c>
      <c r="U322" s="8">
        <v>7.3099999999999998E-2</v>
      </c>
      <c r="V322" s="5">
        <v>-327.14999999999998</v>
      </c>
      <c r="W322" s="6">
        <v>-1.328786931056612E-2</v>
      </c>
      <c r="X322" s="4">
        <v>0</v>
      </c>
      <c r="Y322" s="6">
        <v>0</v>
      </c>
      <c r="Z322" s="5">
        <v>57924.65</v>
      </c>
      <c r="AA322" s="5">
        <v>59388.15</v>
      </c>
      <c r="AB322" s="5">
        <v>1463.5</v>
      </c>
      <c r="AC322" s="5">
        <v>2.5266000000000002</v>
      </c>
      <c r="AD322" s="4">
        <v>7</v>
      </c>
      <c r="AE322" s="5">
        <v>-0.11666700000000001</v>
      </c>
      <c r="AF322" s="5">
        <v>1395.9212</v>
      </c>
      <c r="AG322" s="5">
        <v>2.4098999999999999</v>
      </c>
      <c r="AH322" s="8">
        <v>0.1384</v>
      </c>
      <c r="AI322" s="8">
        <v>3.4239999999999999</v>
      </c>
      <c r="AJ322" s="15">
        <v>886.27120000000002</v>
      </c>
      <c r="AK322" s="15">
        <v>0.33989999999999998</v>
      </c>
      <c r="AL322" s="5">
        <v>109.0958</v>
      </c>
      <c r="AM322" s="5">
        <v>109.0958</v>
      </c>
      <c r="AN322" s="4">
        <v>0</v>
      </c>
      <c r="AO322" s="4">
        <v>0</v>
      </c>
      <c r="AP322" s="8">
        <v>0.87139999999999995</v>
      </c>
      <c r="AQ322" s="8">
        <v>0.21049999999999999</v>
      </c>
      <c r="AR322" s="8">
        <v>0.21049999999999999</v>
      </c>
      <c r="AS322" s="5">
        <v>108.9551</v>
      </c>
      <c r="AT322" s="5">
        <v>0.21049999999999999</v>
      </c>
      <c r="AU322" s="7" t="s">
        <v>99</v>
      </c>
      <c r="AV322" s="7"/>
    </row>
    <row r="323" spans="1:48" ht="18" customHeight="1" x14ac:dyDescent="0.25">
      <c r="A323" s="10">
        <v>161</v>
      </c>
      <c r="B323" s="10">
        <v>2</v>
      </c>
      <c r="C323" s="10">
        <v>161</v>
      </c>
      <c r="D323" s="86">
        <v>45812</v>
      </c>
      <c r="E323" s="86">
        <v>45819</v>
      </c>
      <c r="F323" s="88" t="b">
        <f t="shared" si="4"/>
        <v>1</v>
      </c>
      <c r="G323" s="86">
        <v>46021</v>
      </c>
      <c r="H323" s="11">
        <v>24620.2</v>
      </c>
      <c r="I323" s="11">
        <v>25141.4</v>
      </c>
      <c r="J323" s="12"/>
      <c r="K323" s="12"/>
      <c r="L323" s="12" t="s">
        <v>44</v>
      </c>
      <c r="M323" s="90"/>
      <c r="N323" s="90"/>
      <c r="O323" s="10">
        <v>25000</v>
      </c>
      <c r="P323" s="12" t="s">
        <v>97</v>
      </c>
      <c r="Q323" s="10">
        <v>65</v>
      </c>
      <c r="R323" s="11">
        <v>803.95</v>
      </c>
      <c r="S323" s="11">
        <v>621.45000000000005</v>
      </c>
      <c r="T323" s="13">
        <v>-0.82840000000000003</v>
      </c>
      <c r="U323" s="13">
        <v>-1E-3</v>
      </c>
      <c r="V323" s="10">
        <v>0</v>
      </c>
      <c r="W323" s="14">
        <v>0</v>
      </c>
      <c r="X323" s="11">
        <v>-182.5</v>
      </c>
      <c r="Y323" s="14">
        <v>-7.4126124076977443E-3</v>
      </c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 t="s">
        <v>99</v>
      </c>
      <c r="AV323" s="12"/>
    </row>
    <row r="324" spans="1:48" ht="18" customHeight="1" x14ac:dyDescent="0.25">
      <c r="A324" s="4">
        <v>162</v>
      </c>
      <c r="B324" s="4">
        <v>1</v>
      </c>
      <c r="C324" s="4">
        <v>162</v>
      </c>
      <c r="D324" s="85">
        <v>45819</v>
      </c>
      <c r="E324" s="85">
        <v>45826</v>
      </c>
      <c r="F324" s="88" t="b">
        <f t="shared" ref="F324:F387" si="5">E324=D326</f>
        <v>1</v>
      </c>
      <c r="G324" s="85">
        <v>45827</v>
      </c>
      <c r="H324" s="5">
        <v>25141.4</v>
      </c>
      <c r="I324" s="5">
        <v>24812.05</v>
      </c>
      <c r="J324" s="5">
        <v>-329.35</v>
      </c>
      <c r="K324" s="6">
        <v>-1.3099906926424151E-2</v>
      </c>
      <c r="L324" s="7" t="s">
        <v>34</v>
      </c>
      <c r="M324" s="91">
        <f>MROUND(H324,100)-100</f>
        <v>25000</v>
      </c>
      <c r="N324" s="91">
        <f>M324-O324</f>
        <v>0</v>
      </c>
      <c r="O324" s="4">
        <v>25000</v>
      </c>
      <c r="P324" s="7" t="s">
        <v>95</v>
      </c>
      <c r="Q324" s="4">
        <v>65</v>
      </c>
      <c r="R324" s="4">
        <v>283</v>
      </c>
      <c r="S324" s="5">
        <v>22.05</v>
      </c>
      <c r="T324" s="8">
        <v>-0.1205</v>
      </c>
      <c r="U324" s="8">
        <v>1.0568</v>
      </c>
      <c r="V324" s="5">
        <v>260.95</v>
      </c>
      <c r="W324" s="6">
        <v>1.037929470912519E-2</v>
      </c>
      <c r="X324" s="4">
        <v>0</v>
      </c>
      <c r="Y324" s="6">
        <v>0</v>
      </c>
      <c r="Z324" s="5">
        <v>59388.15</v>
      </c>
      <c r="AA324" s="5">
        <v>58109.2</v>
      </c>
      <c r="AB324" s="5">
        <v>-1278.95</v>
      </c>
      <c r="AC324" s="5">
        <v>-2.1535000000000002</v>
      </c>
      <c r="AD324" s="4">
        <v>7</v>
      </c>
      <c r="AE324" s="5">
        <v>-0.11666700000000001</v>
      </c>
      <c r="AF324" s="5">
        <v>-1348.2362000000001</v>
      </c>
      <c r="AG324" s="5">
        <v>-2.2702</v>
      </c>
      <c r="AH324" s="8">
        <v>-3.6387</v>
      </c>
      <c r="AI324" s="8">
        <v>8.3699999999999997E-2</v>
      </c>
      <c r="AJ324" s="9">
        <v>-966.08619999999996</v>
      </c>
      <c r="AK324" s="9">
        <v>-0.75019999999999998</v>
      </c>
      <c r="AL324" s="5">
        <v>108.2773</v>
      </c>
      <c r="AM324" s="5">
        <v>109.0958</v>
      </c>
      <c r="AN324" s="5">
        <v>-0.81840000000000002</v>
      </c>
      <c r="AO324" s="5">
        <v>-0.75019999999999998</v>
      </c>
      <c r="AP324" s="8">
        <v>-7.5200000000000003E-2</v>
      </c>
      <c r="AQ324" s="8">
        <v>-1.6144000000000001</v>
      </c>
      <c r="AR324" s="8">
        <v>-1.6144000000000001</v>
      </c>
      <c r="AS324" s="5">
        <v>107.33450000000001</v>
      </c>
      <c r="AT324" s="5">
        <v>-1.6144000000000001</v>
      </c>
      <c r="AU324" s="7" t="s">
        <v>96</v>
      </c>
      <c r="AV324" s="7"/>
    </row>
    <row r="325" spans="1:48" ht="18" customHeight="1" x14ac:dyDescent="0.25">
      <c r="A325" s="10">
        <v>162</v>
      </c>
      <c r="B325" s="10">
        <v>2</v>
      </c>
      <c r="C325" s="10">
        <v>162</v>
      </c>
      <c r="D325" s="86">
        <v>45819</v>
      </c>
      <c r="E325" s="86">
        <v>45826</v>
      </c>
      <c r="F325" s="88" t="b">
        <f t="shared" si="5"/>
        <v>1</v>
      </c>
      <c r="G325" s="86">
        <v>46021</v>
      </c>
      <c r="H325" s="11">
        <v>25141.4</v>
      </c>
      <c r="I325" s="11">
        <v>24812.05</v>
      </c>
      <c r="J325" s="12"/>
      <c r="K325" s="12"/>
      <c r="L325" s="12" t="s">
        <v>44</v>
      </c>
      <c r="M325" s="90"/>
      <c r="N325" s="90"/>
      <c r="O325" s="10">
        <v>25000</v>
      </c>
      <c r="P325" s="12" t="s">
        <v>97</v>
      </c>
      <c r="Q325" s="10">
        <v>65</v>
      </c>
      <c r="R325" s="11">
        <v>621.45000000000005</v>
      </c>
      <c r="S325" s="11">
        <v>742.65</v>
      </c>
      <c r="T325" s="13">
        <v>-3.8399999999999997E-2</v>
      </c>
      <c r="U325" s="13">
        <v>0.96750000000000003</v>
      </c>
      <c r="V325" s="10">
        <v>0</v>
      </c>
      <c r="W325" s="14">
        <v>0</v>
      </c>
      <c r="X325" s="11">
        <v>121.2</v>
      </c>
      <c r="Y325" s="14">
        <v>4.8207339288981518E-3</v>
      </c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 t="s">
        <v>96</v>
      </c>
      <c r="AV325" s="12"/>
    </row>
    <row r="326" spans="1:48" ht="18" customHeight="1" x14ac:dyDescent="0.25">
      <c r="A326" s="4">
        <v>163</v>
      </c>
      <c r="B326" s="4">
        <v>1</v>
      </c>
      <c r="C326" s="4">
        <v>163</v>
      </c>
      <c r="D326" s="85">
        <v>45826</v>
      </c>
      <c r="E326" s="85">
        <v>45833</v>
      </c>
      <c r="F326" s="88" t="b">
        <f t="shared" si="5"/>
        <v>1</v>
      </c>
      <c r="G326" s="85">
        <v>45834</v>
      </c>
      <c r="H326" s="5">
        <v>24812.05</v>
      </c>
      <c r="I326" s="5">
        <v>25244.75</v>
      </c>
      <c r="J326" s="5">
        <v>432.7</v>
      </c>
      <c r="K326" s="6">
        <v>1.7439107207989669E-2</v>
      </c>
      <c r="L326" s="7" t="s">
        <v>34</v>
      </c>
      <c r="M326" s="91">
        <f>MROUND(H326,100)-100</f>
        <v>24700</v>
      </c>
      <c r="N326" s="91">
        <f>M326-O326</f>
        <v>0</v>
      </c>
      <c r="O326" s="4">
        <v>24700</v>
      </c>
      <c r="P326" s="7" t="s">
        <v>95</v>
      </c>
      <c r="Q326" s="4">
        <v>65</v>
      </c>
      <c r="R326" s="5">
        <v>279.05</v>
      </c>
      <c r="S326" s="5">
        <v>551.75</v>
      </c>
      <c r="T326" s="8">
        <v>-1.5364</v>
      </c>
      <c r="U326" s="8">
        <v>0.21990000000000001</v>
      </c>
      <c r="V326" s="5">
        <v>-272.7</v>
      </c>
      <c r="W326" s="6">
        <v>-1.09906275378294E-2</v>
      </c>
      <c r="X326" s="4">
        <v>0</v>
      </c>
      <c r="Y326" s="6">
        <v>0</v>
      </c>
      <c r="Z326" s="5">
        <v>58109.2</v>
      </c>
      <c r="AA326" s="5">
        <v>58881.7</v>
      </c>
      <c r="AB326" s="5">
        <v>772.5</v>
      </c>
      <c r="AC326" s="5">
        <v>1.3293999999999999</v>
      </c>
      <c r="AD326" s="4">
        <v>7</v>
      </c>
      <c r="AE326" s="5">
        <v>-0.11666700000000001</v>
      </c>
      <c r="AF326" s="5">
        <v>704.70590000000004</v>
      </c>
      <c r="AG326" s="5">
        <v>1.2126999999999999</v>
      </c>
      <c r="AH326" s="8">
        <v>-1.8434999999999999</v>
      </c>
      <c r="AI326" s="8">
        <v>1.3540000000000001</v>
      </c>
      <c r="AJ326" s="15">
        <v>261.05590000000001</v>
      </c>
      <c r="AK326" s="15">
        <v>-0.57530000000000003</v>
      </c>
      <c r="AL326" s="5">
        <v>107.6544</v>
      </c>
      <c r="AM326" s="5">
        <v>109.0958</v>
      </c>
      <c r="AN326" s="5">
        <v>-1.4414</v>
      </c>
      <c r="AO326" s="5">
        <v>-1.3211999999999999</v>
      </c>
      <c r="AP326" s="8">
        <v>-0.88429999999999997</v>
      </c>
      <c r="AQ326" s="8">
        <v>-1.5581</v>
      </c>
      <c r="AR326" s="8">
        <v>-1.5581</v>
      </c>
      <c r="AS326" s="5">
        <v>106.5902</v>
      </c>
      <c r="AT326" s="5">
        <v>-2.2966000000000002</v>
      </c>
      <c r="AU326" s="7" t="s">
        <v>96</v>
      </c>
      <c r="AV326" s="7"/>
    </row>
    <row r="327" spans="1:48" ht="18" customHeight="1" x14ac:dyDescent="0.25">
      <c r="A327" s="10">
        <v>163</v>
      </c>
      <c r="B327" s="10">
        <v>2</v>
      </c>
      <c r="C327" s="10">
        <v>163</v>
      </c>
      <c r="D327" s="86">
        <v>45826</v>
      </c>
      <c r="E327" s="86">
        <v>45833</v>
      </c>
      <c r="F327" s="88" t="b">
        <f t="shared" si="5"/>
        <v>1</v>
      </c>
      <c r="G327" s="86">
        <v>46021</v>
      </c>
      <c r="H327" s="11">
        <v>24812.05</v>
      </c>
      <c r="I327" s="11">
        <v>25244.75</v>
      </c>
      <c r="J327" s="12"/>
      <c r="K327" s="12"/>
      <c r="L327" s="12" t="s">
        <v>44</v>
      </c>
      <c r="M327" s="90"/>
      <c r="N327" s="90"/>
      <c r="O327" s="10">
        <v>25000</v>
      </c>
      <c r="P327" s="12" t="s">
        <v>97</v>
      </c>
      <c r="Q327" s="10">
        <v>65</v>
      </c>
      <c r="R327" s="11">
        <v>742.65</v>
      </c>
      <c r="S327" s="11">
        <v>571.70000000000005</v>
      </c>
      <c r="T327" s="13">
        <v>-0.70189999999999997</v>
      </c>
      <c r="U327" s="13">
        <v>6.5500000000000003E-2</v>
      </c>
      <c r="V327" s="10">
        <v>0</v>
      </c>
      <c r="W327" s="14">
        <v>0</v>
      </c>
      <c r="X327" s="11">
        <v>-170.95</v>
      </c>
      <c r="Y327" s="14">
        <v>-6.8897974975868576E-3</v>
      </c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 t="s">
        <v>96</v>
      </c>
      <c r="AV327" s="12"/>
    </row>
    <row r="328" spans="1:48" ht="18" customHeight="1" x14ac:dyDescent="0.25">
      <c r="A328" s="4">
        <v>164</v>
      </c>
      <c r="B328" s="4">
        <v>1</v>
      </c>
      <c r="C328" s="4">
        <v>164</v>
      </c>
      <c r="D328" s="85">
        <v>45833</v>
      </c>
      <c r="E328" s="85">
        <v>45835</v>
      </c>
      <c r="F328" s="88" t="b">
        <f t="shared" si="5"/>
        <v>1</v>
      </c>
      <c r="G328" s="85">
        <v>45841</v>
      </c>
      <c r="H328" s="5">
        <v>25244.75</v>
      </c>
      <c r="I328" s="5">
        <v>25637.8</v>
      </c>
      <c r="J328" s="5">
        <v>393.05</v>
      </c>
      <c r="K328" s="6">
        <v>1.5569573871795131E-2</v>
      </c>
      <c r="L328" s="7" t="s">
        <v>34</v>
      </c>
      <c r="M328" s="91">
        <f>MROUND(H328,100)-100</f>
        <v>25100</v>
      </c>
      <c r="N328" s="91">
        <f>M328-O328</f>
        <v>0</v>
      </c>
      <c r="O328" s="4">
        <v>25100</v>
      </c>
      <c r="P328" s="7" t="s">
        <v>95</v>
      </c>
      <c r="Q328" s="4">
        <v>65</v>
      </c>
      <c r="R328" s="5">
        <v>273.14999999999998</v>
      </c>
      <c r="S328" s="5">
        <v>575.85</v>
      </c>
      <c r="T328" s="8">
        <v>-1.31</v>
      </c>
      <c r="U328" s="8">
        <v>5.1000000000000004E-3</v>
      </c>
      <c r="V328" s="5">
        <v>-302.7</v>
      </c>
      <c r="W328" s="6">
        <v>-1.1990611909406911E-2</v>
      </c>
      <c r="X328" s="4">
        <v>0</v>
      </c>
      <c r="Y328" s="6">
        <v>0</v>
      </c>
      <c r="Z328" s="5">
        <v>58881.7</v>
      </c>
      <c r="AA328" s="5">
        <v>59385.15</v>
      </c>
      <c r="AB328" s="5">
        <v>503.45</v>
      </c>
      <c r="AC328" s="5">
        <v>0.85499999999999998</v>
      </c>
      <c r="AD328" s="4">
        <v>2</v>
      </c>
      <c r="AE328" s="5">
        <v>-3.3333000000000002E-2</v>
      </c>
      <c r="AF328" s="5">
        <v>483.82279999999997</v>
      </c>
      <c r="AG328" s="5">
        <v>0.82169999999999999</v>
      </c>
      <c r="AH328" s="8">
        <v>-0.26529999999999998</v>
      </c>
      <c r="AI328" s="8">
        <v>1.3452999999999999</v>
      </c>
      <c r="AJ328" s="15">
        <v>48.722799999999999</v>
      </c>
      <c r="AK328" s="15">
        <v>-0.90180000000000005</v>
      </c>
      <c r="AL328" s="5">
        <v>106.6836</v>
      </c>
      <c r="AM328" s="5">
        <v>109.0958</v>
      </c>
      <c r="AN328" s="5">
        <v>-2.4121999999999999</v>
      </c>
      <c r="AO328" s="5">
        <v>-2.2111000000000001</v>
      </c>
      <c r="AP328" s="8">
        <v>-0.50800000000000001</v>
      </c>
      <c r="AQ328" s="8">
        <v>-0.27289999999999998</v>
      </c>
      <c r="AR328" s="8">
        <v>-0.90180000000000005</v>
      </c>
      <c r="AS328" s="5">
        <v>106.6836</v>
      </c>
      <c r="AT328" s="5">
        <v>-2.2111000000000001</v>
      </c>
      <c r="AU328" s="7" t="s">
        <v>103</v>
      </c>
      <c r="AV328" s="7"/>
    </row>
    <row r="329" spans="1:48" ht="18" customHeight="1" x14ac:dyDescent="0.25">
      <c r="A329" s="10">
        <v>164</v>
      </c>
      <c r="B329" s="10">
        <v>2</v>
      </c>
      <c r="C329" s="10">
        <v>164</v>
      </c>
      <c r="D329" s="86">
        <v>45833</v>
      </c>
      <c r="E329" s="86">
        <v>45835</v>
      </c>
      <c r="F329" s="88" t="b">
        <f t="shared" si="5"/>
        <v>1</v>
      </c>
      <c r="G329" s="86">
        <v>46021</v>
      </c>
      <c r="H329" s="11">
        <v>25244.75</v>
      </c>
      <c r="I329" s="11">
        <v>25637.8</v>
      </c>
      <c r="J329" s="12"/>
      <c r="K329" s="12"/>
      <c r="L329" s="12" t="s">
        <v>44</v>
      </c>
      <c r="M329" s="90"/>
      <c r="N329" s="90"/>
      <c r="O329" s="10">
        <v>25000</v>
      </c>
      <c r="P329" s="12" t="s">
        <v>97</v>
      </c>
      <c r="Q329" s="10">
        <v>65</v>
      </c>
      <c r="R329" s="11">
        <v>571.70000000000005</v>
      </c>
      <c r="S329" s="11">
        <v>439.3</v>
      </c>
      <c r="T329" s="13">
        <v>-0.54330000000000001</v>
      </c>
      <c r="U329" s="13">
        <v>-1.2699999999999999E-2</v>
      </c>
      <c r="V329" s="10">
        <v>0</v>
      </c>
      <c r="W329" s="14">
        <v>0</v>
      </c>
      <c r="X329" s="11">
        <v>-132.4</v>
      </c>
      <c r="Y329" s="14">
        <v>-5.2446548292219173E-3</v>
      </c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 t="s">
        <v>103</v>
      </c>
      <c r="AV329" s="12"/>
    </row>
    <row r="330" spans="1:48" ht="18" customHeight="1" x14ac:dyDescent="0.25">
      <c r="A330" s="92">
        <v>165</v>
      </c>
      <c r="B330" s="92">
        <v>1</v>
      </c>
      <c r="C330" s="92">
        <v>165</v>
      </c>
      <c r="D330" s="89">
        <v>45835</v>
      </c>
      <c r="E330" s="89">
        <v>45840</v>
      </c>
      <c r="F330" s="93" t="b">
        <f t="shared" si="5"/>
        <v>1</v>
      </c>
      <c r="G330" s="89">
        <v>45841</v>
      </c>
      <c r="H330" s="94">
        <v>25637.8</v>
      </c>
      <c r="I330" s="94">
        <v>25453.4</v>
      </c>
      <c r="J330" s="94">
        <v>-184.4</v>
      </c>
      <c r="K330" s="95">
        <v>-7.192504817105992E-3</v>
      </c>
      <c r="L330" s="96" t="s">
        <v>34</v>
      </c>
      <c r="M330" s="97">
        <f>MROUND(H330,100)-100</f>
        <v>25500</v>
      </c>
      <c r="N330" s="97">
        <f>M330-O330</f>
        <v>400</v>
      </c>
      <c r="O330" s="92">
        <v>25100</v>
      </c>
      <c r="P330" s="96" t="s">
        <v>95</v>
      </c>
      <c r="Q330" s="92">
        <v>65</v>
      </c>
      <c r="R330" s="94">
        <v>575.85</v>
      </c>
      <c r="S330" s="94">
        <v>358.75</v>
      </c>
      <c r="T330" s="98">
        <v>-5.0299999999999997E-2</v>
      </c>
      <c r="U330" s="98">
        <v>1.0760000000000001</v>
      </c>
      <c r="V330" s="94">
        <v>217.1</v>
      </c>
      <c r="W330" s="95">
        <v>8.4679652700309707E-3</v>
      </c>
      <c r="X330" s="92">
        <v>0</v>
      </c>
      <c r="Y330" s="95">
        <v>0</v>
      </c>
      <c r="Z330" s="94">
        <v>59385.15</v>
      </c>
      <c r="AA330" s="94">
        <v>59667.25</v>
      </c>
      <c r="AB330" s="94">
        <v>282.10000000000002</v>
      </c>
      <c r="AC330" s="94">
        <v>0.47499999999999998</v>
      </c>
      <c r="AD330" s="92">
        <v>5</v>
      </c>
      <c r="AE330" s="94">
        <v>-8.3333000000000004E-2</v>
      </c>
      <c r="AF330" s="94">
        <v>232.61240000000001</v>
      </c>
      <c r="AG330" s="94">
        <v>0.39169999999999999</v>
      </c>
      <c r="AH330" s="98">
        <v>-0.1229</v>
      </c>
      <c r="AI330" s="98">
        <v>0.81989999999999996</v>
      </c>
      <c r="AJ330" s="99">
        <v>508.9624</v>
      </c>
      <c r="AK330" s="99">
        <v>1.4696</v>
      </c>
      <c r="AL330" s="94">
        <v>108.2514</v>
      </c>
      <c r="AM330" s="94">
        <v>109.0958</v>
      </c>
      <c r="AN330" s="94">
        <v>-0.84440000000000004</v>
      </c>
      <c r="AO330" s="94">
        <v>-0.77400000000000002</v>
      </c>
      <c r="AP330" s="98">
        <v>0.70740000000000003</v>
      </c>
      <c r="AQ330" s="98">
        <v>1.2948</v>
      </c>
      <c r="AR330" s="98">
        <v>0.70740000000000003</v>
      </c>
      <c r="AS330" s="94">
        <v>107.43819999999999</v>
      </c>
      <c r="AT330" s="94">
        <v>-1.5193000000000001</v>
      </c>
      <c r="AU330" s="96" t="s">
        <v>96</v>
      </c>
      <c r="AV330" s="7"/>
    </row>
    <row r="331" spans="1:48" ht="18" customHeight="1" x14ac:dyDescent="0.25">
      <c r="A331" s="10">
        <v>165</v>
      </c>
      <c r="B331" s="10">
        <v>2</v>
      </c>
      <c r="C331" s="10">
        <v>165</v>
      </c>
      <c r="D331" s="86">
        <v>45835</v>
      </c>
      <c r="E331" s="86">
        <v>45840</v>
      </c>
      <c r="F331" s="88" t="b">
        <f t="shared" si="5"/>
        <v>1</v>
      </c>
      <c r="G331" s="86">
        <v>46021</v>
      </c>
      <c r="H331" s="11">
        <v>25637.8</v>
      </c>
      <c r="I331" s="11">
        <v>25453.4</v>
      </c>
      <c r="J331" s="12"/>
      <c r="K331" s="12"/>
      <c r="L331" s="12" t="s">
        <v>44</v>
      </c>
      <c r="M331" s="90"/>
      <c r="N331" s="90"/>
      <c r="O331" s="10">
        <v>26000</v>
      </c>
      <c r="P331" s="12" t="s">
        <v>97</v>
      </c>
      <c r="Q331" s="10">
        <v>65</v>
      </c>
      <c r="R331" s="10">
        <v>736</v>
      </c>
      <c r="S331" s="11">
        <v>795.25</v>
      </c>
      <c r="T331" s="13">
        <v>-6.2199999999999998E-2</v>
      </c>
      <c r="U331" s="13">
        <v>0.3417</v>
      </c>
      <c r="V331" s="10">
        <v>0</v>
      </c>
      <c r="W331" s="14">
        <v>0</v>
      </c>
      <c r="X331" s="11">
        <v>59.25</v>
      </c>
      <c r="Y331" s="14">
        <v>2.3110407289236991E-3</v>
      </c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 t="s">
        <v>96</v>
      </c>
      <c r="AV331" s="12"/>
    </row>
    <row r="332" spans="1:48" ht="18" customHeight="1" x14ac:dyDescent="0.25">
      <c r="A332" s="4">
        <v>166</v>
      </c>
      <c r="B332" s="4">
        <v>1</v>
      </c>
      <c r="C332" s="4">
        <v>166</v>
      </c>
      <c r="D332" s="85">
        <v>45840</v>
      </c>
      <c r="E332" s="85">
        <v>45847</v>
      </c>
      <c r="F332" s="88" t="b">
        <f t="shared" si="5"/>
        <v>1</v>
      </c>
      <c r="G332" s="85">
        <v>45848</v>
      </c>
      <c r="H332" s="5">
        <v>25453.4</v>
      </c>
      <c r="I332" s="5">
        <v>25476.1</v>
      </c>
      <c r="J332" s="5">
        <v>22.7</v>
      </c>
      <c r="K332" s="6">
        <v>8.9182584644880445E-4</v>
      </c>
      <c r="L332" s="7" t="s">
        <v>34</v>
      </c>
      <c r="M332" s="91">
        <f>MROUND(H332,100)-100</f>
        <v>25400</v>
      </c>
      <c r="N332" s="91">
        <f>M332-O332</f>
        <v>0</v>
      </c>
      <c r="O332" s="4">
        <v>25400</v>
      </c>
      <c r="P332" s="7" t="s">
        <v>95</v>
      </c>
      <c r="Q332" s="4">
        <v>65</v>
      </c>
      <c r="R332" s="5">
        <v>215.9</v>
      </c>
      <c r="S332" s="5">
        <v>127.65</v>
      </c>
      <c r="T332" s="8">
        <v>-0.27129999999999999</v>
      </c>
      <c r="U332" s="8">
        <v>0.4239</v>
      </c>
      <c r="V332" s="5">
        <v>88.25</v>
      </c>
      <c r="W332" s="6">
        <v>3.467120306128061E-3</v>
      </c>
      <c r="X332" s="4">
        <v>0</v>
      </c>
      <c r="Y332" s="6">
        <v>0</v>
      </c>
      <c r="Z332" s="5">
        <v>59667.25</v>
      </c>
      <c r="AA332" s="5">
        <v>59339.6</v>
      </c>
      <c r="AB332" s="5">
        <v>-327.64999999999998</v>
      </c>
      <c r="AC332" s="5">
        <v>-0.54910000000000003</v>
      </c>
      <c r="AD332" s="4">
        <v>7</v>
      </c>
      <c r="AE332" s="5">
        <v>-0.11666700000000001</v>
      </c>
      <c r="AF332" s="5">
        <v>-397.26179999999999</v>
      </c>
      <c r="AG332" s="5">
        <v>-0.66579999999999995</v>
      </c>
      <c r="AH332" s="8">
        <v>-1.2577</v>
      </c>
      <c r="AI332" s="8">
        <v>0.46639999999999998</v>
      </c>
      <c r="AJ332" s="9">
        <v>-352.01179999999999</v>
      </c>
      <c r="AK332" s="9">
        <v>-0.48799999999999999</v>
      </c>
      <c r="AL332" s="5">
        <v>107.7231</v>
      </c>
      <c r="AM332" s="5">
        <v>109.0958</v>
      </c>
      <c r="AN332" s="5">
        <v>-1.3726</v>
      </c>
      <c r="AO332" s="5">
        <v>-1.2582</v>
      </c>
      <c r="AP332" s="8">
        <v>-5.2400000000000002E-2</v>
      </c>
      <c r="AQ332" s="8">
        <v>-0.71550000000000002</v>
      </c>
      <c r="AR332" s="8">
        <v>-0.71550000000000002</v>
      </c>
      <c r="AS332" s="5">
        <v>107.4769</v>
      </c>
      <c r="AT332" s="5">
        <v>-1.4839</v>
      </c>
      <c r="AU332" s="7" t="s">
        <v>96</v>
      </c>
      <c r="AV332" s="7"/>
    </row>
    <row r="333" spans="1:48" ht="18" customHeight="1" x14ac:dyDescent="0.25">
      <c r="A333" s="10">
        <v>166</v>
      </c>
      <c r="B333" s="10">
        <v>2</v>
      </c>
      <c r="C333" s="10">
        <v>166</v>
      </c>
      <c r="D333" s="86">
        <v>45840</v>
      </c>
      <c r="E333" s="86">
        <v>45847</v>
      </c>
      <c r="F333" s="88" t="b">
        <f t="shared" si="5"/>
        <v>1</v>
      </c>
      <c r="G333" s="86">
        <v>46021</v>
      </c>
      <c r="H333" s="11">
        <v>25453.4</v>
      </c>
      <c r="I333" s="11">
        <v>25476.1</v>
      </c>
      <c r="J333" s="12"/>
      <c r="K333" s="12"/>
      <c r="L333" s="12" t="s">
        <v>44</v>
      </c>
      <c r="M333" s="90"/>
      <c r="N333" s="90"/>
      <c r="O333" s="10">
        <v>25000</v>
      </c>
      <c r="P333" s="12" t="s">
        <v>97</v>
      </c>
      <c r="Q333" s="10">
        <v>65</v>
      </c>
      <c r="R333" s="11">
        <v>465.75</v>
      </c>
      <c r="S333" s="11">
        <v>422.75</v>
      </c>
      <c r="T333" s="13">
        <v>-0.2475</v>
      </c>
      <c r="U333" s="13">
        <v>0.1183</v>
      </c>
      <c r="V333" s="10">
        <v>0</v>
      </c>
      <c r="W333" s="14">
        <v>0</v>
      </c>
      <c r="X333" s="10">
        <v>-43</v>
      </c>
      <c r="Y333" s="14">
        <v>-1.6893617355638151E-3</v>
      </c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 t="s">
        <v>96</v>
      </c>
      <c r="AV333" s="12"/>
    </row>
    <row r="334" spans="1:48" ht="18" customHeight="1" x14ac:dyDescent="0.25">
      <c r="A334" s="4">
        <v>167</v>
      </c>
      <c r="B334" s="4">
        <v>1</v>
      </c>
      <c r="C334" s="4">
        <v>167</v>
      </c>
      <c r="D334" s="85">
        <v>45847</v>
      </c>
      <c r="E334" s="85">
        <v>45854</v>
      </c>
      <c r="F334" s="88" t="b">
        <f t="shared" si="5"/>
        <v>1</v>
      </c>
      <c r="G334" s="85">
        <v>45855</v>
      </c>
      <c r="H334" s="5">
        <v>25476.1</v>
      </c>
      <c r="I334" s="5">
        <v>25212.05</v>
      </c>
      <c r="J334" s="5">
        <v>-264.05</v>
      </c>
      <c r="K334" s="6">
        <v>-1.0364616248169849E-2</v>
      </c>
      <c r="L334" s="7" t="s">
        <v>34</v>
      </c>
      <c r="M334" s="91">
        <f>MROUND(H334,100)-100</f>
        <v>25400</v>
      </c>
      <c r="N334" s="91">
        <f>M334-O334</f>
        <v>0</v>
      </c>
      <c r="O334" s="4">
        <v>25400</v>
      </c>
      <c r="P334" s="7" t="s">
        <v>95</v>
      </c>
      <c r="Q334" s="4">
        <v>65</v>
      </c>
      <c r="R334" s="5">
        <v>224.55</v>
      </c>
      <c r="S334" s="5">
        <v>11.7</v>
      </c>
      <c r="T334" s="8">
        <v>-2.9600000000000001E-2</v>
      </c>
      <c r="U334" s="8">
        <v>0.85260000000000002</v>
      </c>
      <c r="V334" s="5">
        <v>212.85</v>
      </c>
      <c r="W334" s="6">
        <v>8.3548894846542446E-3</v>
      </c>
      <c r="X334" s="4">
        <v>0</v>
      </c>
      <c r="Y334" s="6">
        <v>0</v>
      </c>
      <c r="Z334" s="5">
        <v>59339.6</v>
      </c>
      <c r="AA334" s="5">
        <v>59620.65</v>
      </c>
      <c r="AB334" s="5">
        <v>281.05</v>
      </c>
      <c r="AC334" s="5">
        <v>0.47360000000000002</v>
      </c>
      <c r="AD334" s="4">
        <v>7</v>
      </c>
      <c r="AE334" s="5">
        <v>-0.11666700000000001</v>
      </c>
      <c r="AF334" s="5">
        <v>211.82050000000001</v>
      </c>
      <c r="AG334" s="5">
        <v>0.35699999999999998</v>
      </c>
      <c r="AH334" s="8">
        <v>-1.5087999999999999</v>
      </c>
      <c r="AI334" s="8">
        <v>0.63770000000000004</v>
      </c>
      <c r="AJ334" s="15">
        <v>448.32049999999998</v>
      </c>
      <c r="AK334" s="15">
        <v>1.2853000000000001</v>
      </c>
      <c r="AL334" s="5">
        <v>109.10769999999999</v>
      </c>
      <c r="AM334" s="5">
        <v>109.10769999999999</v>
      </c>
      <c r="AN334" s="4">
        <v>0</v>
      </c>
      <c r="AO334" s="4">
        <v>0</v>
      </c>
      <c r="AP334" s="8">
        <v>0.58609999999999995</v>
      </c>
      <c r="AQ334" s="8">
        <v>-0.2707</v>
      </c>
      <c r="AR334" s="8">
        <v>-0.2707</v>
      </c>
      <c r="AS334" s="5">
        <v>107.4315</v>
      </c>
      <c r="AT334" s="5">
        <v>-1.5255000000000001</v>
      </c>
      <c r="AU334" s="7" t="s">
        <v>96</v>
      </c>
      <c r="AV334" s="7"/>
    </row>
    <row r="335" spans="1:48" ht="18" customHeight="1" x14ac:dyDescent="0.25">
      <c r="A335" s="10">
        <v>167</v>
      </c>
      <c r="B335" s="10">
        <v>2</v>
      </c>
      <c r="C335" s="10">
        <v>167</v>
      </c>
      <c r="D335" s="86">
        <v>45847</v>
      </c>
      <c r="E335" s="86">
        <v>45854</v>
      </c>
      <c r="F335" s="88" t="b">
        <f t="shared" si="5"/>
        <v>1</v>
      </c>
      <c r="G335" s="86">
        <v>46021</v>
      </c>
      <c r="H335" s="11">
        <v>25476.1</v>
      </c>
      <c r="I335" s="11">
        <v>25212.05</v>
      </c>
      <c r="J335" s="12"/>
      <c r="K335" s="12"/>
      <c r="L335" s="12" t="s">
        <v>44</v>
      </c>
      <c r="M335" s="90"/>
      <c r="N335" s="90"/>
      <c r="O335" s="10">
        <v>25000</v>
      </c>
      <c r="P335" s="12" t="s">
        <v>97</v>
      </c>
      <c r="Q335" s="10">
        <v>65</v>
      </c>
      <c r="R335" s="11">
        <v>422.75</v>
      </c>
      <c r="S335" s="11">
        <v>446.4</v>
      </c>
      <c r="T335" s="13">
        <v>-2.1999999999999999E-2</v>
      </c>
      <c r="U335" s="13">
        <v>0.38550000000000001</v>
      </c>
      <c r="V335" s="10">
        <v>0</v>
      </c>
      <c r="W335" s="14">
        <v>0</v>
      </c>
      <c r="X335" s="11">
        <v>23.65</v>
      </c>
      <c r="Y335" s="14">
        <v>9.2832105385047157E-4</v>
      </c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 t="s">
        <v>96</v>
      </c>
      <c r="AV335" s="12"/>
    </row>
    <row r="336" spans="1:48" ht="18" customHeight="1" x14ac:dyDescent="0.25">
      <c r="A336" s="4">
        <v>168</v>
      </c>
      <c r="B336" s="4">
        <v>1</v>
      </c>
      <c r="C336" s="4">
        <v>168</v>
      </c>
      <c r="D336" s="85">
        <v>45854</v>
      </c>
      <c r="E336" s="85">
        <v>45861</v>
      </c>
      <c r="F336" s="88" t="b">
        <f t="shared" si="5"/>
        <v>1</v>
      </c>
      <c r="G336" s="85">
        <v>45862</v>
      </c>
      <c r="H336" s="5">
        <v>25212.05</v>
      </c>
      <c r="I336" s="5">
        <v>25219.9</v>
      </c>
      <c r="J336" s="5">
        <v>7.85</v>
      </c>
      <c r="K336" s="6">
        <v>3.1135905251655462E-4</v>
      </c>
      <c r="L336" s="7" t="s">
        <v>34</v>
      </c>
      <c r="M336" s="91">
        <f>MROUND(H336,100)-100</f>
        <v>25100</v>
      </c>
      <c r="N336" s="91">
        <f>M336-O336</f>
        <v>0</v>
      </c>
      <c r="O336" s="4">
        <v>25100</v>
      </c>
      <c r="P336" s="7" t="s">
        <v>95</v>
      </c>
      <c r="Q336" s="4">
        <v>65</v>
      </c>
      <c r="R336" s="5">
        <v>219.45</v>
      </c>
      <c r="S336" s="5">
        <v>140.25</v>
      </c>
      <c r="T336" s="8">
        <v>-8.2100000000000006E-2</v>
      </c>
      <c r="U336" s="8">
        <v>0.70740000000000003</v>
      </c>
      <c r="V336" s="5">
        <v>79.2</v>
      </c>
      <c r="W336" s="6">
        <v>3.141355026663838E-3</v>
      </c>
      <c r="X336" s="4">
        <v>0</v>
      </c>
      <c r="Y336" s="6">
        <v>0</v>
      </c>
      <c r="Z336" s="5">
        <v>59620.65</v>
      </c>
      <c r="AA336" s="5">
        <v>59307.1</v>
      </c>
      <c r="AB336" s="5">
        <v>-313.55</v>
      </c>
      <c r="AC336" s="5">
        <v>-0.52590000000000003</v>
      </c>
      <c r="AD336" s="4">
        <v>7</v>
      </c>
      <c r="AE336" s="5">
        <v>-0.11666700000000001</v>
      </c>
      <c r="AF336" s="5">
        <v>-383.10739999999998</v>
      </c>
      <c r="AG336" s="5">
        <v>-0.64259999999999995</v>
      </c>
      <c r="AH336" s="8">
        <v>-1.4683999999999999</v>
      </c>
      <c r="AI336" s="8">
        <v>0.26879999999999998</v>
      </c>
      <c r="AJ336" s="9">
        <v>-352.70740000000001</v>
      </c>
      <c r="AK336" s="9">
        <v>-0.52200000000000002</v>
      </c>
      <c r="AL336" s="5">
        <v>108.5381</v>
      </c>
      <c r="AM336" s="5">
        <v>109.10769999999999</v>
      </c>
      <c r="AN336" s="5">
        <v>-0.56950000000000001</v>
      </c>
      <c r="AO336" s="5">
        <v>-0.52200000000000002</v>
      </c>
      <c r="AP336" s="8">
        <v>-2.23E-2</v>
      </c>
      <c r="AQ336" s="8">
        <v>-0.41570000000000001</v>
      </c>
      <c r="AR336" s="8">
        <v>-0.52200000000000002</v>
      </c>
      <c r="AS336" s="5">
        <v>108.5381</v>
      </c>
      <c r="AT336" s="5">
        <v>-0.52200000000000002</v>
      </c>
      <c r="AU336" s="7" t="s">
        <v>96</v>
      </c>
      <c r="AV336" s="7"/>
    </row>
    <row r="337" spans="1:48" ht="18" customHeight="1" x14ac:dyDescent="0.25">
      <c r="A337" s="10">
        <v>168</v>
      </c>
      <c r="B337" s="10">
        <v>2</v>
      </c>
      <c r="C337" s="10">
        <v>168</v>
      </c>
      <c r="D337" s="86">
        <v>45854</v>
      </c>
      <c r="E337" s="86">
        <v>45861</v>
      </c>
      <c r="F337" s="88" t="b">
        <f t="shared" si="5"/>
        <v>1</v>
      </c>
      <c r="G337" s="86">
        <v>46021</v>
      </c>
      <c r="H337" s="11">
        <v>25212.05</v>
      </c>
      <c r="I337" s="11">
        <v>25219.9</v>
      </c>
      <c r="J337" s="12"/>
      <c r="K337" s="12"/>
      <c r="L337" s="12" t="s">
        <v>44</v>
      </c>
      <c r="M337" s="90"/>
      <c r="N337" s="90"/>
      <c r="O337" s="10">
        <v>25000</v>
      </c>
      <c r="P337" s="12" t="s">
        <v>97</v>
      </c>
      <c r="Q337" s="10">
        <v>65</v>
      </c>
      <c r="R337" s="11">
        <v>446.4</v>
      </c>
      <c r="S337" s="11">
        <v>397.6</v>
      </c>
      <c r="T337" s="13">
        <v>-0.20899999999999999</v>
      </c>
      <c r="U337" s="13">
        <v>0.3453</v>
      </c>
      <c r="V337" s="10">
        <v>0</v>
      </c>
      <c r="W337" s="14">
        <v>0</v>
      </c>
      <c r="X337" s="11">
        <v>-48.8</v>
      </c>
      <c r="Y337" s="14">
        <v>-1.9355823901666071E-3</v>
      </c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 t="s">
        <v>96</v>
      </c>
      <c r="AV337" s="12"/>
    </row>
    <row r="338" spans="1:48" ht="18" customHeight="1" x14ac:dyDescent="0.25">
      <c r="A338" s="4">
        <v>169</v>
      </c>
      <c r="B338" s="4">
        <v>1</v>
      </c>
      <c r="C338" s="4">
        <v>169</v>
      </c>
      <c r="D338" s="85">
        <v>45861</v>
      </c>
      <c r="E338" s="85">
        <v>45868</v>
      </c>
      <c r="F338" s="88" t="b">
        <f t="shared" si="5"/>
        <v>1</v>
      </c>
      <c r="G338" s="85">
        <v>45869</v>
      </c>
      <c r="H338" s="5">
        <v>25219.9</v>
      </c>
      <c r="I338" s="5">
        <v>24855.05</v>
      </c>
      <c r="J338" s="5">
        <v>-364.85</v>
      </c>
      <c r="K338" s="6">
        <v>-1.446675046292809E-2</v>
      </c>
      <c r="L338" s="7" t="s">
        <v>34</v>
      </c>
      <c r="M338" s="91">
        <f>MROUND(H338,100)-100</f>
        <v>25100</v>
      </c>
      <c r="N338" s="91">
        <f>M338-O338</f>
        <v>0</v>
      </c>
      <c r="O338" s="4">
        <v>25100</v>
      </c>
      <c r="P338" s="7" t="s">
        <v>95</v>
      </c>
      <c r="Q338" s="4">
        <v>65</v>
      </c>
      <c r="R338" s="5">
        <v>225.3</v>
      </c>
      <c r="S338" s="5">
        <v>8.9</v>
      </c>
      <c r="T338" s="8">
        <v>-4.5600000000000002E-2</v>
      </c>
      <c r="U338" s="8">
        <v>0.86180000000000001</v>
      </c>
      <c r="V338" s="5">
        <v>216.4</v>
      </c>
      <c r="W338" s="6">
        <v>8.5805256959781764E-3</v>
      </c>
      <c r="X338" s="4">
        <v>0</v>
      </c>
      <c r="Y338" s="6">
        <v>0</v>
      </c>
      <c r="Z338" s="5">
        <v>59307.1</v>
      </c>
      <c r="AA338" s="5">
        <v>57942.25</v>
      </c>
      <c r="AB338" s="5">
        <v>-1364.85</v>
      </c>
      <c r="AC338" s="5">
        <v>-2.3012999999999999</v>
      </c>
      <c r="AD338" s="4">
        <v>7</v>
      </c>
      <c r="AE338" s="5">
        <v>-0.11666700000000001</v>
      </c>
      <c r="AF338" s="5">
        <v>-1434.0416</v>
      </c>
      <c r="AG338" s="5">
        <v>-2.4180000000000001</v>
      </c>
      <c r="AH338" s="8">
        <v>-3.3952</v>
      </c>
      <c r="AI338" s="8">
        <v>-0.01</v>
      </c>
      <c r="AJ338" s="9">
        <v>-1093.0416</v>
      </c>
      <c r="AK338" s="9">
        <v>-1.0659000000000001</v>
      </c>
      <c r="AL338" s="5">
        <v>107.38120000000001</v>
      </c>
      <c r="AM338" s="5">
        <v>109.10769999999999</v>
      </c>
      <c r="AN338" s="5">
        <v>-1.7264999999999999</v>
      </c>
      <c r="AO338" s="5">
        <v>-1.5823</v>
      </c>
      <c r="AP338" s="8">
        <v>-7.8399999999999997E-2</v>
      </c>
      <c r="AQ338" s="8">
        <v>-1.6358999999999999</v>
      </c>
      <c r="AR338" s="8">
        <v>-1.6358999999999999</v>
      </c>
      <c r="AS338" s="5">
        <v>106.76260000000001</v>
      </c>
      <c r="AT338" s="5">
        <v>-2.1494</v>
      </c>
      <c r="AU338" s="7" t="s">
        <v>96</v>
      </c>
      <c r="AV338" s="7"/>
    </row>
    <row r="339" spans="1:48" ht="18" customHeight="1" x14ac:dyDescent="0.25">
      <c r="A339" s="10">
        <v>169</v>
      </c>
      <c r="B339" s="10">
        <v>2</v>
      </c>
      <c r="C339" s="10">
        <v>169</v>
      </c>
      <c r="D339" s="86">
        <v>45861</v>
      </c>
      <c r="E339" s="86">
        <v>45868</v>
      </c>
      <c r="F339" s="88" t="b">
        <f t="shared" si="5"/>
        <v>1</v>
      </c>
      <c r="G339" s="86">
        <v>46021</v>
      </c>
      <c r="H339" s="11">
        <v>25219.9</v>
      </c>
      <c r="I339" s="11">
        <v>24855.05</v>
      </c>
      <c r="J339" s="12"/>
      <c r="K339" s="12"/>
      <c r="L339" s="12" t="s">
        <v>44</v>
      </c>
      <c r="M339" s="90"/>
      <c r="N339" s="90"/>
      <c r="O339" s="10">
        <v>25000</v>
      </c>
      <c r="P339" s="12" t="s">
        <v>97</v>
      </c>
      <c r="Q339" s="10">
        <v>65</v>
      </c>
      <c r="R339" s="11">
        <v>397.6</v>
      </c>
      <c r="S339" s="11">
        <v>522.20000000000005</v>
      </c>
      <c r="T339" s="13">
        <v>-2.2800000000000001E-2</v>
      </c>
      <c r="U339" s="13">
        <v>0.89749999999999996</v>
      </c>
      <c r="V339" s="10">
        <v>0</v>
      </c>
      <c r="W339" s="14">
        <v>0</v>
      </c>
      <c r="X339" s="11">
        <v>124.6</v>
      </c>
      <c r="Y339" s="14">
        <v>4.9405429839134967E-3</v>
      </c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 t="s">
        <v>96</v>
      </c>
      <c r="AV339" s="12"/>
    </row>
    <row r="340" spans="1:48" ht="18" customHeight="1" x14ac:dyDescent="0.25">
      <c r="A340" s="4">
        <v>170</v>
      </c>
      <c r="B340" s="4">
        <v>1</v>
      </c>
      <c r="C340" s="4">
        <v>170</v>
      </c>
      <c r="D340" s="85">
        <v>45868</v>
      </c>
      <c r="E340" s="85">
        <v>45875</v>
      </c>
      <c r="F340" s="88" t="b">
        <f t="shared" si="5"/>
        <v>1</v>
      </c>
      <c r="G340" s="85">
        <v>45876</v>
      </c>
      <c r="H340" s="5">
        <v>24855.05</v>
      </c>
      <c r="I340" s="5">
        <v>24574.2</v>
      </c>
      <c r="J340" s="5">
        <v>-280.85000000000002</v>
      </c>
      <c r="K340" s="6">
        <v>-1.1299514585567119E-2</v>
      </c>
      <c r="L340" s="7" t="s">
        <v>34</v>
      </c>
      <c r="M340" s="91">
        <f>MROUND(H340,100)-100</f>
        <v>24800</v>
      </c>
      <c r="N340" s="91">
        <f>M340-O340</f>
        <v>0</v>
      </c>
      <c r="O340" s="4">
        <v>24800</v>
      </c>
      <c r="P340" s="7" t="s">
        <v>95</v>
      </c>
      <c r="Q340" s="4">
        <v>65</v>
      </c>
      <c r="R340" s="5">
        <v>204.65</v>
      </c>
      <c r="S340" s="5">
        <v>12.75</v>
      </c>
      <c r="T340" s="8">
        <v>-0.27879999999999999</v>
      </c>
      <c r="U340" s="8">
        <v>0.7843</v>
      </c>
      <c r="V340" s="5">
        <v>191.9</v>
      </c>
      <c r="W340" s="6">
        <v>7.7207649954435823E-3</v>
      </c>
      <c r="X340" s="4">
        <v>0</v>
      </c>
      <c r="Y340" s="6">
        <v>0</v>
      </c>
      <c r="Z340" s="5">
        <v>57942.25</v>
      </c>
      <c r="AA340" s="5">
        <v>56749.75</v>
      </c>
      <c r="AB340" s="5">
        <v>-1192.5</v>
      </c>
      <c r="AC340" s="5">
        <v>-2.0581</v>
      </c>
      <c r="AD340" s="4">
        <v>7</v>
      </c>
      <c r="AE340" s="5">
        <v>-0.11666700000000001</v>
      </c>
      <c r="AF340" s="5">
        <v>-1260.0993000000001</v>
      </c>
      <c r="AG340" s="5">
        <v>-2.1747999999999998</v>
      </c>
      <c r="AH340" s="8">
        <v>-2.6307999999999998</v>
      </c>
      <c r="AI340" s="8">
        <v>-0.309</v>
      </c>
      <c r="AJ340" s="9">
        <v>-944.24929999999995</v>
      </c>
      <c r="AK340" s="9">
        <v>-0.90400000000000003</v>
      </c>
      <c r="AL340" s="5">
        <v>106.4105</v>
      </c>
      <c r="AM340" s="5">
        <v>109.10769999999999</v>
      </c>
      <c r="AN340" s="5">
        <v>-2.6972</v>
      </c>
      <c r="AO340" s="5">
        <v>-2.472</v>
      </c>
      <c r="AP340" s="8">
        <v>-0.67710000000000004</v>
      </c>
      <c r="AQ340" s="8">
        <v>-1.2888999999999999</v>
      </c>
      <c r="AR340" s="8">
        <v>-1.2888999999999999</v>
      </c>
      <c r="AS340" s="5">
        <v>105.99720000000001</v>
      </c>
      <c r="AT340" s="5">
        <v>-2.8508</v>
      </c>
      <c r="AU340" s="7" t="s">
        <v>96</v>
      </c>
      <c r="AV340" s="7"/>
    </row>
    <row r="341" spans="1:48" ht="18" customHeight="1" x14ac:dyDescent="0.25">
      <c r="A341" s="10">
        <v>170</v>
      </c>
      <c r="B341" s="10">
        <v>2</v>
      </c>
      <c r="C341" s="10">
        <v>170</v>
      </c>
      <c r="D341" s="86">
        <v>45868</v>
      </c>
      <c r="E341" s="86">
        <v>45875</v>
      </c>
      <c r="F341" s="88" t="b">
        <f t="shared" si="5"/>
        <v>1</v>
      </c>
      <c r="G341" s="86">
        <v>46021</v>
      </c>
      <c r="H341" s="11">
        <v>24855.05</v>
      </c>
      <c r="I341" s="11">
        <v>24574.2</v>
      </c>
      <c r="J341" s="12"/>
      <c r="K341" s="12"/>
      <c r="L341" s="12" t="s">
        <v>44</v>
      </c>
      <c r="M341" s="90"/>
      <c r="N341" s="90"/>
      <c r="O341" s="10">
        <v>25000</v>
      </c>
      <c r="P341" s="12" t="s">
        <v>97</v>
      </c>
      <c r="Q341" s="10">
        <v>65</v>
      </c>
      <c r="R341" s="11">
        <v>522.20000000000005</v>
      </c>
      <c r="S341" s="11">
        <v>646.15</v>
      </c>
      <c r="T341" s="13">
        <v>-8.9300000000000004E-2</v>
      </c>
      <c r="U341" s="13">
        <v>0.55759999999999998</v>
      </c>
      <c r="V341" s="10">
        <v>0</v>
      </c>
      <c r="W341" s="14">
        <v>0</v>
      </c>
      <c r="X341" s="11">
        <v>123.95</v>
      </c>
      <c r="Y341" s="14">
        <v>4.9869141281148098E-3</v>
      </c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 t="s">
        <v>96</v>
      </c>
      <c r="AV341" s="12"/>
    </row>
    <row r="342" spans="1:48" ht="18" customHeight="1" x14ac:dyDescent="0.25">
      <c r="A342" s="4">
        <v>171</v>
      </c>
      <c r="B342" s="4">
        <v>1</v>
      </c>
      <c r="C342" s="4">
        <v>171</v>
      </c>
      <c r="D342" s="85">
        <v>45875</v>
      </c>
      <c r="E342" s="85">
        <v>45882</v>
      </c>
      <c r="F342" s="88" t="b">
        <f t="shared" si="5"/>
        <v>1</v>
      </c>
      <c r="G342" s="85">
        <v>45883</v>
      </c>
      <c r="H342" s="5">
        <v>24574.2</v>
      </c>
      <c r="I342" s="5">
        <v>24619.35</v>
      </c>
      <c r="J342" s="5">
        <v>45.15</v>
      </c>
      <c r="K342" s="6">
        <v>1.8372927704665869E-3</v>
      </c>
      <c r="L342" s="7" t="s">
        <v>34</v>
      </c>
      <c r="M342" s="91">
        <f>MROUND(H342,100)-100</f>
        <v>24500</v>
      </c>
      <c r="N342" s="91">
        <f>M342-O342</f>
        <v>0</v>
      </c>
      <c r="O342" s="4">
        <v>24500</v>
      </c>
      <c r="P342" s="7" t="s">
        <v>95</v>
      </c>
      <c r="Q342" s="4">
        <v>65</v>
      </c>
      <c r="R342" s="5">
        <v>212.85</v>
      </c>
      <c r="S342" s="5">
        <v>160.85</v>
      </c>
      <c r="T342" s="8">
        <v>-0.15670000000000001</v>
      </c>
      <c r="U342" s="8">
        <v>0.5827</v>
      </c>
      <c r="V342" s="4">
        <v>52</v>
      </c>
      <c r="W342" s="6">
        <v>2.1160404000944081E-3</v>
      </c>
      <c r="X342" s="4">
        <v>0</v>
      </c>
      <c r="Y342" s="6">
        <v>0</v>
      </c>
      <c r="Z342" s="5">
        <v>56749.75</v>
      </c>
      <c r="AA342" s="5">
        <v>56681.5</v>
      </c>
      <c r="AB342" s="5">
        <v>-68.25</v>
      </c>
      <c r="AC342" s="5">
        <v>-0.1203</v>
      </c>
      <c r="AD342" s="4">
        <v>7</v>
      </c>
      <c r="AE342" s="5">
        <v>-0.11666700000000001</v>
      </c>
      <c r="AF342" s="5">
        <v>-134.458</v>
      </c>
      <c r="AG342" s="5">
        <v>-0.2369</v>
      </c>
      <c r="AH342" s="8">
        <v>-1.768</v>
      </c>
      <c r="AI342" s="8">
        <v>0.57699999999999996</v>
      </c>
      <c r="AJ342" s="9">
        <v>-139.50800000000001</v>
      </c>
      <c r="AK342" s="9">
        <v>-0.25750000000000001</v>
      </c>
      <c r="AL342" s="5">
        <v>106.1365</v>
      </c>
      <c r="AM342" s="5">
        <v>109.10769999999999</v>
      </c>
      <c r="AN342" s="5">
        <v>-2.9712000000000001</v>
      </c>
      <c r="AO342" s="5">
        <v>-2.7231999999999998</v>
      </c>
      <c r="AP342" s="8">
        <v>0.13850000000000001</v>
      </c>
      <c r="AQ342" s="8">
        <v>-0.76190000000000002</v>
      </c>
      <c r="AR342" s="8">
        <v>-0.76190000000000002</v>
      </c>
      <c r="AS342" s="5">
        <v>105.5998</v>
      </c>
      <c r="AT342" s="5">
        <v>-3.2151000000000001</v>
      </c>
      <c r="AU342" s="7" t="s">
        <v>96</v>
      </c>
      <c r="AV342" s="7"/>
    </row>
    <row r="343" spans="1:48" ht="18" customHeight="1" x14ac:dyDescent="0.25">
      <c r="A343" s="10">
        <v>171</v>
      </c>
      <c r="B343" s="10">
        <v>2</v>
      </c>
      <c r="C343" s="10">
        <v>171</v>
      </c>
      <c r="D343" s="86">
        <v>45875</v>
      </c>
      <c r="E343" s="86">
        <v>45882</v>
      </c>
      <c r="F343" s="88" t="b">
        <f t="shared" si="5"/>
        <v>1</v>
      </c>
      <c r="G343" s="86">
        <v>46021</v>
      </c>
      <c r="H343" s="11">
        <v>24574.2</v>
      </c>
      <c r="I343" s="11">
        <v>24619.35</v>
      </c>
      <c r="J343" s="12"/>
      <c r="K343" s="12"/>
      <c r="L343" s="12" t="s">
        <v>44</v>
      </c>
      <c r="M343" s="90"/>
      <c r="N343" s="90"/>
      <c r="O343" s="10">
        <v>25000</v>
      </c>
      <c r="P343" s="12" t="s">
        <v>97</v>
      </c>
      <c r="Q343" s="10">
        <v>65</v>
      </c>
      <c r="R343" s="11">
        <v>646.15</v>
      </c>
      <c r="S343" s="11">
        <v>589.1</v>
      </c>
      <c r="T343" s="13">
        <v>-0.28179999999999999</v>
      </c>
      <c r="U343" s="13">
        <v>0.4234</v>
      </c>
      <c r="V343" s="10">
        <v>0</v>
      </c>
      <c r="W343" s="14">
        <v>0</v>
      </c>
      <c r="X343" s="11">
        <v>-57.05</v>
      </c>
      <c r="Y343" s="14">
        <v>-2.321540477411268E-3</v>
      </c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 t="s">
        <v>96</v>
      </c>
      <c r="AV343" s="12"/>
    </row>
    <row r="344" spans="1:48" ht="18" customHeight="1" x14ac:dyDescent="0.25">
      <c r="A344" s="4">
        <v>172</v>
      </c>
      <c r="B344" s="4">
        <v>1</v>
      </c>
      <c r="C344" s="4">
        <v>172</v>
      </c>
      <c r="D344" s="85">
        <v>45882</v>
      </c>
      <c r="E344" s="85">
        <v>45889</v>
      </c>
      <c r="F344" s="88" t="b">
        <f t="shared" si="5"/>
        <v>1</v>
      </c>
      <c r="G344" s="85">
        <v>45890</v>
      </c>
      <c r="H344" s="5">
        <v>24619.35</v>
      </c>
      <c r="I344" s="5">
        <v>25050.55</v>
      </c>
      <c r="J344" s="5">
        <v>431.2</v>
      </c>
      <c r="K344" s="6">
        <v>1.7514678494761231E-2</v>
      </c>
      <c r="L344" s="7" t="s">
        <v>34</v>
      </c>
      <c r="M344" s="91">
        <f>MROUND(H344,100)-100</f>
        <v>24500</v>
      </c>
      <c r="N344" s="91">
        <f>M344-O344</f>
        <v>0</v>
      </c>
      <c r="O344" s="4">
        <v>24500</v>
      </c>
      <c r="P344" s="7" t="s">
        <v>95</v>
      </c>
      <c r="Q344" s="4">
        <v>65</v>
      </c>
      <c r="R344" s="5">
        <v>259.10000000000002</v>
      </c>
      <c r="S344" s="5">
        <v>556.9</v>
      </c>
      <c r="T344" s="8">
        <v>-1.2912999999999999</v>
      </c>
      <c r="U344" s="8">
        <v>0.158</v>
      </c>
      <c r="V344" s="5">
        <v>-297.8</v>
      </c>
      <c r="W344" s="6">
        <v>-1.209617638158603E-2</v>
      </c>
      <c r="X344" s="4">
        <v>0</v>
      </c>
      <c r="Y344" s="6">
        <v>0</v>
      </c>
      <c r="Z344" s="5">
        <v>56681.5</v>
      </c>
      <c r="AA344" s="5">
        <v>57930.5</v>
      </c>
      <c r="AB344" s="4">
        <v>1249</v>
      </c>
      <c r="AC344" s="5">
        <v>2.2035</v>
      </c>
      <c r="AD344" s="4">
        <v>7</v>
      </c>
      <c r="AE344" s="5">
        <v>-0.11666700000000001</v>
      </c>
      <c r="AF344" s="5">
        <v>1182.8715999999999</v>
      </c>
      <c r="AG344" s="5">
        <v>2.0869</v>
      </c>
      <c r="AH344" s="8">
        <v>-0.56469999999999998</v>
      </c>
      <c r="AI344" s="8">
        <v>2.2237</v>
      </c>
      <c r="AJ344" s="15">
        <v>735.47159999999997</v>
      </c>
      <c r="AK344" s="15">
        <v>0.26960000000000001</v>
      </c>
      <c r="AL344" s="5">
        <v>106.4226</v>
      </c>
      <c r="AM344" s="5">
        <v>109.10769999999999</v>
      </c>
      <c r="AN344" s="5">
        <v>-2.6850000000000001</v>
      </c>
      <c r="AO344" s="5">
        <v>-2.4609000000000001</v>
      </c>
      <c r="AP344" s="8">
        <v>0.29980000000000001</v>
      </c>
      <c r="AQ344" s="8">
        <v>-0.29480000000000001</v>
      </c>
      <c r="AR344" s="8">
        <v>-0.29480000000000001</v>
      </c>
      <c r="AS344" s="5">
        <v>105.8236</v>
      </c>
      <c r="AT344" s="5">
        <v>-3.0099</v>
      </c>
      <c r="AU344" s="7" t="s">
        <v>96</v>
      </c>
      <c r="AV344" s="7"/>
    </row>
    <row r="345" spans="1:48" ht="18" customHeight="1" x14ac:dyDescent="0.25">
      <c r="A345" s="10">
        <v>172</v>
      </c>
      <c r="B345" s="10">
        <v>2</v>
      </c>
      <c r="C345" s="10">
        <v>172</v>
      </c>
      <c r="D345" s="86">
        <v>45882</v>
      </c>
      <c r="E345" s="86">
        <v>45889</v>
      </c>
      <c r="F345" s="88" t="b">
        <f t="shared" si="5"/>
        <v>1</v>
      </c>
      <c r="G345" s="86">
        <v>46021</v>
      </c>
      <c r="H345" s="11">
        <v>24619.35</v>
      </c>
      <c r="I345" s="11">
        <v>25050.55</v>
      </c>
      <c r="J345" s="12"/>
      <c r="K345" s="12"/>
      <c r="L345" s="12" t="s">
        <v>44</v>
      </c>
      <c r="M345" s="90"/>
      <c r="N345" s="90"/>
      <c r="O345" s="10">
        <v>25000</v>
      </c>
      <c r="P345" s="12" t="s">
        <v>97</v>
      </c>
      <c r="Q345" s="10">
        <v>65</v>
      </c>
      <c r="R345" s="11">
        <v>589.1</v>
      </c>
      <c r="S345" s="11">
        <v>439.5</v>
      </c>
      <c r="T345" s="13">
        <v>-0.63260000000000005</v>
      </c>
      <c r="U345" s="13">
        <v>0.1119</v>
      </c>
      <c r="V345" s="10">
        <v>0</v>
      </c>
      <c r="W345" s="14">
        <v>0</v>
      </c>
      <c r="X345" s="11">
        <v>-149.6</v>
      </c>
      <c r="Y345" s="14">
        <v>-6.0765211104273674E-3</v>
      </c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 t="s">
        <v>96</v>
      </c>
      <c r="AV345" s="12"/>
    </row>
    <row r="346" spans="1:48" ht="18" customHeight="1" x14ac:dyDescent="0.25">
      <c r="A346" s="4">
        <v>173</v>
      </c>
      <c r="B346" s="4">
        <v>1</v>
      </c>
      <c r="C346" s="4">
        <v>173</v>
      </c>
      <c r="D346" s="85">
        <v>45889</v>
      </c>
      <c r="E346" s="85">
        <v>45895</v>
      </c>
      <c r="F346" s="88" t="b">
        <f t="shared" si="5"/>
        <v>1</v>
      </c>
      <c r="G346" s="85">
        <v>45897</v>
      </c>
      <c r="H346" s="5">
        <v>25050.55</v>
      </c>
      <c r="I346" s="5">
        <v>24712.05</v>
      </c>
      <c r="J346" s="5">
        <v>-338.5</v>
      </c>
      <c r="K346" s="6">
        <v>-1.351267736636521E-2</v>
      </c>
      <c r="L346" s="7" t="s">
        <v>34</v>
      </c>
      <c r="M346" s="91">
        <f>MROUND(H346,100)-100</f>
        <v>25000</v>
      </c>
      <c r="N346" s="91">
        <f>M346-O346</f>
        <v>0</v>
      </c>
      <c r="O346" s="4">
        <v>25000</v>
      </c>
      <c r="P346" s="7" t="s">
        <v>95</v>
      </c>
      <c r="Q346" s="4">
        <v>65</v>
      </c>
      <c r="R346" s="5">
        <v>190.85</v>
      </c>
      <c r="S346" s="5">
        <v>12.95</v>
      </c>
      <c r="T346" s="8">
        <v>-0.2034</v>
      </c>
      <c r="U346" s="8">
        <v>0.71930000000000005</v>
      </c>
      <c r="V346" s="5">
        <v>177.9</v>
      </c>
      <c r="W346" s="6">
        <v>7.1016404829434884E-3</v>
      </c>
      <c r="X346" s="4">
        <v>0</v>
      </c>
      <c r="Y346" s="6">
        <v>0</v>
      </c>
      <c r="Z346" s="5">
        <v>57930.5</v>
      </c>
      <c r="AA346" s="5">
        <v>56766.2</v>
      </c>
      <c r="AB346" s="5">
        <v>-1164.3</v>
      </c>
      <c r="AC346" s="5">
        <v>-2.0097999999999998</v>
      </c>
      <c r="AD346" s="4">
        <v>6</v>
      </c>
      <c r="AE346" s="5">
        <v>-0.1</v>
      </c>
      <c r="AF346" s="5">
        <v>-1222.2304999999999</v>
      </c>
      <c r="AG346" s="5">
        <v>-2.1097999999999999</v>
      </c>
      <c r="AH346" s="8">
        <v>-2.2721</v>
      </c>
      <c r="AI346" s="8">
        <v>0.45579999999999998</v>
      </c>
      <c r="AJ346" s="9">
        <v>-927.83050000000003</v>
      </c>
      <c r="AK346" s="9">
        <v>-0.93459999999999999</v>
      </c>
      <c r="AL346" s="5">
        <v>105.428</v>
      </c>
      <c r="AM346" s="5">
        <v>109.10769999999999</v>
      </c>
      <c r="AN346" s="5">
        <v>-3.6797</v>
      </c>
      <c r="AO346" s="5">
        <v>-3.3725000000000001</v>
      </c>
      <c r="AP346" s="8">
        <v>0.12529999999999999</v>
      </c>
      <c r="AQ346" s="8">
        <v>-1.0518000000000001</v>
      </c>
      <c r="AR346" s="8">
        <v>-1.0518000000000001</v>
      </c>
      <c r="AS346" s="5">
        <v>105.30329999999999</v>
      </c>
      <c r="AT346" s="5">
        <v>-3.4868000000000001</v>
      </c>
      <c r="AU346" s="7" t="s">
        <v>96</v>
      </c>
      <c r="AV346" s="7"/>
    </row>
    <row r="347" spans="1:48" ht="18" customHeight="1" x14ac:dyDescent="0.25">
      <c r="A347" s="10">
        <v>173</v>
      </c>
      <c r="B347" s="10">
        <v>2</v>
      </c>
      <c r="C347" s="10">
        <v>173</v>
      </c>
      <c r="D347" s="86">
        <v>45889</v>
      </c>
      <c r="E347" s="86">
        <v>45895</v>
      </c>
      <c r="F347" s="88" t="b">
        <f t="shared" si="5"/>
        <v>1</v>
      </c>
      <c r="G347" s="86">
        <v>46021</v>
      </c>
      <c r="H347" s="11">
        <v>25050.55</v>
      </c>
      <c r="I347" s="11">
        <v>24712.05</v>
      </c>
      <c r="J347" s="12"/>
      <c r="K347" s="12"/>
      <c r="L347" s="12" t="s">
        <v>44</v>
      </c>
      <c r="M347" s="90"/>
      <c r="N347" s="90"/>
      <c r="O347" s="10">
        <v>25000</v>
      </c>
      <c r="P347" s="12" t="s">
        <v>97</v>
      </c>
      <c r="Q347" s="10">
        <v>65</v>
      </c>
      <c r="R347" s="11">
        <v>439.5</v>
      </c>
      <c r="S347" s="10">
        <v>556</v>
      </c>
      <c r="T347" s="13">
        <v>-0.12709999999999999</v>
      </c>
      <c r="U347" s="13">
        <v>0.501</v>
      </c>
      <c r="V347" s="10">
        <v>0</v>
      </c>
      <c r="W347" s="14">
        <v>0</v>
      </c>
      <c r="X347" s="11">
        <v>116.5</v>
      </c>
      <c r="Y347" s="14">
        <v>4.6505964938893564E-3</v>
      </c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 t="s">
        <v>96</v>
      </c>
      <c r="AV347" s="12"/>
    </row>
    <row r="348" spans="1:48" ht="18" customHeight="1" x14ac:dyDescent="0.25">
      <c r="A348" s="4">
        <v>174</v>
      </c>
      <c r="B348" s="4">
        <v>1</v>
      </c>
      <c r="C348" s="4">
        <v>174</v>
      </c>
      <c r="D348" s="85">
        <v>45895</v>
      </c>
      <c r="E348" s="85">
        <v>45901</v>
      </c>
      <c r="F348" s="88" t="b">
        <f t="shared" si="5"/>
        <v>1</v>
      </c>
      <c r="G348" s="85">
        <v>45902</v>
      </c>
      <c r="H348" s="5">
        <v>24712.05</v>
      </c>
      <c r="I348" s="5">
        <v>24625.05</v>
      </c>
      <c r="J348" s="4">
        <v>-87</v>
      </c>
      <c r="K348" s="6">
        <v>-3.520549691344911E-3</v>
      </c>
      <c r="L348" s="7" t="s">
        <v>34</v>
      </c>
      <c r="M348" s="91">
        <f>MROUND(H348,100)-100</f>
        <v>24600</v>
      </c>
      <c r="N348" s="91">
        <f>M348-O348</f>
        <v>0</v>
      </c>
      <c r="O348" s="4">
        <v>24600</v>
      </c>
      <c r="P348" s="7" t="s">
        <v>95</v>
      </c>
      <c r="Q348" s="4">
        <v>65</v>
      </c>
      <c r="R348" s="5">
        <v>232.3</v>
      </c>
      <c r="S348" s="5">
        <v>75.95</v>
      </c>
      <c r="T348" s="8">
        <v>5.2200000000000003E-2</v>
      </c>
      <c r="U348" s="8">
        <v>0.82269999999999999</v>
      </c>
      <c r="V348" s="5">
        <v>156.35</v>
      </c>
      <c r="W348" s="6">
        <v>6.3268729223192729E-3</v>
      </c>
      <c r="X348" s="4">
        <v>0</v>
      </c>
      <c r="Y348" s="6">
        <v>0</v>
      </c>
      <c r="Z348" s="5">
        <v>56766.2</v>
      </c>
      <c r="AA348" s="5">
        <v>56825.5</v>
      </c>
      <c r="AB348" s="5">
        <v>59.3</v>
      </c>
      <c r="AC348" s="5">
        <v>0.1045</v>
      </c>
      <c r="AD348" s="4">
        <v>6</v>
      </c>
      <c r="AE348" s="5">
        <v>-0.1</v>
      </c>
      <c r="AF348" s="5">
        <v>2.5337999999999998</v>
      </c>
      <c r="AG348" s="5">
        <v>4.4999999999999997E-3</v>
      </c>
      <c r="AH348" s="8">
        <v>-1.9971000000000001</v>
      </c>
      <c r="AI348" s="8">
        <v>6.3E-2</v>
      </c>
      <c r="AJ348" s="15">
        <v>176.5838</v>
      </c>
      <c r="AK348" s="15">
        <v>0.70879999999999999</v>
      </c>
      <c r="AL348" s="5">
        <v>106.17529999999999</v>
      </c>
      <c r="AM348" s="5">
        <v>109.10769999999999</v>
      </c>
      <c r="AN348" s="5">
        <v>-2.9323999999999999</v>
      </c>
      <c r="AO348" s="5">
        <v>-2.6876000000000002</v>
      </c>
      <c r="AP348" s="8">
        <v>0.1739</v>
      </c>
      <c r="AQ348" s="8">
        <v>-0.5917</v>
      </c>
      <c r="AR348" s="8">
        <v>-0.5917</v>
      </c>
      <c r="AS348" s="5">
        <v>104.80419999999999</v>
      </c>
      <c r="AT348" s="5">
        <v>-3.9443000000000001</v>
      </c>
      <c r="AU348" s="7" t="s">
        <v>96</v>
      </c>
      <c r="AV348" s="7"/>
    </row>
    <row r="349" spans="1:48" ht="18" customHeight="1" x14ac:dyDescent="0.25">
      <c r="A349" s="10">
        <v>174</v>
      </c>
      <c r="B349" s="10">
        <v>2</v>
      </c>
      <c r="C349" s="10">
        <v>174</v>
      </c>
      <c r="D349" s="86">
        <v>45895</v>
      </c>
      <c r="E349" s="86">
        <v>45901</v>
      </c>
      <c r="F349" s="88" t="b">
        <f t="shared" si="5"/>
        <v>1</v>
      </c>
      <c r="G349" s="86">
        <v>46021</v>
      </c>
      <c r="H349" s="11">
        <v>24712.05</v>
      </c>
      <c r="I349" s="11">
        <v>24625.05</v>
      </c>
      <c r="J349" s="12"/>
      <c r="K349" s="12"/>
      <c r="L349" s="12" t="s">
        <v>44</v>
      </c>
      <c r="M349" s="90"/>
      <c r="N349" s="90"/>
      <c r="O349" s="10">
        <v>25000</v>
      </c>
      <c r="P349" s="12" t="s">
        <v>97</v>
      </c>
      <c r="Q349" s="10">
        <v>65</v>
      </c>
      <c r="R349" s="10">
        <v>556</v>
      </c>
      <c r="S349" s="11">
        <v>573.70000000000005</v>
      </c>
      <c r="T349" s="13">
        <v>5.8700000000000002E-2</v>
      </c>
      <c r="U349" s="13">
        <v>0.5827</v>
      </c>
      <c r="V349" s="10">
        <v>0</v>
      </c>
      <c r="W349" s="14">
        <v>0</v>
      </c>
      <c r="X349" s="11">
        <v>17.7</v>
      </c>
      <c r="Y349" s="14">
        <v>7.1624976479086114E-4</v>
      </c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 t="s">
        <v>96</v>
      </c>
      <c r="AV349" s="12"/>
    </row>
    <row r="350" spans="1:48" ht="18" customHeight="1" x14ac:dyDescent="0.25">
      <c r="A350" s="4">
        <v>175</v>
      </c>
      <c r="B350" s="4">
        <v>1</v>
      </c>
      <c r="C350" s="4">
        <v>175</v>
      </c>
      <c r="D350" s="85">
        <v>45901</v>
      </c>
      <c r="E350" s="85">
        <v>45908</v>
      </c>
      <c r="F350" s="88" t="b">
        <f t="shared" si="5"/>
        <v>1</v>
      </c>
      <c r="G350" s="85">
        <v>45909</v>
      </c>
      <c r="H350" s="5">
        <v>24625.05</v>
      </c>
      <c r="I350" s="5">
        <v>24773.15</v>
      </c>
      <c r="J350" s="5">
        <v>148.1</v>
      </c>
      <c r="K350" s="6">
        <v>6.0142009863939361E-3</v>
      </c>
      <c r="L350" s="7" t="s">
        <v>34</v>
      </c>
      <c r="M350" s="91">
        <f>MROUND(H350,100)-100</f>
        <v>24500</v>
      </c>
      <c r="N350" s="91">
        <f>M350-O350</f>
        <v>0</v>
      </c>
      <c r="O350" s="4">
        <v>24500</v>
      </c>
      <c r="P350" s="7" t="s">
        <v>95</v>
      </c>
      <c r="Q350" s="4">
        <v>65</v>
      </c>
      <c r="R350" s="5">
        <v>247.95</v>
      </c>
      <c r="S350" s="5">
        <v>309.5</v>
      </c>
      <c r="T350" s="8">
        <v>-0.92200000000000004</v>
      </c>
      <c r="U350" s="8">
        <v>0.35589999999999999</v>
      </c>
      <c r="V350" s="5">
        <v>-61.55</v>
      </c>
      <c r="W350" s="6">
        <v>-2.4994873106856642E-3</v>
      </c>
      <c r="X350" s="4">
        <v>0</v>
      </c>
      <c r="Y350" s="6">
        <v>0</v>
      </c>
      <c r="Z350" s="5">
        <v>56825.5</v>
      </c>
      <c r="AA350" s="5">
        <v>57361.15</v>
      </c>
      <c r="AB350" s="5">
        <v>535.65</v>
      </c>
      <c r="AC350" s="5">
        <v>0.94259999999999999</v>
      </c>
      <c r="AD350" s="4">
        <v>7</v>
      </c>
      <c r="AE350" s="5">
        <v>-0.11666700000000001</v>
      </c>
      <c r="AF350" s="5">
        <v>469.35359999999997</v>
      </c>
      <c r="AG350" s="5">
        <v>0.82599999999999996</v>
      </c>
      <c r="AH350" s="8">
        <v>-0.3427</v>
      </c>
      <c r="AI350" s="8">
        <v>1.9641999999999999</v>
      </c>
      <c r="AJ350" s="15">
        <v>317.90359999999998</v>
      </c>
      <c r="AK350" s="15">
        <v>0.21099999999999999</v>
      </c>
      <c r="AL350" s="5">
        <v>106.3993</v>
      </c>
      <c r="AM350" s="5">
        <v>109.10769999999999</v>
      </c>
      <c r="AN350" s="5">
        <v>-2.7084000000000001</v>
      </c>
      <c r="AO350" s="5">
        <v>-2.4823</v>
      </c>
      <c r="AP350" s="8">
        <v>0.53990000000000005</v>
      </c>
      <c r="AQ350" s="8">
        <v>0.22559999999999999</v>
      </c>
      <c r="AR350" s="8">
        <v>0.21099999999999999</v>
      </c>
      <c r="AS350" s="5">
        <v>106.3993</v>
      </c>
      <c r="AT350" s="5">
        <v>-2.4823</v>
      </c>
      <c r="AU350" s="7" t="s">
        <v>96</v>
      </c>
      <c r="AV350" s="7"/>
    </row>
    <row r="351" spans="1:48" ht="18" customHeight="1" x14ac:dyDescent="0.25">
      <c r="A351" s="10">
        <v>175</v>
      </c>
      <c r="B351" s="10">
        <v>2</v>
      </c>
      <c r="C351" s="10">
        <v>175</v>
      </c>
      <c r="D351" s="86">
        <v>45901</v>
      </c>
      <c r="E351" s="86">
        <v>45908</v>
      </c>
      <c r="F351" s="88" t="b">
        <f t="shared" si="5"/>
        <v>1</v>
      </c>
      <c r="G351" s="86">
        <v>46021</v>
      </c>
      <c r="H351" s="11">
        <v>24625.05</v>
      </c>
      <c r="I351" s="11">
        <v>24773.15</v>
      </c>
      <c r="J351" s="12"/>
      <c r="K351" s="12"/>
      <c r="L351" s="12" t="s">
        <v>44</v>
      </c>
      <c r="M351" s="90"/>
      <c r="N351" s="90"/>
      <c r="O351" s="10">
        <v>25000</v>
      </c>
      <c r="P351" s="12" t="s">
        <v>97</v>
      </c>
      <c r="Q351" s="10">
        <v>65</v>
      </c>
      <c r="R351" s="11">
        <v>573.70000000000005</v>
      </c>
      <c r="S351" s="11">
        <v>483.8</v>
      </c>
      <c r="T351" s="13">
        <v>-0.50229999999999997</v>
      </c>
      <c r="U351" s="13">
        <v>0.21240000000000001</v>
      </c>
      <c r="V351" s="10">
        <v>0</v>
      </c>
      <c r="W351" s="14">
        <v>0</v>
      </c>
      <c r="X351" s="11">
        <v>-89.9</v>
      </c>
      <c r="Y351" s="14">
        <v>-3.650754008621302E-3</v>
      </c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 t="s">
        <v>96</v>
      </c>
      <c r="AV351" s="12"/>
    </row>
    <row r="352" spans="1:48" ht="18" customHeight="1" x14ac:dyDescent="0.25">
      <c r="A352" s="4">
        <v>176</v>
      </c>
      <c r="B352" s="4">
        <v>1</v>
      </c>
      <c r="C352" s="4">
        <v>176</v>
      </c>
      <c r="D352" s="85">
        <v>45908</v>
      </c>
      <c r="E352" s="85">
        <v>45915</v>
      </c>
      <c r="F352" s="88" t="b">
        <f t="shared" si="5"/>
        <v>1</v>
      </c>
      <c r="G352" s="85">
        <v>45916</v>
      </c>
      <c r="H352" s="5">
        <v>24773.15</v>
      </c>
      <c r="I352" s="5">
        <v>25069.200000000001</v>
      </c>
      <c r="J352" s="5">
        <v>296.05</v>
      </c>
      <c r="K352" s="6">
        <v>1.1950438276924821E-2</v>
      </c>
      <c r="L352" s="7" t="s">
        <v>34</v>
      </c>
      <c r="M352" s="91">
        <f>MROUND(H352,100)-100</f>
        <v>24700</v>
      </c>
      <c r="N352" s="91">
        <f>M352-O352</f>
        <v>0</v>
      </c>
      <c r="O352" s="4">
        <v>24700</v>
      </c>
      <c r="P352" s="7" t="s">
        <v>95</v>
      </c>
      <c r="Q352" s="4">
        <v>65</v>
      </c>
      <c r="R352" s="5">
        <v>223.65</v>
      </c>
      <c r="S352" s="5">
        <v>404.15</v>
      </c>
      <c r="T352" s="8">
        <v>-0.95789999999999997</v>
      </c>
      <c r="U352" s="8">
        <v>-4.48E-2</v>
      </c>
      <c r="V352" s="5">
        <v>-180.5</v>
      </c>
      <c r="W352" s="6">
        <v>-7.286114200253096E-3</v>
      </c>
      <c r="X352" s="4">
        <v>0</v>
      </c>
      <c r="Y352" s="6">
        <v>0</v>
      </c>
      <c r="Z352" s="5">
        <v>57361.15</v>
      </c>
      <c r="AA352" s="5">
        <v>58486.1</v>
      </c>
      <c r="AB352" s="5">
        <v>1124.95</v>
      </c>
      <c r="AC352" s="5">
        <v>1.9612000000000001</v>
      </c>
      <c r="AD352" s="4">
        <v>7</v>
      </c>
      <c r="AE352" s="5">
        <v>-0.11666700000000001</v>
      </c>
      <c r="AF352" s="5">
        <v>1058.0287000000001</v>
      </c>
      <c r="AG352" s="5">
        <v>1.8445</v>
      </c>
      <c r="AH352" s="8">
        <v>-0.2437</v>
      </c>
      <c r="AI352" s="8">
        <v>1.9496</v>
      </c>
      <c r="AJ352" s="15">
        <v>745.4787</v>
      </c>
      <c r="AK352" s="15">
        <v>0.58289999999999997</v>
      </c>
      <c r="AL352" s="5">
        <v>107.01949999999999</v>
      </c>
      <c r="AM352" s="5">
        <v>109.10769999999999</v>
      </c>
      <c r="AN352" s="5">
        <v>-2.0882000000000001</v>
      </c>
      <c r="AO352" s="5">
        <v>-1.9138999999999999</v>
      </c>
      <c r="AP352" s="8">
        <v>0.40579999999999999</v>
      </c>
      <c r="AQ352" s="8">
        <v>-0.30890000000000001</v>
      </c>
      <c r="AR352" s="8">
        <v>-0.30890000000000001</v>
      </c>
      <c r="AS352" s="5">
        <v>106.0707</v>
      </c>
      <c r="AT352" s="5">
        <v>-2.7835000000000001</v>
      </c>
      <c r="AU352" s="7" t="s">
        <v>96</v>
      </c>
      <c r="AV352" s="7"/>
    </row>
    <row r="353" spans="1:48" ht="18" customHeight="1" x14ac:dyDescent="0.25">
      <c r="A353" s="10">
        <v>176</v>
      </c>
      <c r="B353" s="10">
        <v>2</v>
      </c>
      <c r="C353" s="10">
        <v>176</v>
      </c>
      <c r="D353" s="86">
        <v>45908</v>
      </c>
      <c r="E353" s="86">
        <v>45915</v>
      </c>
      <c r="F353" s="88" t="b">
        <f t="shared" si="5"/>
        <v>1</v>
      </c>
      <c r="G353" s="86">
        <v>46021</v>
      </c>
      <c r="H353" s="11">
        <v>24773.15</v>
      </c>
      <c r="I353" s="11">
        <v>25069.200000000001</v>
      </c>
      <c r="J353" s="12"/>
      <c r="K353" s="12"/>
      <c r="L353" s="12" t="s">
        <v>44</v>
      </c>
      <c r="M353" s="90"/>
      <c r="N353" s="90"/>
      <c r="O353" s="10">
        <v>25000</v>
      </c>
      <c r="P353" s="12" t="s">
        <v>97</v>
      </c>
      <c r="Q353" s="10">
        <v>65</v>
      </c>
      <c r="R353" s="11">
        <v>483.8</v>
      </c>
      <c r="S353" s="11">
        <v>351.75</v>
      </c>
      <c r="T353" s="13">
        <v>-0.58589999999999998</v>
      </c>
      <c r="U353" s="13">
        <v>-2.0400000000000001E-2</v>
      </c>
      <c r="V353" s="10">
        <v>0</v>
      </c>
      <c r="W353" s="14">
        <v>0</v>
      </c>
      <c r="X353" s="11">
        <v>-132.05000000000001</v>
      </c>
      <c r="Y353" s="14">
        <v>-5.3303677570272646E-3</v>
      </c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 t="s">
        <v>96</v>
      </c>
      <c r="AV353" s="12"/>
    </row>
    <row r="354" spans="1:48" ht="18" customHeight="1" x14ac:dyDescent="0.25">
      <c r="A354" s="4">
        <v>177</v>
      </c>
      <c r="B354" s="4">
        <v>1</v>
      </c>
      <c r="C354" s="4">
        <v>177</v>
      </c>
      <c r="D354" s="85">
        <v>45915</v>
      </c>
      <c r="E354" s="85">
        <v>45922</v>
      </c>
      <c r="F354" s="88" t="b">
        <f t="shared" si="5"/>
        <v>1</v>
      </c>
      <c r="G354" s="85">
        <v>45923</v>
      </c>
      <c r="H354" s="5">
        <v>25069.200000000001</v>
      </c>
      <c r="I354" s="5">
        <v>25202.35</v>
      </c>
      <c r="J354" s="5">
        <v>133.15</v>
      </c>
      <c r="K354" s="6">
        <v>5.3112983262329884E-3</v>
      </c>
      <c r="L354" s="7" t="s">
        <v>34</v>
      </c>
      <c r="M354" s="91">
        <f>MROUND(H354,100)-100</f>
        <v>25000</v>
      </c>
      <c r="N354" s="91">
        <f>M354-O354</f>
        <v>0</v>
      </c>
      <c r="O354" s="4">
        <v>25000</v>
      </c>
      <c r="P354" s="7" t="s">
        <v>95</v>
      </c>
      <c r="Q354" s="4">
        <v>65</v>
      </c>
      <c r="R354" s="5">
        <v>214.8</v>
      </c>
      <c r="S354" s="5">
        <v>240.85</v>
      </c>
      <c r="T354" s="8">
        <v>-1.0975999999999999</v>
      </c>
      <c r="U354" s="8">
        <v>5.0900000000000001E-2</v>
      </c>
      <c r="V354" s="5">
        <v>-26.05</v>
      </c>
      <c r="W354" s="6">
        <v>-1.0391237055829461E-3</v>
      </c>
      <c r="X354" s="4">
        <v>0</v>
      </c>
      <c r="Y354" s="6">
        <v>0</v>
      </c>
      <c r="Z354" s="5">
        <v>58486.1</v>
      </c>
      <c r="AA354" s="5">
        <v>58699.5</v>
      </c>
      <c r="AB354" s="5">
        <v>213.4</v>
      </c>
      <c r="AC354" s="5">
        <v>0.3649</v>
      </c>
      <c r="AD354" s="4">
        <v>7</v>
      </c>
      <c r="AE354" s="5">
        <v>-0.11666700000000001</v>
      </c>
      <c r="AF354" s="5">
        <v>145.1662</v>
      </c>
      <c r="AG354" s="5">
        <v>0.2482</v>
      </c>
      <c r="AH354" s="8">
        <v>-0.11609999999999999</v>
      </c>
      <c r="AI354" s="8">
        <v>1.2339</v>
      </c>
      <c r="AJ354" s="15">
        <v>71.966200000000001</v>
      </c>
      <c r="AK354" s="15">
        <v>-4.3799999999999999E-2</v>
      </c>
      <c r="AL354" s="5">
        <v>106.9727</v>
      </c>
      <c r="AM354" s="5">
        <v>109.10769999999999</v>
      </c>
      <c r="AN354" s="5">
        <v>-2.1349999999999998</v>
      </c>
      <c r="AO354" s="5">
        <v>-1.9568000000000001</v>
      </c>
      <c r="AP354" s="8">
        <v>-0.46899999999999997</v>
      </c>
      <c r="AQ354" s="8">
        <v>-4.4299999999999999E-2</v>
      </c>
      <c r="AR354" s="8">
        <v>-0.46899999999999997</v>
      </c>
      <c r="AS354" s="5">
        <v>106.5176</v>
      </c>
      <c r="AT354" s="5">
        <v>-2.3738999999999999</v>
      </c>
      <c r="AU354" s="7" t="s">
        <v>96</v>
      </c>
      <c r="AV354" s="7"/>
    </row>
    <row r="355" spans="1:48" ht="18" customHeight="1" x14ac:dyDescent="0.25">
      <c r="A355" s="10">
        <v>177</v>
      </c>
      <c r="B355" s="10">
        <v>2</v>
      </c>
      <c r="C355" s="10">
        <v>177</v>
      </c>
      <c r="D355" s="86">
        <v>45915</v>
      </c>
      <c r="E355" s="86">
        <v>45922</v>
      </c>
      <c r="F355" s="88" t="b">
        <f t="shared" si="5"/>
        <v>1</v>
      </c>
      <c r="G355" s="86">
        <v>46021</v>
      </c>
      <c r="H355" s="11">
        <v>25069.200000000001</v>
      </c>
      <c r="I355" s="11">
        <v>25202.35</v>
      </c>
      <c r="J355" s="12"/>
      <c r="K355" s="12"/>
      <c r="L355" s="12" t="s">
        <v>44</v>
      </c>
      <c r="M355" s="90"/>
      <c r="N355" s="90"/>
      <c r="O355" s="10">
        <v>25000</v>
      </c>
      <c r="P355" s="12" t="s">
        <v>97</v>
      </c>
      <c r="Q355" s="10">
        <v>65</v>
      </c>
      <c r="R355" s="11">
        <v>351.75</v>
      </c>
      <c r="S355" s="11">
        <v>304.60000000000002</v>
      </c>
      <c r="T355" s="13">
        <v>-0.60529999999999995</v>
      </c>
      <c r="U355" s="13">
        <v>2.0899999999999998E-2</v>
      </c>
      <c r="V355" s="10">
        <v>0</v>
      </c>
      <c r="W355" s="14">
        <v>0</v>
      </c>
      <c r="X355" s="11">
        <v>-47.15</v>
      </c>
      <c r="Y355" s="14">
        <v>-1.880793962312319E-3</v>
      </c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 t="s">
        <v>96</v>
      </c>
      <c r="AV355" s="12"/>
    </row>
    <row r="356" spans="1:48" ht="18" customHeight="1" x14ac:dyDescent="0.25">
      <c r="A356" s="4">
        <v>178</v>
      </c>
      <c r="B356" s="4">
        <v>1</v>
      </c>
      <c r="C356" s="4">
        <v>178</v>
      </c>
      <c r="D356" s="85">
        <v>45922</v>
      </c>
      <c r="E356" s="85">
        <v>45929</v>
      </c>
      <c r="F356" s="88" t="b">
        <f t="shared" si="5"/>
        <v>1</v>
      </c>
      <c r="G356" s="85">
        <v>45930</v>
      </c>
      <c r="H356" s="5">
        <v>25202.35</v>
      </c>
      <c r="I356" s="5">
        <v>24634.9</v>
      </c>
      <c r="J356" s="5">
        <v>-567.45000000000005</v>
      </c>
      <c r="K356" s="6">
        <v>-2.2515757459125839E-2</v>
      </c>
      <c r="L356" s="7" t="s">
        <v>34</v>
      </c>
      <c r="M356" s="91">
        <f>MROUND(H356,100)-100</f>
        <v>25100</v>
      </c>
      <c r="N356" s="91">
        <f>M356-O356</f>
        <v>0</v>
      </c>
      <c r="O356" s="4">
        <v>25100</v>
      </c>
      <c r="P356" s="7" t="s">
        <v>95</v>
      </c>
      <c r="Q356" s="4">
        <v>65</v>
      </c>
      <c r="R356" s="5">
        <v>248.3</v>
      </c>
      <c r="S356" s="5">
        <v>4.05</v>
      </c>
      <c r="T356" s="8">
        <v>-0.1258</v>
      </c>
      <c r="U356" s="8">
        <v>0.97170000000000001</v>
      </c>
      <c r="V356" s="5">
        <v>244.25</v>
      </c>
      <c r="W356" s="6">
        <v>9.6915565413542796E-3</v>
      </c>
      <c r="X356" s="4">
        <v>0</v>
      </c>
      <c r="Y356" s="6">
        <v>0</v>
      </c>
      <c r="Z356" s="5">
        <v>58699.5</v>
      </c>
      <c r="AA356" s="5">
        <v>56533.15</v>
      </c>
      <c r="AB356" s="5">
        <v>-2166.35</v>
      </c>
      <c r="AC356" s="5">
        <v>-3.6905999999999999</v>
      </c>
      <c r="AD356" s="4">
        <v>7</v>
      </c>
      <c r="AE356" s="5">
        <v>-0.11666700000000001</v>
      </c>
      <c r="AF356" s="5">
        <v>-2234.8326999999999</v>
      </c>
      <c r="AG356" s="5">
        <v>-3.8071999999999999</v>
      </c>
      <c r="AH356" s="8">
        <v>-4.1325000000000003</v>
      </c>
      <c r="AI356" s="8">
        <v>0.2321</v>
      </c>
      <c r="AJ356" s="9">
        <v>-1789.3827000000001</v>
      </c>
      <c r="AK356" s="9">
        <v>-2.0396999999999998</v>
      </c>
      <c r="AL356" s="5">
        <v>104.7907</v>
      </c>
      <c r="AM356" s="5">
        <v>109.10769999999999</v>
      </c>
      <c r="AN356" s="5">
        <v>-4.3170000000000002</v>
      </c>
      <c r="AO356" s="5">
        <v>-3.9565999999999999</v>
      </c>
      <c r="AP356" s="8">
        <v>3.0499999999999999E-2</v>
      </c>
      <c r="AQ356" s="8">
        <v>-2.2694000000000001</v>
      </c>
      <c r="AR356" s="8">
        <v>-2.2694000000000001</v>
      </c>
      <c r="AS356" s="5">
        <v>104.545</v>
      </c>
      <c r="AT356" s="5">
        <v>-4.1818</v>
      </c>
      <c r="AU356" s="7" t="s">
        <v>96</v>
      </c>
      <c r="AV356" s="7"/>
    </row>
    <row r="357" spans="1:48" ht="18" customHeight="1" x14ac:dyDescent="0.25">
      <c r="A357" s="10">
        <v>178</v>
      </c>
      <c r="B357" s="10">
        <v>2</v>
      </c>
      <c r="C357" s="10">
        <v>178</v>
      </c>
      <c r="D357" s="86">
        <v>45922</v>
      </c>
      <c r="E357" s="86">
        <v>45929</v>
      </c>
      <c r="F357" s="88" t="b">
        <f t="shared" si="5"/>
        <v>1</v>
      </c>
      <c r="G357" s="86">
        <v>46021</v>
      </c>
      <c r="H357" s="11">
        <v>25202.35</v>
      </c>
      <c r="I357" s="11">
        <v>24634.9</v>
      </c>
      <c r="J357" s="12"/>
      <c r="K357" s="12"/>
      <c r="L357" s="12" t="s">
        <v>44</v>
      </c>
      <c r="M357" s="90"/>
      <c r="N357" s="90"/>
      <c r="O357" s="10">
        <v>25000</v>
      </c>
      <c r="P357" s="12" t="s">
        <v>97</v>
      </c>
      <c r="Q357" s="10">
        <v>65</v>
      </c>
      <c r="R357" s="11">
        <v>304.60000000000002</v>
      </c>
      <c r="S357" s="11">
        <v>505.8</v>
      </c>
      <c r="T357" s="13">
        <v>-7.5800000000000006E-2</v>
      </c>
      <c r="U357" s="13">
        <v>0.89139999999999997</v>
      </c>
      <c r="V357" s="10">
        <v>0</v>
      </c>
      <c r="W357" s="14">
        <v>0</v>
      </c>
      <c r="X357" s="11">
        <v>201.2</v>
      </c>
      <c r="Y357" s="14">
        <v>7.9833825020285808E-3</v>
      </c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 t="s">
        <v>96</v>
      </c>
      <c r="AV357" s="12"/>
    </row>
    <row r="358" spans="1:48" ht="18" customHeight="1" x14ac:dyDescent="0.25">
      <c r="A358" s="4">
        <v>179</v>
      </c>
      <c r="B358" s="4">
        <v>1</v>
      </c>
      <c r="C358" s="4">
        <v>179</v>
      </c>
      <c r="D358" s="85">
        <v>45929</v>
      </c>
      <c r="E358" s="85">
        <v>45936</v>
      </c>
      <c r="F358" s="88" t="b">
        <f t="shared" si="5"/>
        <v>1</v>
      </c>
      <c r="G358" s="85">
        <v>45937</v>
      </c>
      <c r="H358" s="5">
        <v>24634.9</v>
      </c>
      <c r="I358" s="5">
        <v>25077.65</v>
      </c>
      <c r="J358" s="5">
        <v>442.75</v>
      </c>
      <c r="K358" s="6">
        <v>1.7972469951166841E-2</v>
      </c>
      <c r="L358" s="7" t="s">
        <v>34</v>
      </c>
      <c r="M358" s="91">
        <f>MROUND(H358,100)-100</f>
        <v>24500</v>
      </c>
      <c r="N358" s="91">
        <f>M358-O358</f>
        <v>0</v>
      </c>
      <c r="O358" s="4">
        <v>24500</v>
      </c>
      <c r="P358" s="7" t="s">
        <v>95</v>
      </c>
      <c r="Q358" s="4">
        <v>65</v>
      </c>
      <c r="R358" s="5">
        <v>296.10000000000002</v>
      </c>
      <c r="S358" s="5">
        <v>602.45000000000005</v>
      </c>
      <c r="T358" s="8">
        <v>-1.2939000000000001</v>
      </c>
      <c r="U358" s="8">
        <v>0.35360000000000003</v>
      </c>
      <c r="V358" s="5">
        <v>-306.35000000000002</v>
      </c>
      <c r="W358" s="6">
        <v>-1.243560964322973E-2</v>
      </c>
      <c r="X358" s="4">
        <v>0</v>
      </c>
      <c r="Y358" s="6">
        <v>0</v>
      </c>
      <c r="Z358" s="5">
        <v>56533.15</v>
      </c>
      <c r="AA358" s="5">
        <v>58015.1</v>
      </c>
      <c r="AB358" s="5">
        <v>1481.95</v>
      </c>
      <c r="AC358" s="5">
        <v>2.6214</v>
      </c>
      <c r="AD358" s="4">
        <v>7</v>
      </c>
      <c r="AE358" s="5">
        <v>-0.11666700000000001</v>
      </c>
      <c r="AF358" s="5">
        <v>1415.9947</v>
      </c>
      <c r="AG358" s="5">
        <v>2.5047000000000001</v>
      </c>
      <c r="AH358" s="8">
        <v>-0.61299999999999999</v>
      </c>
      <c r="AI358" s="8">
        <v>2.5508000000000002</v>
      </c>
      <c r="AJ358" s="15">
        <v>916.39469999999994</v>
      </c>
      <c r="AK358" s="15">
        <v>0.47670000000000001</v>
      </c>
      <c r="AL358" s="5">
        <v>105.2903</v>
      </c>
      <c r="AM358" s="5">
        <v>109.10769999999999</v>
      </c>
      <c r="AN358" s="5">
        <v>-3.8174000000000001</v>
      </c>
      <c r="AO358" s="5">
        <v>-3.4988000000000001</v>
      </c>
      <c r="AP358" s="8">
        <v>0.46210000000000001</v>
      </c>
      <c r="AQ358" s="8">
        <v>-0.12379999999999999</v>
      </c>
      <c r="AR358" s="8">
        <v>-0.12379999999999999</v>
      </c>
      <c r="AS358" s="5">
        <v>104.661</v>
      </c>
      <c r="AT358" s="5">
        <v>-4.0754999999999999</v>
      </c>
      <c r="AU358" s="7" t="s">
        <v>96</v>
      </c>
      <c r="AV358" s="7"/>
    </row>
    <row r="359" spans="1:48" ht="18" customHeight="1" x14ac:dyDescent="0.25">
      <c r="A359" s="10">
        <v>179</v>
      </c>
      <c r="B359" s="10">
        <v>2</v>
      </c>
      <c r="C359" s="10">
        <v>179</v>
      </c>
      <c r="D359" s="86">
        <v>45929</v>
      </c>
      <c r="E359" s="86">
        <v>45936</v>
      </c>
      <c r="F359" s="88" t="b">
        <f t="shared" si="5"/>
        <v>1</v>
      </c>
      <c r="G359" s="86">
        <v>46021</v>
      </c>
      <c r="H359" s="11">
        <v>24634.9</v>
      </c>
      <c r="I359" s="11">
        <v>25077.65</v>
      </c>
      <c r="J359" s="12"/>
      <c r="K359" s="12"/>
      <c r="L359" s="12" t="s">
        <v>44</v>
      </c>
      <c r="M359" s="90"/>
      <c r="N359" s="90"/>
      <c r="O359" s="10">
        <v>25000</v>
      </c>
      <c r="P359" s="12" t="s">
        <v>97</v>
      </c>
      <c r="Q359" s="10">
        <v>65</v>
      </c>
      <c r="R359" s="11">
        <v>505.8</v>
      </c>
      <c r="S359" s="11">
        <v>312.55</v>
      </c>
      <c r="T359" s="13">
        <v>-0.79479999999999995</v>
      </c>
      <c r="U359" s="13">
        <v>0.1356</v>
      </c>
      <c r="V359" s="10">
        <v>0</v>
      </c>
      <c r="W359" s="14">
        <v>0</v>
      </c>
      <c r="X359" s="11">
        <v>-193.25</v>
      </c>
      <c r="Y359" s="14">
        <v>-7.844561983202691E-3</v>
      </c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 t="s">
        <v>96</v>
      </c>
      <c r="AV359" s="12"/>
    </row>
    <row r="360" spans="1:48" ht="18" customHeight="1" x14ac:dyDescent="0.25">
      <c r="A360" s="4">
        <v>180</v>
      </c>
      <c r="B360" s="4">
        <v>1</v>
      </c>
      <c r="C360" s="4">
        <v>180</v>
      </c>
      <c r="D360" s="85">
        <v>45936</v>
      </c>
      <c r="E360" s="85">
        <v>45943</v>
      </c>
      <c r="F360" s="88" t="b">
        <f t="shared" si="5"/>
        <v>1</v>
      </c>
      <c r="G360" s="85">
        <v>45944</v>
      </c>
      <c r="H360" s="5">
        <v>25077.65</v>
      </c>
      <c r="I360" s="5">
        <v>25227.35</v>
      </c>
      <c r="J360" s="5">
        <v>149.69999999999999</v>
      </c>
      <c r="K360" s="6">
        <v>5.9694588607784212E-3</v>
      </c>
      <c r="L360" s="7" t="s">
        <v>34</v>
      </c>
      <c r="M360" s="91">
        <f>MROUND(H360,100)-100</f>
        <v>25000</v>
      </c>
      <c r="N360" s="91">
        <f>M360-O360</f>
        <v>0</v>
      </c>
      <c r="O360" s="4">
        <v>25000</v>
      </c>
      <c r="P360" s="7" t="s">
        <v>95</v>
      </c>
      <c r="Q360" s="4">
        <v>65</v>
      </c>
      <c r="R360" s="5">
        <v>206.35</v>
      </c>
      <c r="S360" s="5">
        <v>252.8</v>
      </c>
      <c r="T360" s="8">
        <v>-0.75919999999999999</v>
      </c>
      <c r="U360" s="8">
        <v>0.34029999999999999</v>
      </c>
      <c r="V360" s="5">
        <v>-46.45</v>
      </c>
      <c r="W360" s="6">
        <v>-1.8522469210631781E-3</v>
      </c>
      <c r="X360" s="4">
        <v>0</v>
      </c>
      <c r="Y360" s="6">
        <v>0</v>
      </c>
      <c r="Z360" s="5">
        <v>58015.1</v>
      </c>
      <c r="AA360" s="5">
        <v>58762.35</v>
      </c>
      <c r="AB360" s="5">
        <v>747.25</v>
      </c>
      <c r="AC360" s="5">
        <v>1.288</v>
      </c>
      <c r="AD360" s="4">
        <v>7</v>
      </c>
      <c r="AE360" s="5">
        <v>-0.11666700000000001</v>
      </c>
      <c r="AF360" s="5">
        <v>679.56569999999999</v>
      </c>
      <c r="AG360" s="5">
        <v>1.1714</v>
      </c>
      <c r="AH360" s="8">
        <v>-0.41239999999999999</v>
      </c>
      <c r="AI360" s="8">
        <v>1.3602000000000001</v>
      </c>
      <c r="AJ360" s="15">
        <v>589.86569999999995</v>
      </c>
      <c r="AK360" s="15">
        <v>0.81369999999999998</v>
      </c>
      <c r="AL360" s="5">
        <v>106.14700000000001</v>
      </c>
      <c r="AM360" s="5">
        <v>109.10769999999999</v>
      </c>
      <c r="AN360" s="5">
        <v>-2.9607000000000001</v>
      </c>
      <c r="AO360" s="5">
        <v>-2.7134999999999998</v>
      </c>
      <c r="AP360" s="8">
        <v>0.27579999999999999</v>
      </c>
      <c r="AQ360" s="8">
        <v>4.8099999999999997E-2</v>
      </c>
      <c r="AR360" s="8">
        <v>4.8099999999999997E-2</v>
      </c>
      <c r="AS360" s="5">
        <v>105.3409</v>
      </c>
      <c r="AT360" s="5">
        <v>-3.4523000000000001</v>
      </c>
      <c r="AU360" s="7" t="s">
        <v>96</v>
      </c>
      <c r="AV360" s="7"/>
    </row>
    <row r="361" spans="1:48" ht="18" customHeight="1" x14ac:dyDescent="0.25">
      <c r="A361" s="10">
        <v>180</v>
      </c>
      <c r="B361" s="10">
        <v>2</v>
      </c>
      <c r="C361" s="10">
        <v>180</v>
      </c>
      <c r="D361" s="86">
        <v>45936</v>
      </c>
      <c r="E361" s="86">
        <v>45943</v>
      </c>
      <c r="F361" s="88" t="b">
        <f t="shared" si="5"/>
        <v>1</v>
      </c>
      <c r="G361" s="86">
        <v>46021</v>
      </c>
      <c r="H361" s="11">
        <v>25077.65</v>
      </c>
      <c r="I361" s="11">
        <v>25227.35</v>
      </c>
      <c r="J361" s="12"/>
      <c r="K361" s="12"/>
      <c r="L361" s="12" t="s">
        <v>44</v>
      </c>
      <c r="M361" s="90"/>
      <c r="N361" s="90"/>
      <c r="O361" s="10">
        <v>25000</v>
      </c>
      <c r="P361" s="12" t="s">
        <v>97</v>
      </c>
      <c r="Q361" s="10">
        <v>65</v>
      </c>
      <c r="R361" s="11">
        <v>312.55</v>
      </c>
      <c r="S361" s="11">
        <v>269.3</v>
      </c>
      <c r="T361" s="13">
        <v>-0.32519999999999999</v>
      </c>
      <c r="U361" s="13">
        <v>0.1202</v>
      </c>
      <c r="V361" s="10">
        <v>0</v>
      </c>
      <c r="W361" s="14">
        <v>0</v>
      </c>
      <c r="X361" s="11">
        <v>-43.25</v>
      </c>
      <c r="Y361" s="14">
        <v>-1.7246432580405259E-3</v>
      </c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 t="s">
        <v>96</v>
      </c>
      <c r="AV361" s="12"/>
    </row>
    <row r="362" spans="1:48" ht="18" customHeight="1" x14ac:dyDescent="0.25">
      <c r="A362" s="4">
        <v>181</v>
      </c>
      <c r="B362" s="4">
        <v>1</v>
      </c>
      <c r="C362" s="4">
        <v>181</v>
      </c>
      <c r="D362" s="85">
        <v>45943</v>
      </c>
      <c r="E362" s="85">
        <v>45947</v>
      </c>
      <c r="F362" s="88" t="b">
        <f t="shared" si="5"/>
        <v>1</v>
      </c>
      <c r="G362" s="85">
        <v>45950</v>
      </c>
      <c r="H362" s="5">
        <v>25227.35</v>
      </c>
      <c r="I362" s="5">
        <v>25709.85</v>
      </c>
      <c r="J362" s="5">
        <v>482.5</v>
      </c>
      <c r="K362" s="6">
        <v>1.9126067541775101E-2</v>
      </c>
      <c r="L362" s="7" t="s">
        <v>34</v>
      </c>
      <c r="M362" s="91">
        <f>MROUND(H362,100)-100</f>
        <v>25100</v>
      </c>
      <c r="N362" s="91">
        <f>M362-O362</f>
        <v>0</v>
      </c>
      <c r="O362" s="4">
        <v>25100</v>
      </c>
      <c r="P362" s="7" t="s">
        <v>95</v>
      </c>
      <c r="Q362" s="4">
        <v>65</v>
      </c>
      <c r="R362" s="5">
        <v>253.1</v>
      </c>
      <c r="S362" s="5">
        <v>634.45000000000005</v>
      </c>
      <c r="T362" s="8">
        <v>-1.8728</v>
      </c>
      <c r="U362" s="8">
        <v>0.42059999999999997</v>
      </c>
      <c r="V362" s="5">
        <v>-381.35</v>
      </c>
      <c r="W362" s="6">
        <v>-1.5116530273691061E-2</v>
      </c>
      <c r="X362" s="4">
        <v>0</v>
      </c>
      <c r="Y362" s="6">
        <v>0</v>
      </c>
      <c r="Z362" s="5">
        <v>58762.35</v>
      </c>
      <c r="AA362" s="5">
        <v>58902.25</v>
      </c>
      <c r="AB362" s="5">
        <v>139.9</v>
      </c>
      <c r="AC362" s="5">
        <v>0.23810000000000001</v>
      </c>
      <c r="AD362" s="4">
        <v>4</v>
      </c>
      <c r="AE362" s="5">
        <v>-6.6667000000000004E-2</v>
      </c>
      <c r="AF362" s="5">
        <v>100.7251</v>
      </c>
      <c r="AG362" s="5">
        <v>0.1714</v>
      </c>
      <c r="AH362" s="8">
        <v>-0.93440000000000001</v>
      </c>
      <c r="AI362" s="8">
        <v>0.90180000000000005</v>
      </c>
      <c r="AJ362" s="9">
        <v>-348.47489999999999</v>
      </c>
      <c r="AK362" s="9">
        <v>-1.6092</v>
      </c>
      <c r="AL362" s="5">
        <v>104.4389</v>
      </c>
      <c r="AM362" s="5">
        <v>109.10769999999999</v>
      </c>
      <c r="AN362" s="5">
        <v>-4.6688000000000001</v>
      </c>
      <c r="AO362" s="5">
        <v>-4.2790999999999997</v>
      </c>
      <c r="AP362" s="8">
        <v>-1.3287</v>
      </c>
      <c r="AQ362" s="8">
        <v>-0.25</v>
      </c>
      <c r="AR362" s="8">
        <v>-1.6092</v>
      </c>
      <c r="AS362" s="5">
        <v>104.4389</v>
      </c>
      <c r="AT362" s="5">
        <v>-4.2790999999999997</v>
      </c>
      <c r="AU362" s="7" t="s">
        <v>96</v>
      </c>
      <c r="AV362" s="7"/>
    </row>
    <row r="363" spans="1:48" ht="18" customHeight="1" x14ac:dyDescent="0.25">
      <c r="A363" s="10">
        <v>181</v>
      </c>
      <c r="B363" s="10">
        <v>2</v>
      </c>
      <c r="C363" s="10">
        <v>181</v>
      </c>
      <c r="D363" s="86">
        <v>45943</v>
      </c>
      <c r="E363" s="86">
        <v>45947</v>
      </c>
      <c r="F363" s="88" t="b">
        <f t="shared" si="5"/>
        <v>1</v>
      </c>
      <c r="G363" s="86">
        <v>46021</v>
      </c>
      <c r="H363" s="11">
        <v>25227.35</v>
      </c>
      <c r="I363" s="11">
        <v>25709.85</v>
      </c>
      <c r="J363" s="12"/>
      <c r="K363" s="12"/>
      <c r="L363" s="12" t="s">
        <v>44</v>
      </c>
      <c r="M363" s="90"/>
      <c r="N363" s="90"/>
      <c r="O363" s="10">
        <v>25000</v>
      </c>
      <c r="P363" s="12" t="s">
        <v>97</v>
      </c>
      <c r="Q363" s="10">
        <v>65</v>
      </c>
      <c r="R363" s="11">
        <v>269.3</v>
      </c>
      <c r="S363" s="11">
        <v>201.45</v>
      </c>
      <c r="T363" s="13">
        <v>-0.35770000000000002</v>
      </c>
      <c r="U363" s="13">
        <v>0.26379999999999998</v>
      </c>
      <c r="V363" s="10">
        <v>0</v>
      </c>
      <c r="W363" s="14">
        <v>0</v>
      </c>
      <c r="X363" s="11">
        <v>-67.849999999999994</v>
      </c>
      <c r="Y363" s="14">
        <v>-2.689541311314902E-3</v>
      </c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 t="s">
        <v>96</v>
      </c>
      <c r="AV363" s="12"/>
    </row>
    <row r="364" spans="1:48" ht="18" customHeight="1" x14ac:dyDescent="0.25">
      <c r="A364" s="4">
        <v>182</v>
      </c>
      <c r="B364" s="4">
        <v>1</v>
      </c>
      <c r="C364" s="4">
        <v>182</v>
      </c>
      <c r="D364" s="85">
        <v>45947</v>
      </c>
      <c r="E364" s="85">
        <v>45957</v>
      </c>
      <c r="F364" s="88" t="b">
        <f t="shared" si="5"/>
        <v>1</v>
      </c>
      <c r="G364" s="85">
        <v>45958</v>
      </c>
      <c r="H364" s="5">
        <v>25709.85</v>
      </c>
      <c r="I364" s="5">
        <v>25966.05</v>
      </c>
      <c r="J364" s="5">
        <v>256.2</v>
      </c>
      <c r="K364" s="6">
        <v>9.9650523048559203E-3</v>
      </c>
      <c r="L364" s="7" t="s">
        <v>34</v>
      </c>
      <c r="M364" s="91">
        <f>MROUND(H364,100)-100</f>
        <v>25600</v>
      </c>
      <c r="N364" s="91">
        <f>M364-O364</f>
        <v>0</v>
      </c>
      <c r="O364" s="4">
        <v>25600</v>
      </c>
      <c r="P364" s="7" t="s">
        <v>95</v>
      </c>
      <c r="Q364" s="4">
        <v>65</v>
      </c>
      <c r="R364" s="5">
        <v>270.5</v>
      </c>
      <c r="S364" s="5">
        <v>410.7</v>
      </c>
      <c r="T364" s="8">
        <v>-1.6947000000000001</v>
      </c>
      <c r="U364" s="8">
        <v>0.34029999999999999</v>
      </c>
      <c r="V364" s="5">
        <v>-140.19999999999999</v>
      </c>
      <c r="W364" s="6">
        <v>-5.4531628928212337E-3</v>
      </c>
      <c r="X364" s="4">
        <v>0</v>
      </c>
      <c r="Y364" s="6">
        <v>0</v>
      </c>
      <c r="Z364" s="5">
        <v>58902.25</v>
      </c>
      <c r="AA364" s="5">
        <v>59780.15</v>
      </c>
      <c r="AB364" s="5">
        <v>877.9</v>
      </c>
      <c r="AC364" s="5">
        <v>1.4903999999999999</v>
      </c>
      <c r="AD364" s="4">
        <v>10</v>
      </c>
      <c r="AE364" s="5">
        <v>-0.16666700000000001</v>
      </c>
      <c r="AF364" s="5">
        <v>779.7296</v>
      </c>
      <c r="AG364" s="5">
        <v>1.3238000000000001</v>
      </c>
      <c r="AH364" s="8">
        <v>0.18290000000000001</v>
      </c>
      <c r="AI364" s="8">
        <v>1.452</v>
      </c>
      <c r="AJ364" s="15">
        <v>549.87959999999998</v>
      </c>
      <c r="AK364" s="15">
        <v>0.42980000000000002</v>
      </c>
      <c r="AL364" s="5">
        <v>104.8878</v>
      </c>
      <c r="AM364" s="5">
        <v>109.10769999999999</v>
      </c>
      <c r="AN364" s="5">
        <v>-4.2199</v>
      </c>
      <c r="AO364" s="5">
        <v>-3.8677000000000001</v>
      </c>
      <c r="AP364" s="8">
        <v>-0.61399999999999999</v>
      </c>
      <c r="AQ364" s="8">
        <v>0.48220000000000002</v>
      </c>
      <c r="AR364" s="8">
        <v>-0.61399999999999999</v>
      </c>
      <c r="AS364" s="5">
        <v>103.7976</v>
      </c>
      <c r="AT364" s="5">
        <v>-4.8667999999999996</v>
      </c>
      <c r="AU364" s="7" t="s">
        <v>96</v>
      </c>
      <c r="AV364" s="7"/>
    </row>
    <row r="365" spans="1:48" ht="18" customHeight="1" x14ac:dyDescent="0.25">
      <c r="A365" s="10">
        <v>182</v>
      </c>
      <c r="B365" s="10">
        <v>2</v>
      </c>
      <c r="C365" s="10">
        <v>182</v>
      </c>
      <c r="D365" s="86">
        <v>45947</v>
      </c>
      <c r="E365" s="86">
        <v>45957</v>
      </c>
      <c r="F365" s="88" t="b">
        <f t="shared" si="5"/>
        <v>1</v>
      </c>
      <c r="G365" s="86">
        <v>46021</v>
      </c>
      <c r="H365" s="11">
        <v>25709.85</v>
      </c>
      <c r="I365" s="11">
        <v>25966.05</v>
      </c>
      <c r="J365" s="12"/>
      <c r="K365" s="12"/>
      <c r="L365" s="12" t="s">
        <v>44</v>
      </c>
      <c r="M365" s="90"/>
      <c r="N365" s="90"/>
      <c r="O365" s="10">
        <v>25000</v>
      </c>
      <c r="P365" s="12" t="s">
        <v>97</v>
      </c>
      <c r="Q365" s="10">
        <v>65</v>
      </c>
      <c r="R365" s="11">
        <v>201.45</v>
      </c>
      <c r="S365" s="11">
        <v>111.8</v>
      </c>
      <c r="T365" s="13">
        <v>-0.37130000000000002</v>
      </c>
      <c r="U365" s="13">
        <v>-4.1000000000000002E-2</v>
      </c>
      <c r="V365" s="10">
        <v>0</v>
      </c>
      <c r="W365" s="14">
        <v>0</v>
      </c>
      <c r="X365" s="11">
        <v>-89.65</v>
      </c>
      <c r="Y365" s="14">
        <v>-3.4869903947319812E-3</v>
      </c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 t="s">
        <v>96</v>
      </c>
      <c r="AV365" s="12"/>
    </row>
    <row r="366" spans="1:48" ht="18" customHeight="1" x14ac:dyDescent="0.25">
      <c r="A366" s="4">
        <v>183</v>
      </c>
      <c r="B366" s="4">
        <v>1</v>
      </c>
      <c r="C366" s="4">
        <v>183</v>
      </c>
      <c r="D366" s="85">
        <v>45957</v>
      </c>
      <c r="E366" s="85">
        <v>45964</v>
      </c>
      <c r="F366" s="88" t="b">
        <f t="shared" si="5"/>
        <v>1</v>
      </c>
      <c r="G366" s="85">
        <v>45965</v>
      </c>
      <c r="H366" s="5">
        <v>25966.05</v>
      </c>
      <c r="I366" s="5">
        <v>25763.35</v>
      </c>
      <c r="J366" s="5">
        <v>-202.7</v>
      </c>
      <c r="K366" s="6">
        <v>-7.8063471340461873E-3</v>
      </c>
      <c r="L366" s="7" t="s">
        <v>34</v>
      </c>
      <c r="M366" s="91">
        <f>MROUND(H366,100)-100</f>
        <v>25900</v>
      </c>
      <c r="N366" s="91">
        <f>M366-O366</f>
        <v>0</v>
      </c>
      <c r="O366" s="4">
        <v>25900</v>
      </c>
      <c r="P366" s="7" t="s">
        <v>95</v>
      </c>
      <c r="Q366" s="4">
        <v>65</v>
      </c>
      <c r="R366" s="5">
        <v>276.14999999999998</v>
      </c>
      <c r="S366" s="5">
        <v>28.9</v>
      </c>
      <c r="T366" s="8">
        <v>-0.192</v>
      </c>
      <c r="U366" s="8">
        <v>0.96899999999999997</v>
      </c>
      <c r="V366" s="5">
        <v>247.25</v>
      </c>
      <c r="W366" s="6">
        <v>9.5220489831915143E-3</v>
      </c>
      <c r="X366" s="4">
        <v>0</v>
      </c>
      <c r="Y366" s="6">
        <v>0</v>
      </c>
      <c r="Z366" s="5">
        <v>59780.15</v>
      </c>
      <c r="AA366" s="5">
        <v>60287.4</v>
      </c>
      <c r="AB366" s="5">
        <v>507.25</v>
      </c>
      <c r="AC366" s="5">
        <v>0.84850000000000003</v>
      </c>
      <c r="AD366" s="4">
        <v>7</v>
      </c>
      <c r="AE366" s="5">
        <v>-0.11666700000000001</v>
      </c>
      <c r="AF366" s="5">
        <v>437.50650000000002</v>
      </c>
      <c r="AG366" s="5">
        <v>0.7319</v>
      </c>
      <c r="AH366" s="8">
        <v>-0.45889999999999997</v>
      </c>
      <c r="AI366" s="8">
        <v>0.92</v>
      </c>
      <c r="AJ366" s="15">
        <v>697.50649999999996</v>
      </c>
      <c r="AK366" s="15">
        <v>1.7332000000000001</v>
      </c>
      <c r="AL366" s="5">
        <v>106.70569999999999</v>
      </c>
      <c r="AM366" s="5">
        <v>109.10769999999999</v>
      </c>
      <c r="AN366" s="5">
        <v>-2.4020000000000001</v>
      </c>
      <c r="AO366" s="5">
        <v>-2.2014999999999998</v>
      </c>
      <c r="AP366" s="8">
        <v>0.66720000000000002</v>
      </c>
      <c r="AQ366" s="8">
        <v>0.64590000000000003</v>
      </c>
      <c r="AR366" s="8">
        <v>0.64590000000000003</v>
      </c>
      <c r="AS366" s="5">
        <v>105.5652</v>
      </c>
      <c r="AT366" s="5">
        <v>-3.2467000000000001</v>
      </c>
      <c r="AU366" s="7" t="s">
        <v>96</v>
      </c>
      <c r="AV366" s="7"/>
    </row>
    <row r="367" spans="1:48" ht="18" customHeight="1" x14ac:dyDescent="0.25">
      <c r="A367" s="10">
        <v>183</v>
      </c>
      <c r="B367" s="10">
        <v>2</v>
      </c>
      <c r="C367" s="10">
        <v>183</v>
      </c>
      <c r="D367" s="86">
        <v>45957</v>
      </c>
      <c r="E367" s="86">
        <v>45964</v>
      </c>
      <c r="F367" s="88" t="b">
        <f t="shared" si="5"/>
        <v>1</v>
      </c>
      <c r="G367" s="86">
        <v>46021</v>
      </c>
      <c r="H367" s="11">
        <v>25966.05</v>
      </c>
      <c r="I367" s="11">
        <v>25763.35</v>
      </c>
      <c r="J367" s="12"/>
      <c r="K367" s="12"/>
      <c r="L367" s="12" t="s">
        <v>44</v>
      </c>
      <c r="M367" s="90"/>
      <c r="N367" s="90"/>
      <c r="O367" s="10">
        <v>25000</v>
      </c>
      <c r="P367" s="12" t="s">
        <v>97</v>
      </c>
      <c r="Q367" s="10">
        <v>65</v>
      </c>
      <c r="R367" s="11">
        <v>111.8</v>
      </c>
      <c r="S367" s="11">
        <v>124.55</v>
      </c>
      <c r="T367" s="13">
        <v>-6.08E-2</v>
      </c>
      <c r="U367" s="13">
        <v>0.1358</v>
      </c>
      <c r="V367" s="10">
        <v>0</v>
      </c>
      <c r="W367" s="14">
        <v>0</v>
      </c>
      <c r="X367" s="11">
        <v>12.75</v>
      </c>
      <c r="Y367" s="14">
        <v>4.9102578174192843E-4</v>
      </c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 t="s">
        <v>96</v>
      </c>
      <c r="AV367" s="12"/>
    </row>
    <row r="368" spans="1:48" ht="18" customHeight="1" x14ac:dyDescent="0.25">
      <c r="A368" s="4">
        <v>184</v>
      </c>
      <c r="B368" s="4">
        <v>1</v>
      </c>
      <c r="C368" s="4">
        <v>184</v>
      </c>
      <c r="D368" s="85">
        <v>45964</v>
      </c>
      <c r="E368" s="85">
        <v>45971</v>
      </c>
      <c r="F368" s="88" t="b">
        <f t="shared" si="5"/>
        <v>1</v>
      </c>
      <c r="G368" s="85">
        <v>45972</v>
      </c>
      <c r="H368" s="5">
        <v>25763.35</v>
      </c>
      <c r="I368" s="5">
        <v>25574.35</v>
      </c>
      <c r="J368" s="4">
        <v>-189</v>
      </c>
      <c r="K368" s="6">
        <v>-7.3360024996749259E-3</v>
      </c>
      <c r="L368" s="7" t="s">
        <v>34</v>
      </c>
      <c r="M368" s="91">
        <f>MROUND(H368,100)-100</f>
        <v>25700</v>
      </c>
      <c r="N368" s="91">
        <f>M368-O368</f>
        <v>0</v>
      </c>
      <c r="O368" s="4">
        <v>25700</v>
      </c>
      <c r="P368" s="7" t="s">
        <v>95</v>
      </c>
      <c r="Q368" s="4">
        <v>65</v>
      </c>
      <c r="R368" s="5">
        <v>237.05</v>
      </c>
      <c r="S368" s="5">
        <v>26.75</v>
      </c>
      <c r="T368" s="8">
        <v>-2.6800000000000001E-2</v>
      </c>
      <c r="U368" s="8">
        <v>0.86909999999999998</v>
      </c>
      <c r="V368" s="5">
        <v>210.3</v>
      </c>
      <c r="W368" s="6">
        <v>8.1627583369398779E-3</v>
      </c>
      <c r="X368" s="4">
        <v>0</v>
      </c>
      <c r="Y368" s="6">
        <v>0</v>
      </c>
      <c r="Z368" s="5">
        <v>60287.4</v>
      </c>
      <c r="AA368" s="5">
        <v>60124.25</v>
      </c>
      <c r="AB368" s="5">
        <v>-163.15</v>
      </c>
      <c r="AC368" s="5">
        <v>-0.27060000000000001</v>
      </c>
      <c r="AD368" s="4">
        <v>7</v>
      </c>
      <c r="AE368" s="5">
        <v>-0.11666700000000001</v>
      </c>
      <c r="AF368" s="5">
        <v>-233.4853</v>
      </c>
      <c r="AG368" s="5">
        <v>-0.38729999999999998</v>
      </c>
      <c r="AH368" s="8">
        <v>-2.52</v>
      </c>
      <c r="AI368" s="8">
        <v>0.1066</v>
      </c>
      <c r="AJ368" s="15">
        <v>31.064699999999998</v>
      </c>
      <c r="AK368" s="15">
        <v>0.63949999999999996</v>
      </c>
      <c r="AL368" s="5">
        <v>107.38809999999999</v>
      </c>
      <c r="AM368" s="5">
        <v>109.10769999999999</v>
      </c>
      <c r="AN368" s="5">
        <v>-1.7196</v>
      </c>
      <c r="AO368" s="5">
        <v>-1.5761000000000001</v>
      </c>
      <c r="AP368" s="8">
        <v>5.1000000000000004E-3</v>
      </c>
      <c r="AQ368" s="8">
        <v>-0.77390000000000003</v>
      </c>
      <c r="AR368" s="8">
        <v>-0.77390000000000003</v>
      </c>
      <c r="AS368" s="5">
        <v>105.87990000000001</v>
      </c>
      <c r="AT368" s="5">
        <v>-2.9584000000000001</v>
      </c>
      <c r="AU368" s="7" t="s">
        <v>96</v>
      </c>
      <c r="AV368" s="7"/>
    </row>
    <row r="369" spans="1:48" ht="18" customHeight="1" x14ac:dyDescent="0.25">
      <c r="A369" s="10">
        <v>184</v>
      </c>
      <c r="B369" s="10">
        <v>2</v>
      </c>
      <c r="C369" s="10">
        <v>184</v>
      </c>
      <c r="D369" s="86">
        <v>45964</v>
      </c>
      <c r="E369" s="86">
        <v>45971</v>
      </c>
      <c r="F369" s="88" t="b">
        <f t="shared" si="5"/>
        <v>1</v>
      </c>
      <c r="G369" s="86">
        <v>46021</v>
      </c>
      <c r="H369" s="11">
        <v>25763.35</v>
      </c>
      <c r="I369" s="11">
        <v>25574.35</v>
      </c>
      <c r="J369" s="12"/>
      <c r="K369" s="12"/>
      <c r="L369" s="12" t="s">
        <v>44</v>
      </c>
      <c r="M369" s="90"/>
      <c r="N369" s="90"/>
      <c r="O369" s="10">
        <v>26000</v>
      </c>
      <c r="P369" s="12" t="s">
        <v>97</v>
      </c>
      <c r="Q369" s="10">
        <v>65</v>
      </c>
      <c r="R369" s="11">
        <v>408.05</v>
      </c>
      <c r="S369" s="11">
        <v>462.3</v>
      </c>
      <c r="T369" s="13">
        <v>-7.4700000000000003E-2</v>
      </c>
      <c r="U369" s="13">
        <v>0.877</v>
      </c>
      <c r="V369" s="10">
        <v>0</v>
      </c>
      <c r="W369" s="14">
        <v>0</v>
      </c>
      <c r="X369" s="11">
        <v>54.25</v>
      </c>
      <c r="Y369" s="14">
        <v>2.1057044212029882E-3</v>
      </c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 t="s">
        <v>96</v>
      </c>
      <c r="AV369" s="12"/>
    </row>
    <row r="370" spans="1:48" ht="18" customHeight="1" x14ac:dyDescent="0.25">
      <c r="A370" s="4">
        <v>185</v>
      </c>
      <c r="B370" s="4">
        <v>1</v>
      </c>
      <c r="C370" s="4">
        <v>185</v>
      </c>
      <c r="D370" s="85">
        <v>45971</v>
      </c>
      <c r="E370" s="85">
        <v>45978</v>
      </c>
      <c r="F370" s="88" t="b">
        <f t="shared" si="5"/>
        <v>1</v>
      </c>
      <c r="G370" s="85">
        <v>45979</v>
      </c>
      <c r="H370" s="5">
        <v>25574.35</v>
      </c>
      <c r="I370" s="5">
        <v>26013.45</v>
      </c>
      <c r="J370" s="5">
        <v>439.1</v>
      </c>
      <c r="K370" s="6">
        <v>1.7169546831102261E-2</v>
      </c>
      <c r="L370" s="7" t="s">
        <v>34</v>
      </c>
      <c r="M370" s="91">
        <f>MROUND(H370,100)-100</f>
        <v>25500</v>
      </c>
      <c r="N370" s="91">
        <f>M370-O370</f>
        <v>0</v>
      </c>
      <c r="O370" s="4">
        <v>25500</v>
      </c>
      <c r="P370" s="7" t="s">
        <v>95</v>
      </c>
      <c r="Q370" s="4">
        <v>65</v>
      </c>
      <c r="R370" s="5">
        <v>255.55</v>
      </c>
      <c r="S370" s="5">
        <v>517.15</v>
      </c>
      <c r="T370" s="8">
        <v>-1.2198</v>
      </c>
      <c r="U370" s="8">
        <v>0.32419999999999999</v>
      </c>
      <c r="V370" s="5">
        <v>-261.60000000000002</v>
      </c>
      <c r="W370" s="6">
        <v>-1.0228998977491121E-2</v>
      </c>
      <c r="X370" s="4">
        <v>0</v>
      </c>
      <c r="Y370" s="6">
        <v>0</v>
      </c>
      <c r="Z370" s="5">
        <v>60124.25</v>
      </c>
      <c r="AA370" s="5">
        <v>61180.5</v>
      </c>
      <c r="AB370" s="5">
        <v>1056.25</v>
      </c>
      <c r="AC370" s="5">
        <v>1.7567999999999999</v>
      </c>
      <c r="AD370" s="4">
        <v>7</v>
      </c>
      <c r="AE370" s="5">
        <v>-0.11666700000000001</v>
      </c>
      <c r="AF370" s="5">
        <v>986.10500000000002</v>
      </c>
      <c r="AG370" s="5">
        <v>1.6400999999999999</v>
      </c>
      <c r="AH370" s="8">
        <v>-0.53580000000000005</v>
      </c>
      <c r="AI370" s="8">
        <v>1.6890000000000001</v>
      </c>
      <c r="AJ370" s="15">
        <v>528.65499999999997</v>
      </c>
      <c r="AK370" s="15">
        <v>-0.14860000000000001</v>
      </c>
      <c r="AL370" s="5">
        <v>107.2285</v>
      </c>
      <c r="AM370" s="5">
        <v>109.10769999999999</v>
      </c>
      <c r="AN370" s="5">
        <v>-1.8792</v>
      </c>
      <c r="AO370" s="5">
        <v>-1.7222999999999999</v>
      </c>
      <c r="AP370" s="8">
        <v>-0.31580000000000003</v>
      </c>
      <c r="AQ370" s="8">
        <v>0.1118</v>
      </c>
      <c r="AR370" s="8">
        <v>-0.31580000000000003</v>
      </c>
      <c r="AS370" s="5">
        <v>107.0489</v>
      </c>
      <c r="AT370" s="5">
        <v>-1.8869</v>
      </c>
      <c r="AU370" s="7" t="s">
        <v>96</v>
      </c>
      <c r="AV370" s="7"/>
    </row>
    <row r="371" spans="1:48" ht="18" customHeight="1" x14ac:dyDescent="0.25">
      <c r="A371" s="10">
        <v>185</v>
      </c>
      <c r="B371" s="10">
        <v>2</v>
      </c>
      <c r="C371" s="10">
        <v>185</v>
      </c>
      <c r="D371" s="86">
        <v>45971</v>
      </c>
      <c r="E371" s="86">
        <v>45978</v>
      </c>
      <c r="F371" s="88" t="b">
        <f t="shared" si="5"/>
        <v>1</v>
      </c>
      <c r="G371" s="86">
        <v>46021</v>
      </c>
      <c r="H371" s="11">
        <v>25574.35</v>
      </c>
      <c r="I371" s="11">
        <v>26013.45</v>
      </c>
      <c r="J371" s="12"/>
      <c r="K371" s="12"/>
      <c r="L371" s="12" t="s">
        <v>44</v>
      </c>
      <c r="M371" s="90"/>
      <c r="N371" s="90"/>
      <c r="O371" s="10">
        <v>26000</v>
      </c>
      <c r="P371" s="12" t="s">
        <v>97</v>
      </c>
      <c r="Q371" s="10">
        <v>65</v>
      </c>
      <c r="R371" s="11">
        <v>462.3</v>
      </c>
      <c r="S371" s="11">
        <v>266.45</v>
      </c>
      <c r="T371" s="13">
        <v>-0.78500000000000003</v>
      </c>
      <c r="U371" s="13">
        <v>0.32340000000000002</v>
      </c>
      <c r="V371" s="10">
        <v>0</v>
      </c>
      <c r="W371" s="14">
        <v>0</v>
      </c>
      <c r="X371" s="11">
        <v>-195.85</v>
      </c>
      <c r="Y371" s="14">
        <v>-7.65806364580136E-3</v>
      </c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 t="s">
        <v>96</v>
      </c>
      <c r="AV371" s="12"/>
    </row>
    <row r="372" spans="1:48" ht="18" customHeight="1" x14ac:dyDescent="0.25">
      <c r="A372" s="4">
        <v>186</v>
      </c>
      <c r="B372" s="4">
        <v>1</v>
      </c>
      <c r="C372" s="4">
        <v>186</v>
      </c>
      <c r="D372" s="85">
        <v>45978</v>
      </c>
      <c r="E372" s="85">
        <v>45985</v>
      </c>
      <c r="F372" s="88" t="b">
        <f t="shared" si="5"/>
        <v>1</v>
      </c>
      <c r="G372" s="85">
        <v>45986</v>
      </c>
      <c r="H372" s="5">
        <v>26013.45</v>
      </c>
      <c r="I372" s="5">
        <v>25959.5</v>
      </c>
      <c r="J372" s="5">
        <v>-53.95</v>
      </c>
      <c r="K372" s="6">
        <v>-2.0739271415363982E-3</v>
      </c>
      <c r="L372" s="7" t="s">
        <v>34</v>
      </c>
      <c r="M372" s="91">
        <f>MROUND(H372,100)-100</f>
        <v>25900</v>
      </c>
      <c r="N372" s="91">
        <f>M372-O372</f>
        <v>0</v>
      </c>
      <c r="O372" s="4">
        <v>25900</v>
      </c>
      <c r="P372" s="7" t="s">
        <v>95</v>
      </c>
      <c r="Q372" s="4">
        <v>65</v>
      </c>
      <c r="R372" s="5">
        <v>265.35000000000002</v>
      </c>
      <c r="S372" s="5">
        <v>132.75</v>
      </c>
      <c r="T372" s="8">
        <v>-0.50170000000000003</v>
      </c>
      <c r="U372" s="8">
        <v>0.62560000000000004</v>
      </c>
      <c r="V372" s="5">
        <v>132.6</v>
      </c>
      <c r="W372" s="6">
        <v>5.0973630948605428E-3</v>
      </c>
      <c r="X372" s="4">
        <v>0</v>
      </c>
      <c r="Y372" s="6">
        <v>0</v>
      </c>
      <c r="Z372" s="5">
        <v>61180.5</v>
      </c>
      <c r="AA372" s="5">
        <v>60081.599999999999</v>
      </c>
      <c r="AB372" s="5">
        <v>-1098.9000000000001</v>
      </c>
      <c r="AC372" s="5">
        <v>-1.7962</v>
      </c>
      <c r="AD372" s="4">
        <v>7</v>
      </c>
      <c r="AE372" s="5">
        <v>-0.11666700000000001</v>
      </c>
      <c r="AF372" s="5">
        <v>-1170.2773</v>
      </c>
      <c r="AG372" s="5">
        <v>-1.9128000000000001</v>
      </c>
      <c r="AH372" s="8">
        <v>-2.0952000000000002</v>
      </c>
      <c r="AI372" s="8">
        <v>4.8300000000000003E-2</v>
      </c>
      <c r="AJ372" s="9">
        <v>-1023.6273</v>
      </c>
      <c r="AK372" s="9">
        <v>-1.3491</v>
      </c>
      <c r="AL372" s="5">
        <v>105.78189999999999</v>
      </c>
      <c r="AM372" s="5">
        <v>109.10769999999999</v>
      </c>
      <c r="AN372" s="5">
        <v>-3.3258000000000001</v>
      </c>
      <c r="AO372" s="5">
        <v>-3.0482</v>
      </c>
      <c r="AP372" s="8">
        <v>-0.73340000000000005</v>
      </c>
      <c r="AQ372" s="8">
        <v>-1.2088000000000001</v>
      </c>
      <c r="AR372" s="8">
        <v>-1.3491</v>
      </c>
      <c r="AS372" s="5">
        <v>105.78189999999999</v>
      </c>
      <c r="AT372" s="5">
        <v>-3.0482</v>
      </c>
      <c r="AU372" s="7" t="s">
        <v>96</v>
      </c>
      <c r="AV372" s="7"/>
    </row>
    <row r="373" spans="1:48" ht="18" customHeight="1" x14ac:dyDescent="0.25">
      <c r="A373" s="10">
        <v>186</v>
      </c>
      <c r="B373" s="10">
        <v>2</v>
      </c>
      <c r="C373" s="10">
        <v>186</v>
      </c>
      <c r="D373" s="86">
        <v>45978</v>
      </c>
      <c r="E373" s="86">
        <v>45985</v>
      </c>
      <c r="F373" s="88" t="b">
        <f t="shared" si="5"/>
        <v>1</v>
      </c>
      <c r="G373" s="86">
        <v>46021</v>
      </c>
      <c r="H373" s="11">
        <v>26013.45</v>
      </c>
      <c r="I373" s="11">
        <v>25959.5</v>
      </c>
      <c r="J373" s="12"/>
      <c r="K373" s="12"/>
      <c r="L373" s="12" t="s">
        <v>44</v>
      </c>
      <c r="M373" s="90"/>
      <c r="N373" s="90"/>
      <c r="O373" s="10">
        <v>26000</v>
      </c>
      <c r="P373" s="12" t="s">
        <v>97</v>
      </c>
      <c r="Q373" s="10">
        <v>65</v>
      </c>
      <c r="R373" s="11">
        <v>266.45</v>
      </c>
      <c r="S373" s="11">
        <v>280.5</v>
      </c>
      <c r="T373" s="13">
        <v>-0.28000000000000003</v>
      </c>
      <c r="U373" s="13">
        <v>0.26079999999999998</v>
      </c>
      <c r="V373" s="10">
        <v>0</v>
      </c>
      <c r="W373" s="14">
        <v>0</v>
      </c>
      <c r="X373" s="11">
        <v>14.05</v>
      </c>
      <c r="Y373" s="14">
        <v>5.4010521480234261E-4</v>
      </c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 t="s">
        <v>96</v>
      </c>
      <c r="AV373" s="12"/>
    </row>
    <row r="374" spans="1:48" ht="18" customHeight="1" x14ac:dyDescent="0.25">
      <c r="A374" s="4">
        <v>187</v>
      </c>
      <c r="B374" s="4">
        <v>1</v>
      </c>
      <c r="C374" s="4">
        <v>187</v>
      </c>
      <c r="D374" s="85">
        <v>45985</v>
      </c>
      <c r="E374" s="85">
        <v>45992</v>
      </c>
      <c r="F374" s="88" t="b">
        <f t="shared" si="5"/>
        <v>1</v>
      </c>
      <c r="G374" s="85">
        <v>45993</v>
      </c>
      <c r="H374" s="5">
        <v>25959.5</v>
      </c>
      <c r="I374" s="5">
        <v>26175.75</v>
      </c>
      <c r="J374" s="5">
        <v>216.25</v>
      </c>
      <c r="K374" s="6">
        <v>8.3302837111654694E-3</v>
      </c>
      <c r="L374" s="7" t="s">
        <v>34</v>
      </c>
      <c r="M374" s="91">
        <f>MROUND(H374,100)-100</f>
        <v>25900</v>
      </c>
      <c r="N374" s="91">
        <f>M374-O374</f>
        <v>0</v>
      </c>
      <c r="O374" s="4">
        <v>25900</v>
      </c>
      <c r="P374" s="7" t="s">
        <v>95</v>
      </c>
      <c r="Q374" s="4">
        <v>65</v>
      </c>
      <c r="R374" s="5">
        <v>255.9</v>
      </c>
      <c r="S374" s="5">
        <v>290.5</v>
      </c>
      <c r="T374" s="8">
        <v>-0.79549999999999998</v>
      </c>
      <c r="U374" s="8">
        <v>0.40410000000000001</v>
      </c>
      <c r="V374" s="5">
        <v>-34.6</v>
      </c>
      <c r="W374" s="6">
        <v>-1.332845393786475E-3</v>
      </c>
      <c r="X374" s="4">
        <v>0</v>
      </c>
      <c r="Y374" s="6">
        <v>0</v>
      </c>
      <c r="Z374" s="5">
        <v>60081.599999999999</v>
      </c>
      <c r="AA374" s="5">
        <v>61043.4</v>
      </c>
      <c r="AB374" s="5">
        <v>961.8</v>
      </c>
      <c r="AC374" s="5">
        <v>1.6008</v>
      </c>
      <c r="AD374" s="4">
        <v>7</v>
      </c>
      <c r="AE374" s="5">
        <v>-0.11666700000000001</v>
      </c>
      <c r="AF374" s="5">
        <v>891.70479999999998</v>
      </c>
      <c r="AG374" s="5">
        <v>1.4842</v>
      </c>
      <c r="AH374" s="8">
        <v>-0.22950000000000001</v>
      </c>
      <c r="AI374" s="8">
        <v>1.9277</v>
      </c>
      <c r="AJ374" s="15">
        <v>769.95479999999998</v>
      </c>
      <c r="AK374" s="15">
        <v>1.0152000000000001</v>
      </c>
      <c r="AL374" s="5">
        <v>106.8558</v>
      </c>
      <c r="AM374" s="5">
        <v>109.10769999999999</v>
      </c>
      <c r="AN374" s="5">
        <v>-2.2519</v>
      </c>
      <c r="AO374" s="5">
        <v>-2.0638999999999998</v>
      </c>
      <c r="AP374" s="8">
        <v>0.62829999999999997</v>
      </c>
      <c r="AQ374" s="8">
        <v>0.22620000000000001</v>
      </c>
      <c r="AR374" s="8">
        <v>0.22620000000000001</v>
      </c>
      <c r="AS374" s="5">
        <v>106.02119999999999</v>
      </c>
      <c r="AT374" s="5">
        <v>-2.8289</v>
      </c>
      <c r="AU374" s="7" t="s">
        <v>96</v>
      </c>
      <c r="AV374" s="7"/>
    </row>
    <row r="375" spans="1:48" ht="18" customHeight="1" x14ac:dyDescent="0.25">
      <c r="A375" s="10">
        <v>187</v>
      </c>
      <c r="B375" s="10">
        <v>2</v>
      </c>
      <c r="C375" s="10">
        <v>187</v>
      </c>
      <c r="D375" s="86">
        <v>45985</v>
      </c>
      <c r="E375" s="86">
        <v>45992</v>
      </c>
      <c r="F375" s="88" t="b">
        <f t="shared" si="5"/>
        <v>1</v>
      </c>
      <c r="G375" s="86">
        <v>46203</v>
      </c>
      <c r="H375" s="11">
        <v>25959.5</v>
      </c>
      <c r="I375" s="11">
        <v>26175.75</v>
      </c>
      <c r="J375" s="12"/>
      <c r="K375" s="12"/>
      <c r="L375" s="12" t="s">
        <v>44</v>
      </c>
      <c r="M375" s="90"/>
      <c r="N375" s="90"/>
      <c r="O375" s="10">
        <v>26000</v>
      </c>
      <c r="P375" s="12" t="s">
        <v>97</v>
      </c>
      <c r="Q375" s="10">
        <v>65</v>
      </c>
      <c r="R375" s="11">
        <v>532.29999999999995</v>
      </c>
      <c r="S375" s="11">
        <v>445.15</v>
      </c>
      <c r="T375" s="13">
        <v>-0.50390000000000001</v>
      </c>
      <c r="U375" s="13">
        <v>5.16E-2</v>
      </c>
      <c r="V375" s="10">
        <v>0</v>
      </c>
      <c r="W375" s="14">
        <v>0</v>
      </c>
      <c r="X375" s="11">
        <v>-87.15</v>
      </c>
      <c r="Y375" s="14">
        <v>-3.3571524875286511E-3</v>
      </c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 t="s">
        <v>96</v>
      </c>
      <c r="AV375" s="12"/>
    </row>
    <row r="376" spans="1:48" ht="18" customHeight="1" x14ac:dyDescent="0.25">
      <c r="A376" s="4">
        <v>188</v>
      </c>
      <c r="B376" s="4">
        <v>1</v>
      </c>
      <c r="C376" s="4">
        <v>188</v>
      </c>
      <c r="D376" s="85">
        <v>45992</v>
      </c>
      <c r="E376" s="85">
        <v>45999</v>
      </c>
      <c r="F376" s="88" t="b">
        <f t="shared" si="5"/>
        <v>1</v>
      </c>
      <c r="G376" s="85">
        <v>46000</v>
      </c>
      <c r="H376" s="5">
        <v>26175.75</v>
      </c>
      <c r="I376" s="5">
        <v>25960.55</v>
      </c>
      <c r="J376" s="5">
        <v>-215.2</v>
      </c>
      <c r="K376" s="6">
        <v>-8.2213499135650354E-3</v>
      </c>
      <c r="L376" s="7" t="s">
        <v>34</v>
      </c>
      <c r="M376" s="91">
        <f>MROUND(H376,100)-100</f>
        <v>26100</v>
      </c>
      <c r="N376" s="91">
        <f>M376-O376</f>
        <v>0</v>
      </c>
      <c r="O376" s="4">
        <v>26100</v>
      </c>
      <c r="P376" s="7" t="s">
        <v>95</v>
      </c>
      <c r="Q376" s="4">
        <v>65</v>
      </c>
      <c r="R376" s="5">
        <v>234.4</v>
      </c>
      <c r="S376" s="5">
        <v>19.399999999999999</v>
      </c>
      <c r="T376" s="8">
        <v>5.8799999999999998E-2</v>
      </c>
      <c r="U376" s="8">
        <v>0.84199999999999997</v>
      </c>
      <c r="V376" s="4">
        <v>215</v>
      </c>
      <c r="W376" s="6">
        <v>8.2137092537940652E-3</v>
      </c>
      <c r="X376" s="4">
        <v>0</v>
      </c>
      <c r="Y376" s="6">
        <v>0</v>
      </c>
      <c r="Z376" s="5">
        <v>61043.4</v>
      </c>
      <c r="AA376" s="5">
        <v>59488.1</v>
      </c>
      <c r="AB376" s="5">
        <v>-1555.3</v>
      </c>
      <c r="AC376" s="5">
        <v>-2.5478999999999998</v>
      </c>
      <c r="AD376" s="4">
        <v>7</v>
      </c>
      <c r="AE376" s="5">
        <v>-0.11666700000000001</v>
      </c>
      <c r="AF376" s="5">
        <v>-1626.5173</v>
      </c>
      <c r="AG376" s="5">
        <v>-2.6644999999999999</v>
      </c>
      <c r="AH376" s="8">
        <v>-3.1034999999999999</v>
      </c>
      <c r="AI376" s="8">
        <v>0.32990000000000003</v>
      </c>
      <c r="AJ376" s="9">
        <v>-1375.5173</v>
      </c>
      <c r="AK376" s="9">
        <v>-1.7056</v>
      </c>
      <c r="AL376" s="5">
        <v>105.03319999999999</v>
      </c>
      <c r="AM376" s="5">
        <v>109.10769999999999</v>
      </c>
      <c r="AN376" s="5">
        <v>-4.0743999999999998</v>
      </c>
      <c r="AO376" s="5">
        <v>-3.7343000000000002</v>
      </c>
      <c r="AP376" s="8">
        <v>0.2621</v>
      </c>
      <c r="AQ376" s="8">
        <v>-2.0405000000000002</v>
      </c>
      <c r="AR376" s="8">
        <v>-2.0405000000000002</v>
      </c>
      <c r="AS376" s="5">
        <v>104.6754</v>
      </c>
      <c r="AT376" s="5">
        <v>-4.0622999999999996</v>
      </c>
      <c r="AU376" s="7" t="s">
        <v>96</v>
      </c>
      <c r="AV376" s="7"/>
    </row>
    <row r="377" spans="1:48" ht="18" customHeight="1" x14ac:dyDescent="0.25">
      <c r="A377" s="10">
        <v>188</v>
      </c>
      <c r="B377" s="10">
        <v>2</v>
      </c>
      <c r="C377" s="10">
        <v>188</v>
      </c>
      <c r="D377" s="86">
        <v>45992</v>
      </c>
      <c r="E377" s="86">
        <v>45999</v>
      </c>
      <c r="F377" s="88" t="b">
        <f t="shared" si="5"/>
        <v>1</v>
      </c>
      <c r="G377" s="86">
        <v>46203</v>
      </c>
      <c r="H377" s="11">
        <v>26175.75</v>
      </c>
      <c r="I377" s="11">
        <v>25960.55</v>
      </c>
      <c r="J377" s="12"/>
      <c r="K377" s="12"/>
      <c r="L377" s="12" t="s">
        <v>44</v>
      </c>
      <c r="M377" s="90"/>
      <c r="N377" s="90"/>
      <c r="O377" s="10">
        <v>26000</v>
      </c>
      <c r="P377" s="12" t="s">
        <v>97</v>
      </c>
      <c r="Q377" s="10">
        <v>65</v>
      </c>
      <c r="R377" s="11">
        <v>445.15</v>
      </c>
      <c r="S377" s="11">
        <v>481.15</v>
      </c>
      <c r="T377" s="13">
        <v>-0.12659999999999999</v>
      </c>
      <c r="U377" s="13">
        <v>0.221</v>
      </c>
      <c r="V377" s="10">
        <v>0</v>
      </c>
      <c r="W377" s="14">
        <v>0</v>
      </c>
      <c r="X377" s="10">
        <v>36</v>
      </c>
      <c r="Y377" s="14">
        <v>1.37531875877482E-3</v>
      </c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 t="s">
        <v>96</v>
      </c>
      <c r="AV377" s="12"/>
    </row>
    <row r="378" spans="1:48" ht="18" customHeight="1" x14ac:dyDescent="0.25">
      <c r="A378" s="4">
        <v>189</v>
      </c>
      <c r="B378" s="4">
        <v>1</v>
      </c>
      <c r="C378" s="4">
        <v>189</v>
      </c>
      <c r="D378" s="85">
        <v>45999</v>
      </c>
      <c r="E378" s="85">
        <v>46006</v>
      </c>
      <c r="F378" s="88" t="b">
        <f t="shared" si="5"/>
        <v>1</v>
      </c>
      <c r="G378" s="85">
        <v>46007</v>
      </c>
      <c r="H378" s="5">
        <v>25960.55</v>
      </c>
      <c r="I378" s="5">
        <v>26027.3</v>
      </c>
      <c r="J378" s="5">
        <v>66.75</v>
      </c>
      <c r="K378" s="6">
        <v>2.5712090075133229E-3</v>
      </c>
      <c r="L378" s="7" t="s">
        <v>34</v>
      </c>
      <c r="M378" s="91">
        <f>MROUND(H378,100)-100</f>
        <v>25900</v>
      </c>
      <c r="N378" s="91">
        <f>M378-O378</f>
        <v>0</v>
      </c>
      <c r="O378" s="4">
        <v>25900</v>
      </c>
      <c r="P378" s="7" t="s">
        <v>95</v>
      </c>
      <c r="Q378" s="4">
        <v>65</v>
      </c>
      <c r="R378" s="5">
        <v>210.75</v>
      </c>
      <c r="S378" s="5">
        <v>144.85</v>
      </c>
      <c r="T378" s="8">
        <v>3.1600000000000003E-2</v>
      </c>
      <c r="U378" s="8">
        <v>0.59470000000000001</v>
      </c>
      <c r="V378" s="5">
        <v>65.900000000000006</v>
      </c>
      <c r="W378" s="6">
        <v>2.538467020151731E-3</v>
      </c>
      <c r="X378" s="4">
        <v>0</v>
      </c>
      <c r="Y378" s="6">
        <v>0</v>
      </c>
      <c r="Z378" s="5">
        <v>59488.1</v>
      </c>
      <c r="AA378" s="5">
        <v>60212.800000000003</v>
      </c>
      <c r="AB378" s="5">
        <v>724.7</v>
      </c>
      <c r="AC378" s="5">
        <v>1.2181999999999999</v>
      </c>
      <c r="AD378" s="4">
        <v>7</v>
      </c>
      <c r="AE378" s="5">
        <v>-0.11666700000000001</v>
      </c>
      <c r="AF378" s="5">
        <v>655.29719999999998</v>
      </c>
      <c r="AG378" s="5">
        <v>1.1015999999999999</v>
      </c>
      <c r="AH378" s="8">
        <v>-1.6011</v>
      </c>
      <c r="AI378" s="8">
        <v>1.3507</v>
      </c>
      <c r="AJ378" s="15">
        <v>676.44719999999995</v>
      </c>
      <c r="AK378" s="15">
        <v>1.1831</v>
      </c>
      <c r="AL378" s="5">
        <v>106.27589999999999</v>
      </c>
      <c r="AM378" s="5">
        <v>109.10769999999999</v>
      </c>
      <c r="AN378" s="5">
        <v>-2.8317999999999999</v>
      </c>
      <c r="AO378" s="5">
        <v>-2.5954000000000002</v>
      </c>
      <c r="AP378" s="8">
        <v>1.1853</v>
      </c>
      <c r="AQ378" s="8">
        <v>-0.77969999999999995</v>
      </c>
      <c r="AR378" s="8">
        <v>-0.77969999999999995</v>
      </c>
      <c r="AS378" s="5">
        <v>104.21429999999999</v>
      </c>
      <c r="AT378" s="5">
        <v>-4.4848999999999997</v>
      </c>
      <c r="AU378" s="7" t="s">
        <v>96</v>
      </c>
      <c r="AV378" s="7"/>
    </row>
    <row r="379" spans="1:48" ht="18" customHeight="1" x14ac:dyDescent="0.25">
      <c r="A379" s="10">
        <v>189</v>
      </c>
      <c r="B379" s="10">
        <v>2</v>
      </c>
      <c r="C379" s="10">
        <v>189</v>
      </c>
      <c r="D379" s="86">
        <v>45999</v>
      </c>
      <c r="E379" s="86">
        <v>46006</v>
      </c>
      <c r="F379" s="88" t="b">
        <f t="shared" si="5"/>
        <v>1</v>
      </c>
      <c r="G379" s="86">
        <v>46203</v>
      </c>
      <c r="H379" s="11">
        <v>25960.55</v>
      </c>
      <c r="I379" s="11">
        <v>26027.3</v>
      </c>
      <c r="J379" s="12"/>
      <c r="K379" s="12"/>
      <c r="L379" s="12" t="s">
        <v>44</v>
      </c>
      <c r="M379" s="90"/>
      <c r="N379" s="90"/>
      <c r="O379" s="10">
        <v>26000</v>
      </c>
      <c r="P379" s="12" t="s">
        <v>97</v>
      </c>
      <c r="Q379" s="10">
        <v>65</v>
      </c>
      <c r="R379" s="11">
        <v>481.15</v>
      </c>
      <c r="S379" s="11">
        <v>436.4</v>
      </c>
      <c r="T379" s="13">
        <v>-0.19700000000000001</v>
      </c>
      <c r="U379" s="13">
        <v>0.22670000000000001</v>
      </c>
      <c r="V379" s="10">
        <v>0</v>
      </c>
      <c r="W379" s="14">
        <v>0</v>
      </c>
      <c r="X379" s="11">
        <v>-44.75</v>
      </c>
      <c r="Y379" s="14">
        <v>-1.7237693346250371E-3</v>
      </c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 t="s">
        <v>96</v>
      </c>
      <c r="AV379" s="12"/>
    </row>
    <row r="380" spans="1:48" ht="18" customHeight="1" x14ac:dyDescent="0.25">
      <c r="A380" s="4">
        <v>190</v>
      </c>
      <c r="B380" s="4">
        <v>1</v>
      </c>
      <c r="C380" s="4">
        <v>190</v>
      </c>
      <c r="D380" s="85">
        <v>46006</v>
      </c>
      <c r="E380" s="85">
        <v>46013</v>
      </c>
      <c r="F380" s="88" t="b">
        <f t="shared" si="5"/>
        <v>1</v>
      </c>
      <c r="G380" s="85">
        <v>46014</v>
      </c>
      <c r="H380" s="5">
        <v>26027.3</v>
      </c>
      <c r="I380" s="5">
        <v>26172.400000000001</v>
      </c>
      <c r="J380" s="5">
        <v>145.1</v>
      </c>
      <c r="K380" s="6">
        <v>5.5749155694213379E-3</v>
      </c>
      <c r="L380" s="7" t="s">
        <v>34</v>
      </c>
      <c r="M380" s="91">
        <f>MROUND(H380,100)-100</f>
        <v>25900</v>
      </c>
      <c r="N380" s="91">
        <f>M380-O380</f>
        <v>0</v>
      </c>
      <c r="O380" s="4">
        <v>25900</v>
      </c>
      <c r="P380" s="7" t="s">
        <v>95</v>
      </c>
      <c r="Q380" s="4">
        <v>65</v>
      </c>
      <c r="R380" s="5">
        <v>246.1</v>
      </c>
      <c r="S380" s="5">
        <v>258.5</v>
      </c>
      <c r="T380" s="8">
        <v>-8.2400000000000001E-2</v>
      </c>
      <c r="U380" s="8">
        <v>0.73709999999999998</v>
      </c>
      <c r="V380" s="5">
        <v>-12.4</v>
      </c>
      <c r="W380" s="6">
        <v>-4.7642283294848102E-4</v>
      </c>
      <c r="X380" s="4">
        <v>0</v>
      </c>
      <c r="Y380" s="6">
        <v>0</v>
      </c>
      <c r="Z380" s="5">
        <v>60212.800000000003</v>
      </c>
      <c r="AA380" s="5">
        <v>60815.25</v>
      </c>
      <c r="AB380" s="5">
        <v>602.45000000000005</v>
      </c>
      <c r="AC380" s="5">
        <v>1.0004999999999999</v>
      </c>
      <c r="AD380" s="4">
        <v>7</v>
      </c>
      <c r="AE380" s="5">
        <v>-0.11666700000000001</v>
      </c>
      <c r="AF380" s="5">
        <v>532.20169999999996</v>
      </c>
      <c r="AG380" s="5">
        <v>0.88390000000000002</v>
      </c>
      <c r="AH380" s="8">
        <v>-2.1255000000000002</v>
      </c>
      <c r="AI380" s="8">
        <v>0.96740000000000004</v>
      </c>
      <c r="AJ380" s="15">
        <v>460.05169999999998</v>
      </c>
      <c r="AK380" s="15">
        <v>0.60670000000000002</v>
      </c>
      <c r="AL380" s="5">
        <v>106.9207</v>
      </c>
      <c r="AM380" s="5">
        <v>109.10769999999999</v>
      </c>
      <c r="AN380" s="5">
        <v>-2.1869999999999998</v>
      </c>
      <c r="AO380" s="5">
        <v>-2.0045000000000002</v>
      </c>
      <c r="AP380" s="8">
        <v>0.64490000000000003</v>
      </c>
      <c r="AQ380" s="8">
        <v>-1.1508</v>
      </c>
      <c r="AR380" s="8">
        <v>-1.1508</v>
      </c>
      <c r="AS380" s="5">
        <v>105.05289999999999</v>
      </c>
      <c r="AT380" s="5">
        <v>-3.7162999999999999</v>
      </c>
      <c r="AU380" s="7" t="s">
        <v>96</v>
      </c>
      <c r="AV380" s="7"/>
    </row>
    <row r="381" spans="1:48" ht="18" customHeight="1" x14ac:dyDescent="0.25">
      <c r="A381" s="10">
        <v>190</v>
      </c>
      <c r="B381" s="10">
        <v>2</v>
      </c>
      <c r="C381" s="10">
        <v>190</v>
      </c>
      <c r="D381" s="86">
        <v>46006</v>
      </c>
      <c r="E381" s="86">
        <v>46013</v>
      </c>
      <c r="F381" s="88" t="b">
        <f t="shared" si="5"/>
        <v>1</v>
      </c>
      <c r="G381" s="86">
        <v>46203</v>
      </c>
      <c r="H381" s="11">
        <v>26027.3</v>
      </c>
      <c r="I381" s="11">
        <v>26172.400000000001</v>
      </c>
      <c r="J381" s="12"/>
      <c r="K381" s="12"/>
      <c r="L381" s="12" t="s">
        <v>44</v>
      </c>
      <c r="M381" s="90"/>
      <c r="N381" s="90"/>
      <c r="O381" s="10">
        <v>26000</v>
      </c>
      <c r="P381" s="12" t="s">
        <v>97</v>
      </c>
      <c r="Q381" s="10">
        <v>65</v>
      </c>
      <c r="R381" s="11">
        <v>436.4</v>
      </c>
      <c r="S381" s="11">
        <v>376.65</v>
      </c>
      <c r="T381" s="13">
        <v>-0.24010000000000001</v>
      </c>
      <c r="U381" s="13">
        <v>0.23760000000000001</v>
      </c>
      <c r="V381" s="10">
        <v>0</v>
      </c>
      <c r="W381" s="14">
        <v>0</v>
      </c>
      <c r="X381" s="11">
        <v>-59.75</v>
      </c>
      <c r="Y381" s="14">
        <v>-2.295666473279979E-3</v>
      </c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 t="s">
        <v>96</v>
      </c>
      <c r="AV381" s="12"/>
    </row>
    <row r="382" spans="1:48" ht="18" customHeight="1" x14ac:dyDescent="0.25">
      <c r="A382" s="4">
        <v>191</v>
      </c>
      <c r="B382" s="4">
        <v>1</v>
      </c>
      <c r="C382" s="4">
        <v>191</v>
      </c>
      <c r="D382" s="85">
        <v>46013</v>
      </c>
      <c r="E382" s="85">
        <v>46020</v>
      </c>
      <c r="F382" s="88" t="b">
        <f t="shared" si="5"/>
        <v>1</v>
      </c>
      <c r="G382" s="85">
        <v>46021</v>
      </c>
      <c r="H382" s="5">
        <v>26172.400000000001</v>
      </c>
      <c r="I382" s="5">
        <v>25942.1</v>
      </c>
      <c r="J382" s="5">
        <v>-230.3</v>
      </c>
      <c r="K382" s="6">
        <v>-8.7993458758081032E-3</v>
      </c>
      <c r="L382" s="7" t="s">
        <v>34</v>
      </c>
      <c r="M382" s="91">
        <f>MROUND(H382,100)-100</f>
        <v>26100</v>
      </c>
      <c r="N382" s="91">
        <f>M382-O382</f>
        <v>0</v>
      </c>
      <c r="O382" s="4">
        <v>26100</v>
      </c>
      <c r="P382" s="7" t="s">
        <v>95</v>
      </c>
      <c r="Q382" s="4">
        <v>65</v>
      </c>
      <c r="R382" s="5">
        <v>187.05</v>
      </c>
      <c r="S382" s="5">
        <v>11.7</v>
      </c>
      <c r="T382" s="8">
        <v>-0.1225</v>
      </c>
      <c r="U382" s="8">
        <v>0.67920000000000003</v>
      </c>
      <c r="V382" s="5">
        <v>175.35</v>
      </c>
      <c r="W382" s="6">
        <v>6.6998059024010017E-3</v>
      </c>
      <c r="X382" s="4">
        <v>0</v>
      </c>
      <c r="Y382" s="6">
        <v>0</v>
      </c>
      <c r="Z382" s="5">
        <v>60815.25</v>
      </c>
      <c r="AA382" s="5">
        <v>60001.3</v>
      </c>
      <c r="AB382" s="5">
        <v>-813.95</v>
      </c>
      <c r="AC382" s="5">
        <v>-1.3384</v>
      </c>
      <c r="AD382" s="4">
        <v>7</v>
      </c>
      <c r="AE382" s="5">
        <v>-0.11666700000000001</v>
      </c>
      <c r="AF382" s="5">
        <v>-884.90110000000004</v>
      </c>
      <c r="AG382" s="5">
        <v>-1.4551000000000001</v>
      </c>
      <c r="AH382" s="8">
        <v>-1.5661</v>
      </c>
      <c r="AI382" s="8">
        <v>0.31900000000000001</v>
      </c>
      <c r="AJ382" s="9">
        <v>-653.2011</v>
      </c>
      <c r="AK382" s="9">
        <v>-0.56979999999999997</v>
      </c>
      <c r="AL382" s="5">
        <v>106.31140000000001</v>
      </c>
      <c r="AM382" s="5">
        <v>109.10769999999999</v>
      </c>
      <c r="AN382" s="5">
        <v>-2.7963</v>
      </c>
      <c r="AO382" s="5">
        <v>-2.5628000000000002</v>
      </c>
      <c r="AP382" s="8">
        <v>0.1138</v>
      </c>
      <c r="AQ382" s="8">
        <v>-0.62709999999999999</v>
      </c>
      <c r="AR382" s="8">
        <v>-0.62709999999999999</v>
      </c>
      <c r="AS382" s="5">
        <v>106.25020000000001</v>
      </c>
      <c r="AT382" s="5">
        <v>-2.6190000000000002</v>
      </c>
      <c r="AU382" s="7" t="s">
        <v>96</v>
      </c>
      <c r="AV382" s="7"/>
    </row>
    <row r="383" spans="1:48" ht="18" customHeight="1" x14ac:dyDescent="0.25">
      <c r="A383" s="10">
        <v>191</v>
      </c>
      <c r="B383" s="10">
        <v>2</v>
      </c>
      <c r="C383" s="10">
        <v>191</v>
      </c>
      <c r="D383" s="86">
        <v>46013</v>
      </c>
      <c r="E383" s="86">
        <v>46020</v>
      </c>
      <c r="F383" s="88" t="b">
        <f t="shared" si="5"/>
        <v>1</v>
      </c>
      <c r="G383" s="86">
        <v>46203</v>
      </c>
      <c r="H383" s="11">
        <v>26172.400000000001</v>
      </c>
      <c r="I383" s="11">
        <v>25942.1</v>
      </c>
      <c r="J383" s="12"/>
      <c r="K383" s="12"/>
      <c r="L383" s="12" t="s">
        <v>44</v>
      </c>
      <c r="M383" s="90"/>
      <c r="N383" s="90"/>
      <c r="O383" s="10">
        <v>26000</v>
      </c>
      <c r="P383" s="12" t="s">
        <v>97</v>
      </c>
      <c r="Q383" s="10">
        <v>65</v>
      </c>
      <c r="R383" s="11">
        <v>376.65</v>
      </c>
      <c r="S383" s="10">
        <v>433</v>
      </c>
      <c r="T383" s="13">
        <v>-8.2699999999999996E-2</v>
      </c>
      <c r="U383" s="13">
        <v>0.25979999999999998</v>
      </c>
      <c r="V383" s="10">
        <v>0</v>
      </c>
      <c r="W383" s="14">
        <v>0</v>
      </c>
      <c r="X383" s="11">
        <v>56.35</v>
      </c>
      <c r="Y383" s="14">
        <v>2.1530314376977271E-3</v>
      </c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 t="s">
        <v>96</v>
      </c>
      <c r="AV383" s="12"/>
    </row>
    <row r="384" spans="1:48" ht="18" customHeight="1" x14ac:dyDescent="0.25">
      <c r="A384" s="4">
        <v>192</v>
      </c>
      <c r="B384" s="4">
        <v>1</v>
      </c>
      <c r="C384" s="4">
        <v>192</v>
      </c>
      <c r="D384" s="85">
        <v>46020</v>
      </c>
      <c r="E384" s="85">
        <v>46027</v>
      </c>
      <c r="F384" s="88" t="b">
        <f t="shared" si="5"/>
        <v>1</v>
      </c>
      <c r="G384" s="85">
        <v>46028</v>
      </c>
      <c r="H384" s="5">
        <v>25942.1</v>
      </c>
      <c r="I384" s="5">
        <v>26250.3</v>
      </c>
      <c r="J384" s="5">
        <v>308.2</v>
      </c>
      <c r="K384" s="6">
        <v>1.1880302674031789E-2</v>
      </c>
      <c r="L384" s="7" t="s">
        <v>34</v>
      </c>
      <c r="M384" s="91">
        <f>MROUND(H384,100)-100</f>
        <v>25800</v>
      </c>
      <c r="N384" s="91">
        <f>M384-O384</f>
        <v>0</v>
      </c>
      <c r="O384" s="4">
        <v>25800</v>
      </c>
      <c r="P384" s="7" t="s">
        <v>95</v>
      </c>
      <c r="Q384" s="4">
        <v>65</v>
      </c>
      <c r="R384" s="5">
        <v>254.7</v>
      </c>
      <c r="S384" s="5">
        <v>427.8</v>
      </c>
      <c r="T384" s="8">
        <v>-1.2881</v>
      </c>
      <c r="U384" s="8">
        <v>0.22489999999999999</v>
      </c>
      <c r="V384" s="5">
        <v>-173.1</v>
      </c>
      <c r="W384" s="6">
        <v>-6.6725515667582806E-3</v>
      </c>
      <c r="X384" s="4">
        <v>0</v>
      </c>
      <c r="Y384" s="6">
        <v>0</v>
      </c>
      <c r="Z384" s="5">
        <v>60001.3</v>
      </c>
      <c r="AA384" s="5">
        <v>61265.7</v>
      </c>
      <c r="AB384" s="5">
        <v>1264.4000000000001</v>
      </c>
      <c r="AC384" s="5">
        <v>2.1073</v>
      </c>
      <c r="AD384" s="4">
        <v>7</v>
      </c>
      <c r="AE384" s="5">
        <v>-0.11666700000000001</v>
      </c>
      <c r="AF384" s="5">
        <v>1194.3985</v>
      </c>
      <c r="AG384" s="5">
        <v>1.9905999999999999</v>
      </c>
      <c r="AH384" s="8">
        <v>-0.46250000000000002</v>
      </c>
      <c r="AI384" s="8">
        <v>2.4125999999999999</v>
      </c>
      <c r="AJ384" s="15">
        <v>949.34849999999994</v>
      </c>
      <c r="AK384" s="15">
        <v>1.046</v>
      </c>
      <c r="AL384" s="5">
        <v>107.4235</v>
      </c>
      <c r="AM384" s="5">
        <v>109.10769999999999</v>
      </c>
      <c r="AN384" s="5">
        <v>-1.6841999999999999</v>
      </c>
      <c r="AO384" s="5">
        <v>-1.5436000000000001</v>
      </c>
      <c r="AP384" s="8">
        <v>0.71450000000000002</v>
      </c>
      <c r="AQ384" s="8">
        <v>-0.13370000000000001</v>
      </c>
      <c r="AR384" s="8">
        <v>-0.13370000000000001</v>
      </c>
      <c r="AS384" s="5">
        <v>106.16930000000001</v>
      </c>
      <c r="AT384" s="5">
        <v>-2.6930999999999998</v>
      </c>
      <c r="AU384" s="7" t="s">
        <v>96</v>
      </c>
      <c r="AV384" s="7"/>
    </row>
    <row r="385" spans="1:48" ht="18" customHeight="1" x14ac:dyDescent="0.25">
      <c r="A385" s="10">
        <v>192</v>
      </c>
      <c r="B385" s="10">
        <v>2</v>
      </c>
      <c r="C385" s="10">
        <v>192</v>
      </c>
      <c r="D385" s="86">
        <v>46020</v>
      </c>
      <c r="E385" s="86">
        <v>46027</v>
      </c>
      <c r="F385" s="88" t="b">
        <f t="shared" si="5"/>
        <v>1</v>
      </c>
      <c r="G385" s="86">
        <v>46203</v>
      </c>
      <c r="H385" s="11">
        <v>25942.1</v>
      </c>
      <c r="I385" s="11">
        <v>26250.3</v>
      </c>
      <c r="J385" s="12"/>
      <c r="K385" s="12"/>
      <c r="L385" s="12" t="s">
        <v>44</v>
      </c>
      <c r="M385" s="90"/>
      <c r="N385" s="90"/>
      <c r="O385" s="10">
        <v>26000</v>
      </c>
      <c r="P385" s="12" t="s">
        <v>97</v>
      </c>
      <c r="Q385" s="10">
        <v>65</v>
      </c>
      <c r="R385" s="10">
        <v>433</v>
      </c>
      <c r="S385" s="11">
        <v>361.05</v>
      </c>
      <c r="T385" s="13">
        <v>-0.41</v>
      </c>
      <c r="U385" s="13">
        <v>0.10390000000000001</v>
      </c>
      <c r="V385" s="10">
        <v>0</v>
      </c>
      <c r="W385" s="14">
        <v>0</v>
      </c>
      <c r="X385" s="11">
        <v>-71.95</v>
      </c>
      <c r="Y385" s="14">
        <v>-2.7734840278928852E-3</v>
      </c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 t="s">
        <v>96</v>
      </c>
      <c r="AV385" s="12"/>
    </row>
    <row r="386" spans="1:48" ht="18" customHeight="1" x14ac:dyDescent="0.25">
      <c r="A386" s="4">
        <v>193</v>
      </c>
      <c r="B386" s="4">
        <v>1</v>
      </c>
      <c r="C386" s="4">
        <v>193</v>
      </c>
      <c r="D386" s="85">
        <v>46027</v>
      </c>
      <c r="E386" s="85">
        <v>46034</v>
      </c>
      <c r="F386" s="88" t="b">
        <f t="shared" si="5"/>
        <v>1</v>
      </c>
      <c r="G386" s="85">
        <v>46035</v>
      </c>
      <c r="H386" s="5">
        <v>26250.3</v>
      </c>
      <c r="I386" s="5">
        <v>25790.25</v>
      </c>
      <c r="J386" s="5">
        <v>-460.05</v>
      </c>
      <c r="K386" s="6">
        <v>-1.7525513994125781E-2</v>
      </c>
      <c r="L386" s="7" t="s">
        <v>34</v>
      </c>
      <c r="M386" s="91">
        <f>MROUND(H386,100)-100</f>
        <v>26200</v>
      </c>
      <c r="N386" s="91">
        <f>M386-O386</f>
        <v>0</v>
      </c>
      <c r="O386" s="4">
        <v>26200</v>
      </c>
      <c r="P386" s="7" t="s">
        <v>95</v>
      </c>
      <c r="Q386" s="4">
        <v>65</v>
      </c>
      <c r="R386" s="5">
        <v>163.6</v>
      </c>
      <c r="S386" s="5">
        <v>4.05</v>
      </c>
      <c r="T386" s="8">
        <v>-0.1234</v>
      </c>
      <c r="U386" s="8">
        <v>0.61160000000000003</v>
      </c>
      <c r="V386" s="5">
        <v>159.55000000000001</v>
      </c>
      <c r="W386" s="6">
        <v>6.0780257749435251E-3</v>
      </c>
      <c r="X386" s="4">
        <v>0</v>
      </c>
      <c r="Y386" s="6">
        <v>0</v>
      </c>
      <c r="Z386" s="5">
        <v>61265.7</v>
      </c>
      <c r="AA386" s="5">
        <v>59717.1</v>
      </c>
      <c r="AB386" s="5">
        <v>-1548.6</v>
      </c>
      <c r="AC386" s="5">
        <v>-2.5276999999999998</v>
      </c>
      <c r="AD386" s="4">
        <v>7</v>
      </c>
      <c r="AE386" s="5">
        <v>-0.11666700000000001</v>
      </c>
      <c r="AF386" s="5">
        <v>-1620.0766000000001</v>
      </c>
      <c r="AG386" s="5">
        <v>-2.6442999999999999</v>
      </c>
      <c r="AH386" s="8">
        <v>-4.0910000000000002</v>
      </c>
      <c r="AI386" s="8">
        <v>0.42870000000000003</v>
      </c>
      <c r="AJ386" s="9">
        <v>-1345.9766</v>
      </c>
      <c r="AK386" s="9">
        <v>-1.6001000000000001</v>
      </c>
      <c r="AL386" s="5">
        <v>105.7046</v>
      </c>
      <c r="AM386" s="5">
        <v>109.10769999999999</v>
      </c>
      <c r="AN386" s="5">
        <v>-3.4030999999999998</v>
      </c>
      <c r="AO386" s="5">
        <v>-3.1190000000000002</v>
      </c>
      <c r="AP386" s="8">
        <v>0.25650000000000001</v>
      </c>
      <c r="AQ386" s="8">
        <v>-2.6034000000000002</v>
      </c>
      <c r="AR386" s="8">
        <v>-2.6034000000000002</v>
      </c>
      <c r="AS386" s="5">
        <v>104.6268</v>
      </c>
      <c r="AT386" s="5">
        <v>-4.1069000000000004</v>
      </c>
      <c r="AU386" s="7" t="s">
        <v>96</v>
      </c>
      <c r="AV386" s="7"/>
    </row>
    <row r="387" spans="1:48" ht="18" customHeight="1" x14ac:dyDescent="0.25">
      <c r="A387" s="10">
        <v>193</v>
      </c>
      <c r="B387" s="10">
        <v>2</v>
      </c>
      <c r="C387" s="10">
        <v>193</v>
      </c>
      <c r="D387" s="86">
        <v>46027</v>
      </c>
      <c r="E387" s="86">
        <v>46034</v>
      </c>
      <c r="F387" s="88" t="b">
        <f t="shared" si="5"/>
        <v>1</v>
      </c>
      <c r="G387" s="86">
        <v>46203</v>
      </c>
      <c r="H387" s="11">
        <v>26250.3</v>
      </c>
      <c r="I387" s="11">
        <v>25790.25</v>
      </c>
      <c r="J387" s="12"/>
      <c r="K387" s="12"/>
      <c r="L387" s="12" t="s">
        <v>44</v>
      </c>
      <c r="M387" s="90"/>
      <c r="N387" s="90"/>
      <c r="O387" s="10">
        <v>26000</v>
      </c>
      <c r="P387" s="12" t="s">
        <v>97</v>
      </c>
      <c r="Q387" s="10">
        <v>65</v>
      </c>
      <c r="R387" s="11">
        <v>361.05</v>
      </c>
      <c r="S387" s="11">
        <v>475.6</v>
      </c>
      <c r="T387" s="13">
        <v>-4.8800000000000003E-2</v>
      </c>
      <c r="U387" s="13">
        <v>0.876</v>
      </c>
      <c r="V387" s="10">
        <v>0</v>
      </c>
      <c r="W387" s="14">
        <v>0</v>
      </c>
      <c r="X387" s="11">
        <v>114.55</v>
      </c>
      <c r="Y387" s="14">
        <v>4.3637596522706403E-3</v>
      </c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 t="s">
        <v>96</v>
      </c>
      <c r="AV387" s="12"/>
    </row>
    <row r="388" spans="1:48" ht="18" customHeight="1" x14ac:dyDescent="0.25">
      <c r="A388" s="4">
        <v>194</v>
      </c>
      <c r="B388" s="4">
        <v>1</v>
      </c>
      <c r="C388" s="4">
        <v>194</v>
      </c>
      <c r="D388" s="85">
        <v>46034</v>
      </c>
      <c r="E388" s="85">
        <v>46041</v>
      </c>
      <c r="F388" s="88" t="b">
        <f t="shared" ref="F388:F411" si="6">E388=D390</f>
        <v>1</v>
      </c>
      <c r="G388" s="85">
        <v>46042</v>
      </c>
      <c r="H388" s="5">
        <v>25790.25</v>
      </c>
      <c r="I388" s="5">
        <v>25585.5</v>
      </c>
      <c r="J388" s="5">
        <v>-204.75</v>
      </c>
      <c r="K388" s="6">
        <v>-7.9390467327769207E-3</v>
      </c>
      <c r="L388" s="7" t="s">
        <v>34</v>
      </c>
      <c r="M388" s="91">
        <f>MROUND(H388,100)-100</f>
        <v>25700</v>
      </c>
      <c r="N388" s="91">
        <f>M388-O388</f>
        <v>0</v>
      </c>
      <c r="O388" s="4">
        <v>25700</v>
      </c>
      <c r="P388" s="7" t="s">
        <v>95</v>
      </c>
      <c r="Q388" s="4">
        <v>65</v>
      </c>
      <c r="R388" s="5">
        <v>248.8</v>
      </c>
      <c r="S388" s="5">
        <v>22.55</v>
      </c>
      <c r="T388" s="8">
        <v>-0.14130000000000001</v>
      </c>
      <c r="U388" s="8">
        <v>0.91259999999999997</v>
      </c>
      <c r="V388" s="5">
        <v>226.25</v>
      </c>
      <c r="W388" s="6">
        <v>8.7726951076472701E-3</v>
      </c>
      <c r="X388" s="4">
        <v>0</v>
      </c>
      <c r="Y388" s="6">
        <v>0</v>
      </c>
      <c r="Z388" s="5">
        <v>59717.1</v>
      </c>
      <c r="AA388" s="5">
        <v>59647.65</v>
      </c>
      <c r="AB388" s="5">
        <v>-69.45</v>
      </c>
      <c r="AC388" s="5">
        <v>-0.1163</v>
      </c>
      <c r="AD388" s="4">
        <v>7</v>
      </c>
      <c r="AE388" s="5">
        <v>-0.11666700000000001</v>
      </c>
      <c r="AF388" s="5">
        <v>-139.1199</v>
      </c>
      <c r="AG388" s="5">
        <v>-0.23300000000000001</v>
      </c>
      <c r="AH388" s="8">
        <v>-1.0975999999999999</v>
      </c>
      <c r="AI388" s="8">
        <v>0.9556</v>
      </c>
      <c r="AJ388" s="15">
        <v>180.1301</v>
      </c>
      <c r="AK388" s="15">
        <v>1.0048999999999999</v>
      </c>
      <c r="AL388" s="5">
        <v>106.7668</v>
      </c>
      <c r="AM388" s="5">
        <v>109.10769999999999</v>
      </c>
      <c r="AN388" s="5">
        <v>-2.3409</v>
      </c>
      <c r="AO388" s="5">
        <v>-2.1455000000000002</v>
      </c>
      <c r="AP388" s="8">
        <v>0.58030000000000004</v>
      </c>
      <c r="AQ388" s="8">
        <v>0.26250000000000001</v>
      </c>
      <c r="AR388" s="8">
        <v>0.26250000000000001</v>
      </c>
      <c r="AS388" s="5">
        <v>105.982</v>
      </c>
      <c r="AT388" s="5">
        <v>-2.8647</v>
      </c>
      <c r="AU388" s="7" t="s">
        <v>96</v>
      </c>
      <c r="AV388" s="7"/>
    </row>
    <row r="389" spans="1:48" ht="18" customHeight="1" x14ac:dyDescent="0.25">
      <c r="A389" s="10">
        <v>194</v>
      </c>
      <c r="B389" s="10">
        <v>2</v>
      </c>
      <c r="C389" s="10">
        <v>194</v>
      </c>
      <c r="D389" s="86">
        <v>46034</v>
      </c>
      <c r="E389" s="86">
        <v>46041</v>
      </c>
      <c r="F389" s="88" t="b">
        <f t="shared" si="6"/>
        <v>1</v>
      </c>
      <c r="G389" s="86">
        <v>46203</v>
      </c>
      <c r="H389" s="11">
        <v>25790.25</v>
      </c>
      <c r="I389" s="11">
        <v>25585.5</v>
      </c>
      <c r="J389" s="12"/>
      <c r="K389" s="12"/>
      <c r="L389" s="12" t="s">
        <v>44</v>
      </c>
      <c r="M389" s="90"/>
      <c r="N389" s="90"/>
      <c r="O389" s="10">
        <v>26000</v>
      </c>
      <c r="P389" s="12" t="s">
        <v>97</v>
      </c>
      <c r="Q389" s="10">
        <v>65</v>
      </c>
      <c r="R389" s="11">
        <v>475.6</v>
      </c>
      <c r="S389" s="11">
        <v>568.6</v>
      </c>
      <c r="T389" s="13">
        <v>-0.23400000000000001</v>
      </c>
      <c r="U389" s="13">
        <v>0.44750000000000001</v>
      </c>
      <c r="V389" s="10">
        <v>0</v>
      </c>
      <c r="W389" s="14">
        <v>0</v>
      </c>
      <c r="X389" s="10">
        <v>93</v>
      </c>
      <c r="Y389" s="14">
        <v>3.6060139006019718E-3</v>
      </c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 t="s">
        <v>96</v>
      </c>
      <c r="AV389" s="12"/>
    </row>
    <row r="390" spans="1:48" ht="18" customHeight="1" x14ac:dyDescent="0.25">
      <c r="A390" s="4">
        <v>195</v>
      </c>
      <c r="B390" s="4">
        <v>1</v>
      </c>
      <c r="C390" s="4">
        <v>195</v>
      </c>
      <c r="D390" s="85">
        <v>46041</v>
      </c>
      <c r="E390" s="89">
        <v>46045</v>
      </c>
      <c r="F390" s="88" t="b">
        <f t="shared" si="6"/>
        <v>0</v>
      </c>
      <c r="G390" s="85">
        <v>46049</v>
      </c>
      <c r="H390" s="5">
        <v>25585.5</v>
      </c>
      <c r="I390" s="5">
        <v>25048.65</v>
      </c>
      <c r="J390" s="5">
        <v>-536.85</v>
      </c>
      <c r="K390" s="6">
        <v>-2.0982587793867621E-2</v>
      </c>
      <c r="L390" s="7" t="s">
        <v>34</v>
      </c>
      <c r="M390" s="91">
        <f>MROUND(H390,100)-100</f>
        <v>25500</v>
      </c>
      <c r="N390" s="91">
        <f>M390-O390</f>
        <v>0</v>
      </c>
      <c r="O390" s="4">
        <v>25500</v>
      </c>
      <c r="P390" s="7" t="s">
        <v>95</v>
      </c>
      <c r="Q390" s="4">
        <v>65</v>
      </c>
      <c r="R390" s="5">
        <v>213.95</v>
      </c>
      <c r="S390" s="5">
        <v>13.15</v>
      </c>
      <c r="T390" s="8">
        <v>9.4000000000000004E-3</v>
      </c>
      <c r="U390" s="8">
        <v>0.79220000000000002</v>
      </c>
      <c r="V390" s="5">
        <v>200.8</v>
      </c>
      <c r="W390" s="6">
        <v>7.8481952668503652E-3</v>
      </c>
      <c r="X390" s="4">
        <v>0</v>
      </c>
      <c r="Y390" s="6">
        <v>0</v>
      </c>
      <c r="Z390" s="5">
        <v>59647.65</v>
      </c>
      <c r="AA390" s="5">
        <v>57145.65</v>
      </c>
      <c r="AB390" s="4">
        <v>-2502</v>
      </c>
      <c r="AC390" s="5">
        <v>-4.1946000000000003</v>
      </c>
      <c r="AD390" s="4">
        <v>4</v>
      </c>
      <c r="AE390" s="5">
        <v>-6.6667000000000004E-2</v>
      </c>
      <c r="AF390" s="5">
        <v>-2541.7651000000001</v>
      </c>
      <c r="AG390" s="5">
        <v>-4.2613000000000003</v>
      </c>
      <c r="AH390" s="8">
        <v>-5.0050999999999997</v>
      </c>
      <c r="AI390" s="8">
        <v>-3.85E-2</v>
      </c>
      <c r="AJ390" s="9">
        <v>-2077.4151000000002</v>
      </c>
      <c r="AK390" s="9">
        <v>-2.4464000000000001</v>
      </c>
      <c r="AL390" s="5">
        <v>104.1549</v>
      </c>
      <c r="AM390" s="5">
        <v>109.10769999999999</v>
      </c>
      <c r="AN390" s="5">
        <v>-4.9527999999999999</v>
      </c>
      <c r="AO390" s="5">
        <v>-4.5393999999999997</v>
      </c>
      <c r="AP390" s="8">
        <v>-6.2300000000000001E-2</v>
      </c>
      <c r="AQ390" s="8">
        <v>-2.9125999999999999</v>
      </c>
      <c r="AR390" s="8">
        <v>-2.9125999999999999</v>
      </c>
      <c r="AS390" s="5">
        <v>103.6571</v>
      </c>
      <c r="AT390" s="5">
        <v>-4.9955999999999996</v>
      </c>
      <c r="AU390" s="7" t="s">
        <v>98</v>
      </c>
      <c r="AV390" s="7"/>
    </row>
    <row r="391" spans="1:48" ht="18" customHeight="1" x14ac:dyDescent="0.25">
      <c r="A391" s="10">
        <v>195</v>
      </c>
      <c r="B391" s="10">
        <v>2</v>
      </c>
      <c r="C391" s="10">
        <v>195</v>
      </c>
      <c r="D391" s="86">
        <v>46041</v>
      </c>
      <c r="E391" s="89">
        <v>46045</v>
      </c>
      <c r="F391" s="88" t="b">
        <f t="shared" si="6"/>
        <v>0</v>
      </c>
      <c r="G391" s="86">
        <v>46203</v>
      </c>
      <c r="H391" s="11">
        <v>25585.5</v>
      </c>
      <c r="I391" s="11">
        <v>25048.65</v>
      </c>
      <c r="J391" s="12"/>
      <c r="K391" s="12"/>
      <c r="L391" s="12" t="s">
        <v>44</v>
      </c>
      <c r="M391" s="90"/>
      <c r="N391" s="90"/>
      <c r="O391" s="10">
        <v>26000</v>
      </c>
      <c r="P391" s="12" t="s">
        <v>97</v>
      </c>
      <c r="Q391" s="10">
        <v>65</v>
      </c>
      <c r="R391" s="11">
        <v>568.6</v>
      </c>
      <c r="S391" s="11">
        <v>832.15</v>
      </c>
      <c r="T391" s="13">
        <v>-3.32E-2</v>
      </c>
      <c r="U391" s="13">
        <v>1.3003</v>
      </c>
      <c r="V391" s="10">
        <v>0</v>
      </c>
      <c r="W391" s="14">
        <v>0</v>
      </c>
      <c r="X391" s="11">
        <v>263.55</v>
      </c>
      <c r="Y391" s="14">
        <v>1.0300756287741099E-2</v>
      </c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 t="s">
        <v>98</v>
      </c>
      <c r="AV391" s="12"/>
    </row>
    <row r="392" spans="1:48" ht="18" customHeight="1" x14ac:dyDescent="0.25">
      <c r="A392" s="4">
        <v>196</v>
      </c>
      <c r="B392" s="4">
        <v>1</v>
      </c>
      <c r="C392" s="4">
        <v>196</v>
      </c>
      <c r="D392" s="85">
        <v>46142</v>
      </c>
      <c r="E392" s="85">
        <v>46146</v>
      </c>
      <c r="F392" s="88" t="b">
        <f t="shared" si="6"/>
        <v>1</v>
      </c>
      <c r="G392" s="85">
        <v>46147</v>
      </c>
      <c r="H392" s="5">
        <v>23997.55</v>
      </c>
      <c r="I392" s="5">
        <v>24119.3</v>
      </c>
      <c r="J392" s="5">
        <v>121.75</v>
      </c>
      <c r="K392" s="6">
        <v>5.0734345797800191E-3</v>
      </c>
      <c r="L392" s="7" t="s">
        <v>34</v>
      </c>
      <c r="M392" s="91">
        <f>MROUND(H392,100)-100</f>
        <v>23900</v>
      </c>
      <c r="N392" s="91">
        <f>M392-O392</f>
        <v>0</v>
      </c>
      <c r="O392" s="4">
        <v>23900</v>
      </c>
      <c r="P392" s="7" t="s">
        <v>95</v>
      </c>
      <c r="Q392" s="4">
        <v>65</v>
      </c>
      <c r="R392" s="5">
        <v>266.05</v>
      </c>
      <c r="S392" s="5">
        <v>282.8</v>
      </c>
      <c r="T392" s="8">
        <v>-0.73740000000000006</v>
      </c>
      <c r="U392" s="8">
        <v>0.31109999999999999</v>
      </c>
      <c r="V392" s="5">
        <v>-16.75</v>
      </c>
      <c r="W392" s="6">
        <v>-6.9798791960012582E-4</v>
      </c>
      <c r="X392" s="4">
        <v>0</v>
      </c>
      <c r="Y392" s="6">
        <v>0</v>
      </c>
      <c r="Z392" s="5">
        <v>59784.85</v>
      </c>
      <c r="AA392" s="5">
        <v>60159.75</v>
      </c>
      <c r="AB392" s="5">
        <v>374.9</v>
      </c>
      <c r="AC392" s="5">
        <v>0.62709999999999999</v>
      </c>
      <c r="AD392" s="4">
        <v>4</v>
      </c>
      <c r="AE392" s="5">
        <v>-6.6667000000000004E-2</v>
      </c>
      <c r="AF392" s="5">
        <v>335.04340000000002</v>
      </c>
      <c r="AG392" s="5">
        <v>0.56040000000000001</v>
      </c>
      <c r="AH392" s="8">
        <v>-6.2E-2</v>
      </c>
      <c r="AI392" s="8">
        <v>1.2357</v>
      </c>
      <c r="AJ392" s="15">
        <v>257.24340000000001</v>
      </c>
      <c r="AK392" s="15">
        <v>0.23619999999999999</v>
      </c>
      <c r="AL392" s="5">
        <v>100.2362</v>
      </c>
      <c r="AM392" s="5">
        <v>100.2362</v>
      </c>
      <c r="AN392" s="4">
        <v>0</v>
      </c>
      <c r="AO392" s="4">
        <v>0</v>
      </c>
      <c r="AP392" s="8">
        <v>-4.8399999999999999E-2</v>
      </c>
      <c r="AQ392" s="8">
        <v>0.24529999999999999</v>
      </c>
      <c r="AR392" s="8">
        <v>-4.8399999999999999E-2</v>
      </c>
      <c r="AS392" s="5">
        <v>99.951599999999999</v>
      </c>
      <c r="AT392" s="5">
        <v>-4.8399999999999999E-2</v>
      </c>
      <c r="AU392" s="7" t="s">
        <v>96</v>
      </c>
      <c r="AV392" s="7"/>
    </row>
    <row r="393" spans="1:48" ht="18" customHeight="1" x14ac:dyDescent="0.25">
      <c r="A393" s="10">
        <v>196</v>
      </c>
      <c r="B393" s="10">
        <v>2</v>
      </c>
      <c r="C393" s="10">
        <v>196</v>
      </c>
      <c r="D393" s="86">
        <v>46142</v>
      </c>
      <c r="E393" s="86">
        <v>46146</v>
      </c>
      <c r="F393" s="88" t="b">
        <f t="shared" si="6"/>
        <v>1</v>
      </c>
      <c r="G393" s="86">
        <v>46203</v>
      </c>
      <c r="H393" s="11">
        <v>23997.55</v>
      </c>
      <c r="I393" s="11">
        <v>24119.3</v>
      </c>
      <c r="J393" s="12"/>
      <c r="K393" s="12"/>
      <c r="L393" s="12" t="s">
        <v>44</v>
      </c>
      <c r="M393" s="90"/>
      <c r="N393" s="90"/>
      <c r="O393" s="10">
        <v>24000</v>
      </c>
      <c r="P393" s="12" t="s">
        <v>97</v>
      </c>
      <c r="Q393" s="10">
        <v>65</v>
      </c>
      <c r="R393" s="11">
        <v>547.20000000000005</v>
      </c>
      <c r="S393" s="11">
        <v>486.15</v>
      </c>
      <c r="T393" s="13">
        <v>-0.54669999999999996</v>
      </c>
      <c r="U393" s="13">
        <v>-3.8E-3</v>
      </c>
      <c r="V393" s="10">
        <v>0</v>
      </c>
      <c r="W393" s="14">
        <v>0</v>
      </c>
      <c r="X393" s="11">
        <v>-61.05</v>
      </c>
      <c r="Y393" s="14">
        <v>-2.5440097009903091E-3</v>
      </c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 t="s">
        <v>96</v>
      </c>
      <c r="AV393" s="12"/>
    </row>
    <row r="394" spans="1:48" ht="18" customHeight="1" x14ac:dyDescent="0.25">
      <c r="A394" s="4">
        <v>197</v>
      </c>
      <c r="B394" s="4">
        <v>1</v>
      </c>
      <c r="C394" s="4">
        <v>197</v>
      </c>
      <c r="D394" s="85">
        <v>46146</v>
      </c>
      <c r="E394" s="85">
        <v>46153</v>
      </c>
      <c r="F394" s="88" t="b">
        <f t="shared" si="6"/>
        <v>1</v>
      </c>
      <c r="G394" s="85">
        <v>46154</v>
      </c>
      <c r="H394" s="5">
        <v>24119.3</v>
      </c>
      <c r="I394" s="5">
        <v>23815.85</v>
      </c>
      <c r="J394" s="5">
        <v>-303.45</v>
      </c>
      <c r="K394" s="6">
        <v>-1.258121089749703E-2</v>
      </c>
      <c r="L394" s="7" t="s">
        <v>34</v>
      </c>
      <c r="M394" s="91">
        <f>MROUND(H394,100)-100</f>
        <v>24000</v>
      </c>
      <c r="N394" s="91">
        <f>M394-O394</f>
        <v>0</v>
      </c>
      <c r="O394" s="4">
        <v>24000</v>
      </c>
      <c r="P394" s="7" t="s">
        <v>95</v>
      </c>
      <c r="Q394" s="4">
        <v>65</v>
      </c>
      <c r="R394" s="5">
        <v>355.45</v>
      </c>
      <c r="S394" s="5">
        <v>44.35</v>
      </c>
      <c r="T394" s="8">
        <v>-0.79420000000000002</v>
      </c>
      <c r="U394" s="8">
        <v>1.3323</v>
      </c>
      <c r="V394" s="5">
        <v>311.10000000000002</v>
      </c>
      <c r="W394" s="6">
        <v>1.2898384281467541E-2</v>
      </c>
      <c r="X394" s="4">
        <v>0</v>
      </c>
      <c r="Y394" s="6">
        <v>0</v>
      </c>
      <c r="Z394" s="5">
        <v>60159.75</v>
      </c>
      <c r="AA394" s="5">
        <v>61258.400000000001</v>
      </c>
      <c r="AB394" s="5">
        <v>1098.6500000000001</v>
      </c>
      <c r="AC394" s="5">
        <v>1.8262</v>
      </c>
      <c r="AD394" s="4">
        <v>7</v>
      </c>
      <c r="AE394" s="5">
        <v>-0.11666700000000001</v>
      </c>
      <c r="AF394" s="5">
        <v>1028.4636</v>
      </c>
      <c r="AG394" s="5">
        <v>1.7096</v>
      </c>
      <c r="AH394" s="8">
        <v>-0.48430000000000001</v>
      </c>
      <c r="AI394" s="8">
        <v>3.1793999999999998</v>
      </c>
      <c r="AJ394" s="15">
        <v>1443.7136</v>
      </c>
      <c r="AK394" s="15">
        <v>3.4312999999999998</v>
      </c>
      <c r="AL394" s="5">
        <v>103.6756</v>
      </c>
      <c r="AM394" s="5">
        <v>103.6756</v>
      </c>
      <c r="AN394" s="4">
        <v>0</v>
      </c>
      <c r="AO394" s="4">
        <v>0</v>
      </c>
      <c r="AP394" s="8">
        <v>1.7378</v>
      </c>
      <c r="AQ394" s="8">
        <v>1.3408</v>
      </c>
      <c r="AR394" s="8">
        <v>1.3408</v>
      </c>
      <c r="AS394" s="5">
        <v>101.5802</v>
      </c>
      <c r="AT394" s="5">
        <v>1.3408</v>
      </c>
      <c r="AU394" s="7" t="s">
        <v>96</v>
      </c>
      <c r="AV394" s="7"/>
    </row>
    <row r="395" spans="1:48" ht="18" customHeight="1" x14ac:dyDescent="0.25">
      <c r="A395" s="10">
        <v>197</v>
      </c>
      <c r="B395" s="10">
        <v>2</v>
      </c>
      <c r="C395" s="10">
        <v>197</v>
      </c>
      <c r="D395" s="86">
        <v>46146</v>
      </c>
      <c r="E395" s="86">
        <v>46153</v>
      </c>
      <c r="F395" s="88" t="b">
        <f t="shared" si="6"/>
        <v>1</v>
      </c>
      <c r="G395" s="86">
        <v>46203</v>
      </c>
      <c r="H395" s="11">
        <v>24119.3</v>
      </c>
      <c r="I395" s="11">
        <v>23815.85</v>
      </c>
      <c r="J395" s="12"/>
      <c r="K395" s="12"/>
      <c r="L395" s="12" t="s">
        <v>44</v>
      </c>
      <c r="M395" s="90"/>
      <c r="N395" s="90"/>
      <c r="O395" s="10">
        <v>24000</v>
      </c>
      <c r="P395" s="12" t="s">
        <v>97</v>
      </c>
      <c r="Q395" s="10">
        <v>65</v>
      </c>
      <c r="R395" s="11">
        <v>486.15</v>
      </c>
      <c r="S395" s="11">
        <v>590.29999999999995</v>
      </c>
      <c r="T395" s="13">
        <v>-0.64739999999999998</v>
      </c>
      <c r="U395" s="13">
        <v>0.49280000000000002</v>
      </c>
      <c r="V395" s="10">
        <v>0</v>
      </c>
      <c r="W395" s="14">
        <v>0</v>
      </c>
      <c r="X395" s="11">
        <v>104.15</v>
      </c>
      <c r="Y395" s="14">
        <v>4.3181186850364652E-3</v>
      </c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 t="s">
        <v>96</v>
      </c>
      <c r="AV395" s="12"/>
    </row>
    <row r="396" spans="1:48" ht="18" customHeight="1" x14ac:dyDescent="0.25">
      <c r="A396" s="4">
        <v>198</v>
      </c>
      <c r="B396" s="4">
        <v>1</v>
      </c>
      <c r="C396" s="4">
        <v>198</v>
      </c>
      <c r="D396" s="85">
        <v>46153</v>
      </c>
      <c r="E396" s="85">
        <v>46160</v>
      </c>
      <c r="F396" s="88" t="b">
        <f t="shared" si="6"/>
        <v>1</v>
      </c>
      <c r="G396" s="85">
        <v>46161</v>
      </c>
      <c r="H396" s="5">
        <v>23815.85</v>
      </c>
      <c r="I396" s="5">
        <v>23649.95</v>
      </c>
      <c r="J396" s="5">
        <v>-165.9</v>
      </c>
      <c r="K396" s="6">
        <v>-6.9659491473115596E-3</v>
      </c>
      <c r="L396" s="7" t="s">
        <v>34</v>
      </c>
      <c r="M396" s="91">
        <f>MROUND(H396,100)-100</f>
        <v>23700</v>
      </c>
      <c r="N396" s="91">
        <f>M396-O396</f>
        <v>0</v>
      </c>
      <c r="O396" s="4">
        <v>23700</v>
      </c>
      <c r="P396" s="7" t="s">
        <v>95</v>
      </c>
      <c r="Q396" s="4">
        <v>65</v>
      </c>
      <c r="R396" s="5">
        <v>348.65</v>
      </c>
      <c r="S396" s="5">
        <v>81.849999999999994</v>
      </c>
      <c r="T396" s="8">
        <v>0.186</v>
      </c>
      <c r="U396" s="8">
        <v>1.3764000000000001</v>
      </c>
      <c r="V396" s="5">
        <v>266.8</v>
      </c>
      <c r="W396" s="6">
        <v>1.12026234629459E-2</v>
      </c>
      <c r="X396" s="4">
        <v>0</v>
      </c>
      <c r="Y396" s="6">
        <v>0</v>
      </c>
      <c r="Z396" s="5">
        <v>61258.400000000001</v>
      </c>
      <c r="AA396" s="5">
        <v>60473.8</v>
      </c>
      <c r="AB396" s="5">
        <v>-784.6</v>
      </c>
      <c r="AC396" s="5">
        <v>-1.2807999999999999</v>
      </c>
      <c r="AD396" s="4">
        <v>7</v>
      </c>
      <c r="AE396" s="5">
        <v>-0.11666700000000001</v>
      </c>
      <c r="AF396" s="5">
        <v>-856.06809999999996</v>
      </c>
      <c r="AG396" s="5">
        <v>-1.3975</v>
      </c>
      <c r="AH396" s="8">
        <v>-3.0527000000000002</v>
      </c>
      <c r="AI396" s="8">
        <v>9.2600000000000002E-2</v>
      </c>
      <c r="AJ396" s="9">
        <v>-484.61810000000003</v>
      </c>
      <c r="AK396" s="9">
        <v>0.16220000000000001</v>
      </c>
      <c r="AL396" s="5">
        <v>103.8438</v>
      </c>
      <c r="AM396" s="5">
        <v>103.8438</v>
      </c>
      <c r="AN396" s="4">
        <v>0</v>
      </c>
      <c r="AO396" s="4">
        <v>0</v>
      </c>
      <c r="AP396" s="8">
        <v>0.2752</v>
      </c>
      <c r="AQ396" s="8">
        <v>-0.29399999999999998</v>
      </c>
      <c r="AR396" s="8">
        <v>-0.29399999999999998</v>
      </c>
      <c r="AS396" s="5">
        <v>103.3708</v>
      </c>
      <c r="AT396" s="5">
        <v>-0.29399999999999998</v>
      </c>
      <c r="AU396" s="7" t="s">
        <v>96</v>
      </c>
      <c r="AV396" s="7"/>
    </row>
    <row r="397" spans="1:48" ht="18" customHeight="1" x14ac:dyDescent="0.25">
      <c r="A397" s="10">
        <v>198</v>
      </c>
      <c r="B397" s="10">
        <v>2</v>
      </c>
      <c r="C397" s="10">
        <v>198</v>
      </c>
      <c r="D397" s="86">
        <v>46153</v>
      </c>
      <c r="E397" s="86">
        <v>46160</v>
      </c>
      <c r="F397" s="88" t="b">
        <f t="shared" si="6"/>
        <v>1</v>
      </c>
      <c r="G397" s="86">
        <v>46203</v>
      </c>
      <c r="H397" s="11">
        <v>23815.85</v>
      </c>
      <c r="I397" s="11">
        <v>23649.95</v>
      </c>
      <c r="J397" s="12"/>
      <c r="K397" s="12"/>
      <c r="L397" s="12" t="s">
        <v>44</v>
      </c>
      <c r="M397" s="90"/>
      <c r="N397" s="90"/>
      <c r="O397" s="10">
        <v>24000</v>
      </c>
      <c r="P397" s="12" t="s">
        <v>97</v>
      </c>
      <c r="Q397" s="10">
        <v>65</v>
      </c>
      <c r="R397" s="11">
        <v>590.29999999999995</v>
      </c>
      <c r="S397" s="11">
        <v>694.95</v>
      </c>
      <c r="T397" s="13">
        <v>-3.3999999999999998E-3</v>
      </c>
      <c r="U397" s="13">
        <v>1.3823000000000001</v>
      </c>
      <c r="V397" s="10">
        <v>0</v>
      </c>
      <c r="W397" s="14">
        <v>0</v>
      </c>
      <c r="X397" s="11">
        <v>104.65</v>
      </c>
      <c r="Y397" s="14">
        <v>4.3941324790003301E-3</v>
      </c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 t="s">
        <v>96</v>
      </c>
      <c r="AV397" s="12"/>
    </row>
    <row r="398" spans="1:48" ht="18" customHeight="1" x14ac:dyDescent="0.25">
      <c r="A398" s="4">
        <v>199</v>
      </c>
      <c r="B398" s="4">
        <v>1</v>
      </c>
      <c r="C398" s="4">
        <v>199</v>
      </c>
      <c r="D398" s="85">
        <v>46160</v>
      </c>
      <c r="E398" s="85">
        <v>46167</v>
      </c>
      <c r="F398" s="88" t="b">
        <f t="shared" si="6"/>
        <v>1</v>
      </c>
      <c r="G398" s="85">
        <v>46168</v>
      </c>
      <c r="H398" s="5">
        <v>23649.95</v>
      </c>
      <c r="I398" s="5">
        <v>24031.7</v>
      </c>
      <c r="J398" s="5">
        <v>381.75</v>
      </c>
      <c r="K398" s="6">
        <v>1.6141683174805861E-2</v>
      </c>
      <c r="L398" s="7" t="s">
        <v>34</v>
      </c>
      <c r="M398" s="91">
        <f>MROUND(H398,100)-100</f>
        <v>23500</v>
      </c>
      <c r="N398" s="91">
        <f>M398-O398</f>
        <v>0</v>
      </c>
      <c r="O398" s="4">
        <v>23500</v>
      </c>
      <c r="P398" s="7" t="s">
        <v>95</v>
      </c>
      <c r="Q398" s="4">
        <v>65</v>
      </c>
      <c r="R398" s="5">
        <v>358.5</v>
      </c>
      <c r="S398" s="5">
        <v>564.45000000000005</v>
      </c>
      <c r="T398" s="8">
        <v>-1.1134999999999999</v>
      </c>
      <c r="U398" s="8">
        <v>0.85029999999999994</v>
      </c>
      <c r="V398" s="5">
        <v>-205.95</v>
      </c>
      <c r="W398" s="6">
        <v>-8.7082636538343625E-3</v>
      </c>
      <c r="X398" s="4">
        <v>0</v>
      </c>
      <c r="Y398" s="6">
        <v>0</v>
      </c>
      <c r="Z398" s="5">
        <v>60473.8</v>
      </c>
      <c r="AA398" s="5">
        <v>61966.6</v>
      </c>
      <c r="AB398" s="5">
        <v>1492.8</v>
      </c>
      <c r="AC398" s="5">
        <v>2.4685000000000001</v>
      </c>
      <c r="AD398" s="4">
        <v>7</v>
      </c>
      <c r="AE398" s="5">
        <v>-0.11666700000000001</v>
      </c>
      <c r="AF398" s="5">
        <v>1422.2472</v>
      </c>
      <c r="AG398" s="5">
        <v>2.3517999999999999</v>
      </c>
      <c r="AH398" s="8">
        <v>-2.5700000000000001E-2</v>
      </c>
      <c r="AI398" s="8">
        <v>2.4615999999999998</v>
      </c>
      <c r="AJ398" s="15">
        <v>896.84720000000004</v>
      </c>
      <c r="AK398" s="15">
        <v>0.13020000000000001</v>
      </c>
      <c r="AL398" s="5">
        <v>103.979</v>
      </c>
      <c r="AM398" s="5">
        <v>103.979</v>
      </c>
      <c r="AN398" s="4">
        <v>0</v>
      </c>
      <c r="AO398" s="4">
        <v>0</v>
      </c>
      <c r="AP398" s="8">
        <v>-0.1079</v>
      </c>
      <c r="AQ398" s="8">
        <v>1.4066000000000001</v>
      </c>
      <c r="AR398" s="8">
        <v>-0.1079</v>
      </c>
      <c r="AS398" s="5">
        <v>103.7317</v>
      </c>
      <c r="AT398" s="5">
        <v>-0.1079</v>
      </c>
      <c r="AU398" s="7" t="s">
        <v>96</v>
      </c>
      <c r="AV398" s="7"/>
    </row>
    <row r="399" spans="1:48" ht="18" customHeight="1" x14ac:dyDescent="0.25">
      <c r="A399" s="10">
        <v>199</v>
      </c>
      <c r="B399" s="10">
        <v>2</v>
      </c>
      <c r="C399" s="10">
        <v>199</v>
      </c>
      <c r="D399" s="86">
        <v>46160</v>
      </c>
      <c r="E399" s="86">
        <v>46167</v>
      </c>
      <c r="F399" s="88" t="b">
        <f t="shared" si="6"/>
        <v>1</v>
      </c>
      <c r="G399" s="86">
        <v>46203</v>
      </c>
      <c r="H399" s="11">
        <v>23649.95</v>
      </c>
      <c r="I399" s="11">
        <v>24031.7</v>
      </c>
      <c r="J399" s="12"/>
      <c r="K399" s="12"/>
      <c r="L399" s="12" t="s">
        <v>44</v>
      </c>
      <c r="M399" s="90"/>
      <c r="N399" s="90"/>
      <c r="O399" s="10">
        <v>24000</v>
      </c>
      <c r="P399" s="12" t="s">
        <v>97</v>
      </c>
      <c r="Q399" s="10">
        <v>65</v>
      </c>
      <c r="R399" s="11">
        <v>694.95</v>
      </c>
      <c r="S399" s="11">
        <v>375.5</v>
      </c>
      <c r="T399" s="13">
        <v>-1.456</v>
      </c>
      <c r="U399" s="13">
        <v>0.58199999999999996</v>
      </c>
      <c r="V399" s="10">
        <v>0</v>
      </c>
      <c r="W399" s="14">
        <v>0</v>
      </c>
      <c r="X399" s="11">
        <v>-319.45</v>
      </c>
      <c r="Y399" s="14">
        <v>-1.350742813409753E-2</v>
      </c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 t="s">
        <v>96</v>
      </c>
      <c r="AV399" s="12"/>
    </row>
    <row r="400" spans="1:48" ht="18" customHeight="1" x14ac:dyDescent="0.25">
      <c r="A400" s="4">
        <v>200</v>
      </c>
      <c r="B400" s="4">
        <v>1</v>
      </c>
      <c r="C400" s="4">
        <v>200</v>
      </c>
      <c r="D400" s="85">
        <v>46167</v>
      </c>
      <c r="E400" s="85">
        <v>46174</v>
      </c>
      <c r="F400" s="88" t="b">
        <f t="shared" si="6"/>
        <v>1</v>
      </c>
      <c r="G400" s="85">
        <v>46175</v>
      </c>
      <c r="H400" s="5">
        <v>24031.7</v>
      </c>
      <c r="I400" s="5">
        <v>23382.6</v>
      </c>
      <c r="J400" s="5">
        <v>-649.1</v>
      </c>
      <c r="K400" s="6">
        <v>-2.7010157417078271E-2</v>
      </c>
      <c r="L400" s="7" t="s">
        <v>34</v>
      </c>
      <c r="M400" s="91">
        <f>MROUND(H400,100)-100</f>
        <v>23900</v>
      </c>
      <c r="N400" s="91">
        <f>M400-O400</f>
        <v>0</v>
      </c>
      <c r="O400" s="4">
        <v>23900</v>
      </c>
      <c r="P400" s="7" t="s">
        <v>95</v>
      </c>
      <c r="Q400" s="4">
        <v>65</v>
      </c>
      <c r="R400" s="5">
        <v>309.85000000000002</v>
      </c>
      <c r="S400" s="5">
        <v>8.15</v>
      </c>
      <c r="T400" s="8">
        <v>-3.2000000000000001E-2</v>
      </c>
      <c r="U400" s="8">
        <v>1.2613000000000001</v>
      </c>
      <c r="V400" s="5">
        <v>301.7</v>
      </c>
      <c r="W400" s="6">
        <v>1.255425125979435E-2</v>
      </c>
      <c r="X400" s="4">
        <v>0</v>
      </c>
      <c r="Y400" s="6">
        <v>0</v>
      </c>
      <c r="Z400" s="5">
        <v>61966.6</v>
      </c>
      <c r="AA400" s="5">
        <v>60827.95</v>
      </c>
      <c r="AB400" s="5">
        <v>-1138.6500000000001</v>
      </c>
      <c r="AC400" s="5">
        <v>-1.8374999999999999</v>
      </c>
      <c r="AD400" s="4">
        <v>7</v>
      </c>
      <c r="AE400" s="5">
        <v>-0.11666700000000001</v>
      </c>
      <c r="AF400" s="5">
        <v>-1210.9444000000001</v>
      </c>
      <c r="AG400" s="5">
        <v>-1.9541999999999999</v>
      </c>
      <c r="AH400" s="8">
        <v>-2.1004</v>
      </c>
      <c r="AI400" s="8">
        <v>1.4508000000000001</v>
      </c>
      <c r="AJ400" s="9">
        <v>-728.19439999999997</v>
      </c>
      <c r="AK400" s="9">
        <v>5.4600000000000003E-2</v>
      </c>
      <c r="AL400" s="5">
        <v>104.03570000000001</v>
      </c>
      <c r="AM400" s="5">
        <v>104.03570000000001</v>
      </c>
      <c r="AN400" s="4">
        <v>0</v>
      </c>
      <c r="AO400" s="4">
        <v>0</v>
      </c>
      <c r="AP400" s="8">
        <v>1.2875000000000001</v>
      </c>
      <c r="AQ400" s="8">
        <v>-1.7500000000000002E-2</v>
      </c>
      <c r="AR400" s="8">
        <v>-1.7500000000000002E-2</v>
      </c>
      <c r="AS400" s="5">
        <v>103.96080000000001</v>
      </c>
      <c r="AT400" s="5">
        <v>-1.7500000000000002E-2</v>
      </c>
      <c r="AU400" s="7" t="s">
        <v>96</v>
      </c>
      <c r="AV400" s="7"/>
    </row>
    <row r="401" spans="1:48" ht="18" customHeight="1" x14ac:dyDescent="0.25">
      <c r="A401" s="10">
        <v>200</v>
      </c>
      <c r="B401" s="10">
        <v>2</v>
      </c>
      <c r="C401" s="10">
        <v>200</v>
      </c>
      <c r="D401" s="86">
        <v>46167</v>
      </c>
      <c r="E401" s="86">
        <v>46174</v>
      </c>
      <c r="F401" s="88" t="b">
        <f t="shared" si="6"/>
        <v>1</v>
      </c>
      <c r="G401" s="86">
        <v>46385</v>
      </c>
      <c r="H401" s="11">
        <v>24031.7</v>
      </c>
      <c r="I401" s="11">
        <v>23382.6</v>
      </c>
      <c r="J401" s="12"/>
      <c r="K401" s="12"/>
      <c r="L401" s="12" t="s">
        <v>44</v>
      </c>
      <c r="M401" s="90"/>
      <c r="N401" s="90"/>
      <c r="O401" s="10">
        <v>24000</v>
      </c>
      <c r="P401" s="12" t="s">
        <v>97</v>
      </c>
      <c r="Q401" s="10">
        <v>65</v>
      </c>
      <c r="R401" s="11">
        <v>701.55</v>
      </c>
      <c r="S401" s="11">
        <v>882.6</v>
      </c>
      <c r="T401" s="13">
        <v>-0.1313</v>
      </c>
      <c r="U401" s="13">
        <v>0.8216</v>
      </c>
      <c r="V401" s="10">
        <v>0</v>
      </c>
      <c r="W401" s="14">
        <v>0</v>
      </c>
      <c r="X401" s="11">
        <v>181.05</v>
      </c>
      <c r="Y401" s="14">
        <v>7.5337991070128212E-3</v>
      </c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 t="s">
        <v>96</v>
      </c>
      <c r="AV401" s="12"/>
    </row>
    <row r="402" spans="1:48" ht="18" customHeight="1" x14ac:dyDescent="0.25">
      <c r="A402" s="4">
        <v>201</v>
      </c>
      <c r="B402" s="4">
        <v>1</v>
      </c>
      <c r="C402" s="4">
        <v>201</v>
      </c>
      <c r="D402" s="85">
        <v>46174</v>
      </c>
      <c r="E402" s="85">
        <v>46181</v>
      </c>
      <c r="F402" s="88" t="b">
        <f t="shared" si="6"/>
        <v>1</v>
      </c>
      <c r="G402" s="85">
        <v>46182</v>
      </c>
      <c r="H402" s="5">
        <v>23382.6</v>
      </c>
      <c r="I402" s="4">
        <v>23123</v>
      </c>
      <c r="J402" s="5">
        <v>-259.60000000000002</v>
      </c>
      <c r="K402" s="6">
        <v>-1.110227263007536E-2</v>
      </c>
      <c r="L402" s="7" t="s">
        <v>34</v>
      </c>
      <c r="M402" s="91">
        <f>MROUND(H402,100)-100</f>
        <v>23300</v>
      </c>
      <c r="N402" s="91">
        <f>M402-O402</f>
        <v>0</v>
      </c>
      <c r="O402" s="4">
        <v>23300</v>
      </c>
      <c r="P402" s="7" t="s">
        <v>95</v>
      </c>
      <c r="Q402" s="4">
        <v>65</v>
      </c>
      <c r="R402" s="5">
        <v>315.75</v>
      </c>
      <c r="S402" s="5">
        <v>35.4</v>
      </c>
      <c r="T402" s="8">
        <v>-0.35520000000000002</v>
      </c>
      <c r="U402" s="8">
        <v>1.2284999999999999</v>
      </c>
      <c r="V402" s="5">
        <v>280.35000000000002</v>
      </c>
      <c r="W402" s="6">
        <v>1.19896846372944E-2</v>
      </c>
      <c r="X402" s="4">
        <v>0</v>
      </c>
      <c r="Y402" s="6">
        <v>0</v>
      </c>
      <c r="Z402" s="5">
        <v>60827.95</v>
      </c>
      <c r="AA402" s="5">
        <v>59905.65</v>
      </c>
      <c r="AB402" s="5">
        <v>-922.3</v>
      </c>
      <c r="AC402" s="5">
        <v>-1.5162</v>
      </c>
      <c r="AD402" s="4">
        <v>7</v>
      </c>
      <c r="AE402" s="5">
        <v>-0.11666700000000001</v>
      </c>
      <c r="AF402" s="5">
        <v>-993.26589999999999</v>
      </c>
      <c r="AG402" s="5">
        <v>-1.6329</v>
      </c>
      <c r="AH402" s="8">
        <v>-2.0527000000000002</v>
      </c>
      <c r="AI402" s="8">
        <v>0.80610000000000004</v>
      </c>
      <c r="AJ402" s="9">
        <v>-649.06590000000006</v>
      </c>
      <c r="AK402" s="9">
        <v>-0.16089999999999999</v>
      </c>
      <c r="AL402" s="5">
        <v>103.86839999999999</v>
      </c>
      <c r="AM402" s="5">
        <v>104.03570000000001</v>
      </c>
      <c r="AN402" s="5">
        <v>-0.16739999999999999</v>
      </c>
      <c r="AO402" s="5">
        <v>-0.16089999999999999</v>
      </c>
      <c r="AP402" s="8">
        <v>0.1691</v>
      </c>
      <c r="AQ402" s="8">
        <v>-0.5071</v>
      </c>
      <c r="AR402" s="8">
        <v>-0.5071</v>
      </c>
      <c r="AS402" s="5">
        <v>103.5082</v>
      </c>
      <c r="AT402" s="5">
        <v>-0.5071</v>
      </c>
      <c r="AU402" s="7" t="s">
        <v>96</v>
      </c>
      <c r="AV402" s="7"/>
    </row>
    <row r="403" spans="1:48" ht="18" customHeight="1" x14ac:dyDescent="0.25">
      <c r="A403" s="10">
        <v>201</v>
      </c>
      <c r="B403" s="10">
        <v>2</v>
      </c>
      <c r="C403" s="10">
        <v>201</v>
      </c>
      <c r="D403" s="86">
        <v>46174</v>
      </c>
      <c r="E403" s="86">
        <v>46181</v>
      </c>
      <c r="F403" s="88" t="b">
        <f t="shared" si="6"/>
        <v>1</v>
      </c>
      <c r="G403" s="86">
        <v>46385</v>
      </c>
      <c r="H403" s="11">
        <v>23382.6</v>
      </c>
      <c r="I403" s="10">
        <v>23123</v>
      </c>
      <c r="J403" s="12"/>
      <c r="K403" s="12"/>
      <c r="L403" s="12" t="s">
        <v>44</v>
      </c>
      <c r="M403" s="90"/>
      <c r="N403" s="90"/>
      <c r="O403" s="10">
        <v>23000</v>
      </c>
      <c r="P403" s="12" t="s">
        <v>97</v>
      </c>
      <c r="Q403" s="10">
        <v>65</v>
      </c>
      <c r="R403" s="11">
        <v>565.9</v>
      </c>
      <c r="S403" s="11">
        <v>629.75</v>
      </c>
      <c r="T403" s="13">
        <v>-0.28179999999999999</v>
      </c>
      <c r="U403" s="13">
        <v>0.31709999999999999</v>
      </c>
      <c r="V403" s="10">
        <v>0</v>
      </c>
      <c r="W403" s="14">
        <v>0</v>
      </c>
      <c r="X403" s="11">
        <v>63.85</v>
      </c>
      <c r="Y403" s="14">
        <v>2.7306629716113699E-3</v>
      </c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 t="s">
        <v>96</v>
      </c>
      <c r="AV403" s="12"/>
    </row>
    <row r="404" spans="1:48" ht="18" customHeight="1" x14ac:dyDescent="0.25">
      <c r="A404" s="4">
        <v>202</v>
      </c>
      <c r="B404" s="4">
        <v>1</v>
      </c>
      <c r="C404" s="4">
        <v>202</v>
      </c>
      <c r="D404" s="85">
        <v>46181</v>
      </c>
      <c r="E404" s="85">
        <v>46185</v>
      </c>
      <c r="F404" s="88" t="b">
        <f t="shared" si="6"/>
        <v>1</v>
      </c>
      <c r="G404" s="85">
        <v>46189</v>
      </c>
      <c r="H404" s="4">
        <v>23123</v>
      </c>
      <c r="I404" s="5">
        <v>23622.9</v>
      </c>
      <c r="J404" s="5">
        <v>499.9</v>
      </c>
      <c r="K404" s="6">
        <v>2.1619167063097348E-2</v>
      </c>
      <c r="L404" s="7" t="s">
        <v>34</v>
      </c>
      <c r="M404" s="91">
        <f>MROUND(H404,100)-100</f>
        <v>23000</v>
      </c>
      <c r="N404" s="91">
        <f>M404-O404</f>
        <v>0</v>
      </c>
      <c r="O404" s="4">
        <v>23000</v>
      </c>
      <c r="P404" s="7" t="s">
        <v>95</v>
      </c>
      <c r="Q404" s="4">
        <v>65</v>
      </c>
      <c r="R404" s="5">
        <v>325.95</v>
      </c>
      <c r="S404" s="5">
        <v>660.05</v>
      </c>
      <c r="T404" s="8">
        <v>-1.6060000000000001</v>
      </c>
      <c r="U404" s="8">
        <v>0.48759999999999998</v>
      </c>
      <c r="V404" s="5">
        <v>-334.1</v>
      </c>
      <c r="W404" s="6">
        <v>-1.444881719500065E-2</v>
      </c>
      <c r="X404" s="4">
        <v>0</v>
      </c>
      <c r="Y404" s="6">
        <v>0</v>
      </c>
      <c r="Z404" s="5">
        <v>59905.65</v>
      </c>
      <c r="AA404" s="5">
        <v>60768.1</v>
      </c>
      <c r="AB404" s="5">
        <v>862.45</v>
      </c>
      <c r="AC404" s="5">
        <v>1.4397</v>
      </c>
      <c r="AD404" s="4">
        <v>4</v>
      </c>
      <c r="AE404" s="5">
        <v>-6.6667000000000004E-2</v>
      </c>
      <c r="AF404" s="5">
        <v>822.51289999999995</v>
      </c>
      <c r="AG404" s="5">
        <v>1.373</v>
      </c>
      <c r="AH404" s="8">
        <v>-1.1987000000000001</v>
      </c>
      <c r="AI404" s="8">
        <v>1.4816</v>
      </c>
      <c r="AJ404" s="15">
        <v>330.36290000000002</v>
      </c>
      <c r="AK404" s="15">
        <v>-0.75539999999999996</v>
      </c>
      <c r="AL404" s="5">
        <v>103.08369999999999</v>
      </c>
      <c r="AM404" s="5">
        <v>104.03570000000001</v>
      </c>
      <c r="AN404" s="5">
        <v>-0.95199999999999996</v>
      </c>
      <c r="AO404" s="5">
        <v>-0.91510000000000002</v>
      </c>
      <c r="AP404" s="8">
        <v>-0.84079999999999999</v>
      </c>
      <c r="AQ404" s="8">
        <v>-0.72170000000000001</v>
      </c>
      <c r="AR404" s="8">
        <v>-0.84079999999999999</v>
      </c>
      <c r="AS404" s="5">
        <v>102.995</v>
      </c>
      <c r="AT404" s="5">
        <v>-1.0003</v>
      </c>
      <c r="AU404" s="7" t="s">
        <v>102</v>
      </c>
      <c r="AV404" s="7"/>
    </row>
    <row r="405" spans="1:48" ht="18" customHeight="1" x14ac:dyDescent="0.25">
      <c r="A405" s="10">
        <v>202</v>
      </c>
      <c r="B405" s="10">
        <v>2</v>
      </c>
      <c r="C405" s="10">
        <v>202</v>
      </c>
      <c r="D405" s="86">
        <v>46181</v>
      </c>
      <c r="E405" s="86">
        <v>46185</v>
      </c>
      <c r="F405" s="88" t="b">
        <f t="shared" si="6"/>
        <v>1</v>
      </c>
      <c r="G405" s="86">
        <v>46385</v>
      </c>
      <c r="H405" s="10">
        <v>23123</v>
      </c>
      <c r="I405" s="11">
        <v>23622.9</v>
      </c>
      <c r="J405" s="12"/>
      <c r="K405" s="12"/>
      <c r="L405" s="12" t="s">
        <v>44</v>
      </c>
      <c r="M405" s="90"/>
      <c r="N405" s="90"/>
      <c r="O405" s="10">
        <v>23000</v>
      </c>
      <c r="P405" s="12" t="s">
        <v>97</v>
      </c>
      <c r="Q405" s="10">
        <v>65</v>
      </c>
      <c r="R405" s="11">
        <v>629.75</v>
      </c>
      <c r="S405" s="11">
        <v>471.7</v>
      </c>
      <c r="T405" s="13">
        <v>-0.71640000000000004</v>
      </c>
      <c r="U405" s="13">
        <v>-1.06E-2</v>
      </c>
      <c r="V405" s="10">
        <v>0</v>
      </c>
      <c r="W405" s="14">
        <v>0</v>
      </c>
      <c r="X405" s="11">
        <v>-158.05000000000001</v>
      </c>
      <c r="Y405" s="14">
        <v>-6.8351857457942316E-3</v>
      </c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 t="s">
        <v>102</v>
      </c>
      <c r="AV405" s="12"/>
    </row>
    <row r="406" spans="1:48" ht="18" customHeight="1" x14ac:dyDescent="0.25">
      <c r="A406" s="4">
        <v>203</v>
      </c>
      <c r="B406" s="4">
        <v>1</v>
      </c>
      <c r="C406" s="4">
        <v>203</v>
      </c>
      <c r="D406" s="85">
        <v>46185</v>
      </c>
      <c r="E406" s="85">
        <v>46188</v>
      </c>
      <c r="F406" s="88" t="b">
        <f t="shared" si="6"/>
        <v>1</v>
      </c>
      <c r="G406" s="85">
        <v>46189</v>
      </c>
      <c r="H406" s="5">
        <v>23622.9</v>
      </c>
      <c r="I406" s="5">
        <v>23853.9</v>
      </c>
      <c r="J406" s="4">
        <v>231</v>
      </c>
      <c r="K406" s="6">
        <v>9.7786469908436296E-3</v>
      </c>
      <c r="L406" s="7" t="s">
        <v>34</v>
      </c>
      <c r="M406" s="91">
        <f>MROUND(H406,100)-100</f>
        <v>23500</v>
      </c>
      <c r="N406" s="91">
        <f>M406-O406</f>
        <v>0</v>
      </c>
      <c r="O406" s="4">
        <v>23500</v>
      </c>
      <c r="P406" s="7" t="s">
        <v>95</v>
      </c>
      <c r="Q406" s="4">
        <v>65</v>
      </c>
      <c r="R406" s="5">
        <v>228.9</v>
      </c>
      <c r="S406" s="5">
        <v>378.6</v>
      </c>
      <c r="T406" s="8">
        <v>-1.2912999999999999</v>
      </c>
      <c r="U406" s="8">
        <v>-0.4748</v>
      </c>
      <c r="V406" s="5">
        <v>-149.69999999999999</v>
      </c>
      <c r="W406" s="6">
        <v>-6.3370712317285336E-3</v>
      </c>
      <c r="X406" s="4">
        <v>0</v>
      </c>
      <c r="Y406" s="6">
        <v>0</v>
      </c>
      <c r="Z406" s="5">
        <v>60768.1</v>
      </c>
      <c r="AA406" s="5">
        <v>61549.65</v>
      </c>
      <c r="AB406" s="5">
        <v>781.55</v>
      </c>
      <c r="AC406" s="5">
        <v>1.2861</v>
      </c>
      <c r="AD406" s="4">
        <v>3</v>
      </c>
      <c r="AE406" s="5">
        <v>-0.05</v>
      </c>
      <c r="AF406" s="5">
        <v>751.16600000000005</v>
      </c>
      <c r="AG406" s="5">
        <v>1.2361</v>
      </c>
      <c r="AH406" s="8">
        <v>1.0663</v>
      </c>
      <c r="AI406" s="8">
        <v>1.7895000000000001</v>
      </c>
      <c r="AJ406" s="15">
        <v>528.86599999999999</v>
      </c>
      <c r="AK406" s="15">
        <v>0.29509999999999997</v>
      </c>
      <c r="AL406" s="5">
        <v>103.3879</v>
      </c>
      <c r="AM406" s="5">
        <v>104.03570000000001</v>
      </c>
      <c r="AN406" s="5">
        <v>-0.64780000000000004</v>
      </c>
      <c r="AO406" s="5">
        <v>-0.62270000000000003</v>
      </c>
      <c r="AP406" s="8">
        <v>9.3299999999999994E-2</v>
      </c>
      <c r="AQ406" s="8">
        <v>0.31909999999999999</v>
      </c>
      <c r="AR406" s="8">
        <v>9.3299999999999994E-2</v>
      </c>
      <c r="AS406" s="5">
        <v>103.1799</v>
      </c>
      <c r="AT406" s="5">
        <v>-0.8226</v>
      </c>
      <c r="AU406" s="7" t="s">
        <v>96</v>
      </c>
      <c r="AV406" s="7"/>
    </row>
    <row r="407" spans="1:48" ht="18" customHeight="1" x14ac:dyDescent="0.25">
      <c r="A407" s="10">
        <v>203</v>
      </c>
      <c r="B407" s="10">
        <v>2</v>
      </c>
      <c r="C407" s="10">
        <v>203</v>
      </c>
      <c r="D407" s="86">
        <v>46185</v>
      </c>
      <c r="E407" s="86">
        <v>46188</v>
      </c>
      <c r="F407" s="88" t="b">
        <f t="shared" si="6"/>
        <v>1</v>
      </c>
      <c r="G407" s="86">
        <v>46385</v>
      </c>
      <c r="H407" s="11">
        <v>23622.9</v>
      </c>
      <c r="I407" s="11">
        <v>23853.9</v>
      </c>
      <c r="J407" s="12"/>
      <c r="K407" s="12"/>
      <c r="L407" s="12" t="s">
        <v>44</v>
      </c>
      <c r="M407" s="90"/>
      <c r="N407" s="90"/>
      <c r="O407" s="10">
        <v>23000</v>
      </c>
      <c r="P407" s="12" t="s">
        <v>97</v>
      </c>
      <c r="Q407" s="10">
        <v>65</v>
      </c>
      <c r="R407" s="11">
        <v>471.7</v>
      </c>
      <c r="S407" s="11">
        <v>399.1</v>
      </c>
      <c r="T407" s="13">
        <v>-0.40489999999999998</v>
      </c>
      <c r="U407" s="13">
        <v>-0.27239999999999998</v>
      </c>
      <c r="V407" s="10">
        <v>0</v>
      </c>
      <c r="W407" s="14">
        <v>0</v>
      </c>
      <c r="X407" s="11">
        <v>-72.599999999999994</v>
      </c>
      <c r="Y407" s="14">
        <v>-3.07328905426514E-3</v>
      </c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 t="s">
        <v>96</v>
      </c>
      <c r="AV407" s="12"/>
    </row>
    <row r="408" spans="1:48" ht="18" customHeight="1" x14ac:dyDescent="0.25">
      <c r="A408" s="4">
        <v>204</v>
      </c>
      <c r="B408" s="4">
        <v>1</v>
      </c>
      <c r="C408" s="4">
        <v>204</v>
      </c>
      <c r="D408" s="85">
        <v>46188</v>
      </c>
      <c r="E408" s="85">
        <v>46195</v>
      </c>
      <c r="F408" s="88" t="b">
        <f t="shared" si="6"/>
        <v>1</v>
      </c>
      <c r="G408" s="85">
        <v>46196</v>
      </c>
      <c r="H408" s="5">
        <v>23853.9</v>
      </c>
      <c r="I408" s="5">
        <v>24102.9</v>
      </c>
      <c r="J408" s="4">
        <v>249</v>
      </c>
      <c r="K408" s="6">
        <v>1.043854464049904E-2</v>
      </c>
      <c r="L408" s="7" t="s">
        <v>34</v>
      </c>
      <c r="M408" s="91">
        <f>MROUND(H408,100)-100</f>
        <v>23800</v>
      </c>
      <c r="N408" s="91">
        <f>M408-O408</f>
        <v>0</v>
      </c>
      <c r="O408" s="4">
        <v>23800</v>
      </c>
      <c r="P408" s="7" t="s">
        <v>95</v>
      </c>
      <c r="Q408" s="4">
        <v>65</v>
      </c>
      <c r="R408" s="5">
        <v>245.85</v>
      </c>
      <c r="S408" s="5">
        <v>323.3</v>
      </c>
      <c r="T408" s="8">
        <v>-0.66969999999999996</v>
      </c>
      <c r="U408" s="8">
        <v>0.24840000000000001</v>
      </c>
      <c r="V408" s="5">
        <v>-77.45</v>
      </c>
      <c r="W408" s="6">
        <v>-3.2468485237214881E-3</v>
      </c>
      <c r="X408" s="4">
        <v>0</v>
      </c>
      <c r="Y408" s="6">
        <v>0</v>
      </c>
      <c r="Z408" s="5">
        <v>61549.65</v>
      </c>
      <c r="AA408" s="5">
        <v>62729.1</v>
      </c>
      <c r="AB408" s="5">
        <v>1179.45</v>
      </c>
      <c r="AC408" s="5">
        <v>1.9162999999999999</v>
      </c>
      <c r="AD408" s="4">
        <v>7</v>
      </c>
      <c r="AE408" s="5">
        <v>-0.11666700000000001</v>
      </c>
      <c r="AF408" s="5">
        <v>1107.6421</v>
      </c>
      <c r="AG408" s="5">
        <v>1.7996000000000001</v>
      </c>
      <c r="AH408" s="8">
        <v>-0.2465</v>
      </c>
      <c r="AI408" s="8">
        <v>2.0352000000000001</v>
      </c>
      <c r="AJ408" s="15">
        <v>931.09209999999996</v>
      </c>
      <c r="AK408" s="15">
        <v>1.0595000000000001</v>
      </c>
      <c r="AL408" s="5">
        <v>104.4833</v>
      </c>
      <c r="AM408" s="5">
        <v>104.4833</v>
      </c>
      <c r="AN408" s="4">
        <v>0</v>
      </c>
      <c r="AO408" s="4">
        <v>0</v>
      </c>
      <c r="AP408" s="8">
        <v>0.92530000000000001</v>
      </c>
      <c r="AQ408" s="8">
        <v>-1.5699999999999999E-2</v>
      </c>
      <c r="AR408" s="8">
        <v>-1.5699999999999999E-2</v>
      </c>
      <c r="AS408" s="5">
        <v>103.3717</v>
      </c>
      <c r="AT408" s="5">
        <v>-0.63829999999999998</v>
      </c>
      <c r="AU408" s="7" t="s">
        <v>96</v>
      </c>
      <c r="AV408" s="7"/>
    </row>
    <row r="409" spans="1:48" ht="18" customHeight="1" x14ac:dyDescent="0.25">
      <c r="A409" s="10">
        <v>204</v>
      </c>
      <c r="B409" s="10">
        <v>2</v>
      </c>
      <c r="C409" s="10">
        <v>204</v>
      </c>
      <c r="D409" s="86">
        <v>46188</v>
      </c>
      <c r="E409" s="86">
        <v>46195</v>
      </c>
      <c r="F409" s="88" t="b">
        <f t="shared" si="6"/>
        <v>1</v>
      </c>
      <c r="G409" s="86">
        <v>46385</v>
      </c>
      <c r="H409" s="11">
        <v>23853.9</v>
      </c>
      <c r="I409" s="11">
        <v>24102.9</v>
      </c>
      <c r="J409" s="12"/>
      <c r="K409" s="12"/>
      <c r="L409" s="12" t="s">
        <v>44</v>
      </c>
      <c r="M409" s="90"/>
      <c r="N409" s="90"/>
      <c r="O409" s="10">
        <v>23000</v>
      </c>
      <c r="P409" s="12" t="s">
        <v>97</v>
      </c>
      <c r="Q409" s="10">
        <v>65</v>
      </c>
      <c r="R409" s="11">
        <v>399.1</v>
      </c>
      <c r="S409" s="10">
        <v>300</v>
      </c>
      <c r="T409" s="13">
        <v>-0.44019999999999998</v>
      </c>
      <c r="U409" s="13">
        <v>-1.7600000000000001E-2</v>
      </c>
      <c r="V409" s="10">
        <v>0</v>
      </c>
      <c r="W409" s="14">
        <v>0</v>
      </c>
      <c r="X409" s="11">
        <v>-99.1</v>
      </c>
      <c r="Y409" s="14">
        <v>-4.1544569231865636E-3</v>
      </c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 t="s">
        <v>96</v>
      </c>
      <c r="AV409" s="12"/>
    </row>
    <row r="410" spans="1:48" ht="18" customHeight="1" x14ac:dyDescent="0.25">
      <c r="A410" s="4">
        <v>205</v>
      </c>
      <c r="B410" s="4">
        <v>1</v>
      </c>
      <c r="C410" s="4">
        <v>205</v>
      </c>
      <c r="D410" s="85">
        <v>46195</v>
      </c>
      <c r="E410" s="89">
        <v>46202</v>
      </c>
      <c r="F410" s="88" t="b">
        <f t="shared" si="6"/>
        <v>0</v>
      </c>
      <c r="G410" s="85">
        <v>46203</v>
      </c>
      <c r="H410" s="5">
        <v>24102.9</v>
      </c>
      <c r="I410" s="5">
        <v>23946.25</v>
      </c>
      <c r="J410" s="5">
        <v>-156.65</v>
      </c>
      <c r="K410" s="6">
        <v>-6.4992179364308858E-3</v>
      </c>
      <c r="L410" s="7" t="s">
        <v>34</v>
      </c>
      <c r="M410" s="91">
        <f>MROUND(H410,100)-100</f>
        <v>24000</v>
      </c>
      <c r="N410" s="91">
        <f>M410-O410</f>
        <v>0</v>
      </c>
      <c r="O410" s="4">
        <v>24000</v>
      </c>
      <c r="P410" s="7" t="s">
        <v>95</v>
      </c>
      <c r="Q410" s="4">
        <v>65</v>
      </c>
      <c r="R410" s="5">
        <v>231.7</v>
      </c>
      <c r="S410" s="5">
        <v>64.3</v>
      </c>
      <c r="T410" s="8">
        <v>-0.35310000000000002</v>
      </c>
      <c r="U410" s="8">
        <v>0.74490000000000001</v>
      </c>
      <c r="V410" s="5">
        <v>167.4</v>
      </c>
      <c r="W410" s="6">
        <v>6.9452223591352077E-3</v>
      </c>
      <c r="X410" s="4">
        <v>0</v>
      </c>
      <c r="Y410" s="6">
        <v>0</v>
      </c>
      <c r="Z410" s="5">
        <v>62729.1</v>
      </c>
      <c r="AA410" s="5">
        <v>61567.3</v>
      </c>
      <c r="AB410" s="5">
        <v>-1161.8</v>
      </c>
      <c r="AC410" s="5">
        <v>-1.8521000000000001</v>
      </c>
      <c r="AD410" s="4">
        <v>7</v>
      </c>
      <c r="AE410" s="5">
        <v>-0.11666700000000001</v>
      </c>
      <c r="AF410" s="5">
        <v>-1234.9838999999999</v>
      </c>
      <c r="AG410" s="5">
        <v>-1.9688000000000001</v>
      </c>
      <c r="AH410" s="8">
        <v>-2.5533999999999999</v>
      </c>
      <c r="AI410" s="8">
        <v>0.27100000000000002</v>
      </c>
      <c r="AJ410" s="9">
        <v>-1050.8339000000001</v>
      </c>
      <c r="AK410" s="9">
        <v>-1.2048000000000001</v>
      </c>
      <c r="AL410" s="5">
        <v>103.22450000000001</v>
      </c>
      <c r="AM410" s="5">
        <v>104.4833</v>
      </c>
      <c r="AN410" s="5">
        <v>-1.2587999999999999</v>
      </c>
      <c r="AO410" s="5">
        <v>-1.2048000000000001</v>
      </c>
      <c r="AP410" s="8">
        <v>-0.18579999999999999</v>
      </c>
      <c r="AQ410" s="8">
        <v>-1.4763999999999999</v>
      </c>
      <c r="AR410" s="8">
        <v>-1.4763999999999999</v>
      </c>
      <c r="AS410" s="5">
        <v>102.94070000000001</v>
      </c>
      <c r="AT410" s="5">
        <v>-1.4763999999999999</v>
      </c>
      <c r="AU410" s="7" t="s">
        <v>98</v>
      </c>
      <c r="AV410" s="7"/>
    </row>
    <row r="411" spans="1:48" ht="18" customHeight="1" x14ac:dyDescent="0.25">
      <c r="A411" s="10">
        <v>205</v>
      </c>
      <c r="B411" s="10">
        <v>2</v>
      </c>
      <c r="C411" s="10">
        <v>205</v>
      </c>
      <c r="D411" s="86">
        <v>46195</v>
      </c>
      <c r="E411" s="89">
        <v>46202</v>
      </c>
      <c r="F411" s="88" t="b">
        <f t="shared" si="6"/>
        <v>0</v>
      </c>
      <c r="G411" s="86">
        <v>46385</v>
      </c>
      <c r="H411" s="11">
        <v>24102.9</v>
      </c>
      <c r="I411" s="11">
        <v>23946.25</v>
      </c>
      <c r="J411" s="12"/>
      <c r="K411" s="12"/>
      <c r="L411" s="12" t="s">
        <v>44</v>
      </c>
      <c r="M411" s="90"/>
      <c r="N411" s="90"/>
      <c r="O411" s="10">
        <v>23000</v>
      </c>
      <c r="P411" s="12" t="s">
        <v>97</v>
      </c>
      <c r="Q411" s="10">
        <v>65</v>
      </c>
      <c r="R411" s="10">
        <v>300</v>
      </c>
      <c r="S411" s="11">
        <v>316.75</v>
      </c>
      <c r="T411" s="13">
        <v>-0.1037</v>
      </c>
      <c r="U411" s="13">
        <v>0.33210000000000001</v>
      </c>
      <c r="V411" s="10">
        <v>0</v>
      </c>
      <c r="W411" s="14">
        <v>0</v>
      </c>
      <c r="X411" s="11">
        <v>16.75</v>
      </c>
      <c r="Y411" s="14">
        <v>6.9493712374859456E-4</v>
      </c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 t="s">
        <v>98</v>
      </c>
      <c r="AV411" s="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workbookViewId="0"/>
  </sheetViews>
  <sheetFormatPr defaultRowHeight="15" x14ac:dyDescent="0.25"/>
  <cols>
    <col min="1" max="1" width="8" customWidth="1"/>
    <col min="2" max="13" width="9" customWidth="1"/>
    <col min="14" max="14" width="10" customWidth="1"/>
    <col min="15" max="15" width="18" customWidth="1"/>
    <col min="16" max="16" width="10" customWidth="1"/>
  </cols>
  <sheetData>
    <row r="1" spans="1:5" ht="26.1" customHeight="1" x14ac:dyDescent="0.25">
      <c r="A1" s="75" t="s">
        <v>104</v>
      </c>
      <c r="B1" s="68"/>
      <c r="C1" s="68"/>
      <c r="D1" s="68"/>
      <c r="E1" s="68"/>
    </row>
    <row r="2" spans="1:5" ht="15.95" customHeight="1" x14ac:dyDescent="0.25">
      <c r="A2" s="71" t="s">
        <v>105</v>
      </c>
      <c r="B2" s="68"/>
      <c r="C2" s="68"/>
      <c r="D2" s="68"/>
      <c r="E2" s="68"/>
    </row>
    <row r="4" spans="1:5" ht="20.100000000000001" customHeight="1" x14ac:dyDescent="0.25">
      <c r="A4" s="67" t="s">
        <v>106</v>
      </c>
      <c r="B4" s="68"/>
      <c r="C4" s="68"/>
      <c r="D4" s="68"/>
      <c r="E4" s="68"/>
    </row>
    <row r="5" spans="1:5" ht="18" customHeight="1" x14ac:dyDescent="0.25">
      <c r="A5" s="1" t="s">
        <v>107</v>
      </c>
      <c r="B5" s="16" t="s">
        <v>108</v>
      </c>
      <c r="D5" s="1" t="s">
        <v>109</v>
      </c>
      <c r="E5" s="17">
        <v>205</v>
      </c>
    </row>
    <row r="6" spans="1:5" ht="18" customHeight="1" x14ac:dyDescent="0.25">
      <c r="A6" s="18" t="s">
        <v>110</v>
      </c>
      <c r="B6" s="19" t="s">
        <v>111</v>
      </c>
      <c r="D6" s="18" t="s">
        <v>112</v>
      </c>
      <c r="E6" s="20" t="s">
        <v>113</v>
      </c>
    </row>
    <row r="7" spans="1:5" ht="18" customHeight="1" x14ac:dyDescent="0.25">
      <c r="A7" s="1" t="s">
        <v>114</v>
      </c>
      <c r="B7" s="16" t="s">
        <v>115</v>
      </c>
      <c r="D7" s="1" t="s">
        <v>116</v>
      </c>
      <c r="E7" s="21" t="s">
        <v>117</v>
      </c>
    </row>
    <row r="8" spans="1:5" ht="18" customHeight="1" x14ac:dyDescent="0.25">
      <c r="A8" s="18" t="s">
        <v>118</v>
      </c>
      <c r="B8" s="19" t="s">
        <v>119</v>
      </c>
      <c r="D8" s="18" t="s">
        <v>120</v>
      </c>
      <c r="E8" s="19" t="s">
        <v>121</v>
      </c>
    </row>
    <row r="9" spans="1:5" ht="18" customHeight="1" x14ac:dyDescent="0.25">
      <c r="A9" s="1" t="s">
        <v>122</v>
      </c>
      <c r="B9" s="16" t="s">
        <v>123</v>
      </c>
    </row>
    <row r="10" spans="1:5" ht="18" customHeight="1" x14ac:dyDescent="0.25">
      <c r="A10" s="1" t="s">
        <v>124</v>
      </c>
      <c r="B10" s="16" t="s">
        <v>125</v>
      </c>
      <c r="D10" s="1" t="s">
        <v>126</v>
      </c>
      <c r="E10" s="21" t="s">
        <v>127</v>
      </c>
    </row>
    <row r="11" spans="1:5" ht="18" customHeight="1" x14ac:dyDescent="0.25">
      <c r="A11" s="18" t="s">
        <v>128</v>
      </c>
      <c r="B11" s="19" t="s">
        <v>129</v>
      </c>
      <c r="D11" s="18" t="s">
        <v>130</v>
      </c>
      <c r="E11" s="19" t="s">
        <v>131</v>
      </c>
    </row>
    <row r="13" spans="1:5" ht="20.100000000000001" customHeight="1" x14ac:dyDescent="0.25">
      <c r="A13" s="3" t="s">
        <v>60</v>
      </c>
      <c r="B13" s="3" t="s">
        <v>132</v>
      </c>
      <c r="C13" s="3" t="s">
        <v>133</v>
      </c>
      <c r="D13" s="72" t="s">
        <v>134</v>
      </c>
      <c r="E13" s="68"/>
    </row>
    <row r="14" spans="1:5" ht="18" customHeight="1" x14ac:dyDescent="0.25">
      <c r="A14" s="1" t="s">
        <v>58</v>
      </c>
      <c r="B14" s="16" t="s">
        <v>135</v>
      </c>
      <c r="C14" s="16" t="s">
        <v>136</v>
      </c>
      <c r="D14" s="74">
        <v>1.032768129801316</v>
      </c>
      <c r="E14" s="68"/>
    </row>
    <row r="15" spans="1:5" ht="18" customHeight="1" x14ac:dyDescent="0.25">
      <c r="A15" s="1" t="s">
        <v>68</v>
      </c>
      <c r="B15" s="21" t="s">
        <v>137</v>
      </c>
      <c r="C15" s="21" t="s">
        <v>138</v>
      </c>
    </row>
    <row r="16" spans="1:5" ht="18" customHeight="1" x14ac:dyDescent="0.25">
      <c r="A16" s="1" t="s">
        <v>70</v>
      </c>
      <c r="B16" s="21" t="s">
        <v>139</v>
      </c>
      <c r="C16" s="21" t="s">
        <v>140</v>
      </c>
    </row>
    <row r="17" spans="1:16" ht="18" customHeight="1" x14ac:dyDescent="0.25">
      <c r="A17" s="1" t="s">
        <v>141</v>
      </c>
      <c r="B17" s="21" t="s">
        <v>142</v>
      </c>
      <c r="C17" s="21" t="s">
        <v>143</v>
      </c>
    </row>
    <row r="18" spans="1:16" ht="18" customHeight="1" x14ac:dyDescent="0.25">
      <c r="A18" s="1" t="s">
        <v>144</v>
      </c>
      <c r="B18" s="16" t="s">
        <v>145</v>
      </c>
      <c r="C18" s="16" t="s">
        <v>146</v>
      </c>
    </row>
    <row r="19" spans="1:16" ht="18" customHeight="1" x14ac:dyDescent="0.25">
      <c r="A19" s="1" t="s">
        <v>147</v>
      </c>
      <c r="B19" s="16" t="s">
        <v>148</v>
      </c>
      <c r="C19" s="16" t="s">
        <v>108</v>
      </c>
    </row>
    <row r="20" spans="1:16" ht="18" customHeight="1" x14ac:dyDescent="0.25">
      <c r="A20" s="1" t="s">
        <v>149</v>
      </c>
      <c r="B20" s="16" t="s">
        <v>148</v>
      </c>
      <c r="C20" s="16" t="s">
        <v>108</v>
      </c>
    </row>
    <row r="22" spans="1:16" ht="20.100000000000001" customHeight="1" x14ac:dyDescent="0.25">
      <c r="A22" s="67" t="s">
        <v>150</v>
      </c>
      <c r="B22" s="68"/>
      <c r="C22" s="68"/>
      <c r="D22" s="68"/>
      <c r="E22" s="68"/>
    </row>
    <row r="23" spans="1:16" ht="18" customHeight="1" x14ac:dyDescent="0.25">
      <c r="A23" s="1" t="s">
        <v>151</v>
      </c>
      <c r="B23" s="21" t="s">
        <v>152</v>
      </c>
      <c r="D23" s="1" t="s">
        <v>153</v>
      </c>
      <c r="E23" s="21" t="s">
        <v>154</v>
      </c>
    </row>
    <row r="24" spans="1:16" ht="18" customHeight="1" x14ac:dyDescent="0.25">
      <c r="A24" s="70" t="s">
        <v>155</v>
      </c>
      <c r="B24" s="68"/>
      <c r="C24" s="68"/>
      <c r="D24" s="68"/>
      <c r="E24" s="68"/>
    </row>
    <row r="25" spans="1:16" ht="18" customHeight="1" x14ac:dyDescent="0.25">
      <c r="A25" s="18" t="s">
        <v>156</v>
      </c>
      <c r="B25" s="19" t="s">
        <v>157</v>
      </c>
    </row>
    <row r="27" spans="1:16" ht="20.100000000000001" customHeight="1" x14ac:dyDescent="0.25">
      <c r="A27" s="67" t="s">
        <v>158</v>
      </c>
      <c r="B27" s="68"/>
      <c r="C27" s="68"/>
      <c r="D27" s="68"/>
      <c r="E27" s="68"/>
    </row>
    <row r="28" spans="1:16" ht="18" customHeight="1" x14ac:dyDescent="0.25">
      <c r="A28" s="1" t="s">
        <v>159</v>
      </c>
      <c r="B28" s="16" t="s">
        <v>160</v>
      </c>
      <c r="D28" s="1" t="s">
        <v>161</v>
      </c>
      <c r="E28" s="21" t="s">
        <v>162</v>
      </c>
    </row>
    <row r="30" spans="1:16" ht="20.100000000000001" customHeight="1" x14ac:dyDescent="0.25">
      <c r="A30" s="67" t="s">
        <v>163</v>
      </c>
      <c r="B30" s="68"/>
      <c r="C30" s="68"/>
      <c r="D30" s="68"/>
      <c r="E30" s="68"/>
    </row>
    <row r="31" spans="1:16" ht="20.100000000000001" customHeight="1" x14ac:dyDescent="0.25">
      <c r="A31" s="3" t="s">
        <v>164</v>
      </c>
      <c r="B31" s="3" t="s">
        <v>165</v>
      </c>
      <c r="C31" s="3" t="s">
        <v>166</v>
      </c>
      <c r="D31" s="3" t="s">
        <v>167</v>
      </c>
      <c r="E31" s="3" t="s">
        <v>168</v>
      </c>
      <c r="F31" s="3" t="s">
        <v>169</v>
      </c>
      <c r="G31" s="3" t="s">
        <v>170</v>
      </c>
      <c r="H31" s="3" t="s">
        <v>171</v>
      </c>
      <c r="I31" s="3" t="s">
        <v>172</v>
      </c>
      <c r="J31" s="3" t="s">
        <v>173</v>
      </c>
      <c r="K31" s="3" t="s">
        <v>174</v>
      </c>
      <c r="L31" s="3" t="s">
        <v>175</v>
      </c>
      <c r="M31" s="3" t="s">
        <v>176</v>
      </c>
      <c r="N31" s="3" t="s">
        <v>177</v>
      </c>
      <c r="O31" s="3" t="s">
        <v>178</v>
      </c>
      <c r="P31" s="3" t="s">
        <v>179</v>
      </c>
    </row>
    <row r="32" spans="1:16" ht="18" customHeight="1" x14ac:dyDescent="0.25">
      <c r="A32" s="23" t="s">
        <v>180</v>
      </c>
      <c r="B32" s="24">
        <v>0</v>
      </c>
      <c r="C32" s="24">
        <v>0</v>
      </c>
      <c r="D32" s="24">
        <v>0</v>
      </c>
      <c r="E32" s="22">
        <v>-797.48</v>
      </c>
      <c r="F32" s="22">
        <v>-51.03</v>
      </c>
      <c r="G32" s="24">
        <v>0</v>
      </c>
      <c r="H32" s="24">
        <v>0</v>
      </c>
      <c r="I32" s="24">
        <v>0</v>
      </c>
      <c r="J32" s="24">
        <v>0</v>
      </c>
      <c r="K32" s="25">
        <v>309.36</v>
      </c>
      <c r="L32" s="25">
        <v>133.47999999999999</v>
      </c>
      <c r="M32" s="22">
        <v>-325.63</v>
      </c>
      <c r="N32" s="22">
        <v>-731.29</v>
      </c>
      <c r="O32" s="26">
        <v>-4.3947000000000003</v>
      </c>
      <c r="P32" s="24">
        <v>-0.62</v>
      </c>
    </row>
    <row r="33" spans="1:16" ht="18" customHeight="1" x14ac:dyDescent="0.25">
      <c r="A33" s="23" t="s">
        <v>181</v>
      </c>
      <c r="B33" s="25">
        <v>1520.98</v>
      </c>
      <c r="C33" s="22">
        <v>-498.78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5">
        <v>1022.2</v>
      </c>
      <c r="O33" s="28">
        <v>-1.1108</v>
      </c>
      <c r="P33" s="27">
        <v>2.0499999999999998</v>
      </c>
    </row>
    <row r="34" spans="1:16" ht="18" customHeight="1" x14ac:dyDescent="0.25">
      <c r="A34" s="23" t="s">
        <v>182</v>
      </c>
      <c r="B34" s="24">
        <v>0</v>
      </c>
      <c r="C34" s="24">
        <v>0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5">
        <v>1246.57</v>
      </c>
      <c r="J34" s="22">
        <v>-682.17</v>
      </c>
      <c r="K34" s="25">
        <v>38.450000000000003</v>
      </c>
      <c r="L34" s="22">
        <v>-172.69</v>
      </c>
      <c r="M34" s="22">
        <v>-1096.05</v>
      </c>
      <c r="N34" s="22">
        <v>-665.88</v>
      </c>
      <c r="O34" s="26">
        <v>-8.1454000000000004</v>
      </c>
      <c r="P34" s="24">
        <v>-0.27</v>
      </c>
    </row>
    <row r="35" spans="1:16" ht="18" customHeight="1" x14ac:dyDescent="0.25">
      <c r="A35" s="23" t="s">
        <v>183</v>
      </c>
      <c r="B35" s="27">
        <v>0</v>
      </c>
      <c r="C35" s="27">
        <v>0</v>
      </c>
      <c r="D35" s="27">
        <v>0</v>
      </c>
      <c r="E35" s="27">
        <v>0</v>
      </c>
      <c r="F35" s="25">
        <v>1422.82</v>
      </c>
      <c r="G35" s="25">
        <v>1353.44</v>
      </c>
      <c r="H35" s="25">
        <v>631.62</v>
      </c>
      <c r="I35" s="25">
        <v>2375.71</v>
      </c>
      <c r="J35" s="25">
        <v>985.41</v>
      </c>
      <c r="K35" s="22">
        <v>-1826.62</v>
      </c>
      <c r="L35" s="25">
        <v>2998.96</v>
      </c>
      <c r="M35" s="25">
        <v>1244.71</v>
      </c>
      <c r="N35" s="25">
        <v>9186.0499999999993</v>
      </c>
      <c r="O35" s="28">
        <v>-3.6680999999999999</v>
      </c>
      <c r="P35" s="27">
        <v>4.3</v>
      </c>
    </row>
    <row r="36" spans="1:16" ht="18" customHeight="1" x14ac:dyDescent="0.25">
      <c r="A36" s="23" t="s">
        <v>184</v>
      </c>
      <c r="B36" s="25">
        <v>2903.57</v>
      </c>
      <c r="C36" s="22">
        <v>-564.71</v>
      </c>
      <c r="D36" s="22">
        <v>-620.12</v>
      </c>
      <c r="E36" s="24">
        <v>0</v>
      </c>
      <c r="F36" s="25">
        <v>1263.78</v>
      </c>
      <c r="G36" s="25">
        <v>1904.07</v>
      </c>
      <c r="H36" s="25">
        <v>2744.52</v>
      </c>
      <c r="I36" s="22">
        <v>-299</v>
      </c>
      <c r="J36" s="25">
        <v>264.5</v>
      </c>
      <c r="K36" s="22">
        <v>-3434.4</v>
      </c>
      <c r="L36" s="24">
        <v>0</v>
      </c>
      <c r="M36" s="24">
        <v>0</v>
      </c>
      <c r="N36" s="25">
        <v>4162.2</v>
      </c>
      <c r="O36" s="26">
        <v>-7.1040000000000001</v>
      </c>
      <c r="P36" s="24">
        <v>1.1100000000000001</v>
      </c>
    </row>
    <row r="37" spans="1:16" ht="18" customHeight="1" x14ac:dyDescent="0.25">
      <c r="A37" s="23" t="s">
        <v>185</v>
      </c>
      <c r="B37" s="27">
        <v>0</v>
      </c>
      <c r="C37" s="27">
        <v>0</v>
      </c>
      <c r="D37" s="27">
        <v>0</v>
      </c>
      <c r="E37" s="25">
        <v>1968.68</v>
      </c>
      <c r="F37" s="25">
        <v>2225.31</v>
      </c>
      <c r="G37" s="25">
        <v>1231.45</v>
      </c>
      <c r="H37" s="22">
        <v>-840.48</v>
      </c>
      <c r="I37" s="22">
        <v>-1276.1199999999999</v>
      </c>
      <c r="J37" s="22">
        <v>-477.45</v>
      </c>
      <c r="K37" s="25">
        <v>1707.67</v>
      </c>
      <c r="L37" s="25">
        <v>233.6</v>
      </c>
      <c r="M37" s="22">
        <v>-122.26</v>
      </c>
      <c r="N37" s="25">
        <v>4650.3900000000003</v>
      </c>
      <c r="O37" s="28">
        <v>-4.2790999999999997</v>
      </c>
      <c r="P37" s="27">
        <v>0.99</v>
      </c>
    </row>
    <row r="38" spans="1:16" ht="18" customHeight="1" x14ac:dyDescent="0.25">
      <c r="A38" s="23" t="s">
        <v>186</v>
      </c>
      <c r="B38" s="22">
        <v>-2293.91</v>
      </c>
      <c r="C38" s="24">
        <v>0</v>
      </c>
      <c r="D38" s="24">
        <v>0</v>
      </c>
      <c r="E38" s="24">
        <v>0</v>
      </c>
      <c r="F38" s="25">
        <v>2113.19</v>
      </c>
      <c r="G38" s="22">
        <v>-637.77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2">
        <v>-818.5</v>
      </c>
      <c r="O38" s="26">
        <v>-4.5393999999999997</v>
      </c>
      <c r="P38" s="24">
        <v>-0.22</v>
      </c>
    </row>
    <row r="40" spans="1:16" ht="20.100000000000001" customHeight="1" x14ac:dyDescent="0.25">
      <c r="A40" s="67" t="s">
        <v>187</v>
      </c>
      <c r="B40" s="68"/>
      <c r="C40" s="68"/>
      <c r="D40" s="68"/>
      <c r="E40" s="68"/>
    </row>
    <row r="41" spans="1:16" ht="20.100000000000001" customHeight="1" x14ac:dyDescent="0.25">
      <c r="A41" s="3" t="s">
        <v>164</v>
      </c>
      <c r="B41" s="3" t="s">
        <v>165</v>
      </c>
      <c r="C41" s="3" t="s">
        <v>166</v>
      </c>
      <c r="D41" s="3" t="s">
        <v>167</v>
      </c>
      <c r="E41" s="3" t="s">
        <v>168</v>
      </c>
      <c r="F41" s="3" t="s">
        <v>169</v>
      </c>
      <c r="G41" s="3" t="s">
        <v>170</v>
      </c>
      <c r="H41" s="3" t="s">
        <v>171</v>
      </c>
      <c r="I41" s="3" t="s">
        <v>172</v>
      </c>
      <c r="J41" s="3" t="s">
        <v>173</v>
      </c>
      <c r="K41" s="3" t="s">
        <v>174</v>
      </c>
      <c r="L41" s="3" t="s">
        <v>175</v>
      </c>
      <c r="M41" s="3" t="s">
        <v>176</v>
      </c>
      <c r="N41" s="3" t="s">
        <v>177</v>
      </c>
      <c r="O41" s="3" t="s">
        <v>178</v>
      </c>
      <c r="P41" s="3" t="s">
        <v>179</v>
      </c>
    </row>
    <row r="42" spans="1:16" ht="18" customHeight="1" x14ac:dyDescent="0.25">
      <c r="A42" s="23" t="s">
        <v>180</v>
      </c>
      <c r="B42" s="26">
        <v>0</v>
      </c>
      <c r="C42" s="26">
        <v>0</v>
      </c>
      <c r="D42" s="26">
        <v>0</v>
      </c>
      <c r="E42" s="29">
        <v>-4.4499999999999998E-2</v>
      </c>
      <c r="F42" s="30">
        <v>1.2E-2</v>
      </c>
      <c r="G42" s="26">
        <v>0</v>
      </c>
      <c r="H42" s="26">
        <v>0</v>
      </c>
      <c r="I42" s="26">
        <v>0</v>
      </c>
      <c r="J42" s="26">
        <v>0</v>
      </c>
      <c r="K42" s="30">
        <v>1.5800000000000002E-2</v>
      </c>
      <c r="L42" s="30">
        <v>1.9E-3</v>
      </c>
      <c r="M42" s="29">
        <v>-2.0500000000000001E-2</v>
      </c>
      <c r="N42" s="29">
        <v>-3.5200000000000002E-2</v>
      </c>
      <c r="O42" s="26">
        <v>-4.3947000000000003</v>
      </c>
      <c r="P42" s="24">
        <v>-0.01</v>
      </c>
    </row>
    <row r="43" spans="1:16" ht="18" customHeight="1" x14ac:dyDescent="0.25">
      <c r="A43" s="23" t="s">
        <v>181</v>
      </c>
      <c r="B43" s="30">
        <v>9.2100000000000015E-2</v>
      </c>
      <c r="C43" s="30">
        <v>2.0999999999999999E-3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30">
        <v>9.4200000000000006E-2</v>
      </c>
      <c r="O43" s="28">
        <v>-1.1108</v>
      </c>
      <c r="P43" s="27">
        <v>0.08</v>
      </c>
    </row>
    <row r="44" spans="1:16" ht="18" customHeight="1" x14ac:dyDescent="0.25">
      <c r="A44" s="23" t="s">
        <v>182</v>
      </c>
      <c r="B44" s="26">
        <v>0</v>
      </c>
      <c r="C44" s="26">
        <v>0</v>
      </c>
      <c r="D44" s="26">
        <v>0</v>
      </c>
      <c r="E44" s="26">
        <v>0</v>
      </c>
      <c r="F44" s="26">
        <v>0</v>
      </c>
      <c r="G44" s="26">
        <v>0</v>
      </c>
      <c r="H44" s="26">
        <v>0</v>
      </c>
      <c r="I44" s="30">
        <v>3.0499999999999999E-2</v>
      </c>
      <c r="J44" s="30">
        <v>4.0000000000000002E-4</v>
      </c>
      <c r="K44" s="29">
        <v>-2.7799999999999998E-2</v>
      </c>
      <c r="L44" s="29">
        <v>-1.95E-2</v>
      </c>
      <c r="M44" s="29">
        <v>-1.3100000000000001E-2</v>
      </c>
      <c r="N44" s="29">
        <v>-2.9499999999999998E-2</v>
      </c>
      <c r="O44" s="26">
        <v>-8.1454000000000004</v>
      </c>
      <c r="P44" s="24">
        <v>0</v>
      </c>
    </row>
    <row r="45" spans="1:16" ht="18" customHeight="1" x14ac:dyDescent="0.25">
      <c r="A45" s="23" t="s">
        <v>183</v>
      </c>
      <c r="B45" s="28">
        <v>0</v>
      </c>
      <c r="C45" s="28">
        <v>0</v>
      </c>
      <c r="D45" s="28">
        <v>0</v>
      </c>
      <c r="E45" s="28">
        <v>0</v>
      </c>
      <c r="F45" s="30">
        <v>3.4799999999999998E-2</v>
      </c>
      <c r="G45" s="30">
        <v>3.9E-2</v>
      </c>
      <c r="H45" s="29">
        <v>-5.7999999999999996E-3</v>
      </c>
      <c r="I45" s="30">
        <v>7.6999999999999999E-2</v>
      </c>
      <c r="J45" s="30">
        <v>1.4500000000000001E-2</v>
      </c>
      <c r="K45" s="29">
        <v>-3.4000000000000002E-2</v>
      </c>
      <c r="L45" s="30">
        <v>5.28E-2</v>
      </c>
      <c r="M45" s="29">
        <v>-8.6E-3</v>
      </c>
      <c r="N45" s="30">
        <v>0.16969999999999999</v>
      </c>
      <c r="O45" s="28">
        <v>-3.6680999999999999</v>
      </c>
      <c r="P45" s="27">
        <v>0.05</v>
      </c>
    </row>
    <row r="46" spans="1:16" ht="18" customHeight="1" x14ac:dyDescent="0.25">
      <c r="A46" s="23" t="s">
        <v>184</v>
      </c>
      <c r="B46" s="30">
        <v>6.6299999999999998E-2</v>
      </c>
      <c r="C46" s="29">
        <v>-7.8000000000000014E-3</v>
      </c>
      <c r="D46" s="29">
        <v>-1.9599999999999999E-2</v>
      </c>
      <c r="E46" s="26">
        <v>0</v>
      </c>
      <c r="F46" s="30">
        <v>3.1199999999999999E-2</v>
      </c>
      <c r="G46" s="30">
        <v>1.2999999999999999E-2</v>
      </c>
      <c r="H46" s="30">
        <v>3.2800000000000003E-2</v>
      </c>
      <c r="I46" s="29">
        <v>-9.0000000000000011E-3</v>
      </c>
      <c r="J46" s="29">
        <v>-1.3100000000000001E-2</v>
      </c>
      <c r="K46" s="29">
        <v>-1.17E-2</v>
      </c>
      <c r="L46" s="26">
        <v>0</v>
      </c>
      <c r="M46" s="26">
        <v>0</v>
      </c>
      <c r="N46" s="30">
        <v>8.199999999999999E-2</v>
      </c>
      <c r="O46" s="26">
        <v>-7.1040000000000001</v>
      </c>
      <c r="P46" s="24">
        <v>0.01</v>
      </c>
    </row>
    <row r="47" spans="1:16" ht="18" customHeight="1" x14ac:dyDescent="0.25">
      <c r="A47" s="23" t="s">
        <v>185</v>
      </c>
      <c r="B47" s="28">
        <v>0</v>
      </c>
      <c r="C47" s="28">
        <v>0</v>
      </c>
      <c r="D47" s="28">
        <v>0</v>
      </c>
      <c r="E47" s="30">
        <v>2.2200000000000001E-2</v>
      </c>
      <c r="F47" s="30">
        <v>3.85E-2</v>
      </c>
      <c r="G47" s="30">
        <v>5.1999999999999998E-3</v>
      </c>
      <c r="H47" s="30">
        <v>6.7999999999999996E-3</v>
      </c>
      <c r="I47" s="29">
        <v>-1.83E-2</v>
      </c>
      <c r="J47" s="29">
        <v>-5.7999999999999996E-3</v>
      </c>
      <c r="K47" s="30">
        <v>1.1000000000000001E-3</v>
      </c>
      <c r="L47" s="30">
        <v>8.8000000000000005E-3</v>
      </c>
      <c r="M47" s="30">
        <v>5.3E-3</v>
      </c>
      <c r="N47" s="30">
        <v>6.3700000000000007E-2</v>
      </c>
      <c r="O47" s="28">
        <v>-4.2790999999999997</v>
      </c>
      <c r="P47" s="27">
        <v>0.01</v>
      </c>
    </row>
    <row r="48" spans="1:16" ht="18" customHeight="1" x14ac:dyDescent="0.25">
      <c r="A48" s="23" t="s">
        <v>186</v>
      </c>
      <c r="B48" s="29">
        <v>-0.02</v>
      </c>
      <c r="C48" s="26">
        <v>0</v>
      </c>
      <c r="D48" s="26">
        <v>0</v>
      </c>
      <c r="E48" s="26">
        <v>0</v>
      </c>
      <c r="F48" s="30">
        <v>3.9600000000000003E-2</v>
      </c>
      <c r="G48" s="29">
        <v>-7.1000000000000004E-3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30">
        <v>1.2500000000000001E-2</v>
      </c>
      <c r="O48" s="26">
        <v>-4.5393999999999997</v>
      </c>
      <c r="P48" s="24">
        <v>0</v>
      </c>
    </row>
    <row r="50" spans="1:5" ht="20.100000000000001" customHeight="1" x14ac:dyDescent="0.25">
      <c r="A50" s="67" t="s">
        <v>188</v>
      </c>
      <c r="B50" s="68"/>
      <c r="C50" s="68"/>
      <c r="D50" s="68"/>
      <c r="E50" s="68"/>
    </row>
    <row r="51" spans="1:5" ht="18" customHeight="1" x14ac:dyDescent="0.25">
      <c r="A51" s="1" t="s">
        <v>189</v>
      </c>
      <c r="B51" s="21" t="s">
        <v>152</v>
      </c>
      <c r="D51" s="1" t="s">
        <v>190</v>
      </c>
      <c r="E51" s="21" t="s">
        <v>191</v>
      </c>
    </row>
    <row r="52" spans="1:5" ht="18" customHeight="1" x14ac:dyDescent="0.25">
      <c r="A52" s="1" t="s">
        <v>192</v>
      </c>
      <c r="B52" s="21" t="s">
        <v>193</v>
      </c>
    </row>
    <row r="53" spans="1:5" ht="18" customHeight="1" x14ac:dyDescent="0.25">
      <c r="A53" s="18" t="s">
        <v>194</v>
      </c>
      <c r="B53" s="19" t="s">
        <v>157</v>
      </c>
      <c r="D53" s="18" t="s">
        <v>195</v>
      </c>
      <c r="E53" s="19" t="s">
        <v>157</v>
      </c>
    </row>
    <row r="55" spans="1:5" ht="18" customHeight="1" x14ac:dyDescent="0.25">
      <c r="A55" s="1" t="s">
        <v>196</v>
      </c>
      <c r="B55" s="16" t="s">
        <v>197</v>
      </c>
      <c r="D55" s="1" t="s">
        <v>198</v>
      </c>
      <c r="E55" s="21" t="s">
        <v>199</v>
      </c>
    </row>
    <row r="56" spans="1:5" ht="18" customHeight="1" x14ac:dyDescent="0.25">
      <c r="A56" s="18" t="s">
        <v>200</v>
      </c>
      <c r="B56" s="20" t="s">
        <v>201</v>
      </c>
      <c r="D56" s="18" t="s">
        <v>202</v>
      </c>
      <c r="E56" s="20" t="s">
        <v>203</v>
      </c>
    </row>
    <row r="57" spans="1:5" ht="18" customHeight="1" x14ac:dyDescent="0.25">
      <c r="A57" s="1" t="s">
        <v>204</v>
      </c>
      <c r="B57" s="16" t="s">
        <v>205</v>
      </c>
      <c r="D57" s="1" t="s">
        <v>206</v>
      </c>
      <c r="E57" s="21" t="s">
        <v>207</v>
      </c>
    </row>
    <row r="58" spans="1:5" ht="18" customHeight="1" x14ac:dyDescent="0.25">
      <c r="A58" s="18" t="s">
        <v>208</v>
      </c>
      <c r="B58" s="20" t="s">
        <v>201</v>
      </c>
      <c r="D58" s="18" t="s">
        <v>209</v>
      </c>
      <c r="E58" s="20" t="s">
        <v>210</v>
      </c>
    </row>
    <row r="59" spans="1:5" ht="18" customHeight="1" x14ac:dyDescent="0.25">
      <c r="A59" s="1" t="s">
        <v>211</v>
      </c>
      <c r="B59" s="16" t="s">
        <v>212</v>
      </c>
      <c r="D59" s="1" t="s">
        <v>213</v>
      </c>
      <c r="E59" s="21" t="s">
        <v>214</v>
      </c>
    </row>
    <row r="60" spans="1:5" ht="18" customHeight="1" x14ac:dyDescent="0.25">
      <c r="A60" s="18" t="s">
        <v>215</v>
      </c>
      <c r="B60" s="20" t="s">
        <v>216</v>
      </c>
      <c r="D60" s="18" t="s">
        <v>217</v>
      </c>
      <c r="E60" s="20" t="s">
        <v>218</v>
      </c>
    </row>
    <row r="62" spans="1:5" ht="18" customHeight="1" x14ac:dyDescent="0.25">
      <c r="A62" s="73" t="s">
        <v>219</v>
      </c>
      <c r="B62" s="68"/>
      <c r="C62" s="68"/>
      <c r="D62" s="68"/>
      <c r="E62" s="31" t="s">
        <v>220</v>
      </c>
    </row>
    <row r="63" spans="1:5" ht="18" customHeight="1" x14ac:dyDescent="0.25">
      <c r="A63" s="76" t="s">
        <v>221</v>
      </c>
      <c r="B63" s="68"/>
      <c r="C63" s="68"/>
      <c r="D63" s="68"/>
      <c r="E63" s="32" t="s">
        <v>222</v>
      </c>
    </row>
    <row r="64" spans="1:5" ht="18" customHeight="1" x14ac:dyDescent="0.25">
      <c r="A64" s="73" t="s">
        <v>223</v>
      </c>
      <c r="B64" s="68"/>
      <c r="C64" s="68"/>
      <c r="D64" s="68"/>
      <c r="E64" s="31" t="s">
        <v>224</v>
      </c>
    </row>
  </sheetData>
  <mergeCells count="14">
    <mergeCell ref="A62:D62"/>
    <mergeCell ref="A64:D64"/>
    <mergeCell ref="D14:E14"/>
    <mergeCell ref="A1:E1"/>
    <mergeCell ref="A63:D63"/>
    <mergeCell ref="A22:E22"/>
    <mergeCell ref="A40:E40"/>
    <mergeCell ref="A27:E27"/>
    <mergeCell ref="A30:E30"/>
    <mergeCell ref="A50:E50"/>
    <mergeCell ref="A4:E4"/>
    <mergeCell ref="A24:E24"/>
    <mergeCell ref="A2:E2"/>
    <mergeCell ref="D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9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9" width="12" customWidth="1"/>
    <col min="11" max="15" width="12" customWidth="1"/>
    <col min="17" max="24" width="12" customWidth="1"/>
    <col min="26" max="30" width="12" customWidth="1"/>
    <col min="32" max="39" width="12" customWidth="1"/>
    <col min="41" max="45" width="12" customWidth="1"/>
  </cols>
  <sheetData>
    <row r="1" spans="1:45" x14ac:dyDescent="0.25">
      <c r="A1" s="78" t="s">
        <v>225</v>
      </c>
      <c r="B1" s="68"/>
      <c r="C1" s="68"/>
      <c r="D1" s="68"/>
      <c r="E1" s="68"/>
      <c r="F1" s="68"/>
      <c r="G1" s="68"/>
      <c r="H1" s="68"/>
      <c r="I1" s="68"/>
      <c r="Q1" s="78" t="s">
        <v>226</v>
      </c>
      <c r="R1" s="68"/>
      <c r="S1" s="68"/>
      <c r="T1" s="68"/>
      <c r="U1" s="68"/>
      <c r="V1" s="68"/>
      <c r="W1" s="68"/>
      <c r="X1" s="68"/>
      <c r="AF1" s="78" t="s">
        <v>227</v>
      </c>
      <c r="AG1" s="68"/>
      <c r="AH1" s="68"/>
      <c r="AI1" s="68"/>
      <c r="AJ1" s="68"/>
      <c r="AK1" s="68"/>
      <c r="AL1" s="68"/>
      <c r="AM1" s="68"/>
    </row>
    <row r="2" spans="1:45" x14ac:dyDescent="0.25">
      <c r="A2" s="77" t="s">
        <v>228</v>
      </c>
      <c r="B2" s="68"/>
      <c r="C2" s="68"/>
      <c r="D2" s="68"/>
      <c r="E2" s="68"/>
      <c r="F2" s="68"/>
      <c r="G2" s="68"/>
      <c r="H2" s="68"/>
      <c r="I2" s="68"/>
      <c r="Q2" s="77" t="s">
        <v>228</v>
      </c>
      <c r="R2" s="68"/>
      <c r="S2" s="68"/>
      <c r="T2" s="68"/>
      <c r="U2" s="68"/>
      <c r="V2" s="68"/>
      <c r="W2" s="68"/>
      <c r="X2" s="68"/>
      <c r="AF2" s="77" t="s">
        <v>228</v>
      </c>
      <c r="AG2" s="68"/>
      <c r="AH2" s="68"/>
      <c r="AI2" s="68"/>
      <c r="AJ2" s="68"/>
      <c r="AK2" s="68"/>
      <c r="AL2" s="68"/>
      <c r="AM2" s="68"/>
    </row>
    <row r="4" spans="1:45" x14ac:dyDescent="0.25">
      <c r="A4" s="3" t="s">
        <v>54</v>
      </c>
      <c r="B4" s="3" t="s">
        <v>55</v>
      </c>
      <c r="C4" s="3" t="s">
        <v>79</v>
      </c>
      <c r="D4" s="3" t="s">
        <v>229</v>
      </c>
      <c r="E4" s="3" t="s">
        <v>230</v>
      </c>
      <c r="F4" s="3" t="s">
        <v>231</v>
      </c>
      <c r="G4" s="3" t="s">
        <v>232</v>
      </c>
      <c r="H4" s="3" t="s">
        <v>233</v>
      </c>
      <c r="I4" s="3" t="s">
        <v>234</v>
      </c>
      <c r="K4" s="33" t="s">
        <v>235</v>
      </c>
      <c r="L4" s="33" t="s">
        <v>236</v>
      </c>
      <c r="M4" s="33" t="s">
        <v>237</v>
      </c>
      <c r="N4" s="33" t="s">
        <v>238</v>
      </c>
      <c r="O4" s="33" t="s">
        <v>234</v>
      </c>
      <c r="Q4" s="3" t="s">
        <v>239</v>
      </c>
      <c r="R4" s="3" t="s">
        <v>240</v>
      </c>
      <c r="S4" s="3" t="s">
        <v>230</v>
      </c>
      <c r="T4" s="3" t="s">
        <v>241</v>
      </c>
      <c r="U4" s="3" t="s">
        <v>242</v>
      </c>
      <c r="V4" s="3" t="s">
        <v>66</v>
      </c>
      <c r="W4" s="3" t="s">
        <v>233</v>
      </c>
      <c r="X4" s="3" t="s">
        <v>243</v>
      </c>
      <c r="Z4" s="33" t="s">
        <v>235</v>
      </c>
      <c r="AA4" s="33" t="s">
        <v>236</v>
      </c>
      <c r="AB4" s="33" t="s">
        <v>237</v>
      </c>
      <c r="AC4" s="33" t="s">
        <v>239</v>
      </c>
      <c r="AD4" s="33" t="s">
        <v>234</v>
      </c>
      <c r="AF4" s="3" t="s">
        <v>239</v>
      </c>
      <c r="AG4" s="3" t="s">
        <v>240</v>
      </c>
      <c r="AH4" s="3" t="s">
        <v>230</v>
      </c>
      <c r="AI4" s="3" t="s">
        <v>241</v>
      </c>
      <c r="AJ4" s="3" t="s">
        <v>242</v>
      </c>
      <c r="AK4" s="3" t="s">
        <v>66</v>
      </c>
      <c r="AL4" s="3" t="s">
        <v>233</v>
      </c>
      <c r="AM4" s="3" t="s">
        <v>243</v>
      </c>
      <c r="AO4" s="33" t="s">
        <v>235</v>
      </c>
      <c r="AP4" s="33" t="s">
        <v>236</v>
      </c>
      <c r="AQ4" s="33" t="s">
        <v>237</v>
      </c>
      <c r="AR4" s="33" t="s">
        <v>239</v>
      </c>
      <c r="AS4" s="33" t="s">
        <v>234</v>
      </c>
    </row>
    <row r="5" spans="1:45" x14ac:dyDescent="0.25">
      <c r="A5" s="34" t="s">
        <v>244</v>
      </c>
      <c r="B5" s="34" t="s">
        <v>245</v>
      </c>
      <c r="C5" s="34">
        <v>-0.75319999999999998</v>
      </c>
      <c r="D5" s="34">
        <v>99.246800000000007</v>
      </c>
      <c r="E5" s="34">
        <v>100</v>
      </c>
      <c r="F5" s="34">
        <v>18258.5</v>
      </c>
      <c r="G5" s="35">
        <v>-0.90410000000000001</v>
      </c>
      <c r="H5" s="34">
        <v>99.0959</v>
      </c>
      <c r="I5" s="35">
        <v>-0.90409999999999657</v>
      </c>
      <c r="K5" s="34" t="s">
        <v>244</v>
      </c>
      <c r="L5" s="34" t="s">
        <v>246</v>
      </c>
      <c r="M5" s="35">
        <v>-48.689599449689283</v>
      </c>
      <c r="N5" s="34">
        <v>-7.5634999999999986</v>
      </c>
      <c r="O5" s="34">
        <v>-8.428035738326356</v>
      </c>
      <c r="Q5" s="34">
        <v>-0.32046043066440699</v>
      </c>
      <c r="R5" s="34">
        <v>99.679539569335589</v>
      </c>
      <c r="S5" s="34">
        <v>100</v>
      </c>
      <c r="T5" s="34">
        <v>-0.32046043066441138</v>
      </c>
      <c r="U5" s="34">
        <v>-3.204604306644114E-3</v>
      </c>
      <c r="V5" s="34">
        <v>-1.6531</v>
      </c>
      <c r="W5" s="34">
        <v>98.346900000000005</v>
      </c>
      <c r="X5" s="34">
        <v>-1.653099999999996</v>
      </c>
      <c r="Z5" s="34" t="s">
        <v>244</v>
      </c>
      <c r="AA5" s="34" t="s">
        <v>246</v>
      </c>
      <c r="AB5" s="35">
        <v>44.176596671751689</v>
      </c>
      <c r="AC5" s="34">
        <v>4.3134751211098834</v>
      </c>
      <c r="AD5" s="34">
        <v>-2.3475000000000019</v>
      </c>
      <c r="AF5" s="34">
        <v>-1.0737000000000001</v>
      </c>
      <c r="AG5" s="34">
        <v>98.926299999999998</v>
      </c>
      <c r="AH5" s="34">
        <v>100</v>
      </c>
      <c r="AI5" s="34">
        <v>-1.0737000000000021</v>
      </c>
      <c r="AJ5" s="34">
        <v>-1.0737000000000021E-2</v>
      </c>
      <c r="AK5" s="34">
        <v>-1.0737000000000001</v>
      </c>
      <c r="AL5" s="34">
        <v>98.926299999999998</v>
      </c>
      <c r="AM5" s="34">
        <v>-1.0737000000000001</v>
      </c>
      <c r="AO5" s="34" t="s">
        <v>244</v>
      </c>
      <c r="AP5" s="34" t="s">
        <v>246</v>
      </c>
      <c r="AQ5" s="35">
        <v>-24.935159064335839</v>
      </c>
      <c r="AR5" s="34">
        <v>-3.2501000000000002</v>
      </c>
      <c r="AS5" s="34">
        <v>-4.4839179301097154</v>
      </c>
    </row>
    <row r="6" spans="1:45" x14ac:dyDescent="0.25">
      <c r="A6" s="34" t="s">
        <v>245</v>
      </c>
      <c r="B6" s="34" t="s">
        <v>247</v>
      </c>
      <c r="C6" s="34">
        <v>-0.45050000000000001</v>
      </c>
      <c r="D6" s="34">
        <v>98.799693166000012</v>
      </c>
      <c r="E6" s="34">
        <v>100</v>
      </c>
      <c r="F6" s="34">
        <v>18136.2</v>
      </c>
      <c r="G6" s="35">
        <v>-1.1991000000000001</v>
      </c>
      <c r="H6" s="34">
        <v>98.056731621200015</v>
      </c>
      <c r="I6" s="35">
        <v>-1.9432683787999889</v>
      </c>
      <c r="K6" s="34" t="s">
        <v>248</v>
      </c>
      <c r="L6" s="34" t="s">
        <v>249</v>
      </c>
      <c r="M6" s="35">
        <v>5.2725585102868511</v>
      </c>
      <c r="N6" s="34">
        <v>2.5206</v>
      </c>
      <c r="O6" s="34">
        <v>-9.2841121651533687</v>
      </c>
      <c r="Q6" s="34">
        <v>1.428209499353742</v>
      </c>
      <c r="R6" s="34">
        <v>101.1031722223769</v>
      </c>
      <c r="S6" s="34">
        <v>101.1031722223769</v>
      </c>
      <c r="T6" s="34"/>
      <c r="U6" s="34">
        <v>0</v>
      </c>
      <c r="V6" s="34">
        <v>-0.42890000000000011</v>
      </c>
      <c r="W6" s="34">
        <v>99.252014024122715</v>
      </c>
      <c r="X6" s="34">
        <v>-0.74798597587728555</v>
      </c>
      <c r="Z6" s="34" t="s">
        <v>248</v>
      </c>
      <c r="AA6" s="34" t="s">
        <v>249</v>
      </c>
      <c r="AB6" s="35">
        <v>16.371838651792348</v>
      </c>
      <c r="AC6" s="34">
        <v>6.6280122639287526</v>
      </c>
      <c r="AD6" s="34">
        <v>-7.4949173252187196</v>
      </c>
      <c r="AF6" s="34">
        <v>0.97770000000000001</v>
      </c>
      <c r="AG6" s="34">
        <v>99.89350243509999</v>
      </c>
      <c r="AH6" s="34">
        <v>100</v>
      </c>
      <c r="AI6" s="34">
        <v>-0.1064975649000104</v>
      </c>
      <c r="AJ6" s="34">
        <v>-1.064975649000104E-3</v>
      </c>
      <c r="AK6" s="34">
        <v>0.41239999999999999</v>
      </c>
      <c r="AL6" s="34">
        <v>99.334272061199997</v>
      </c>
      <c r="AM6" s="34">
        <v>-0.66572793879999814</v>
      </c>
      <c r="AO6" s="34" t="s">
        <v>248</v>
      </c>
      <c r="AP6" s="34" t="s">
        <v>249</v>
      </c>
      <c r="AQ6" s="35">
        <v>24.173877587923819</v>
      </c>
      <c r="AR6" s="34">
        <v>9.1486000000000001</v>
      </c>
      <c r="AS6" s="34">
        <v>-2.9141818341276049</v>
      </c>
    </row>
    <row r="7" spans="1:45" x14ac:dyDescent="0.25">
      <c r="A7" s="34" t="s">
        <v>247</v>
      </c>
      <c r="B7" s="34" t="s">
        <v>250</v>
      </c>
      <c r="C7" s="34">
        <v>0.85599999999999998</v>
      </c>
      <c r="D7" s="34">
        <v>99.645418539500966</v>
      </c>
      <c r="E7" s="34">
        <v>100</v>
      </c>
      <c r="F7" s="34">
        <v>18075.650000000001</v>
      </c>
      <c r="G7" s="35">
        <v>-0.49790000000000001</v>
      </c>
      <c r="H7" s="34">
        <v>98.307769493726497</v>
      </c>
      <c r="I7" s="35">
        <v>-1.692230506273507</v>
      </c>
      <c r="K7" s="34" t="s">
        <v>251</v>
      </c>
      <c r="L7" s="34" t="s">
        <v>252</v>
      </c>
      <c r="M7" s="35">
        <v>-1.7167601115945841</v>
      </c>
      <c r="N7" s="34">
        <v>-8.1600000000001671E-2</v>
      </c>
      <c r="O7" s="34">
        <v>-8.6474025433507009</v>
      </c>
      <c r="Q7" s="34">
        <v>-2.0713379315107519</v>
      </c>
      <c r="R7" s="34">
        <v>99.008983866174177</v>
      </c>
      <c r="S7" s="34">
        <v>101.1031722223769</v>
      </c>
      <c r="T7" s="34">
        <v>-2.0941883562027361</v>
      </c>
      <c r="U7" s="34">
        <v>-2.071337931510752E-2</v>
      </c>
      <c r="V7" s="34">
        <v>-2.3475000000000001</v>
      </c>
      <c r="W7" s="34">
        <v>98.729775254456612</v>
      </c>
      <c r="X7" s="34">
        <v>-2.3475000000000019</v>
      </c>
      <c r="Z7" s="34" t="s">
        <v>251</v>
      </c>
      <c r="AA7" s="34" t="s">
        <v>252</v>
      </c>
      <c r="AB7" s="35">
        <v>-7.9095482011844576</v>
      </c>
      <c r="AC7" s="34">
        <v>-2.8690156771445552</v>
      </c>
      <c r="AD7" s="34">
        <v>-10.742250284880839</v>
      </c>
      <c r="AF7" s="34">
        <v>-1.2153</v>
      </c>
      <c r="AG7" s="34">
        <v>98.679496700006226</v>
      </c>
      <c r="AH7" s="34">
        <v>100</v>
      </c>
      <c r="AI7" s="34">
        <v>-1.320503299993774</v>
      </c>
      <c r="AJ7" s="34">
        <v>-1.320503299993774E-2</v>
      </c>
      <c r="AK7" s="34">
        <v>-1.2153</v>
      </c>
      <c r="AL7" s="34">
        <v>98.679496700006226</v>
      </c>
      <c r="AM7" s="34">
        <v>-1.3205032999937689</v>
      </c>
      <c r="AO7" s="34" t="s">
        <v>251</v>
      </c>
      <c r="AP7" s="34" t="s">
        <v>252</v>
      </c>
      <c r="AQ7" s="35">
        <v>-7.5298005731145654</v>
      </c>
      <c r="AR7" s="34">
        <v>-2.9506000000000001</v>
      </c>
      <c r="AS7" s="34">
        <v>-8.1454242224443529</v>
      </c>
    </row>
    <row r="8" spans="1:45" x14ac:dyDescent="0.25">
      <c r="A8" s="34" t="s">
        <v>250</v>
      </c>
      <c r="B8" s="34" t="s">
        <v>253</v>
      </c>
      <c r="C8" s="34">
        <v>-2.3472</v>
      </c>
      <c r="D8" s="34">
        <v>97.30654127554179</v>
      </c>
      <c r="E8" s="34">
        <v>100</v>
      </c>
      <c r="F8" s="34">
        <v>18248.45</v>
      </c>
      <c r="G8" s="35">
        <v>-3.1349</v>
      </c>
      <c r="H8" s="34">
        <v>96.521634313706159</v>
      </c>
      <c r="I8" s="35">
        <v>-3.4783656862938379</v>
      </c>
      <c r="K8" s="34" t="s">
        <v>254</v>
      </c>
      <c r="L8" s="34" t="s">
        <v>255</v>
      </c>
      <c r="M8" s="35">
        <v>47.712284954505037</v>
      </c>
      <c r="N8" s="34">
        <v>36.831700000000012</v>
      </c>
      <c r="O8" s="34">
        <v>-8.7813635468251157</v>
      </c>
      <c r="Q8" s="34">
        <v>0.99981759797745839</v>
      </c>
      <c r="R8" s="34">
        <v>99.998893110446843</v>
      </c>
      <c r="S8" s="34">
        <v>101.1031722223769</v>
      </c>
      <c r="T8" s="34">
        <v>-1.104279111930069</v>
      </c>
      <c r="U8" s="34">
        <v>-1.092229934686126E-2</v>
      </c>
      <c r="V8" s="34">
        <v>-0.22020000000000001</v>
      </c>
      <c r="W8" s="34">
        <v>98.790966083700852</v>
      </c>
      <c r="X8" s="34">
        <v>-2.2869768453855799</v>
      </c>
      <c r="Z8" s="34" t="s">
        <v>254</v>
      </c>
      <c r="AA8" s="34" t="s">
        <v>255</v>
      </c>
      <c r="AB8" s="35">
        <v>-16.434994935561971</v>
      </c>
      <c r="AC8" s="34">
        <v>-15.97180175232358</v>
      </c>
      <c r="AD8" s="34">
        <v>-15.828008920181061</v>
      </c>
      <c r="AF8" s="34">
        <v>-1.3473999999999999</v>
      </c>
      <c r="AG8" s="34">
        <v>97.349889161470344</v>
      </c>
      <c r="AH8" s="34">
        <v>100</v>
      </c>
      <c r="AI8" s="34">
        <v>-2.6501108385296561</v>
      </c>
      <c r="AJ8" s="34">
        <v>-2.6501108385296561E-2</v>
      </c>
      <c r="AK8" s="34">
        <v>-1.3473999999999999</v>
      </c>
      <c r="AL8" s="34">
        <v>97.349889161470344</v>
      </c>
      <c r="AM8" s="34">
        <v>-2.6501108385296508</v>
      </c>
      <c r="AO8" s="34" t="s">
        <v>254</v>
      </c>
      <c r="AP8" s="34" t="s">
        <v>255</v>
      </c>
      <c r="AQ8" s="35">
        <v>24.63945531041411</v>
      </c>
      <c r="AR8" s="34">
        <v>20.86</v>
      </c>
      <c r="AS8" s="34">
        <v>-7.5728042648903209</v>
      </c>
    </row>
    <row r="9" spans="1:45" x14ac:dyDescent="0.25">
      <c r="A9" s="34" t="s">
        <v>253</v>
      </c>
      <c r="B9" s="34" t="s">
        <v>256</v>
      </c>
      <c r="C9" s="34">
        <v>-1.6581999999999999</v>
      </c>
      <c r="D9" s="34">
        <v>95.69300420811075</v>
      </c>
      <c r="E9" s="34">
        <v>100</v>
      </c>
      <c r="F9" s="34">
        <v>17844.45</v>
      </c>
      <c r="G9" s="35">
        <v>-2.4403000000000001</v>
      </c>
      <c r="H9" s="34">
        <v>94.931969748794742</v>
      </c>
      <c r="I9" s="35">
        <v>-5.0680302512052577</v>
      </c>
      <c r="K9" s="34" t="s">
        <v>257</v>
      </c>
      <c r="L9" s="34" t="s">
        <v>258</v>
      </c>
      <c r="M9" s="35">
        <v>11.60701785029952</v>
      </c>
      <c r="N9" s="34">
        <v>6.0360000000000014</v>
      </c>
      <c r="O9" s="34">
        <v>-11.460599999999991</v>
      </c>
      <c r="Q9" s="34">
        <v>-0.13388878702728521</v>
      </c>
      <c r="R9" s="34">
        <v>99.865005805420566</v>
      </c>
      <c r="S9" s="34">
        <v>101.1031722223769</v>
      </c>
      <c r="T9" s="34">
        <v>-1.238166416956346</v>
      </c>
      <c r="U9" s="34">
        <v>-1.2246563483023E-2</v>
      </c>
      <c r="V9" s="34">
        <v>-0.76119999999999999</v>
      </c>
      <c r="W9" s="34">
        <v>99.237701536090128</v>
      </c>
      <c r="X9" s="34">
        <v>-1.845115880423287</v>
      </c>
      <c r="Z9" s="34" t="s">
        <v>257</v>
      </c>
      <c r="AA9" s="34" t="s">
        <v>258</v>
      </c>
      <c r="AB9" s="35">
        <v>-4.225585422562073</v>
      </c>
      <c r="AC9" s="34">
        <v>-1.7221733220029281</v>
      </c>
      <c r="AD9" s="34">
        <v>-13.21070528438625</v>
      </c>
      <c r="AF9" s="34">
        <v>-1.7921</v>
      </c>
      <c r="AG9" s="34">
        <v>95.605281797807635</v>
      </c>
      <c r="AH9" s="34">
        <v>100</v>
      </c>
      <c r="AI9" s="34">
        <v>-4.3947182021923652</v>
      </c>
      <c r="AJ9" s="34">
        <v>-4.3947182021923652E-2</v>
      </c>
      <c r="AK9" s="34">
        <v>-1.7921</v>
      </c>
      <c r="AL9" s="34">
        <v>95.605281797807635</v>
      </c>
      <c r="AM9" s="34">
        <v>-4.3947182021923599</v>
      </c>
      <c r="AO9" s="34" t="s">
        <v>257</v>
      </c>
      <c r="AP9" s="34" t="s">
        <v>258</v>
      </c>
      <c r="AQ9" s="35">
        <v>8.8185902341295641</v>
      </c>
      <c r="AR9" s="34">
        <v>4.3137000000000008</v>
      </c>
      <c r="AS9" s="34">
        <v>-5.9242983634819826</v>
      </c>
    </row>
    <row r="10" spans="1:45" x14ac:dyDescent="0.25">
      <c r="A10" s="34" t="s">
        <v>256</v>
      </c>
      <c r="B10" s="34" t="s">
        <v>259</v>
      </c>
      <c r="C10" s="34">
        <v>-3.5558000000000001</v>
      </c>
      <c r="D10" s="34">
        <v>92.29035236447875</v>
      </c>
      <c r="E10" s="34">
        <v>100</v>
      </c>
      <c r="F10" s="34">
        <v>17566.400000000001</v>
      </c>
      <c r="G10" s="35">
        <v>-3.6911999999999998</v>
      </c>
      <c r="H10" s="34">
        <v>92.160784036780967</v>
      </c>
      <c r="I10" s="35">
        <v>-7.8392159632190372</v>
      </c>
      <c r="K10" s="34" t="s">
        <v>260</v>
      </c>
      <c r="L10" s="34" t="s">
        <v>261</v>
      </c>
      <c r="M10" s="35">
        <v>6.3249068486131099</v>
      </c>
      <c r="N10" s="34">
        <v>5.9183000000000003</v>
      </c>
      <c r="O10" s="34">
        <v>-9.8470000000000049</v>
      </c>
      <c r="Q10" s="34">
        <v>3.5809893472589298</v>
      </c>
      <c r="R10" s="34">
        <v>103.44116102495219</v>
      </c>
      <c r="S10" s="34">
        <v>103.44116102495219</v>
      </c>
      <c r="T10" s="34"/>
      <c r="U10" s="34">
        <v>0</v>
      </c>
      <c r="V10" s="34">
        <v>-0.2737</v>
      </c>
      <c r="W10" s="34">
        <v>99.591675284531135</v>
      </c>
      <c r="X10" s="34">
        <v>-1.4950044638769919</v>
      </c>
      <c r="Z10" s="34" t="s">
        <v>260</v>
      </c>
      <c r="AA10" s="34" t="s">
        <v>261</v>
      </c>
      <c r="AB10" s="35">
        <v>-2.4185728221845171</v>
      </c>
      <c r="AC10" s="34">
        <v>-1.541016440715379</v>
      </c>
      <c r="AD10" s="34">
        <v>-11.65449684323646</v>
      </c>
      <c r="AF10" s="34">
        <v>2.52E-2</v>
      </c>
      <c r="AG10" s="34">
        <v>95.629374328820674</v>
      </c>
      <c r="AH10" s="34">
        <v>100</v>
      </c>
      <c r="AI10" s="34">
        <v>-4.3706256711793259</v>
      </c>
      <c r="AJ10" s="34">
        <v>-4.3706256711793262E-2</v>
      </c>
      <c r="AK10" s="34">
        <v>-9.3299999999999994E-2</v>
      </c>
      <c r="AL10" s="34">
        <v>95.516082069890288</v>
      </c>
      <c r="AM10" s="34">
        <v>-4.4839179301097154</v>
      </c>
      <c r="AO10" s="34" t="s">
        <v>260</v>
      </c>
      <c r="AP10" s="34" t="s">
        <v>261</v>
      </c>
      <c r="AQ10" s="35">
        <v>5.0602908311429884</v>
      </c>
      <c r="AR10" s="34">
        <v>4.3774999999999977</v>
      </c>
      <c r="AS10" s="34">
        <v>-4.9956016037389084</v>
      </c>
    </row>
    <row r="11" spans="1:45" x14ac:dyDescent="0.25">
      <c r="A11" s="34" t="s">
        <v>259</v>
      </c>
      <c r="B11" s="34" t="s">
        <v>246</v>
      </c>
      <c r="C11" s="34">
        <v>0.34539999999999998</v>
      </c>
      <c r="D11" s="34">
        <v>92.60912324154566</v>
      </c>
      <c r="E11" s="34">
        <v>100</v>
      </c>
      <c r="F11" s="34">
        <v>16965.2</v>
      </c>
      <c r="G11" s="35">
        <v>-0.77839999999999998</v>
      </c>
      <c r="H11" s="34">
        <v>91.571964261673642</v>
      </c>
      <c r="I11" s="35">
        <v>-8.428035738326356</v>
      </c>
      <c r="K11" s="34" t="s">
        <v>262</v>
      </c>
      <c r="L11" s="34" t="s">
        <v>263</v>
      </c>
      <c r="M11" s="35">
        <v>12.51682136006367</v>
      </c>
      <c r="N11" s="34">
        <v>2.0771000000000002</v>
      </c>
      <c r="O11" s="34">
        <v>-4.7112738072498832</v>
      </c>
      <c r="Q11" s="34">
        <v>0.83014582572219597</v>
      </c>
      <c r="R11" s="34">
        <v>104.29987350527939</v>
      </c>
      <c r="S11" s="34">
        <v>104.29987350527939</v>
      </c>
      <c r="T11" s="34"/>
      <c r="U11" s="34">
        <v>0</v>
      </c>
      <c r="V11" s="34">
        <v>0.1699</v>
      </c>
      <c r="W11" s="34">
        <v>103.61690755753359</v>
      </c>
      <c r="X11" s="34">
        <v>0.1698999999999895</v>
      </c>
      <c r="Z11" s="34" t="s">
        <v>262</v>
      </c>
      <c r="AA11" s="34" t="s">
        <v>263</v>
      </c>
      <c r="AB11" s="35">
        <v>6.6273794007383646</v>
      </c>
      <c r="AC11" s="34">
        <v>1.1708458284828041</v>
      </c>
      <c r="AD11" s="34">
        <v>-4.2065607478366296</v>
      </c>
      <c r="AF11" s="34">
        <v>1.1755</v>
      </c>
      <c r="AG11" s="34">
        <v>96.753497624055953</v>
      </c>
      <c r="AH11" s="34">
        <v>100</v>
      </c>
      <c r="AI11" s="34">
        <v>-3.246502375944047</v>
      </c>
      <c r="AJ11" s="34">
        <v>-3.2465023759440471E-2</v>
      </c>
      <c r="AK11" s="34">
        <v>0.26300000000000001</v>
      </c>
      <c r="AL11" s="34">
        <v>95.880879583305457</v>
      </c>
      <c r="AM11" s="34">
        <v>-4.1191204166945443</v>
      </c>
      <c r="AO11" s="34" t="s">
        <v>262</v>
      </c>
      <c r="AP11" s="34" t="s">
        <v>263</v>
      </c>
      <c r="AQ11" s="35">
        <v>21.295731170437101</v>
      </c>
      <c r="AR11" s="34">
        <v>3.2480000000000011</v>
      </c>
      <c r="AS11" s="34">
        <v>-1.4763999999999999</v>
      </c>
    </row>
    <row r="12" spans="1:45" x14ac:dyDescent="0.25">
      <c r="A12" s="34" t="s">
        <v>248</v>
      </c>
      <c r="B12" s="34" t="s">
        <v>264</v>
      </c>
      <c r="C12" s="34">
        <v>-1.8927</v>
      </c>
      <c r="D12" s="34">
        <v>98.107299999999995</v>
      </c>
      <c r="E12" s="34">
        <v>100</v>
      </c>
      <c r="F12" s="34">
        <v>16026</v>
      </c>
      <c r="G12" s="35">
        <v>-3.2715000000000001</v>
      </c>
      <c r="H12" s="34">
        <v>96.728499999999997</v>
      </c>
      <c r="I12" s="35">
        <v>-3.271500000000005</v>
      </c>
      <c r="Q12" s="34">
        <v>0.93904282993956134</v>
      </c>
      <c r="R12" s="34">
        <v>100.93904282993959</v>
      </c>
      <c r="S12" s="34">
        <v>100.93904282993959</v>
      </c>
      <c r="T12" s="34"/>
      <c r="U12" s="34">
        <v>0</v>
      </c>
      <c r="V12" s="34">
        <v>-0.64270000000000005</v>
      </c>
      <c r="W12" s="34">
        <v>99.357300000000009</v>
      </c>
      <c r="X12" s="34">
        <v>-0.64269999999999605</v>
      </c>
      <c r="AF12" s="34">
        <v>-0.95369999999999999</v>
      </c>
      <c r="AG12" s="34">
        <v>99.046300000000002</v>
      </c>
      <c r="AH12" s="34">
        <v>100</v>
      </c>
      <c r="AI12" s="34">
        <v>-0.95369999999999777</v>
      </c>
      <c r="AJ12" s="34">
        <v>-9.5369999999999778E-3</v>
      </c>
      <c r="AK12" s="34">
        <v>-1.8008999999999999</v>
      </c>
      <c r="AL12" s="34">
        <v>98.199100000000001</v>
      </c>
      <c r="AM12" s="34">
        <v>-1.800899999999994</v>
      </c>
    </row>
    <row r="13" spans="1:45" x14ac:dyDescent="0.25">
      <c r="A13" s="34" t="s">
        <v>264</v>
      </c>
      <c r="B13" s="34" t="s">
        <v>265</v>
      </c>
      <c r="C13" s="34">
        <v>-0.15110000000000001</v>
      </c>
      <c r="D13" s="34">
        <v>97.959059869699985</v>
      </c>
      <c r="E13" s="34">
        <v>100</v>
      </c>
      <c r="F13" s="34">
        <v>15725.35</v>
      </c>
      <c r="G13" s="35">
        <v>-2.1023000000000001</v>
      </c>
      <c r="H13" s="34">
        <v>96.044790232099999</v>
      </c>
      <c r="I13" s="35">
        <v>-3.9552097679000031</v>
      </c>
      <c r="Q13" s="34">
        <v>1.171225098812489</v>
      </c>
      <c r="R13" s="34">
        <v>102.1212662340649</v>
      </c>
      <c r="S13" s="34">
        <v>102.1212662340649</v>
      </c>
      <c r="T13" s="34"/>
      <c r="U13" s="34">
        <v>0</v>
      </c>
      <c r="V13" s="34">
        <v>-1.7100000000000001E-2</v>
      </c>
      <c r="W13" s="34">
        <v>100.9217822536156</v>
      </c>
      <c r="X13" s="34">
        <v>-1.710000000000322E-2</v>
      </c>
      <c r="AF13" s="34">
        <v>1.0201</v>
      </c>
      <c r="AG13" s="34">
        <v>100.0566713063</v>
      </c>
      <c r="AH13" s="34">
        <v>100.0566713063</v>
      </c>
      <c r="AI13" s="34"/>
      <c r="AJ13" s="34">
        <v>0</v>
      </c>
      <c r="AK13" s="34">
        <v>0.13100000000000001</v>
      </c>
      <c r="AL13" s="34">
        <v>99.17605065299999</v>
      </c>
      <c r="AM13" s="34">
        <v>-0.8239493470000081</v>
      </c>
    </row>
    <row r="14" spans="1:45" x14ac:dyDescent="0.25">
      <c r="A14" s="34" t="s">
        <v>265</v>
      </c>
      <c r="B14" s="34" t="s">
        <v>266</v>
      </c>
      <c r="C14" s="34">
        <v>-0.86209999999999998</v>
      </c>
      <c r="D14" s="34">
        <v>97.114554814563306</v>
      </c>
      <c r="E14" s="34">
        <v>100</v>
      </c>
      <c r="F14" s="34">
        <v>15722.55</v>
      </c>
      <c r="G14" s="35">
        <v>-1.7430000000000001</v>
      </c>
      <c r="H14" s="34">
        <v>96.251633456171106</v>
      </c>
      <c r="I14" s="35">
        <v>-3.748366543828896</v>
      </c>
      <c r="Q14" s="34">
        <v>-1.0297614312358021</v>
      </c>
      <c r="R14" s="34">
        <v>101.06966082129691</v>
      </c>
      <c r="S14" s="34">
        <v>102.1212662340649</v>
      </c>
      <c r="T14" s="34">
        <v>-1.0516054127680261</v>
      </c>
      <c r="U14" s="34">
        <v>-1.029761431235798E-2</v>
      </c>
      <c r="V14" s="34">
        <v>-1.1575</v>
      </c>
      <c r="W14" s="34">
        <v>100.9392125774056</v>
      </c>
      <c r="X14" s="34">
        <v>-1.1575</v>
      </c>
      <c r="AF14" s="34">
        <v>-1.8918999999999999</v>
      </c>
      <c r="AG14" s="34">
        <v>98.1636991418561</v>
      </c>
      <c r="AH14" s="34">
        <v>100.0566713063</v>
      </c>
      <c r="AI14" s="34">
        <v>-1.8929721644438899</v>
      </c>
      <c r="AJ14" s="34">
        <v>-1.8919000000000009E-2</v>
      </c>
      <c r="AK14" s="34">
        <v>-1.8918999999999999</v>
      </c>
      <c r="AL14" s="34">
        <v>98.1636991418561</v>
      </c>
      <c r="AM14" s="34">
        <v>-1.8919000000000019</v>
      </c>
    </row>
    <row r="15" spans="1:45" x14ac:dyDescent="0.25">
      <c r="A15" s="34" t="s">
        <v>266</v>
      </c>
      <c r="B15" s="34" t="s">
        <v>267</v>
      </c>
      <c r="C15" s="34">
        <v>3.9994999999999998</v>
      </c>
      <c r="D15" s="34">
        <v>100.99865143437179</v>
      </c>
      <c r="E15" s="34">
        <v>100.99865143437179</v>
      </c>
      <c r="F15" s="34">
        <v>15605.35</v>
      </c>
      <c r="G15" s="35">
        <v>-0.1547</v>
      </c>
      <c r="H15" s="34">
        <v>96.96431859826518</v>
      </c>
      <c r="I15" s="35">
        <v>-3.0356814017348239</v>
      </c>
      <c r="Q15" s="34">
        <v>-0.97391835310537345</v>
      </c>
      <c r="R15" s="34">
        <v>100.0853248451369</v>
      </c>
      <c r="S15" s="34">
        <v>102.1212662340649</v>
      </c>
      <c r="T15" s="34">
        <v>-2.0359413889279949</v>
      </c>
      <c r="U15" s="34">
        <v>-1.993650748769173E-2</v>
      </c>
      <c r="V15" s="34">
        <v>-1.8980999999999999</v>
      </c>
      <c r="W15" s="34">
        <v>99.15125758924782</v>
      </c>
      <c r="X15" s="34">
        <v>-2.9083155295095202</v>
      </c>
      <c r="AF15" s="34">
        <v>3.0255999999999998</v>
      </c>
      <c r="AG15" s="34">
        <v>101.1337400230921</v>
      </c>
      <c r="AH15" s="34">
        <v>101.1337400230921</v>
      </c>
      <c r="AI15" s="34"/>
      <c r="AJ15" s="34">
        <v>0</v>
      </c>
      <c r="AK15" s="34">
        <v>-1.5100000000000001E-2</v>
      </c>
      <c r="AL15" s="34">
        <v>98.148876423285685</v>
      </c>
      <c r="AM15" s="34">
        <v>-1.906714323099989</v>
      </c>
    </row>
    <row r="16" spans="1:45" x14ac:dyDescent="0.25">
      <c r="A16" s="34" t="s">
        <v>267</v>
      </c>
      <c r="B16" s="34" t="s">
        <v>268</v>
      </c>
      <c r="C16" s="34">
        <v>1.9498</v>
      </c>
      <c r="D16" s="34">
        <v>102.9679231400391</v>
      </c>
      <c r="E16" s="34">
        <v>102.9679231400391</v>
      </c>
      <c r="F16" s="34">
        <v>16247.7</v>
      </c>
      <c r="G16" s="35">
        <v>-0.98970000000000002</v>
      </c>
      <c r="H16" s="34">
        <v>99.999067781125788</v>
      </c>
      <c r="I16" s="35">
        <v>-0.98970000000000447</v>
      </c>
      <c r="Q16" s="34">
        <v>-1.5649641075137239</v>
      </c>
      <c r="R16" s="34">
        <v>98.519025434421991</v>
      </c>
      <c r="S16" s="34">
        <v>102.1212662340649</v>
      </c>
      <c r="T16" s="34">
        <v>-3.6022407996429</v>
      </c>
      <c r="U16" s="34">
        <v>-3.5274149376354771E-2</v>
      </c>
      <c r="V16" s="34">
        <v>-1.9691000000000001</v>
      </c>
      <c r="W16" s="34">
        <v>98.114544713611309</v>
      </c>
      <c r="X16" s="34">
        <v>-3.9234937718751528</v>
      </c>
      <c r="AF16" s="34">
        <v>0.38479999999999998</v>
      </c>
      <c r="AG16" s="34">
        <v>101.522902654701</v>
      </c>
      <c r="AH16" s="34">
        <v>101.522902654701</v>
      </c>
      <c r="AI16" s="34"/>
      <c r="AJ16" s="34">
        <v>0</v>
      </c>
      <c r="AK16" s="34">
        <v>-4.2599999999999999E-2</v>
      </c>
      <c r="AL16" s="34">
        <v>101.09065704984231</v>
      </c>
      <c r="AM16" s="34">
        <v>-4.2600000000003753E-2</v>
      </c>
    </row>
    <row r="17" spans="1:39" x14ac:dyDescent="0.25">
      <c r="A17" s="34" t="s">
        <v>268</v>
      </c>
      <c r="B17" s="34" t="s">
        <v>269</v>
      </c>
      <c r="C17" s="34">
        <v>0.47520000000000001</v>
      </c>
      <c r="D17" s="34">
        <v>103.4572267108006</v>
      </c>
      <c r="E17" s="34">
        <v>103.4572267108006</v>
      </c>
      <c r="F17" s="34">
        <v>16583.45</v>
      </c>
      <c r="G17" s="35">
        <v>0.1163</v>
      </c>
      <c r="H17" s="34">
        <v>103.087674834651</v>
      </c>
      <c r="I17" s="35">
        <v>0.1163000000000025</v>
      </c>
      <c r="Q17" s="34">
        <v>-0.85232309757600833</v>
      </c>
      <c r="R17" s="34">
        <v>97.679325025137629</v>
      </c>
      <c r="S17" s="34">
        <v>102.1212662340649</v>
      </c>
      <c r="T17" s="34">
        <v>-4.4419412089272612</v>
      </c>
      <c r="U17" s="34">
        <v>-4.3496730629506722E-2</v>
      </c>
      <c r="V17" s="34">
        <v>-1.2196</v>
      </c>
      <c r="W17" s="34">
        <v>97.317487400223783</v>
      </c>
      <c r="X17" s="34">
        <v>-4.7039945850560709</v>
      </c>
      <c r="AF17" s="34">
        <v>-0.37709999999999999</v>
      </c>
      <c r="AG17" s="34">
        <v>101.1400597887901</v>
      </c>
      <c r="AH17" s="34">
        <v>101.522902654701</v>
      </c>
      <c r="AI17" s="34">
        <v>-0.3828428659108738</v>
      </c>
      <c r="AJ17" s="34">
        <v>-3.7709999999999649E-3</v>
      </c>
      <c r="AK17" s="34">
        <v>-0.37709999999999999</v>
      </c>
      <c r="AL17" s="34">
        <v>101.1400597887901</v>
      </c>
      <c r="AM17" s="34">
        <v>-0.37709999999999688</v>
      </c>
    </row>
    <row r="18" spans="1:39" x14ac:dyDescent="0.25">
      <c r="A18" s="34" t="s">
        <v>269</v>
      </c>
      <c r="B18" s="34" t="s">
        <v>270</v>
      </c>
      <c r="C18" s="34">
        <v>-1.4800000000000001E-2</v>
      </c>
      <c r="D18" s="34">
        <v>103.4419150412474</v>
      </c>
      <c r="E18" s="34">
        <v>103.4572267108006</v>
      </c>
      <c r="F18" s="34">
        <v>16681.599999999999</v>
      </c>
      <c r="G18" s="35">
        <v>-0.22520000000000001</v>
      </c>
      <c r="H18" s="34">
        <v>103.2242410362479</v>
      </c>
      <c r="I18" s="35">
        <v>-0.2252000000000032</v>
      </c>
      <c r="Q18" s="34">
        <v>1.4779313140092181</v>
      </c>
      <c r="R18" s="34">
        <v>99.122958356996975</v>
      </c>
      <c r="S18" s="34">
        <v>102.1212662340649</v>
      </c>
      <c r="T18" s="34">
        <v>-2.9983078770679161</v>
      </c>
      <c r="U18" s="34">
        <v>-2.936026929195832E-2</v>
      </c>
      <c r="V18" s="34">
        <v>-0.53059999999999996</v>
      </c>
      <c r="W18" s="34">
        <v>97.16103852655425</v>
      </c>
      <c r="X18" s="34">
        <v>-4.8571936976786523</v>
      </c>
      <c r="AF18" s="34">
        <v>1.4631000000000001</v>
      </c>
      <c r="AG18" s="34">
        <v>102.6198400035599</v>
      </c>
      <c r="AH18" s="34">
        <v>102.6198400035599</v>
      </c>
      <c r="AI18" s="34"/>
      <c r="AJ18" s="34">
        <v>0</v>
      </c>
      <c r="AK18" s="34">
        <v>0.75329999999999997</v>
      </c>
      <c r="AL18" s="34">
        <v>101.9019478591791</v>
      </c>
      <c r="AM18" s="34">
        <v>0.37335930570001619</v>
      </c>
    </row>
    <row r="19" spans="1:39" x14ac:dyDescent="0.25">
      <c r="A19" s="34" t="s">
        <v>270</v>
      </c>
      <c r="B19" s="34" t="s">
        <v>271</v>
      </c>
      <c r="C19" s="34">
        <v>1.6529</v>
      </c>
      <c r="D19" s="34">
        <v>105.1517064549642</v>
      </c>
      <c r="E19" s="34">
        <v>105.1517064549642</v>
      </c>
      <c r="F19" s="34">
        <v>16698.599999999999</v>
      </c>
      <c r="G19" s="35">
        <v>-0.56120000000000003</v>
      </c>
      <c r="H19" s="34">
        <v>102.861399014036</v>
      </c>
      <c r="I19" s="35">
        <v>-0.57591694239998992</v>
      </c>
      <c r="Q19" s="34">
        <v>-1.866905396332065</v>
      </c>
      <c r="R19" s="34">
        <v>97.272426498426213</v>
      </c>
      <c r="S19" s="34">
        <v>102.1212662340649</v>
      </c>
      <c r="T19" s="34">
        <v>-4.848839735638677</v>
      </c>
      <c r="U19" s="34">
        <v>-4.7481194803489772E-2</v>
      </c>
      <c r="V19" s="34">
        <v>-2.3660999999999999</v>
      </c>
      <c r="W19" s="34">
        <v>96.777610039312066</v>
      </c>
      <c r="X19" s="34">
        <v>-5.2326575960241373</v>
      </c>
      <c r="AF19" s="34">
        <v>-0.214</v>
      </c>
      <c r="AG19" s="34">
        <v>102.4002335459523</v>
      </c>
      <c r="AH19" s="34">
        <v>102.6198400035599</v>
      </c>
      <c r="AI19" s="34">
        <v>-0.21960645760762529</v>
      </c>
      <c r="AJ19" s="34">
        <v>-2.1400000000000698E-3</v>
      </c>
      <c r="AK19" s="34">
        <v>-0.31130000000000002</v>
      </c>
      <c r="AL19" s="34">
        <v>102.30038444162879</v>
      </c>
      <c r="AM19" s="34">
        <v>-0.31129999999999208</v>
      </c>
    </row>
    <row r="20" spans="1:39" x14ac:dyDescent="0.25">
      <c r="A20" s="34" t="s">
        <v>271</v>
      </c>
      <c r="B20" s="34" t="s">
        <v>272</v>
      </c>
      <c r="C20" s="34">
        <v>0.17080000000000001</v>
      </c>
      <c r="D20" s="34">
        <v>105.3313055695893</v>
      </c>
      <c r="E20" s="34">
        <v>105.3313055695893</v>
      </c>
      <c r="F20" s="34">
        <v>16994.099999999999</v>
      </c>
      <c r="G20" s="35">
        <v>-1.4095</v>
      </c>
      <c r="H20" s="34">
        <v>103.6695931524815</v>
      </c>
      <c r="I20" s="35">
        <v>-1.4094999999999971</v>
      </c>
      <c r="Q20" s="34">
        <v>-0.85631422356676756</v>
      </c>
      <c r="R20" s="34">
        <v>96.439468874711665</v>
      </c>
      <c r="S20" s="34">
        <v>102.1212662340649</v>
      </c>
      <c r="T20" s="34">
        <v>-5.6817973593532258</v>
      </c>
      <c r="U20" s="34">
        <v>-5.5637748814535683E-2</v>
      </c>
      <c r="V20" s="34">
        <v>-1.1151</v>
      </c>
      <c r="W20" s="34">
        <v>96.187741670542266</v>
      </c>
      <c r="X20" s="34">
        <v>-5.8102732000235964</v>
      </c>
      <c r="AF20" s="34">
        <v>-0.6855</v>
      </c>
      <c r="AG20" s="34">
        <v>101.69827994499479</v>
      </c>
      <c r="AH20" s="34">
        <v>102.6198400035599</v>
      </c>
      <c r="AI20" s="34">
        <v>-0.92156005856513445</v>
      </c>
      <c r="AJ20" s="34">
        <v>-8.9803303000001323E-3</v>
      </c>
      <c r="AK20" s="34">
        <v>-0.6855</v>
      </c>
      <c r="AL20" s="34">
        <v>101.69827994499479</v>
      </c>
      <c r="AM20" s="34">
        <v>-0.89803303000001167</v>
      </c>
    </row>
    <row r="21" spans="1:39" x14ac:dyDescent="0.25">
      <c r="A21" s="34" t="s">
        <v>272</v>
      </c>
      <c r="B21" s="34" t="s">
        <v>273</v>
      </c>
      <c r="C21" s="34">
        <v>-0.30620000000000003</v>
      </c>
      <c r="D21" s="34">
        <v>105.00878111193521</v>
      </c>
      <c r="E21" s="34">
        <v>105.3313055695893</v>
      </c>
      <c r="F21" s="34">
        <v>17042.95</v>
      </c>
      <c r="G21" s="35">
        <v>-1.3818999999999999</v>
      </c>
      <c r="H21" s="34">
        <v>103.8757322579231</v>
      </c>
      <c r="I21" s="35">
        <v>-1.381900000000003</v>
      </c>
      <c r="Q21" s="34">
        <v>0.78755774459328787</v>
      </c>
      <c r="R21" s="34">
        <v>97.19898538067909</v>
      </c>
      <c r="S21" s="34">
        <v>102.1212662340649</v>
      </c>
      <c r="T21" s="34">
        <v>-4.9222808533858</v>
      </c>
      <c r="U21" s="34">
        <v>-4.8200350768309017E-2</v>
      </c>
      <c r="V21" s="34">
        <v>-0.3301</v>
      </c>
      <c r="W21" s="34">
        <v>96.121122187956246</v>
      </c>
      <c r="X21" s="34">
        <v>-5.8755088605698891</v>
      </c>
      <c r="AF21" s="34">
        <v>0.48139999999999999</v>
      </c>
      <c r="AG21" s="34">
        <v>102.18785546465</v>
      </c>
      <c r="AH21" s="34">
        <v>102.6198400035599</v>
      </c>
      <c r="AI21" s="34">
        <v>-0.43198453890991573</v>
      </c>
      <c r="AJ21" s="34">
        <v>-4.2095616100641959E-3</v>
      </c>
      <c r="AK21" s="34">
        <v>-0.35260000000000002</v>
      </c>
      <c r="AL21" s="34">
        <v>101.3396918099087</v>
      </c>
      <c r="AM21" s="34">
        <v>-1.2474665655362369</v>
      </c>
    </row>
    <row r="22" spans="1:39" x14ac:dyDescent="0.25">
      <c r="A22" s="34" t="s">
        <v>273</v>
      </c>
      <c r="B22" s="34" t="s">
        <v>274</v>
      </c>
      <c r="C22" s="34">
        <v>-2.3203</v>
      </c>
      <c r="D22" s="34">
        <v>102.57226236379501</v>
      </c>
      <c r="E22" s="34">
        <v>105.3313055695893</v>
      </c>
      <c r="F22" s="34">
        <v>17010.650000000001</v>
      </c>
      <c r="G22" s="35">
        <v>-3.2166000000000001</v>
      </c>
      <c r="H22" s="34">
        <v>101.6310686586887</v>
      </c>
      <c r="I22" s="35">
        <v>-3.5129507708000052</v>
      </c>
      <c r="Q22" s="34">
        <v>1.5377972631858641</v>
      </c>
      <c r="R22" s="34">
        <v>98.693708717707594</v>
      </c>
      <c r="S22" s="34">
        <v>102.1212662340649</v>
      </c>
      <c r="T22" s="34">
        <v>-3.4275575163572971</v>
      </c>
      <c r="U22" s="34">
        <v>-3.3563601811411513E-2</v>
      </c>
      <c r="V22" s="34">
        <v>-0.8266</v>
      </c>
      <c r="W22" s="34">
        <v>96.395538567522394</v>
      </c>
      <c r="X22" s="34">
        <v>-5.6067926668858181</v>
      </c>
      <c r="AF22" s="34">
        <v>-0.78249999999999997</v>
      </c>
      <c r="AG22" s="34">
        <v>101.38823549563909</v>
      </c>
      <c r="AH22" s="34">
        <v>102.6198400035599</v>
      </c>
      <c r="AI22" s="34">
        <v>-1.231604507920792</v>
      </c>
      <c r="AJ22" s="34">
        <v>-1.200162179046535E-2</v>
      </c>
      <c r="AK22" s="34">
        <v>-1.472</v>
      </c>
      <c r="AL22" s="34">
        <v>100.6836502322103</v>
      </c>
      <c r="AM22" s="34">
        <v>-1.886759686316408</v>
      </c>
    </row>
    <row r="23" spans="1:39" x14ac:dyDescent="0.25">
      <c r="A23" s="34" t="s">
        <v>274</v>
      </c>
      <c r="B23" s="34" t="s">
        <v>275</v>
      </c>
      <c r="C23" s="34">
        <v>1.7222999999999999</v>
      </c>
      <c r="D23" s="34">
        <v>104.3388644384866</v>
      </c>
      <c r="E23" s="34">
        <v>105.3313055695893</v>
      </c>
      <c r="F23" s="34">
        <v>16635.8</v>
      </c>
      <c r="G23" s="35">
        <v>0.22109999999999999</v>
      </c>
      <c r="H23" s="34">
        <v>102.7990496358813</v>
      </c>
      <c r="I23" s="35">
        <v>-2.4040867242787418</v>
      </c>
      <c r="Q23" s="34">
        <v>-2.3417001465136882</v>
      </c>
      <c r="R23" s="34">
        <v>96.382597996065243</v>
      </c>
      <c r="S23" s="34">
        <v>102.1212662340649</v>
      </c>
      <c r="T23" s="34">
        <v>-5.7386682379996472</v>
      </c>
      <c r="U23" s="34">
        <v>-5.6194644363755278E-2</v>
      </c>
      <c r="V23" s="34">
        <v>-3.3077000000000001</v>
      </c>
      <c r="W23" s="34">
        <v>95.42921691445197</v>
      </c>
      <c r="X23" s="34">
        <v>-6.5530418554295533</v>
      </c>
      <c r="AF23" s="34">
        <v>-0.61939999999999995</v>
      </c>
      <c r="AG23" s="34">
        <v>100.7602367649791</v>
      </c>
      <c r="AH23" s="34">
        <v>102.6198400035599</v>
      </c>
      <c r="AI23" s="34">
        <v>-1.859603238580789</v>
      </c>
      <c r="AJ23" s="34">
        <v>-1.8121283745095289E-2</v>
      </c>
      <c r="AK23" s="34">
        <v>-1.2218</v>
      </c>
      <c r="AL23" s="34">
        <v>100.1494740343534</v>
      </c>
      <c r="AM23" s="34">
        <v>-2.4072985975429511</v>
      </c>
    </row>
    <row r="24" spans="1:39" x14ac:dyDescent="0.25">
      <c r="A24" s="34" t="s">
        <v>275</v>
      </c>
      <c r="B24" s="34" t="s">
        <v>276</v>
      </c>
      <c r="C24" s="34">
        <v>-0.28939999999999999</v>
      </c>
      <c r="D24" s="34">
        <v>104.0369077648016</v>
      </c>
      <c r="E24" s="34">
        <v>105.3313055695893</v>
      </c>
      <c r="F24" s="34">
        <v>16938.95</v>
      </c>
      <c r="G24" s="35">
        <v>-0.67830000000000001</v>
      </c>
      <c r="H24" s="34">
        <v>103.6311339210004</v>
      </c>
      <c r="I24" s="35">
        <v>-1.614118081414728</v>
      </c>
      <c r="Q24" s="34">
        <v>-0.43403205918618992</v>
      </c>
      <c r="R24" s="34">
        <v>95.964266621285773</v>
      </c>
      <c r="S24" s="34">
        <v>102.1212662340649</v>
      </c>
      <c r="T24" s="34">
        <v>-6.1569996127791171</v>
      </c>
      <c r="U24" s="34">
        <v>-6.029106218353282E-2</v>
      </c>
      <c r="V24" s="34">
        <v>-0.51950000000000007</v>
      </c>
      <c r="W24" s="34">
        <v>95.881890399475694</v>
      </c>
      <c r="X24" s="34">
        <v>-6.1097713186285434</v>
      </c>
      <c r="AF24" s="34">
        <v>-0.72340000000000004</v>
      </c>
      <c r="AG24" s="34">
        <v>100.0313372122212</v>
      </c>
      <c r="AH24" s="34">
        <v>102.6198400035599</v>
      </c>
      <c r="AI24" s="34">
        <v>-2.5885027913386409</v>
      </c>
      <c r="AJ24" s="34">
        <v>-2.5224194378483202E-2</v>
      </c>
      <c r="AK24" s="34">
        <v>-0.72340000000000004</v>
      </c>
      <c r="AL24" s="34">
        <v>100.0313372122212</v>
      </c>
      <c r="AM24" s="34">
        <v>-2.5224194378483218</v>
      </c>
    </row>
    <row r="25" spans="1:39" x14ac:dyDescent="0.25">
      <c r="A25" s="34" t="s">
        <v>276</v>
      </c>
      <c r="B25" s="34" t="s">
        <v>277</v>
      </c>
      <c r="C25" s="34">
        <v>-0.34089999999999998</v>
      </c>
      <c r="D25" s="34">
        <v>103.6822459462314</v>
      </c>
      <c r="E25" s="34">
        <v>105.3313055695893</v>
      </c>
      <c r="F25" s="34">
        <v>16892.75</v>
      </c>
      <c r="G25" s="35">
        <v>-0.45650000000000002</v>
      </c>
      <c r="H25" s="34">
        <v>103.5619792808553</v>
      </c>
      <c r="I25" s="35">
        <v>-1.679772484700703</v>
      </c>
      <c r="Q25" s="34">
        <v>-6.0957399369152253E-2</v>
      </c>
      <c r="R25" s="34">
        <v>95.90576930002976</v>
      </c>
      <c r="S25" s="34">
        <v>102.1212662340649</v>
      </c>
      <c r="T25" s="34">
        <v>-6.21549693403513</v>
      </c>
      <c r="U25" s="34">
        <v>-6.0863884313665198E-2</v>
      </c>
      <c r="V25" s="34">
        <v>-0.84320000000000006</v>
      </c>
      <c r="W25" s="34">
        <v>95.155095925135086</v>
      </c>
      <c r="X25" s="34">
        <v>-6.8214687947201309</v>
      </c>
      <c r="AF25" s="34">
        <v>-0.40189999999999998</v>
      </c>
      <c r="AG25" s="34">
        <v>99.629311267965335</v>
      </c>
      <c r="AH25" s="34">
        <v>102.6198400035599</v>
      </c>
      <c r="AI25" s="34">
        <v>-2.9905287355945518</v>
      </c>
      <c r="AJ25" s="34">
        <v>-2.9141818341276021E-2</v>
      </c>
      <c r="AK25" s="34">
        <v>-0.40189999999999998</v>
      </c>
      <c r="AL25" s="34">
        <v>99.629311267965335</v>
      </c>
      <c r="AM25" s="34">
        <v>-2.9141818341276049</v>
      </c>
    </row>
    <row r="26" spans="1:39" x14ac:dyDescent="0.25">
      <c r="A26" s="34" t="s">
        <v>277</v>
      </c>
      <c r="B26" s="34" t="s">
        <v>278</v>
      </c>
      <c r="C26" s="34">
        <v>1.5946</v>
      </c>
      <c r="D26" s="34">
        <v>105.33556304008999</v>
      </c>
      <c r="E26" s="34">
        <v>105.33556304008999</v>
      </c>
      <c r="F26" s="34">
        <v>16852.05</v>
      </c>
      <c r="G26" s="35">
        <v>-0.1018</v>
      </c>
      <c r="H26" s="34">
        <v>103.57669741985821</v>
      </c>
      <c r="I26" s="35">
        <v>-1.665799298929127</v>
      </c>
      <c r="Q26" s="34">
        <v>0.39215525745934171</v>
      </c>
      <c r="R26" s="34">
        <v>96.281868816546663</v>
      </c>
      <c r="S26" s="34">
        <v>102.1212662340649</v>
      </c>
      <c r="T26" s="34">
        <v>-5.8393974175182279</v>
      </c>
      <c r="U26" s="34">
        <v>-5.7181012661301718E-2</v>
      </c>
      <c r="V26" s="34">
        <v>-0.85429999999999995</v>
      </c>
      <c r="W26" s="34">
        <v>95.086446312899611</v>
      </c>
      <c r="X26" s="34">
        <v>-6.8886924149973554</v>
      </c>
      <c r="AF26" s="34">
        <v>1.9867999999999999</v>
      </c>
      <c r="AG26" s="34">
        <v>101.6087464242373</v>
      </c>
      <c r="AH26" s="34">
        <v>102.6198400035599</v>
      </c>
      <c r="AI26" s="34">
        <v>-1.011093579322619</v>
      </c>
      <c r="AJ26" s="34">
        <v>-9.8528079880805131E-3</v>
      </c>
      <c r="AK26" s="34">
        <v>0.5081</v>
      </c>
      <c r="AL26" s="34">
        <v>100.1355277985179</v>
      </c>
      <c r="AM26" s="34">
        <v>-2.4208887920268101</v>
      </c>
    </row>
    <row r="27" spans="1:39" x14ac:dyDescent="0.25">
      <c r="A27" s="34" t="s">
        <v>278</v>
      </c>
      <c r="B27" s="34" t="s">
        <v>279</v>
      </c>
      <c r="C27" s="34">
        <v>-0.51890000000000003</v>
      </c>
      <c r="D27" s="34">
        <v>104.78897680347499</v>
      </c>
      <c r="E27" s="34">
        <v>105.33556304008999</v>
      </c>
      <c r="F27" s="34">
        <v>17143.25</v>
      </c>
      <c r="G27" s="35">
        <v>-1.9891000000000001</v>
      </c>
      <c r="H27" s="34">
        <v>103.2403333556596</v>
      </c>
      <c r="I27" s="35">
        <v>-1.989099999999999</v>
      </c>
      <c r="Q27" s="34">
        <v>1.516109172994049</v>
      </c>
      <c r="R27" s="34">
        <v>97.741607061604427</v>
      </c>
      <c r="S27" s="34">
        <v>102.1212662340649</v>
      </c>
      <c r="T27" s="34">
        <v>-4.3796591724604639</v>
      </c>
      <c r="U27" s="34">
        <v>-4.2886847509530077E-2</v>
      </c>
      <c r="V27" s="34">
        <v>-1.6651</v>
      </c>
      <c r="W27" s="34">
        <v>94.678679418882354</v>
      </c>
      <c r="X27" s="34">
        <v>-7.2879891619478272</v>
      </c>
      <c r="AF27" s="34">
        <v>0.99719999999999998</v>
      </c>
      <c r="AG27" s="34">
        <v>102.6219888435798</v>
      </c>
      <c r="AH27" s="34">
        <v>102.6219888435798</v>
      </c>
      <c r="AI27" s="34"/>
      <c r="AJ27" s="34">
        <v>0</v>
      </c>
      <c r="AK27" s="34">
        <v>-0.3896</v>
      </c>
      <c r="AL27" s="34">
        <v>101.21287874816839</v>
      </c>
      <c r="AM27" s="34">
        <v>-1.371042144815904</v>
      </c>
    </row>
    <row r="28" spans="1:39" x14ac:dyDescent="0.25">
      <c r="A28" s="34" t="s">
        <v>279</v>
      </c>
      <c r="B28" s="34" t="s">
        <v>280</v>
      </c>
      <c r="C28" s="34">
        <v>2.5709</v>
      </c>
      <c r="D28" s="34">
        <v>107.4829966081155</v>
      </c>
      <c r="E28" s="34">
        <v>107.4829966081155</v>
      </c>
      <c r="F28" s="34">
        <v>17074.3</v>
      </c>
      <c r="G28" s="35">
        <v>0.88429999999999997</v>
      </c>
      <c r="H28" s="34">
        <v>105.7156257253481</v>
      </c>
      <c r="I28" s="35">
        <v>0.36081136729999569</v>
      </c>
      <c r="Q28" s="34">
        <v>-2.339640842054493</v>
      </c>
      <c r="R28" s="34">
        <v>95.454804503110708</v>
      </c>
      <c r="S28" s="34">
        <v>102.1212662340649</v>
      </c>
      <c r="T28" s="34">
        <v>-6.6664617309541816</v>
      </c>
      <c r="U28" s="34">
        <v>-6.5279857729872437E-2</v>
      </c>
      <c r="V28" s="34">
        <v>-3.0286</v>
      </c>
      <c r="W28" s="34">
        <v>94.781404750136673</v>
      </c>
      <c r="X28" s="34">
        <v>-7.1873976445856469</v>
      </c>
      <c r="AF28" s="34">
        <v>0.23130000000000001</v>
      </c>
      <c r="AG28" s="34">
        <v>102.859353503775</v>
      </c>
      <c r="AH28" s="34">
        <v>102.859353503775</v>
      </c>
      <c r="AI28" s="34"/>
      <c r="AJ28" s="34">
        <v>0</v>
      </c>
      <c r="AK28" s="34">
        <v>-0.3644</v>
      </c>
      <c r="AL28" s="34">
        <v>102.2480343162338</v>
      </c>
      <c r="AM28" s="34">
        <v>-0.36439999999999811</v>
      </c>
    </row>
    <row r="29" spans="1:39" x14ac:dyDescent="0.25">
      <c r="A29" s="34" t="s">
        <v>280</v>
      </c>
      <c r="B29" s="34" t="s">
        <v>281</v>
      </c>
      <c r="C29" s="34">
        <v>1.7273000000000001</v>
      </c>
      <c r="D29" s="34">
        <v>109.3395504085275</v>
      </c>
      <c r="E29" s="34">
        <v>109.3395504085275</v>
      </c>
      <c r="F29" s="34">
        <v>17527.5</v>
      </c>
      <c r="G29" s="35">
        <v>1.0999999999999999E-2</v>
      </c>
      <c r="H29" s="34">
        <v>107.4948197377424</v>
      </c>
      <c r="I29" s="35">
        <v>1.100000000000545E-2</v>
      </c>
      <c r="Q29" s="34">
        <v>-0.12409212015037049</v>
      </c>
      <c r="R29" s="34">
        <v>95.336352612417414</v>
      </c>
      <c r="S29" s="34">
        <v>102.1212662340649</v>
      </c>
      <c r="T29" s="34">
        <v>-6.7849136216474761</v>
      </c>
      <c r="U29" s="34">
        <v>-6.6439771771887923E-2</v>
      </c>
      <c r="V29" s="34">
        <v>-0.48420000000000002</v>
      </c>
      <c r="W29" s="34">
        <v>94.992612339706639</v>
      </c>
      <c r="X29" s="34">
        <v>-6.9805772658744436</v>
      </c>
      <c r="AF29" s="34">
        <v>1.6032</v>
      </c>
      <c r="AG29" s="34">
        <v>104.5083946591475</v>
      </c>
      <c r="AH29" s="34">
        <v>104.5083946591475</v>
      </c>
      <c r="AI29" s="34"/>
      <c r="AJ29" s="34">
        <v>0</v>
      </c>
      <c r="AK29" s="34">
        <v>0.4758</v>
      </c>
      <c r="AL29" s="34">
        <v>103.3487583077459</v>
      </c>
      <c r="AM29" s="34">
        <v>0.475800000000004</v>
      </c>
    </row>
    <row r="30" spans="1:39" x14ac:dyDescent="0.25">
      <c r="A30" s="34" t="s">
        <v>281</v>
      </c>
      <c r="B30" s="34" t="s">
        <v>282</v>
      </c>
      <c r="C30" s="34">
        <v>0.41539999999999999</v>
      </c>
      <c r="D30" s="34">
        <v>109.7937469009245</v>
      </c>
      <c r="E30" s="34">
        <v>109.7937469009245</v>
      </c>
      <c r="F30" s="34">
        <v>17836.099999999999</v>
      </c>
      <c r="G30" s="35">
        <v>0.2054</v>
      </c>
      <c r="H30" s="34">
        <v>109.56413384506661</v>
      </c>
      <c r="I30" s="35">
        <v>0.2054</v>
      </c>
      <c r="Q30" s="34">
        <v>1.5761587257864591</v>
      </c>
      <c r="R30" s="34">
        <v>96.839004852964592</v>
      </c>
      <c r="S30" s="34">
        <v>102.1212662340649</v>
      </c>
      <c r="T30" s="34">
        <v>-5.2822613811002981</v>
      </c>
      <c r="U30" s="34">
        <v>-5.1725380774198422E-2</v>
      </c>
      <c r="V30" s="34">
        <v>-0.91149999999999998</v>
      </c>
      <c r="W30" s="34">
        <v>94.467361758355224</v>
      </c>
      <c r="X30" s="34">
        <v>-7.4949173252187196</v>
      </c>
      <c r="AF30" s="34">
        <v>1.9916</v>
      </c>
      <c r="AG30" s="34">
        <v>106.58978384717911</v>
      </c>
      <c r="AH30" s="34">
        <v>106.58978384717911</v>
      </c>
      <c r="AI30" s="34"/>
      <c r="AJ30" s="34">
        <v>0</v>
      </c>
      <c r="AK30" s="34">
        <v>0.68920000000000003</v>
      </c>
      <c r="AL30" s="34">
        <v>105.2286665151383</v>
      </c>
      <c r="AM30" s="34">
        <v>0.68919999999998982</v>
      </c>
    </row>
    <row r="31" spans="1:39" x14ac:dyDescent="0.25">
      <c r="A31" s="34" t="s">
        <v>282</v>
      </c>
      <c r="B31" s="34" t="s">
        <v>283</v>
      </c>
      <c r="C31" s="34">
        <v>1.7911999999999999</v>
      </c>
      <c r="D31" s="34">
        <v>111.7603724954139</v>
      </c>
      <c r="E31" s="34">
        <v>111.7603724954139</v>
      </c>
      <c r="F31" s="34">
        <v>17931</v>
      </c>
      <c r="G31" s="35">
        <v>6.9500000000000006E-2</v>
      </c>
      <c r="H31" s="34">
        <v>109.8700535550207</v>
      </c>
      <c r="I31" s="35">
        <v>6.9499999999989015E-2</v>
      </c>
      <c r="Q31" s="34">
        <v>0.60874377421140013</v>
      </c>
      <c r="R31" s="34">
        <v>97.42850626601529</v>
      </c>
      <c r="S31" s="34">
        <v>102.1212662340649</v>
      </c>
      <c r="T31" s="34">
        <v>-4.6927599680496002</v>
      </c>
      <c r="U31" s="34">
        <v>-4.5952818067234488E-2</v>
      </c>
      <c r="V31" s="34">
        <v>-1.1547000000000001</v>
      </c>
      <c r="W31" s="34">
        <v>95.720804863927412</v>
      </c>
      <c r="X31" s="34">
        <v>-6.2675107802398706</v>
      </c>
      <c r="AF31" s="34">
        <v>2.3999000000000001</v>
      </c>
      <c r="AG31" s="34">
        <v>109.1478320697275</v>
      </c>
      <c r="AH31" s="34">
        <v>109.1478320697275</v>
      </c>
      <c r="AI31" s="34"/>
      <c r="AJ31" s="34">
        <v>0</v>
      </c>
      <c r="AK31" s="34">
        <v>1.1089</v>
      </c>
      <c r="AL31" s="34">
        <v>107.7717579602604</v>
      </c>
      <c r="AM31" s="34">
        <v>1.10889999999999</v>
      </c>
    </row>
    <row r="32" spans="1:39" x14ac:dyDescent="0.25">
      <c r="A32" s="34" t="s">
        <v>283</v>
      </c>
      <c r="B32" s="34" t="s">
        <v>284</v>
      </c>
      <c r="C32" s="34">
        <v>-0.97799999999999998</v>
      </c>
      <c r="D32" s="34">
        <v>110.66735605240871</v>
      </c>
      <c r="E32" s="34">
        <v>111.7603724954139</v>
      </c>
      <c r="F32" s="34">
        <v>18273.099999999999</v>
      </c>
      <c r="G32" s="35">
        <v>-4.8338000000000001</v>
      </c>
      <c r="H32" s="34">
        <v>106.3580996097306</v>
      </c>
      <c r="I32" s="35">
        <v>-4.8337999999999992</v>
      </c>
      <c r="Q32" s="34">
        <v>0.97118595160558974</v>
      </c>
      <c r="R32" s="34">
        <v>98.37471823173</v>
      </c>
      <c r="S32" s="34">
        <v>102.1212662340649</v>
      </c>
      <c r="T32" s="34">
        <v>-3.7465480023348898</v>
      </c>
      <c r="U32" s="34">
        <v>-3.6687245864614471E-2</v>
      </c>
      <c r="V32" s="34">
        <v>-5.4800000000000001E-2</v>
      </c>
      <c r="W32" s="34">
        <v>97.37511544458151</v>
      </c>
      <c r="X32" s="34">
        <v>-4.6475635922933689</v>
      </c>
      <c r="AF32" s="34">
        <v>-6.7999999999999996E-3</v>
      </c>
      <c r="AG32" s="34">
        <v>109.14041001714681</v>
      </c>
      <c r="AH32" s="34">
        <v>109.1478320697275</v>
      </c>
      <c r="AI32" s="34">
        <v>-7.4220525807362492E-3</v>
      </c>
      <c r="AJ32" s="34">
        <v>-6.7999999999952145E-5</v>
      </c>
      <c r="AK32" s="34">
        <v>-2.0221</v>
      </c>
      <c r="AL32" s="34">
        <v>106.94075375744561</v>
      </c>
      <c r="AM32" s="34">
        <v>-2.022100000000004</v>
      </c>
    </row>
    <row r="33" spans="1:39" x14ac:dyDescent="0.25">
      <c r="A33" s="34" t="s">
        <v>284</v>
      </c>
      <c r="B33" s="34" t="s">
        <v>285</v>
      </c>
      <c r="C33" s="34">
        <v>0.17949999999999999</v>
      </c>
      <c r="D33" s="34">
        <v>110.8660039565228</v>
      </c>
      <c r="E33" s="34">
        <v>111.7603724954139</v>
      </c>
      <c r="F33" s="34">
        <v>18115.7</v>
      </c>
      <c r="G33" s="35">
        <v>-0.1497</v>
      </c>
      <c r="H33" s="34">
        <v>110.50168702039829</v>
      </c>
      <c r="I33" s="35">
        <v>-1.1262359340000081</v>
      </c>
      <c r="Q33" s="34">
        <v>-1.14151946166604</v>
      </c>
      <c r="R33" s="34">
        <v>97.251751677755678</v>
      </c>
      <c r="S33" s="34">
        <v>102.1212662340649</v>
      </c>
      <c r="T33" s="34">
        <v>-4.8695145563092126</v>
      </c>
      <c r="U33" s="34">
        <v>-4.768364842978097E-2</v>
      </c>
      <c r="V33" s="34">
        <v>-1.2818000000000001</v>
      </c>
      <c r="W33" s="34">
        <v>97.113751093435681</v>
      </c>
      <c r="X33" s="34">
        <v>-4.9034988747121862</v>
      </c>
      <c r="AF33" s="34">
        <v>-0.96199999999999997</v>
      </c>
      <c r="AG33" s="34">
        <v>108.09047927278191</v>
      </c>
      <c r="AH33" s="34">
        <v>109.1478320697275</v>
      </c>
      <c r="AI33" s="34">
        <v>-1.0573527969456791</v>
      </c>
      <c r="AJ33" s="34">
        <v>-9.6873458399998665E-3</v>
      </c>
      <c r="AK33" s="34">
        <v>-0.96199999999999997</v>
      </c>
      <c r="AL33" s="34">
        <v>108.09047927278191</v>
      </c>
      <c r="AM33" s="34">
        <v>-0.96873458399998613</v>
      </c>
    </row>
    <row r="34" spans="1:39" x14ac:dyDescent="0.25">
      <c r="A34" s="34" t="s">
        <v>285</v>
      </c>
      <c r="B34" s="34" t="s">
        <v>286</v>
      </c>
      <c r="C34" s="34">
        <v>-1.1032</v>
      </c>
      <c r="D34" s="34">
        <v>109.6429302008745</v>
      </c>
      <c r="E34" s="34">
        <v>111.7603724954139</v>
      </c>
      <c r="F34" s="34">
        <v>18169.349999999999</v>
      </c>
      <c r="G34" s="35">
        <v>-3.4460999999999999</v>
      </c>
      <c r="H34" s="34">
        <v>107.0454505941771</v>
      </c>
      <c r="I34" s="35">
        <v>-4.2187779048698966</v>
      </c>
      <c r="Q34" s="34">
        <v>0.95974166475428646</v>
      </c>
      <c r="R34" s="34">
        <v>98.18511725831047</v>
      </c>
      <c r="S34" s="34">
        <v>102.1212662340649</v>
      </c>
      <c r="T34" s="34">
        <v>-3.936148975754421</v>
      </c>
      <c r="U34" s="34">
        <v>-3.8543871623493722E-2</v>
      </c>
      <c r="V34" s="34">
        <v>-5.4499999999999993E-2</v>
      </c>
      <c r="W34" s="34">
        <v>97.198749473091297</v>
      </c>
      <c r="X34" s="34">
        <v>-4.8202660841386802</v>
      </c>
      <c r="AF34" s="34">
        <v>-0.14349999999999999</v>
      </c>
      <c r="AG34" s="34">
        <v>107.93536943502539</v>
      </c>
      <c r="AH34" s="34">
        <v>109.1478320697275</v>
      </c>
      <c r="AI34" s="34">
        <v>-1.212462634702121</v>
      </c>
      <c r="AJ34" s="34">
        <v>-1.110844449871946E-2</v>
      </c>
      <c r="AK34" s="34">
        <v>-1.5316000000000001</v>
      </c>
      <c r="AL34" s="34">
        <v>106.4349654922399</v>
      </c>
      <c r="AM34" s="34">
        <v>-2.4854974451114402</v>
      </c>
    </row>
    <row r="35" spans="1:39" x14ac:dyDescent="0.25">
      <c r="A35" s="34" t="s">
        <v>286</v>
      </c>
      <c r="B35" s="34" t="s">
        <v>287</v>
      </c>
      <c r="C35" s="34">
        <v>-2.7717000000000001</v>
      </c>
      <c r="D35" s="34">
        <v>106.6039571044968</v>
      </c>
      <c r="E35" s="34">
        <v>111.7603724954139</v>
      </c>
      <c r="F35" s="34">
        <v>17990.099999999999</v>
      </c>
      <c r="G35" s="35">
        <v>-3.0558000000000001</v>
      </c>
      <c r="H35" s="34">
        <v>106.29246153979609</v>
      </c>
      <c r="I35" s="35">
        <v>-4.8925310765603802</v>
      </c>
      <c r="Q35" s="34">
        <v>3.3482050816846578</v>
      </c>
      <c r="R35" s="34">
        <v>101.47255634381121</v>
      </c>
      <c r="S35" s="34">
        <v>102.1212662340649</v>
      </c>
      <c r="T35" s="34">
        <v>-0.64870989025364167</v>
      </c>
      <c r="U35" s="34">
        <v>-6.3523486750230833E-3</v>
      </c>
      <c r="V35" s="34">
        <v>-0.1802</v>
      </c>
      <c r="W35" s="34">
        <v>98.008187677010994</v>
      </c>
      <c r="X35" s="34">
        <v>-4.0276415566828154</v>
      </c>
      <c r="AF35" s="34">
        <v>0.57650000000000001</v>
      </c>
      <c r="AG35" s="34">
        <v>108.55761683981839</v>
      </c>
      <c r="AH35" s="34">
        <v>109.1478320697275</v>
      </c>
      <c r="AI35" s="34">
        <v>-0.59021522990919095</v>
      </c>
      <c r="AJ35" s="34">
        <v>-5.4074846812545057E-3</v>
      </c>
      <c r="AK35" s="34">
        <v>0.57650000000000001</v>
      </c>
      <c r="AL35" s="34">
        <v>108.55761683981839</v>
      </c>
      <c r="AM35" s="34">
        <v>-0.54074846812545152</v>
      </c>
    </row>
    <row r="36" spans="1:39" x14ac:dyDescent="0.25">
      <c r="A36" s="34" t="s">
        <v>287</v>
      </c>
      <c r="B36" s="34" t="s">
        <v>249</v>
      </c>
      <c r="C36" s="34">
        <v>-4.1795</v>
      </c>
      <c r="D36" s="34">
        <v>102.1484447173144</v>
      </c>
      <c r="E36" s="34">
        <v>111.7603724954139</v>
      </c>
      <c r="F36" s="34">
        <v>17512.45</v>
      </c>
      <c r="G36" s="35">
        <v>-4.8962000000000003</v>
      </c>
      <c r="H36" s="34">
        <v>101.3844141567465</v>
      </c>
      <c r="I36" s="35">
        <v>-9.2841121651533687</v>
      </c>
      <c r="Q36" s="34">
        <v>4.9282870231622207</v>
      </c>
      <c r="R36" s="34">
        <v>106.47341517017431</v>
      </c>
      <c r="S36" s="34">
        <v>106.47341517017431</v>
      </c>
      <c r="T36" s="34"/>
      <c r="U36" s="34">
        <v>0</v>
      </c>
      <c r="V36" s="34">
        <v>0.1759</v>
      </c>
      <c r="W36" s="34">
        <v>101.65104657041999</v>
      </c>
      <c r="X36" s="34">
        <v>-0.46045224563423531</v>
      </c>
      <c r="AF36" s="34">
        <v>0.74880000000000002</v>
      </c>
      <c r="AG36" s="34">
        <v>109.3704962747149</v>
      </c>
      <c r="AH36" s="34">
        <v>109.3704962747149</v>
      </c>
      <c r="AI36" s="34"/>
      <c r="AJ36" s="34">
        <v>0</v>
      </c>
      <c r="AK36" s="34">
        <v>0.13450000000000001</v>
      </c>
      <c r="AL36" s="34">
        <v>108.7036268344679</v>
      </c>
      <c r="AM36" s="34">
        <v>-0.40697577481508818</v>
      </c>
    </row>
    <row r="37" spans="1:39" x14ac:dyDescent="0.25">
      <c r="A37" s="34" t="s">
        <v>251</v>
      </c>
      <c r="B37" s="34" t="s">
        <v>288</v>
      </c>
      <c r="C37" s="34">
        <v>1.2103999999999999</v>
      </c>
      <c r="D37" s="34">
        <v>101.21040000000001</v>
      </c>
      <c r="E37" s="34">
        <v>101.21040000000001</v>
      </c>
      <c r="F37" s="34">
        <v>29634.25</v>
      </c>
      <c r="G37" s="35">
        <v>-2.7199999999999998E-2</v>
      </c>
      <c r="H37" s="34">
        <v>99.972799999999992</v>
      </c>
      <c r="I37" s="35">
        <v>-2.7200000000005001E-2</v>
      </c>
      <c r="Q37" s="34">
        <v>-0.95872248043943875</v>
      </c>
      <c r="R37" s="34">
        <v>99.041277519560566</v>
      </c>
      <c r="S37" s="34">
        <v>100</v>
      </c>
      <c r="T37" s="34">
        <v>-0.95872248043943387</v>
      </c>
      <c r="U37" s="34">
        <v>-9.5872248043943394E-3</v>
      </c>
      <c r="V37" s="34">
        <v>-1.2437</v>
      </c>
      <c r="W37" s="34">
        <v>98.756299999999996</v>
      </c>
      <c r="X37" s="34">
        <v>-1.2437000000000029</v>
      </c>
      <c r="AF37" s="34">
        <v>0.25169999999999998</v>
      </c>
      <c r="AG37" s="34">
        <v>100.2517</v>
      </c>
      <c r="AH37" s="34">
        <v>100.2517</v>
      </c>
      <c r="AI37" s="34"/>
      <c r="AJ37" s="34">
        <v>0</v>
      </c>
      <c r="AK37" s="34">
        <v>0.14649999999999999</v>
      </c>
      <c r="AL37" s="34">
        <v>100.1465</v>
      </c>
      <c r="AM37" s="34">
        <v>0.14650000000000499</v>
      </c>
    </row>
    <row r="38" spans="1:39" x14ac:dyDescent="0.25">
      <c r="A38" s="34" t="s">
        <v>288</v>
      </c>
      <c r="B38" s="34" t="s">
        <v>289</v>
      </c>
      <c r="C38" s="34">
        <v>0.88690000000000002</v>
      </c>
      <c r="D38" s="34">
        <v>102.1080350376</v>
      </c>
      <c r="E38" s="34">
        <v>102.1080350376</v>
      </c>
      <c r="F38" s="34">
        <v>30017.65</v>
      </c>
      <c r="G38" s="35">
        <v>-1.2114</v>
      </c>
      <c r="H38" s="34">
        <v>99.9843372144</v>
      </c>
      <c r="I38" s="35">
        <v>-1.211399999999996</v>
      </c>
      <c r="Q38" s="34">
        <v>-0.29157788493888082</v>
      </c>
      <c r="R38" s="34">
        <v>98.75249505735259</v>
      </c>
      <c r="S38" s="34">
        <v>100</v>
      </c>
      <c r="T38" s="34">
        <v>-1.2475049426474101</v>
      </c>
      <c r="U38" s="34">
        <v>-1.2475049426474099E-2</v>
      </c>
      <c r="V38" s="34">
        <v>-0.59240000000000004</v>
      </c>
      <c r="W38" s="34">
        <v>98.454556991534687</v>
      </c>
      <c r="X38" s="34">
        <v>-1.5454430084653079</v>
      </c>
      <c r="AF38" s="34">
        <v>0.59530000000000005</v>
      </c>
      <c r="AG38" s="34">
        <v>100.8484983701</v>
      </c>
      <c r="AH38" s="34">
        <v>100.8484983701</v>
      </c>
      <c r="AI38" s="34"/>
      <c r="AJ38" s="34">
        <v>0</v>
      </c>
      <c r="AK38" s="34">
        <v>-0.1857</v>
      </c>
      <c r="AL38" s="34">
        <v>100.0655325931</v>
      </c>
      <c r="AM38" s="34">
        <v>-0.18569999999999981</v>
      </c>
    </row>
    <row r="39" spans="1:39" x14ac:dyDescent="0.25">
      <c r="A39" s="34" t="s">
        <v>289</v>
      </c>
      <c r="B39" s="34" t="s">
        <v>290</v>
      </c>
      <c r="C39" s="34">
        <v>3.4537</v>
      </c>
      <c r="D39" s="34">
        <v>105.63454024369361</v>
      </c>
      <c r="E39" s="34">
        <v>105.63454024369361</v>
      </c>
      <c r="F39" s="34">
        <v>30318.9</v>
      </c>
      <c r="G39" s="35">
        <v>0.64419999999999999</v>
      </c>
      <c r="H39" s="34">
        <v>102.7658149993122</v>
      </c>
      <c r="I39" s="35">
        <v>0.64420000000000588</v>
      </c>
      <c r="Q39" s="34">
        <v>-2.6225067366229911</v>
      </c>
      <c r="R39" s="34">
        <v>96.162704221890237</v>
      </c>
      <c r="S39" s="34">
        <v>100</v>
      </c>
      <c r="T39" s="34">
        <v>-3.837295778109763</v>
      </c>
      <c r="U39" s="34">
        <v>-3.8372957781097623E-2</v>
      </c>
      <c r="V39" s="34">
        <v>-2.7376999999999998</v>
      </c>
      <c r="W39" s="34">
        <v>96.048948000167456</v>
      </c>
      <c r="X39" s="34">
        <v>-3.951051999832544</v>
      </c>
      <c r="AF39" s="34">
        <v>0.83120000000000005</v>
      </c>
      <c r="AG39" s="34">
        <v>101.6867510885523</v>
      </c>
      <c r="AH39" s="34">
        <v>101.6867510885523</v>
      </c>
      <c r="AI39" s="34"/>
      <c r="AJ39" s="34">
        <v>0</v>
      </c>
      <c r="AK39" s="34">
        <v>0.42920000000000003</v>
      </c>
      <c r="AL39" s="34">
        <v>101.28134012510451</v>
      </c>
      <c r="AM39" s="34">
        <v>0.42919999999999631</v>
      </c>
    </row>
    <row r="40" spans="1:39" x14ac:dyDescent="0.25">
      <c r="A40" s="34" t="s">
        <v>290</v>
      </c>
      <c r="B40" s="34" t="s">
        <v>291</v>
      </c>
      <c r="C40" s="34">
        <v>-1.5195000000000001</v>
      </c>
      <c r="D40" s="34">
        <v>104.0294234046907</v>
      </c>
      <c r="E40" s="34">
        <v>105.63454024369361</v>
      </c>
      <c r="F40" s="34">
        <v>31401.4</v>
      </c>
      <c r="G40" s="35">
        <v>-4.2449000000000003</v>
      </c>
      <c r="H40" s="34">
        <v>101.150459644889</v>
      </c>
      <c r="I40" s="35">
        <v>-4.2448999999999959</v>
      </c>
      <c r="Q40" s="34">
        <v>1.859927274753751</v>
      </c>
      <c r="R40" s="34">
        <v>97.951260585853944</v>
      </c>
      <c r="S40" s="34">
        <v>100</v>
      </c>
      <c r="T40" s="34">
        <v>-2.048739414146056</v>
      </c>
      <c r="U40" s="34">
        <v>-2.0487394141460551E-2</v>
      </c>
      <c r="V40" s="34">
        <v>-9.3599999999999989E-2</v>
      </c>
      <c r="W40" s="34">
        <v>96.072695930738547</v>
      </c>
      <c r="X40" s="34">
        <v>-3.9273040692614498</v>
      </c>
      <c r="AF40" s="34">
        <v>0.34039999999999998</v>
      </c>
      <c r="AG40" s="34">
        <v>102.0328927892577</v>
      </c>
      <c r="AH40" s="34">
        <v>102.0328927892577</v>
      </c>
      <c r="AI40" s="34"/>
      <c r="AJ40" s="34">
        <v>0</v>
      </c>
      <c r="AK40" s="34">
        <v>-1.8011999999999999</v>
      </c>
      <c r="AL40" s="34">
        <v>99.855169327945291</v>
      </c>
      <c r="AM40" s="34">
        <v>-1.801200000000003</v>
      </c>
    </row>
    <row r="41" spans="1:39" x14ac:dyDescent="0.25">
      <c r="A41" s="34" t="s">
        <v>291</v>
      </c>
      <c r="B41" s="34" t="s">
        <v>292</v>
      </c>
      <c r="C41" s="34">
        <v>1.5821000000000001</v>
      </c>
      <c r="D41" s="34">
        <v>105.6752729123763</v>
      </c>
      <c r="E41" s="34">
        <v>105.6752729123763</v>
      </c>
      <c r="F41" s="34">
        <v>30960.9</v>
      </c>
      <c r="G41" s="35">
        <v>-2.3875000000000002</v>
      </c>
      <c r="H41" s="34">
        <v>101.5457209209037</v>
      </c>
      <c r="I41" s="35">
        <v>-3.8707219374999879</v>
      </c>
      <c r="Q41" s="34">
        <v>-0.55041337805560364</v>
      </c>
      <c r="R41" s="34">
        <v>97.412123743615297</v>
      </c>
      <c r="S41" s="34">
        <v>100</v>
      </c>
      <c r="T41" s="34">
        <v>-2.5878762563847029</v>
      </c>
      <c r="U41" s="34">
        <v>-2.5878762563847031E-2</v>
      </c>
      <c r="V41" s="34">
        <v>-0.75540000000000007</v>
      </c>
      <c r="W41" s="34">
        <v>97.211336763388402</v>
      </c>
      <c r="X41" s="34">
        <v>-2.7886632366115989</v>
      </c>
      <c r="AF41" s="34">
        <v>1.0317000000000001</v>
      </c>
      <c r="AG41" s="34">
        <v>103.0855661441645</v>
      </c>
      <c r="AH41" s="34">
        <v>103.0855661441645</v>
      </c>
      <c r="AI41" s="34"/>
      <c r="AJ41" s="34">
        <v>0</v>
      </c>
      <c r="AK41" s="34">
        <v>-0.35880000000000001</v>
      </c>
      <c r="AL41" s="34">
        <v>101.6667987699299</v>
      </c>
      <c r="AM41" s="34">
        <v>-0.35880000000000362</v>
      </c>
    </row>
    <row r="42" spans="1:39" x14ac:dyDescent="0.25">
      <c r="A42" s="34" t="s">
        <v>292</v>
      </c>
      <c r="B42" s="34" t="s">
        <v>293</v>
      </c>
      <c r="C42" s="34">
        <v>1.0859000000000001</v>
      </c>
      <c r="D42" s="34">
        <v>106.82280070093179</v>
      </c>
      <c r="E42" s="34">
        <v>106.82280070093179</v>
      </c>
      <c r="F42" s="34">
        <v>31481.7</v>
      </c>
      <c r="G42" s="35">
        <v>-0.85670000000000002</v>
      </c>
      <c r="H42" s="34">
        <v>104.76995284933599</v>
      </c>
      <c r="I42" s="35">
        <v>-0.85669999999999913</v>
      </c>
      <c r="Q42" s="34">
        <v>1.2455445879060549</v>
      </c>
      <c r="R42" s="34">
        <v>98.62543517886823</v>
      </c>
      <c r="S42" s="34">
        <v>100</v>
      </c>
      <c r="T42" s="34">
        <v>-1.37456482113177</v>
      </c>
      <c r="U42" s="34">
        <v>-1.37456482113177E-2</v>
      </c>
      <c r="V42" s="34">
        <v>0.37530000000000002</v>
      </c>
      <c r="W42" s="34">
        <v>97.777711444025073</v>
      </c>
      <c r="X42" s="34">
        <v>-2.2222885559749268</v>
      </c>
      <c r="AF42" s="34">
        <v>2.3313999999999999</v>
      </c>
      <c r="AG42" s="34">
        <v>105.4889030332495</v>
      </c>
      <c r="AH42" s="34">
        <v>105.4889030332495</v>
      </c>
      <c r="AI42" s="34"/>
      <c r="AJ42" s="34">
        <v>0</v>
      </c>
      <c r="AK42" s="34">
        <v>0.85929999999999995</v>
      </c>
      <c r="AL42" s="34">
        <v>103.97138041404131</v>
      </c>
      <c r="AM42" s="34">
        <v>0.85930000000000728</v>
      </c>
    </row>
    <row r="43" spans="1:39" x14ac:dyDescent="0.25">
      <c r="A43" s="34" t="s">
        <v>293</v>
      </c>
      <c r="B43" s="34" t="s">
        <v>294</v>
      </c>
      <c r="C43" s="34">
        <v>1.5732999999999999</v>
      </c>
      <c r="D43" s="34">
        <v>108.50344382435949</v>
      </c>
      <c r="E43" s="34">
        <v>108.50344382435949</v>
      </c>
      <c r="F43" s="34">
        <v>31865.55</v>
      </c>
      <c r="G43" s="35">
        <v>-4.82E-2</v>
      </c>
      <c r="H43" s="34">
        <v>106.7713121109939</v>
      </c>
      <c r="I43" s="35">
        <v>-4.8199999999998237E-2</v>
      </c>
      <c r="Q43" s="34">
        <v>-3.191598011847212</v>
      </c>
      <c r="R43" s="34">
        <v>95.47770775052382</v>
      </c>
      <c r="S43" s="34">
        <v>100</v>
      </c>
      <c r="T43" s="34">
        <v>-4.5222922494761804</v>
      </c>
      <c r="U43" s="34">
        <v>-4.5222922494761807E-2</v>
      </c>
      <c r="V43" s="34">
        <v>-3.3111000000000002</v>
      </c>
      <c r="W43" s="34">
        <v>95.35984839466073</v>
      </c>
      <c r="X43" s="34">
        <v>-4.6401516053392724</v>
      </c>
      <c r="AF43" s="34">
        <v>-1.6183000000000001</v>
      </c>
      <c r="AG43" s="34">
        <v>103.78177611546251</v>
      </c>
      <c r="AH43" s="34">
        <v>105.4889030332495</v>
      </c>
      <c r="AI43" s="34">
        <v>-1.7071269177870649</v>
      </c>
      <c r="AJ43" s="34">
        <v>-1.6182999999999882E-2</v>
      </c>
      <c r="AK43" s="34">
        <v>-1.6183000000000001</v>
      </c>
      <c r="AL43" s="34">
        <v>103.78177611546251</v>
      </c>
      <c r="AM43" s="34">
        <v>-1.6182999999999841</v>
      </c>
    </row>
    <row r="44" spans="1:39" x14ac:dyDescent="0.25">
      <c r="A44" s="34" t="s">
        <v>294</v>
      </c>
      <c r="B44" s="34" t="s">
        <v>295</v>
      </c>
      <c r="C44" s="34">
        <v>-0.34689999999999999</v>
      </c>
      <c r="D44" s="34">
        <v>108.1270453777328</v>
      </c>
      <c r="E44" s="34">
        <v>108.50344382435949</v>
      </c>
      <c r="F44" s="34">
        <v>32398.75</v>
      </c>
      <c r="G44" s="35">
        <v>-1.4676</v>
      </c>
      <c r="H44" s="34">
        <v>106.91104728279321</v>
      </c>
      <c r="I44" s="35">
        <v>-1.467600000000002</v>
      </c>
      <c r="Q44" s="34">
        <v>0.4897606813484191</v>
      </c>
      <c r="R44" s="34">
        <v>95.945320022538652</v>
      </c>
      <c r="S44" s="34">
        <v>100</v>
      </c>
      <c r="T44" s="34">
        <v>-4.0546799774613476</v>
      </c>
      <c r="U44" s="34">
        <v>-4.0546799774613479E-2</v>
      </c>
      <c r="V44" s="34">
        <v>1.9300000000000001E-2</v>
      </c>
      <c r="W44" s="34">
        <v>95.496134948119675</v>
      </c>
      <c r="X44" s="34">
        <v>-4.5038650518803287</v>
      </c>
      <c r="AF44" s="34">
        <v>0.1429</v>
      </c>
      <c r="AG44" s="34">
        <v>103.9300802735315</v>
      </c>
      <c r="AH44" s="34">
        <v>105.4889030332495</v>
      </c>
      <c r="AI44" s="34">
        <v>-1.558822759718083</v>
      </c>
      <c r="AJ44" s="34">
        <v>-1.477712550700002E-2</v>
      </c>
      <c r="AK44" s="34">
        <v>-0.29380000000000001</v>
      </c>
      <c r="AL44" s="34">
        <v>103.4768652572352</v>
      </c>
      <c r="AM44" s="34">
        <v>-1.9073454345999941</v>
      </c>
    </row>
    <row r="45" spans="1:39" x14ac:dyDescent="0.25">
      <c r="A45" s="34" t="s">
        <v>295</v>
      </c>
      <c r="B45" s="34" t="s">
        <v>296</v>
      </c>
      <c r="C45" s="34">
        <v>-1.8913</v>
      </c>
      <c r="D45" s="34">
        <v>106.0820385685038</v>
      </c>
      <c r="E45" s="34">
        <v>108.50344382435949</v>
      </c>
      <c r="F45" s="34">
        <v>32291.75</v>
      </c>
      <c r="G45" s="35">
        <v>-3.5091000000000001</v>
      </c>
      <c r="H45" s="34">
        <v>104.3327592283828</v>
      </c>
      <c r="I45" s="35">
        <v>-3.8438269320999812</v>
      </c>
      <c r="Q45" s="34">
        <v>1.883496493786017</v>
      </c>
      <c r="R45" s="34">
        <v>97.752446761114939</v>
      </c>
      <c r="S45" s="34">
        <v>100</v>
      </c>
      <c r="T45" s="34">
        <v>-2.247553238885061</v>
      </c>
      <c r="U45" s="34">
        <v>-2.2475532388850611E-2</v>
      </c>
      <c r="V45" s="34">
        <v>-0.3805</v>
      </c>
      <c r="W45" s="34">
        <v>95.580248079852893</v>
      </c>
      <c r="X45" s="34">
        <v>-4.4197519201471076</v>
      </c>
      <c r="AF45" s="34">
        <v>-7.7999999999999996E-3</v>
      </c>
      <c r="AG45" s="34">
        <v>103.9219737272701</v>
      </c>
      <c r="AH45" s="34">
        <v>105.4889030332495</v>
      </c>
      <c r="AI45" s="34">
        <v>-1.566929305979414</v>
      </c>
      <c r="AJ45" s="34">
        <v>-1.485397289121043E-2</v>
      </c>
      <c r="AK45" s="34">
        <v>-0.60050000000000003</v>
      </c>
      <c r="AL45" s="34">
        <v>103.3059801414889</v>
      </c>
      <c r="AM45" s="34">
        <v>-2.0693388868330498</v>
      </c>
    </row>
    <row r="46" spans="1:39" x14ac:dyDescent="0.25">
      <c r="A46" s="34" t="s">
        <v>296</v>
      </c>
      <c r="B46" s="34" t="s">
        <v>297</v>
      </c>
      <c r="C46" s="34">
        <v>-5.3266999999999998</v>
      </c>
      <c r="D46" s="34">
        <v>100.43136662007529</v>
      </c>
      <c r="E46" s="34">
        <v>108.50344382435949</v>
      </c>
      <c r="F46" s="34">
        <v>31718.7</v>
      </c>
      <c r="G46" s="35">
        <v>-5.8926999999999996</v>
      </c>
      <c r="H46" s="34">
        <v>99.830942281777567</v>
      </c>
      <c r="I46" s="35">
        <v>-7.9928352842151504</v>
      </c>
      <c r="Q46" s="34">
        <v>4.5207369760728291</v>
      </c>
      <c r="R46" s="34">
        <v>102.17157776686059</v>
      </c>
      <c r="S46" s="34">
        <v>102.17157776686059</v>
      </c>
      <c r="T46" s="34"/>
      <c r="U46" s="34">
        <v>0</v>
      </c>
      <c r="V46" s="34">
        <v>6.3799999999999996E-2</v>
      </c>
      <c r="W46" s="34">
        <v>97.814812822148525</v>
      </c>
      <c r="X46" s="34">
        <v>-2.185187177851478</v>
      </c>
      <c r="AF46" s="34">
        <v>-0.80600000000000005</v>
      </c>
      <c r="AG46" s="34">
        <v>103.0843626190283</v>
      </c>
      <c r="AH46" s="34">
        <v>105.4889030332495</v>
      </c>
      <c r="AI46" s="34">
        <v>-2.4045404142212021</v>
      </c>
      <c r="AJ46" s="34">
        <v>-2.279424986970718E-2</v>
      </c>
      <c r="AK46" s="34">
        <v>-1.2148000000000001</v>
      </c>
      <c r="AL46" s="34">
        <v>102.65952959043121</v>
      </c>
      <c r="AM46" s="34">
        <v>-2.6821526828528008</v>
      </c>
    </row>
    <row r="47" spans="1:39" x14ac:dyDescent="0.25">
      <c r="A47" s="34" t="s">
        <v>297</v>
      </c>
      <c r="B47" s="34" t="s">
        <v>298</v>
      </c>
      <c r="C47" s="34">
        <v>3.3073000000000001</v>
      </c>
      <c r="D47" s="34">
        <v>103.752933208301</v>
      </c>
      <c r="E47" s="34">
        <v>108.50344382435949</v>
      </c>
      <c r="F47" s="34">
        <v>30066.15</v>
      </c>
      <c r="G47" s="35">
        <v>-0.65569999999999995</v>
      </c>
      <c r="H47" s="34">
        <v>99.772838149147475</v>
      </c>
      <c r="I47" s="35">
        <v>-8.0463857804778716</v>
      </c>
      <c r="Q47" s="34">
        <v>-2.9960969475519921</v>
      </c>
      <c r="R47" s="34">
        <v>99.110418244121945</v>
      </c>
      <c r="S47" s="34">
        <v>102.17157776686059</v>
      </c>
      <c r="T47" s="34">
        <v>-3.0611595227386199</v>
      </c>
      <c r="U47" s="34">
        <v>-2.9960969475519929E-2</v>
      </c>
      <c r="V47" s="34">
        <v>-3.1414</v>
      </c>
      <c r="W47" s="34">
        <v>98.961959822892396</v>
      </c>
      <c r="X47" s="34">
        <v>-3.141400000000016</v>
      </c>
      <c r="AF47" s="34">
        <v>0.31119999999999998</v>
      </c>
      <c r="AG47" s="34">
        <v>103.4051611554988</v>
      </c>
      <c r="AH47" s="34">
        <v>105.4889030332495</v>
      </c>
      <c r="AI47" s="34">
        <v>-2.0837418777507821</v>
      </c>
      <c r="AJ47" s="34">
        <v>-1.9753185575301681E-2</v>
      </c>
      <c r="AK47" s="34">
        <v>0.2586</v>
      </c>
      <c r="AL47" s="34">
        <v>103.3509387807611</v>
      </c>
      <c r="AM47" s="34">
        <v>-2.0267195799870348</v>
      </c>
    </row>
    <row r="48" spans="1:39" x14ac:dyDescent="0.25">
      <c r="A48" s="34" t="s">
        <v>298</v>
      </c>
      <c r="B48" s="34" t="s">
        <v>299</v>
      </c>
      <c r="C48" s="34">
        <v>-1.2078</v>
      </c>
      <c r="D48" s="34">
        <v>102.49980528101121</v>
      </c>
      <c r="E48" s="34">
        <v>108.50344382435949</v>
      </c>
      <c r="F48" s="34">
        <v>31090.6</v>
      </c>
      <c r="G48" s="35">
        <v>-2.5238999999999998</v>
      </c>
      <c r="H48" s="34">
        <v>101.1343129270567</v>
      </c>
      <c r="I48" s="35">
        <v>-6.7916101439430943</v>
      </c>
      <c r="Q48" s="34">
        <v>1.2761732747491941</v>
      </c>
      <c r="R48" s="34">
        <v>100.3752389142456</v>
      </c>
      <c r="S48" s="34">
        <v>102.17157776686059</v>
      </c>
      <c r="T48" s="34">
        <v>-1.7963388526149799</v>
      </c>
      <c r="U48" s="34">
        <v>-1.758159061333028E-2</v>
      </c>
      <c r="V48" s="34">
        <v>-0.82000000000000006</v>
      </c>
      <c r="W48" s="34">
        <v>98.297712814520153</v>
      </c>
      <c r="X48" s="34">
        <v>-3.7915289525820568</v>
      </c>
      <c r="AF48" s="34">
        <v>6.8400000000000002E-2</v>
      </c>
      <c r="AG48" s="34">
        <v>103.47589028572909</v>
      </c>
      <c r="AH48" s="34">
        <v>105.4889030332495</v>
      </c>
      <c r="AI48" s="34">
        <v>-2.0130127475204351</v>
      </c>
      <c r="AJ48" s="34">
        <v>-1.9082696754235309E-2</v>
      </c>
      <c r="AK48" s="34">
        <v>-0.63270000000000004</v>
      </c>
      <c r="AL48" s="34">
        <v>102.7509167008679</v>
      </c>
      <c r="AM48" s="34">
        <v>-2.595520717016675</v>
      </c>
    </row>
    <row r="49" spans="1:39" x14ac:dyDescent="0.25">
      <c r="A49" s="34" t="s">
        <v>299</v>
      </c>
      <c r="B49" s="34" t="s">
        <v>300</v>
      </c>
      <c r="C49" s="34">
        <v>0.39240000000000003</v>
      </c>
      <c r="D49" s="34">
        <v>102.9020145169339</v>
      </c>
      <c r="E49" s="34">
        <v>108.50344382435949</v>
      </c>
      <c r="F49" s="34">
        <v>30756.55</v>
      </c>
      <c r="G49" s="35">
        <v>-1.9683999999999999</v>
      </c>
      <c r="H49" s="34">
        <v>100.48219911385971</v>
      </c>
      <c r="I49" s="35">
        <v>-7.3926176237172792</v>
      </c>
      <c r="Q49" s="34">
        <v>-2.5899927585320852</v>
      </c>
      <c r="R49" s="34">
        <v>97.775527495007339</v>
      </c>
      <c r="S49" s="34">
        <v>102.17157776686059</v>
      </c>
      <c r="T49" s="34">
        <v>-4.3960502718532268</v>
      </c>
      <c r="U49" s="34">
        <v>-4.3026156274931178E-2</v>
      </c>
      <c r="V49" s="34">
        <v>-2.8906999999999998</v>
      </c>
      <c r="W49" s="34">
        <v>97.473691882951485</v>
      </c>
      <c r="X49" s="34">
        <v>-4.5980359573470793</v>
      </c>
      <c r="AF49" s="34">
        <v>-2.1976</v>
      </c>
      <c r="AG49" s="34">
        <v>101.2019041208099</v>
      </c>
      <c r="AH49" s="34">
        <v>105.4889030332495</v>
      </c>
      <c r="AI49" s="34">
        <v>-4.2869989124396142</v>
      </c>
      <c r="AJ49" s="34">
        <v>-4.0639335410364207E-2</v>
      </c>
      <c r="AK49" s="34">
        <v>-2.1976</v>
      </c>
      <c r="AL49" s="34">
        <v>101.2019041208099</v>
      </c>
      <c r="AM49" s="34">
        <v>-4.0639335410364241</v>
      </c>
    </row>
    <row r="50" spans="1:39" x14ac:dyDescent="0.25">
      <c r="A50" s="34" t="s">
        <v>300</v>
      </c>
      <c r="B50" s="34" t="s">
        <v>301</v>
      </c>
      <c r="C50" s="34">
        <v>0.23069999999999999</v>
      </c>
      <c r="D50" s="34">
        <v>103.1394094644244</v>
      </c>
      <c r="E50" s="34">
        <v>108.50344382435949</v>
      </c>
      <c r="F50" s="34">
        <v>30908</v>
      </c>
      <c r="G50" s="35">
        <v>-3.6200000000000003E-2</v>
      </c>
      <c r="H50" s="34">
        <v>102.8647639876787</v>
      </c>
      <c r="I50" s="35">
        <v>-5.1967749943572557</v>
      </c>
      <c r="Q50" s="34">
        <v>0.1203754800008006</v>
      </c>
      <c r="R50" s="34">
        <v>97.893225255552778</v>
      </c>
      <c r="S50" s="34">
        <v>102.17157776686059</v>
      </c>
      <c r="T50" s="34">
        <v>-4.2783525113077872</v>
      </c>
      <c r="U50" s="34">
        <v>-4.1874194417064921E-2</v>
      </c>
      <c r="V50" s="34">
        <v>-0.56719999999999993</v>
      </c>
      <c r="W50" s="34">
        <v>97.22094470305565</v>
      </c>
      <c r="X50" s="34">
        <v>-4.845411191653981</v>
      </c>
      <c r="AF50" s="34">
        <v>0.35110000000000002</v>
      </c>
      <c r="AG50" s="34">
        <v>101.5572240061781</v>
      </c>
      <c r="AH50" s="34">
        <v>105.4889030332495</v>
      </c>
      <c r="AI50" s="34">
        <v>-3.9316790270714388</v>
      </c>
      <c r="AJ50" s="34">
        <v>-3.7271020116989878E-2</v>
      </c>
      <c r="AK50" s="34">
        <v>-8.3999999999999995E-3</v>
      </c>
      <c r="AL50" s="34">
        <v>101.1934031608638</v>
      </c>
      <c r="AM50" s="34">
        <v>-4.0719921706189766</v>
      </c>
    </row>
    <row r="51" spans="1:39" x14ac:dyDescent="0.25">
      <c r="A51" s="34" t="s">
        <v>301</v>
      </c>
      <c r="B51" s="34" t="s">
        <v>302</v>
      </c>
      <c r="C51" s="34">
        <v>-0.1056</v>
      </c>
      <c r="D51" s="34">
        <v>103.03049424803</v>
      </c>
      <c r="E51" s="34">
        <v>108.50344382435949</v>
      </c>
      <c r="F51" s="34">
        <v>30984.45</v>
      </c>
      <c r="G51" s="35">
        <v>-1.2666999999999999</v>
      </c>
      <c r="H51" s="34">
        <v>101.8329425647386</v>
      </c>
      <c r="I51" s="35">
        <v>-6.1477322972521069</v>
      </c>
      <c r="Q51" s="34">
        <v>-0.71064540535910581</v>
      </c>
      <c r="R51" s="34">
        <v>97.197551548116351</v>
      </c>
      <c r="S51" s="34">
        <v>102.17157776686059</v>
      </c>
      <c r="T51" s="34">
        <v>-4.9740262187442141</v>
      </c>
      <c r="U51" s="34">
        <v>-4.8683071431999979E-2</v>
      </c>
      <c r="V51" s="34">
        <v>-1.8764000000000001</v>
      </c>
      <c r="W51" s="34">
        <v>96.056356776857584</v>
      </c>
      <c r="X51" s="34">
        <v>-5.985246703302316</v>
      </c>
      <c r="AF51" s="34">
        <v>-0.81620000000000004</v>
      </c>
      <c r="AG51" s="34">
        <v>100.72831394383969</v>
      </c>
      <c r="AH51" s="34">
        <v>105.4889030332495</v>
      </c>
      <c r="AI51" s="34">
        <v>-4.7605890894098621</v>
      </c>
      <c r="AJ51" s="34">
        <v>-4.5128814050794989E-2</v>
      </c>
      <c r="AK51" s="34">
        <v>-1.5638000000000001</v>
      </c>
      <c r="AL51" s="34">
        <v>99.969072137169491</v>
      </c>
      <c r="AM51" s="34">
        <v>-5.2326175904400358</v>
      </c>
    </row>
    <row r="52" spans="1:39" x14ac:dyDescent="0.25">
      <c r="A52" s="34" t="s">
        <v>302</v>
      </c>
      <c r="B52" s="34" t="s">
        <v>303</v>
      </c>
      <c r="C52" s="34">
        <v>1.3511</v>
      </c>
      <c r="D52" s="34">
        <v>104.4225392558152</v>
      </c>
      <c r="E52" s="34">
        <v>108.50344382435949</v>
      </c>
      <c r="F52" s="34">
        <v>30982.7</v>
      </c>
      <c r="G52" s="35">
        <v>-0.22900000000000001</v>
      </c>
      <c r="H52" s="34">
        <v>102.794554416202</v>
      </c>
      <c r="I52" s="35">
        <v>-5.2614822229963494</v>
      </c>
      <c r="Q52" s="34">
        <v>-1.850608987701309</v>
      </c>
      <c r="R52" s="34">
        <v>95.398804923341302</v>
      </c>
      <c r="S52" s="34">
        <v>102.17157776686059</v>
      </c>
      <c r="T52" s="34">
        <v>-6.7727728435192631</v>
      </c>
      <c r="U52" s="34">
        <v>-6.6288228013603387E-2</v>
      </c>
      <c r="V52" s="34">
        <v>-1.9494</v>
      </c>
      <c r="W52" s="34">
        <v>95.302782478237376</v>
      </c>
      <c r="X52" s="34">
        <v>-6.7228043637504564</v>
      </c>
      <c r="AF52" s="34">
        <v>-0.4995</v>
      </c>
      <c r="AG52" s="34">
        <v>100.2251760156902</v>
      </c>
      <c r="AH52" s="34">
        <v>105.4889030332495</v>
      </c>
      <c r="AI52" s="34">
        <v>-5.2637270175593329</v>
      </c>
      <c r="AJ52" s="34">
        <v>-4.9898395624611187E-2</v>
      </c>
      <c r="AK52" s="34">
        <v>-0.52669999999999995</v>
      </c>
      <c r="AL52" s="34">
        <v>100.1977779142975</v>
      </c>
      <c r="AM52" s="34">
        <v>-5.0158120587189492</v>
      </c>
    </row>
    <row r="53" spans="1:39" x14ac:dyDescent="0.25">
      <c r="A53" s="34" t="s">
        <v>303</v>
      </c>
      <c r="B53" s="34" t="s">
        <v>304</v>
      </c>
      <c r="C53" s="34">
        <v>0.75470000000000004</v>
      </c>
      <c r="D53" s="34">
        <v>105.21061615957881</v>
      </c>
      <c r="E53" s="34">
        <v>108.50344382435949</v>
      </c>
      <c r="F53" s="34">
        <v>31432.3</v>
      </c>
      <c r="G53" s="35">
        <v>0.2329</v>
      </c>
      <c r="H53" s="34">
        <v>104.665739349742</v>
      </c>
      <c r="I53" s="35">
        <v>-3.5369425516390658</v>
      </c>
      <c r="Q53" s="34">
        <v>-0.31228833790430932</v>
      </c>
      <c r="R53" s="34">
        <v>95.100885581065626</v>
      </c>
      <c r="S53" s="34">
        <v>102.17157776686059</v>
      </c>
      <c r="T53" s="34">
        <v>-7.0706921857949396</v>
      </c>
      <c r="U53" s="34">
        <v>-6.9204100987156569E-2</v>
      </c>
      <c r="V53" s="34">
        <v>-0.85389999999999999</v>
      </c>
      <c r="W53" s="34">
        <v>94.584194528100895</v>
      </c>
      <c r="X53" s="34">
        <v>-7.4261192834595207</v>
      </c>
      <c r="AF53" s="34">
        <v>0.44240000000000002</v>
      </c>
      <c r="AG53" s="34">
        <v>100.6685721943836</v>
      </c>
      <c r="AH53" s="34">
        <v>105.4889030332495</v>
      </c>
      <c r="AI53" s="34">
        <v>-4.8203308388659281</v>
      </c>
      <c r="AJ53" s="34">
        <v>-4.5695146126854547E-2</v>
      </c>
      <c r="AK53" s="34">
        <v>0.1085</v>
      </c>
      <c r="AL53" s="34">
        <v>100.3339203316672</v>
      </c>
      <c r="AM53" s="34">
        <v>-4.8867535383863903</v>
      </c>
    </row>
    <row r="54" spans="1:39" x14ac:dyDescent="0.25">
      <c r="A54" s="34" t="s">
        <v>304</v>
      </c>
      <c r="B54" s="34" t="s">
        <v>305</v>
      </c>
      <c r="C54" s="34">
        <v>0.81189999999999996</v>
      </c>
      <c r="D54" s="34">
        <v>106.0648211521784</v>
      </c>
      <c r="E54" s="34">
        <v>108.50344382435949</v>
      </c>
      <c r="F54" s="34">
        <v>31680</v>
      </c>
      <c r="G54" s="35">
        <v>-0.50690000000000002</v>
      </c>
      <c r="H54" s="34">
        <v>104.6773035462659</v>
      </c>
      <c r="I54" s="35">
        <v>-3.526284644280242</v>
      </c>
      <c r="Q54" s="34">
        <v>-0.42885938886845842</v>
      </c>
      <c r="R54" s="34">
        <v>94.693036504354168</v>
      </c>
      <c r="S54" s="34">
        <v>102.17157776686059</v>
      </c>
      <c r="T54" s="34">
        <v>-7.4785412625063969</v>
      </c>
      <c r="U54" s="34">
        <v>-7.3195906591275797E-2</v>
      </c>
      <c r="V54" s="34">
        <v>-0.79169999999999996</v>
      </c>
      <c r="W54" s="34">
        <v>94.347971869920329</v>
      </c>
      <c r="X54" s="34">
        <v>-7.6573212119641294</v>
      </c>
      <c r="AF54" s="34">
        <v>0.38300000000000001</v>
      </c>
      <c r="AG54" s="34">
        <v>101.0541328258881</v>
      </c>
      <c r="AH54" s="34">
        <v>105.4889030332495</v>
      </c>
      <c r="AI54" s="34">
        <v>-4.4347702073614386</v>
      </c>
      <c r="AJ54" s="34">
        <v>-4.2040158536520399E-2</v>
      </c>
      <c r="AK54" s="34">
        <v>0.10349999999999999</v>
      </c>
      <c r="AL54" s="34">
        <v>100.7727641666048</v>
      </c>
      <c r="AM54" s="34">
        <v>-4.4707440603095954</v>
      </c>
    </row>
    <row r="55" spans="1:39" x14ac:dyDescent="0.25">
      <c r="A55" s="34" t="s">
        <v>305</v>
      </c>
      <c r="B55" s="34" t="s">
        <v>306</v>
      </c>
      <c r="C55" s="34">
        <v>-0.77569999999999995</v>
      </c>
      <c r="D55" s="34">
        <v>105.24207633450099</v>
      </c>
      <c r="E55" s="34">
        <v>108.50344382435949</v>
      </c>
      <c r="F55" s="34">
        <v>31963.599999999999</v>
      </c>
      <c r="G55" s="35">
        <v>-0.94410000000000005</v>
      </c>
      <c r="H55" s="34">
        <v>105.0634631756807</v>
      </c>
      <c r="I55" s="35">
        <v>-3.170388447990014</v>
      </c>
      <c r="Q55" s="34">
        <v>0.38455622211967389</v>
      </c>
      <c r="R55" s="34">
        <v>95.057184468145721</v>
      </c>
      <c r="S55" s="34">
        <v>102.17157776686059</v>
      </c>
      <c r="T55" s="34">
        <v>-7.1143932987148446</v>
      </c>
      <c r="U55" s="34">
        <v>-6.9631823783212671E-2</v>
      </c>
      <c r="V55" s="34">
        <v>-0.56309999999999993</v>
      </c>
      <c r="W55" s="34">
        <v>94.159820015798147</v>
      </c>
      <c r="X55" s="34">
        <v>-7.8414740441260404</v>
      </c>
      <c r="AF55" s="34">
        <v>-0.3911</v>
      </c>
      <c r="AG55" s="34">
        <v>100.6589101124061</v>
      </c>
      <c r="AH55" s="34">
        <v>105.4889030332495</v>
      </c>
      <c r="AI55" s="34">
        <v>-4.8299929208434804</v>
      </c>
      <c r="AJ55" s="34">
        <v>-4.5786739476483998E-2</v>
      </c>
      <c r="AK55" s="34">
        <v>-0.3911</v>
      </c>
      <c r="AL55" s="34">
        <v>100.6589101124061</v>
      </c>
      <c r="AM55" s="34">
        <v>-4.5786739476484044</v>
      </c>
    </row>
    <row r="56" spans="1:39" x14ac:dyDescent="0.25">
      <c r="A56" s="34" t="s">
        <v>306</v>
      </c>
      <c r="B56" s="34" t="s">
        <v>307</v>
      </c>
      <c r="C56" s="34">
        <v>-1.7822</v>
      </c>
      <c r="D56" s="34">
        <v>103.36645205006749</v>
      </c>
      <c r="E56" s="34">
        <v>108.50344382435949</v>
      </c>
      <c r="F56" s="34">
        <v>31726.3</v>
      </c>
      <c r="G56" s="35">
        <v>-2.1707999999999998</v>
      </c>
      <c r="H56" s="34">
        <v>102.9574813414316</v>
      </c>
      <c r="I56" s="35">
        <v>-5.1113239243405602</v>
      </c>
      <c r="Q56" s="34">
        <v>-1.262323070991904</v>
      </c>
      <c r="R56" s="34">
        <v>93.857255697968995</v>
      </c>
      <c r="S56" s="34">
        <v>102.17157776686059</v>
      </c>
      <c r="T56" s="34">
        <v>-8.3143220688915704</v>
      </c>
      <c r="U56" s="34">
        <v>-8.1376075916763685E-2</v>
      </c>
      <c r="V56" s="34">
        <v>-1.6104000000000001</v>
      </c>
      <c r="W56" s="34">
        <v>93.526383569470696</v>
      </c>
      <c r="X56" s="34">
        <v>-8.4614472893007822</v>
      </c>
      <c r="AF56" s="34">
        <v>-3.0445000000000002</v>
      </c>
      <c r="AG56" s="34">
        <v>97.594349594033858</v>
      </c>
      <c r="AH56" s="34">
        <v>105.4889030332495</v>
      </c>
      <c r="AI56" s="34">
        <v>-7.8945534392156844</v>
      </c>
      <c r="AJ56" s="34">
        <v>-7.4837762193122465E-2</v>
      </c>
      <c r="AK56" s="34">
        <v>-3.0445000000000002</v>
      </c>
      <c r="AL56" s="34">
        <v>97.594349594033858</v>
      </c>
      <c r="AM56" s="34">
        <v>-7.4837762193122437</v>
      </c>
    </row>
    <row r="57" spans="1:39" x14ac:dyDescent="0.25">
      <c r="A57" s="34" t="s">
        <v>307</v>
      </c>
      <c r="B57" s="34" t="s">
        <v>308</v>
      </c>
      <c r="C57" s="34">
        <v>-0.2681</v>
      </c>
      <c r="D57" s="34">
        <v>103.0893265921213</v>
      </c>
      <c r="E57" s="34">
        <v>108.50344382435949</v>
      </c>
      <c r="F57" s="34">
        <v>31197.9</v>
      </c>
      <c r="G57" s="35">
        <v>-1.4661999999999999</v>
      </c>
      <c r="H57" s="34">
        <v>101.8508931301094</v>
      </c>
      <c r="I57" s="35">
        <v>-6.1311885224758056</v>
      </c>
      <c r="Q57" s="34">
        <v>0.99377228790335503</v>
      </c>
      <c r="R57" s="34">
        <v>94.789983095282011</v>
      </c>
      <c r="S57" s="34">
        <v>102.17157776686059</v>
      </c>
      <c r="T57" s="34">
        <v>-7.3815946715785543</v>
      </c>
      <c r="U57" s="34">
        <v>-7.2247045929174053E-2</v>
      </c>
      <c r="V57" s="34">
        <v>-0.3075</v>
      </c>
      <c r="W57" s="34">
        <v>93.568644636697741</v>
      </c>
      <c r="X57" s="34">
        <v>-8.4200844483319663</v>
      </c>
      <c r="AF57" s="34">
        <v>0.72570000000000001</v>
      </c>
      <c r="AG57" s="34">
        <v>98.302591789037763</v>
      </c>
      <c r="AH57" s="34">
        <v>105.4889030332495</v>
      </c>
      <c r="AI57" s="34">
        <v>-7.1863112442117796</v>
      </c>
      <c r="AJ57" s="34">
        <v>-6.8123859833357947E-2</v>
      </c>
      <c r="AK57" s="34">
        <v>-0.30609999999999998</v>
      </c>
      <c r="AL57" s="34">
        <v>97.295613289926521</v>
      </c>
      <c r="AM57" s="34">
        <v>-7.7669683803049283</v>
      </c>
    </row>
    <row r="58" spans="1:39" x14ac:dyDescent="0.25">
      <c r="A58" s="34" t="s">
        <v>308</v>
      </c>
      <c r="B58" s="34" t="s">
        <v>309</v>
      </c>
      <c r="C58" s="34">
        <v>2.7315999999999998</v>
      </c>
      <c r="D58" s="34">
        <v>105.9053146373116</v>
      </c>
      <c r="E58" s="34">
        <v>108.50344382435949</v>
      </c>
      <c r="F58" s="34">
        <v>31150.65</v>
      </c>
      <c r="G58" s="35">
        <v>0.1178</v>
      </c>
      <c r="H58" s="34">
        <v>103.2107658188468</v>
      </c>
      <c r="I58" s="35">
        <v>-4.8778894189573379</v>
      </c>
      <c r="Q58" s="34">
        <v>-2.7970822099659221</v>
      </c>
      <c r="R58" s="34">
        <v>92.138629341294177</v>
      </c>
      <c r="S58" s="34">
        <v>102.17157776686059</v>
      </c>
      <c r="T58" s="34">
        <v>-10.03294842556639</v>
      </c>
      <c r="U58" s="34">
        <v>-9.8197058759922407E-2</v>
      </c>
      <c r="V58" s="34">
        <v>-3.0600999999999998</v>
      </c>
      <c r="W58" s="34">
        <v>91.889314822583287</v>
      </c>
      <c r="X58" s="34">
        <v>-10.063721407669529</v>
      </c>
      <c r="AF58" s="34">
        <v>-6.5500000000000003E-2</v>
      </c>
      <c r="AG58" s="34">
        <v>98.238203591415953</v>
      </c>
      <c r="AH58" s="34">
        <v>105.4889030332495</v>
      </c>
      <c r="AI58" s="34">
        <v>-7.2506994418335893</v>
      </c>
      <c r="AJ58" s="34">
        <v>-6.8734238705166997E-2</v>
      </c>
      <c r="AK58" s="34">
        <v>-6.7199999999999996E-2</v>
      </c>
      <c r="AL58" s="34">
        <v>98.236532447355529</v>
      </c>
      <c r="AM58" s="34">
        <v>-6.8750080599549896</v>
      </c>
    </row>
    <row r="59" spans="1:39" x14ac:dyDescent="0.25">
      <c r="A59" s="34" t="s">
        <v>309</v>
      </c>
      <c r="B59" s="34" t="s">
        <v>310</v>
      </c>
      <c r="C59" s="34">
        <v>0.72729999999999995</v>
      </c>
      <c r="D59" s="34">
        <v>106.67556399066881</v>
      </c>
      <c r="E59" s="34">
        <v>108.50344382435949</v>
      </c>
      <c r="F59" s="34">
        <v>32037.9</v>
      </c>
      <c r="G59" s="35">
        <v>0.12690000000000001</v>
      </c>
      <c r="H59" s="34">
        <v>106.0397084815864</v>
      </c>
      <c r="I59" s="35">
        <v>-2.2706517470185821</v>
      </c>
      <c r="Q59" s="34">
        <v>0.70928413213315666</v>
      </c>
      <c r="R59" s="34">
        <v>92.792154018776969</v>
      </c>
      <c r="S59" s="34">
        <v>102.17157776686059</v>
      </c>
      <c r="T59" s="34">
        <v>-9.379423748083596</v>
      </c>
      <c r="U59" s="34">
        <v>-9.1800713594596364E-2</v>
      </c>
      <c r="V59" s="34">
        <v>-1.0229999999999999</v>
      </c>
      <c r="W59" s="34">
        <v>91.196051163132736</v>
      </c>
      <c r="X59" s="34">
        <v>-10.742250284880839</v>
      </c>
      <c r="AF59" s="34">
        <v>1.4366000000000001</v>
      </c>
      <c r="AG59" s="34">
        <v>99.649493624210251</v>
      </c>
      <c r="AH59" s="34">
        <v>105.4889030332495</v>
      </c>
      <c r="AI59" s="34">
        <v>-5.8394094090392912</v>
      </c>
      <c r="AJ59" s="34">
        <v>-5.5355674778405271E-2</v>
      </c>
      <c r="AK59" s="34">
        <v>0.9133</v>
      </c>
      <c r="AL59" s="34">
        <v>99.135413104816365</v>
      </c>
      <c r="AM59" s="34">
        <v>-6.0228988507261221</v>
      </c>
    </row>
    <row r="60" spans="1:39" x14ac:dyDescent="0.25">
      <c r="A60" s="34" t="s">
        <v>310</v>
      </c>
      <c r="B60" s="34" t="s">
        <v>311</v>
      </c>
      <c r="C60" s="34">
        <v>1.6008</v>
      </c>
      <c r="D60" s="34">
        <v>108.3832264190314</v>
      </c>
      <c r="E60" s="34">
        <v>108.50344382435949</v>
      </c>
      <c r="F60" s="34">
        <v>32308.3</v>
      </c>
      <c r="G60" s="35">
        <v>-0.7248</v>
      </c>
      <c r="H60" s="34">
        <v>105.90237950286441</v>
      </c>
      <c r="I60" s="35">
        <v>-2.3972182170600709</v>
      </c>
      <c r="Q60" s="34">
        <v>-0.17995204870558451</v>
      </c>
      <c r="R60" s="34">
        <v>92.625172636582136</v>
      </c>
      <c r="S60" s="34">
        <v>102.17157776686059</v>
      </c>
      <c r="T60" s="34">
        <v>-9.5464051302784299</v>
      </c>
      <c r="U60" s="34">
        <v>-9.3435036816812422E-2</v>
      </c>
      <c r="V60" s="34">
        <v>-0.60719999999999996</v>
      </c>
      <c r="W60" s="34">
        <v>92.228720059574954</v>
      </c>
      <c r="X60" s="34">
        <v>-9.7315299661649988</v>
      </c>
      <c r="AF60" s="34">
        <v>1.4208000000000001</v>
      </c>
      <c r="AG60" s="34">
        <v>101.06531362962301</v>
      </c>
      <c r="AH60" s="34">
        <v>105.4889030332495</v>
      </c>
      <c r="AI60" s="34">
        <v>-4.423589403626508</v>
      </c>
      <c r="AJ60" s="34">
        <v>-4.1934168205656819E-2</v>
      </c>
      <c r="AK60" s="34">
        <v>0.84950000000000003</v>
      </c>
      <c r="AL60" s="34">
        <v>100.4960160725479</v>
      </c>
      <c r="AM60" s="34">
        <v>-4.7330921235647967</v>
      </c>
    </row>
    <row r="61" spans="1:39" x14ac:dyDescent="0.25">
      <c r="A61" s="34" t="s">
        <v>311</v>
      </c>
      <c r="B61" s="34" t="s">
        <v>312</v>
      </c>
      <c r="C61" s="34">
        <v>-3.9291</v>
      </c>
      <c r="D61" s="34">
        <v>104.1247410698013</v>
      </c>
      <c r="E61" s="34">
        <v>108.50344382435949</v>
      </c>
      <c r="F61" s="34">
        <v>32863.199999999997</v>
      </c>
      <c r="G61" s="35">
        <v>-4.2034000000000002</v>
      </c>
      <c r="H61" s="34">
        <v>103.8274458797339</v>
      </c>
      <c r="I61" s="35">
        <v>-4.3095387388763058</v>
      </c>
      <c r="Q61" s="34">
        <v>2.071778052871605</v>
      </c>
      <c r="R61" s="34">
        <v>94.544160634701271</v>
      </c>
      <c r="S61" s="34">
        <v>102.17157776686059</v>
      </c>
      <c r="T61" s="34">
        <v>-7.6274171321592954</v>
      </c>
      <c r="U61" s="34">
        <v>-7.4653022874559674E-2</v>
      </c>
      <c r="V61" s="34">
        <v>0.12970000000000001</v>
      </c>
      <c r="W61" s="34">
        <v>92.745307485491793</v>
      </c>
      <c r="X61" s="34">
        <v>-9.2259222059563726</v>
      </c>
      <c r="AF61" s="34">
        <v>-1.8573</v>
      </c>
      <c r="AG61" s="34">
        <v>99.188227559580056</v>
      </c>
      <c r="AH61" s="34">
        <v>105.4889030332495</v>
      </c>
      <c r="AI61" s="34">
        <v>-6.3006754736694859</v>
      </c>
      <c r="AJ61" s="34">
        <v>-5.9728324899573047E-2</v>
      </c>
      <c r="AK61" s="34">
        <v>-2.0232000000000001</v>
      </c>
      <c r="AL61" s="34">
        <v>99.020560204268492</v>
      </c>
      <c r="AM61" s="34">
        <v>-6.1317756114520066</v>
      </c>
    </row>
    <row r="62" spans="1:39" x14ac:dyDescent="0.25">
      <c r="A62" s="34" t="s">
        <v>312</v>
      </c>
      <c r="B62" s="34" t="s">
        <v>252</v>
      </c>
      <c r="C62" s="34">
        <v>-4.6288</v>
      </c>
      <c r="D62" s="34">
        <v>99.305015055162329</v>
      </c>
      <c r="E62" s="34">
        <v>108.50344382435949</v>
      </c>
      <c r="F62" s="34">
        <v>31610.3</v>
      </c>
      <c r="G62" s="35">
        <v>-4.8057999999999996</v>
      </c>
      <c r="H62" s="34">
        <v>99.12071426346877</v>
      </c>
      <c r="I62" s="35">
        <v>-8.6474025433507009</v>
      </c>
      <c r="Q62" s="34">
        <v>2.3182465066953859</v>
      </c>
      <c r="R62" s="34">
        <v>96.735927335899703</v>
      </c>
      <c r="S62" s="34">
        <v>102.17157776686059</v>
      </c>
      <c r="T62" s="34">
        <v>-5.4356504309608624</v>
      </c>
      <c r="U62" s="34">
        <v>-5.3201198902537848E-2</v>
      </c>
      <c r="V62" s="34">
        <v>-0.38440000000000002</v>
      </c>
      <c r="W62" s="34">
        <v>94.180732881221488</v>
      </c>
      <c r="X62" s="34">
        <v>-7.8210056654629767</v>
      </c>
      <c r="AF62" s="34">
        <v>-2.3106</v>
      </c>
      <c r="AG62" s="34">
        <v>96.896384373588404</v>
      </c>
      <c r="AH62" s="34">
        <v>105.4889030332495</v>
      </c>
      <c r="AI62" s="34">
        <v>-8.5925186596611383</v>
      </c>
      <c r="AJ62" s="34">
        <v>-8.1454242224443474E-2</v>
      </c>
      <c r="AK62" s="34">
        <v>-2.3106</v>
      </c>
      <c r="AL62" s="34">
        <v>96.896384373588404</v>
      </c>
      <c r="AM62" s="34">
        <v>-8.1454242224443529</v>
      </c>
    </row>
    <row r="63" spans="1:39" x14ac:dyDescent="0.25">
      <c r="A63" s="34" t="s">
        <v>254</v>
      </c>
      <c r="B63" s="34" t="s">
        <v>313</v>
      </c>
      <c r="C63" s="34">
        <v>1.1477999999999999</v>
      </c>
      <c r="D63" s="34">
        <v>101.1478</v>
      </c>
      <c r="E63" s="34">
        <v>101.1478</v>
      </c>
      <c r="F63" s="34">
        <v>31794.75</v>
      </c>
      <c r="G63" s="35">
        <v>0.34860000000000002</v>
      </c>
      <c r="H63" s="34">
        <v>100.3486</v>
      </c>
      <c r="I63" s="35">
        <v>0.34860000000001001</v>
      </c>
      <c r="Q63" s="34">
        <v>-0.1483531691115417</v>
      </c>
      <c r="R63" s="34">
        <v>99.85164683088847</v>
      </c>
      <c r="S63" s="34">
        <v>100</v>
      </c>
      <c r="T63" s="34">
        <v>-0.14835316911153029</v>
      </c>
      <c r="U63" s="34">
        <v>-1.483531691115303E-3</v>
      </c>
      <c r="V63" s="34">
        <v>-0.79709999999999992</v>
      </c>
      <c r="W63" s="34">
        <v>99.2029</v>
      </c>
      <c r="X63" s="34">
        <v>-0.79709999999999503</v>
      </c>
      <c r="AF63" s="34">
        <v>0.99939999999999996</v>
      </c>
      <c r="AG63" s="34">
        <v>100.99939999999999</v>
      </c>
      <c r="AH63" s="34">
        <v>100.99939999999999</v>
      </c>
      <c r="AI63" s="34"/>
      <c r="AJ63" s="34">
        <v>0</v>
      </c>
      <c r="AK63" s="34">
        <v>0.51380000000000003</v>
      </c>
      <c r="AL63" s="34">
        <v>100.5138</v>
      </c>
      <c r="AM63" s="34">
        <v>0.51380000000000869</v>
      </c>
    </row>
    <row r="64" spans="1:39" x14ac:dyDescent="0.25">
      <c r="A64" s="34" t="s">
        <v>313</v>
      </c>
      <c r="B64" s="34" t="s">
        <v>314</v>
      </c>
      <c r="C64" s="34">
        <v>0.87490000000000001</v>
      </c>
      <c r="D64" s="34">
        <v>102.0327421022</v>
      </c>
      <c r="E64" s="34">
        <v>102.0327421022</v>
      </c>
      <c r="F64" s="34">
        <v>32186.2</v>
      </c>
      <c r="G64" s="35">
        <v>-0.26840000000000003</v>
      </c>
      <c r="H64" s="34">
        <v>100.87631930480001</v>
      </c>
      <c r="I64" s="35">
        <v>-0.26840000000000203</v>
      </c>
      <c r="Q64" s="34">
        <v>-0.99116355304217574</v>
      </c>
      <c r="R64" s="34">
        <v>98.861953700388312</v>
      </c>
      <c r="S64" s="34">
        <v>100</v>
      </c>
      <c r="T64" s="34">
        <v>-1.138046299611688</v>
      </c>
      <c r="U64" s="34">
        <v>-1.1380462996116881E-2</v>
      </c>
      <c r="V64" s="34">
        <v>-1.3964000000000001</v>
      </c>
      <c r="W64" s="34">
        <v>98.457318434541946</v>
      </c>
      <c r="X64" s="34">
        <v>-1.5426815654580479</v>
      </c>
      <c r="AF64" s="34">
        <v>-0.1163</v>
      </c>
      <c r="AG64" s="34">
        <v>100.8819376978</v>
      </c>
      <c r="AH64" s="34">
        <v>100.99939999999999</v>
      </c>
      <c r="AI64" s="34">
        <v>-0.1174623021999963</v>
      </c>
      <c r="AJ64" s="34">
        <v>-1.1629999999999629E-3</v>
      </c>
      <c r="AK64" s="34">
        <v>-0.1163</v>
      </c>
      <c r="AL64" s="34">
        <v>100.8819376978</v>
      </c>
      <c r="AM64" s="34">
        <v>-0.1162999999999914</v>
      </c>
    </row>
    <row r="65" spans="1:39" x14ac:dyDescent="0.25">
      <c r="A65" s="34" t="s">
        <v>314</v>
      </c>
      <c r="B65" s="34" t="s">
        <v>315</v>
      </c>
      <c r="C65" s="34">
        <v>0.67520000000000002</v>
      </c>
      <c r="D65" s="34">
        <v>102.72166717687401</v>
      </c>
      <c r="E65" s="34">
        <v>102.72166717687401</v>
      </c>
      <c r="F65" s="34">
        <v>32505.35</v>
      </c>
      <c r="G65" s="35">
        <v>-0.34039999999999998</v>
      </c>
      <c r="H65" s="34">
        <v>101.6854226480841</v>
      </c>
      <c r="I65" s="35">
        <v>-0.34039999999999632</v>
      </c>
      <c r="Q65" s="34">
        <v>0.80070542885378737</v>
      </c>
      <c r="R65" s="34">
        <v>99.653546730738228</v>
      </c>
      <c r="S65" s="34">
        <v>100</v>
      </c>
      <c r="T65" s="34">
        <v>-0.34645326926177228</v>
      </c>
      <c r="U65" s="34">
        <v>-3.4645326926177229E-3</v>
      </c>
      <c r="V65" s="34">
        <v>-0.68879999999999997</v>
      </c>
      <c r="W65" s="34">
        <v>98.180992563300038</v>
      </c>
      <c r="X65" s="34">
        <v>-1.81900743669996</v>
      </c>
      <c r="AF65" s="34">
        <v>1.4759</v>
      </c>
      <c r="AG65" s="34">
        <v>102.3708542162818</v>
      </c>
      <c r="AH65" s="34">
        <v>102.3708542162818</v>
      </c>
      <c r="AI65" s="34"/>
      <c r="AJ65" s="34">
        <v>0</v>
      </c>
      <c r="AK65" s="34">
        <v>0.73029999999999995</v>
      </c>
      <c r="AL65" s="34">
        <v>101.61867848880701</v>
      </c>
      <c r="AM65" s="34">
        <v>0.61315066110001482</v>
      </c>
    </row>
    <row r="66" spans="1:39" x14ac:dyDescent="0.25">
      <c r="A66" s="34" t="s">
        <v>315</v>
      </c>
      <c r="B66" s="34" t="s">
        <v>316</v>
      </c>
      <c r="C66" s="34">
        <v>0.70320000000000005</v>
      </c>
      <c r="D66" s="34">
        <v>103.44400594046181</v>
      </c>
      <c r="E66" s="34">
        <v>103.44400594046181</v>
      </c>
      <c r="F66" s="34">
        <v>32762.75</v>
      </c>
      <c r="G66" s="35">
        <v>-1.6515</v>
      </c>
      <c r="H66" s="34">
        <v>101.025218843448</v>
      </c>
      <c r="I66" s="35">
        <v>-1.651500000000006</v>
      </c>
      <c r="Q66" s="34">
        <v>-0.36355136331761251</v>
      </c>
      <c r="R66" s="34">
        <v>99.291254903004273</v>
      </c>
      <c r="S66" s="34">
        <v>100</v>
      </c>
      <c r="T66" s="34">
        <v>-0.70874509699572741</v>
      </c>
      <c r="U66" s="34">
        <v>-7.0874509699572737E-3</v>
      </c>
      <c r="V66" s="34">
        <v>-1.2661</v>
      </c>
      <c r="W66" s="34">
        <v>98.391833175580345</v>
      </c>
      <c r="X66" s="34">
        <v>-1.608166824419655</v>
      </c>
      <c r="AF66" s="34">
        <v>0.33960000000000001</v>
      </c>
      <c r="AG66" s="34">
        <v>102.71850563720029</v>
      </c>
      <c r="AH66" s="34">
        <v>102.71850563720029</v>
      </c>
      <c r="AI66" s="34"/>
      <c r="AJ66" s="34">
        <v>0</v>
      </c>
      <c r="AK66" s="34">
        <v>-0.95440000000000003</v>
      </c>
      <c r="AL66" s="34">
        <v>101.3938267836416</v>
      </c>
      <c r="AM66" s="34">
        <v>-0.95439999999999969</v>
      </c>
    </row>
    <row r="67" spans="1:39" x14ac:dyDescent="0.25">
      <c r="A67" s="34" t="s">
        <v>316</v>
      </c>
      <c r="B67" s="34" t="s">
        <v>317</v>
      </c>
      <c r="C67" s="34">
        <v>2.0931999999999999</v>
      </c>
      <c r="D67" s="34">
        <v>105.60929587280761</v>
      </c>
      <c r="E67" s="34">
        <v>105.60929587280761</v>
      </c>
      <c r="F67" s="34">
        <v>33031.35</v>
      </c>
      <c r="G67" s="35">
        <v>-0.1951</v>
      </c>
      <c r="H67" s="34">
        <v>103.242186684872</v>
      </c>
      <c r="I67" s="35">
        <v>-0.1951000000000036</v>
      </c>
      <c r="Q67" s="34">
        <v>-1.3095146947838161</v>
      </c>
      <c r="R67" s="34">
        <v>97.991021329414167</v>
      </c>
      <c r="S67" s="34">
        <v>100</v>
      </c>
      <c r="T67" s="34">
        <v>-2.008978670585833</v>
      </c>
      <c r="U67" s="34">
        <v>-2.0089786705858328E-2</v>
      </c>
      <c r="V67" s="34">
        <v>-2.0116999999999998</v>
      </c>
      <c r="W67" s="34">
        <v>97.293812728120528</v>
      </c>
      <c r="X67" s="34">
        <v>-2.7061872718794682</v>
      </c>
      <c r="AF67" s="34">
        <v>0.78369999999999995</v>
      </c>
      <c r="AG67" s="34">
        <v>103.52351056587911</v>
      </c>
      <c r="AH67" s="34">
        <v>103.52351056587911</v>
      </c>
      <c r="AI67" s="34"/>
      <c r="AJ67" s="34">
        <v>0</v>
      </c>
      <c r="AK67" s="34">
        <v>0.24049999999999999</v>
      </c>
      <c r="AL67" s="34">
        <v>102.9655436432578</v>
      </c>
      <c r="AM67" s="34">
        <v>0.24049999999999899</v>
      </c>
    </row>
    <row r="68" spans="1:39" x14ac:dyDescent="0.25">
      <c r="A68" s="34" t="s">
        <v>317</v>
      </c>
      <c r="B68" s="34" t="s">
        <v>318</v>
      </c>
      <c r="C68" s="34">
        <v>1.7458</v>
      </c>
      <c r="D68" s="34">
        <v>107.453022960155</v>
      </c>
      <c r="E68" s="34">
        <v>107.453022960155</v>
      </c>
      <c r="F68" s="34">
        <v>33761.300000000003</v>
      </c>
      <c r="G68" s="35">
        <v>2.35E-2</v>
      </c>
      <c r="H68" s="34">
        <v>105.6341140573377</v>
      </c>
      <c r="I68" s="35">
        <v>2.3499999999998519E-2</v>
      </c>
      <c r="Q68" s="34">
        <v>-0.74456146408839774</v>
      </c>
      <c r="R68" s="34">
        <v>97.261417946328706</v>
      </c>
      <c r="S68" s="34">
        <v>100</v>
      </c>
      <c r="T68" s="34">
        <v>-2.7385820536712941</v>
      </c>
      <c r="U68" s="34">
        <v>-2.738582053671294E-2</v>
      </c>
      <c r="V68" s="34">
        <v>-0.79559999999999997</v>
      </c>
      <c r="W68" s="34">
        <v>97.211404763717354</v>
      </c>
      <c r="X68" s="34">
        <v>-2.7885952362826432</v>
      </c>
      <c r="AF68" s="34">
        <v>1.0012000000000001</v>
      </c>
      <c r="AG68" s="34">
        <v>104.5599879536647</v>
      </c>
      <c r="AH68" s="34">
        <v>104.5599879536647</v>
      </c>
      <c r="AI68" s="34"/>
      <c r="AJ68" s="34">
        <v>0</v>
      </c>
      <c r="AK68" s="34">
        <v>0.46350000000000002</v>
      </c>
      <c r="AL68" s="34">
        <v>104.0033420373519</v>
      </c>
      <c r="AM68" s="34">
        <v>0.46349999999999453</v>
      </c>
    </row>
    <row r="69" spans="1:39" x14ac:dyDescent="0.25">
      <c r="A69" s="34" t="s">
        <v>318</v>
      </c>
      <c r="B69" s="34" t="s">
        <v>319</v>
      </c>
      <c r="C69" s="34">
        <v>1.1720999999999999</v>
      </c>
      <c r="D69" s="34">
        <v>108.71247984227099</v>
      </c>
      <c r="E69" s="34">
        <v>108.71247984227099</v>
      </c>
      <c r="F69" s="34">
        <v>34390.1</v>
      </c>
      <c r="G69" s="35">
        <v>-0.95240000000000002</v>
      </c>
      <c r="H69" s="34">
        <v>106.4296403694825</v>
      </c>
      <c r="I69" s="35">
        <v>-0.95239999999999769</v>
      </c>
      <c r="Q69" s="34">
        <v>6.0609620642515363E-2</v>
      </c>
      <c r="R69" s="34">
        <v>97.320367722777505</v>
      </c>
      <c r="S69" s="34">
        <v>100</v>
      </c>
      <c r="T69" s="34">
        <v>-2.679632277222495</v>
      </c>
      <c r="U69" s="34">
        <v>-2.6796322772224958E-2</v>
      </c>
      <c r="V69" s="34">
        <v>-0.29930000000000001</v>
      </c>
      <c r="W69" s="34">
        <v>96.970314522415336</v>
      </c>
      <c r="X69" s="34">
        <v>-3.0296854775846649</v>
      </c>
      <c r="AF69" s="34">
        <v>1.2326999999999999</v>
      </c>
      <c r="AG69" s="34">
        <v>105.84889892516949</v>
      </c>
      <c r="AH69" s="34">
        <v>105.84889892516949</v>
      </c>
      <c r="AI69" s="34"/>
      <c r="AJ69" s="34">
        <v>0</v>
      </c>
      <c r="AK69" s="34">
        <v>5.0000000000000001E-4</v>
      </c>
      <c r="AL69" s="34">
        <v>104.5605107536044</v>
      </c>
      <c r="AM69" s="34">
        <v>5.000000000032756E-4</v>
      </c>
    </row>
    <row r="70" spans="1:39" x14ac:dyDescent="0.25">
      <c r="A70" s="34" t="s">
        <v>319</v>
      </c>
      <c r="B70" s="34" t="s">
        <v>320</v>
      </c>
      <c r="C70" s="34">
        <v>2.1257000000000001</v>
      </c>
      <c r="D70" s="34">
        <v>111.0233810262782</v>
      </c>
      <c r="E70" s="34">
        <v>111.0233810262782</v>
      </c>
      <c r="F70" s="34">
        <v>34833.300000000003</v>
      </c>
      <c r="G70" s="35">
        <v>-0.1396</v>
      </c>
      <c r="H70" s="34">
        <v>108.56071722041121</v>
      </c>
      <c r="I70" s="35">
        <v>-0.13959999999999531</v>
      </c>
      <c r="Q70" s="34">
        <v>-0.12529390751710129</v>
      </c>
      <c r="R70" s="34">
        <v>97.198431231247625</v>
      </c>
      <c r="S70" s="34">
        <v>100</v>
      </c>
      <c r="T70" s="34">
        <v>-2.8015687687523751</v>
      </c>
      <c r="U70" s="34">
        <v>-2.8015687687523751E-2</v>
      </c>
      <c r="V70" s="34">
        <v>-0.59719999999999995</v>
      </c>
      <c r="W70" s="34">
        <v>96.739170486737081</v>
      </c>
      <c r="X70" s="34">
        <v>-3.260829513262919</v>
      </c>
      <c r="AF70" s="34">
        <v>2.0004</v>
      </c>
      <c r="AG70" s="34">
        <v>107.9663002992686</v>
      </c>
      <c r="AH70" s="34">
        <v>107.9663002992686</v>
      </c>
      <c r="AI70" s="34"/>
      <c r="AJ70" s="34">
        <v>0</v>
      </c>
      <c r="AK70" s="34">
        <v>0.66739999999999999</v>
      </c>
      <c r="AL70" s="34">
        <v>106.5553344765961</v>
      </c>
      <c r="AM70" s="34">
        <v>0.66740000000000688</v>
      </c>
    </row>
    <row r="71" spans="1:39" x14ac:dyDescent="0.25">
      <c r="A71" s="34" t="s">
        <v>320</v>
      </c>
      <c r="B71" s="34" t="s">
        <v>321</v>
      </c>
      <c r="C71" s="34">
        <v>-0.99139999999999995</v>
      </c>
      <c r="D71" s="34">
        <v>109.9226952267837</v>
      </c>
      <c r="E71" s="34">
        <v>111.0233810262782</v>
      </c>
      <c r="F71" s="34">
        <v>35614.400000000001</v>
      </c>
      <c r="G71" s="35">
        <v>-2.7614999999999998</v>
      </c>
      <c r="H71" s="34">
        <v>107.9574703592375</v>
      </c>
      <c r="I71" s="35">
        <v>-2.761499999999995</v>
      </c>
      <c r="Q71" s="34">
        <v>0.65599503628654843</v>
      </c>
      <c r="R71" s="34">
        <v>97.836048115473005</v>
      </c>
      <c r="S71" s="34">
        <v>100</v>
      </c>
      <c r="T71" s="34">
        <v>-2.1639518845269952</v>
      </c>
      <c r="U71" s="34">
        <v>-2.1639518845269951E-2</v>
      </c>
      <c r="V71" s="34">
        <v>-0.19650000000000001</v>
      </c>
      <c r="W71" s="34">
        <v>97.00743631387823</v>
      </c>
      <c r="X71" s="34">
        <v>-2.9925636861217741</v>
      </c>
      <c r="AF71" s="34">
        <v>-0.33539999999999998</v>
      </c>
      <c r="AG71" s="34">
        <v>107.6041813280648</v>
      </c>
      <c r="AH71" s="34">
        <v>107.9663002992686</v>
      </c>
      <c r="AI71" s="34">
        <v>-0.36211897120374198</v>
      </c>
      <c r="AJ71" s="34">
        <v>-3.353999999999956E-3</v>
      </c>
      <c r="AK71" s="34">
        <v>-1.6398999999999999</v>
      </c>
      <c r="AL71" s="34">
        <v>106.1957609406608</v>
      </c>
      <c r="AM71" s="34">
        <v>-1.639900000000005</v>
      </c>
    </row>
    <row r="72" spans="1:39" x14ac:dyDescent="0.25">
      <c r="A72" s="34" t="s">
        <v>321</v>
      </c>
      <c r="B72" s="34" t="s">
        <v>322</v>
      </c>
      <c r="C72" s="34">
        <v>1.4483999999999999</v>
      </c>
      <c r="D72" s="34">
        <v>111.5148155444484</v>
      </c>
      <c r="E72" s="34">
        <v>111.5148155444484</v>
      </c>
      <c r="F72" s="34">
        <v>35296.949999999997</v>
      </c>
      <c r="G72" s="35">
        <v>0.18840000000000001</v>
      </c>
      <c r="H72" s="34">
        <v>110.1297895845909</v>
      </c>
      <c r="I72" s="35">
        <v>-0.80486779759998406</v>
      </c>
      <c r="Q72" s="34">
        <v>-3.058339621839361</v>
      </c>
      <c r="R72" s="34">
        <v>94.843889491515682</v>
      </c>
      <c r="S72" s="34">
        <v>100</v>
      </c>
      <c r="T72" s="34">
        <v>-5.1561105084843177</v>
      </c>
      <c r="U72" s="34">
        <v>-5.1561105084843177E-2</v>
      </c>
      <c r="V72" s="34">
        <v>-3.2048000000000001</v>
      </c>
      <c r="W72" s="34">
        <v>94.70059844546833</v>
      </c>
      <c r="X72" s="34">
        <v>-5.2994015545316682</v>
      </c>
      <c r="AF72" s="34">
        <v>-1.6099000000000001</v>
      </c>
      <c r="AG72" s="34">
        <v>105.87186161286429</v>
      </c>
      <c r="AH72" s="34">
        <v>107.9663002992686</v>
      </c>
      <c r="AI72" s="34">
        <v>-2.0944386864042599</v>
      </c>
      <c r="AJ72" s="34">
        <v>-1.9399003953999981E-2</v>
      </c>
      <c r="AK72" s="34">
        <v>-1.6099000000000001</v>
      </c>
      <c r="AL72" s="34">
        <v>105.87186161286429</v>
      </c>
      <c r="AM72" s="34">
        <v>-1.939900395399996</v>
      </c>
    </row>
    <row r="73" spans="1:39" x14ac:dyDescent="0.25">
      <c r="A73" s="34" t="s">
        <v>322</v>
      </c>
      <c r="B73" s="34" t="s">
        <v>323</v>
      </c>
      <c r="C73" s="34">
        <v>0.47210000000000002</v>
      </c>
      <c r="D73" s="34">
        <v>112.0412769886337</v>
      </c>
      <c r="E73" s="34">
        <v>112.0412769886337</v>
      </c>
      <c r="F73" s="34">
        <v>35843.5</v>
      </c>
      <c r="G73" s="35">
        <v>-0.41820000000000002</v>
      </c>
      <c r="H73" s="34">
        <v>111.0484605858415</v>
      </c>
      <c r="I73" s="35">
        <v>-0.4182000000000019</v>
      </c>
      <c r="Q73" s="34">
        <v>-0.2673042636712028</v>
      </c>
      <c r="R73" s="34">
        <v>94.590367731073258</v>
      </c>
      <c r="S73" s="34">
        <v>100</v>
      </c>
      <c r="T73" s="34">
        <v>-5.4096322689267424</v>
      </c>
      <c r="U73" s="34">
        <v>-5.4096322689267423E-2</v>
      </c>
      <c r="V73" s="34">
        <v>-0.54810000000000003</v>
      </c>
      <c r="W73" s="34">
        <v>94.324050133212694</v>
      </c>
      <c r="X73" s="34">
        <v>-5.6759498667873114</v>
      </c>
      <c r="AF73" s="34">
        <v>0.20480000000000001</v>
      </c>
      <c r="AG73" s="34">
        <v>106.0886871854474</v>
      </c>
      <c r="AH73" s="34">
        <v>107.9663002992686</v>
      </c>
      <c r="AI73" s="34">
        <v>-1.877613113821113</v>
      </c>
      <c r="AJ73" s="34">
        <v>-1.7390733114097761E-2</v>
      </c>
      <c r="AK73" s="34">
        <v>-0.29399999999999998</v>
      </c>
      <c r="AL73" s="34">
        <v>105.5605983397225</v>
      </c>
      <c r="AM73" s="34">
        <v>-2.2281970882375379</v>
      </c>
    </row>
    <row r="74" spans="1:39" x14ac:dyDescent="0.25">
      <c r="A74" s="34" t="s">
        <v>323</v>
      </c>
      <c r="B74" s="34" t="s">
        <v>324</v>
      </c>
      <c r="C74" s="34">
        <v>0.94789999999999996</v>
      </c>
      <c r="D74" s="34">
        <v>113.103316253209</v>
      </c>
      <c r="E74" s="34">
        <v>113.103316253209</v>
      </c>
      <c r="F74" s="34">
        <v>36024.65</v>
      </c>
      <c r="G74" s="35">
        <v>-0.61809999999999998</v>
      </c>
      <c r="H74" s="34">
        <v>111.34874985556699</v>
      </c>
      <c r="I74" s="35">
        <v>-0.61809999999999921</v>
      </c>
      <c r="Q74" s="34">
        <v>0.17192050931773081</v>
      </c>
      <c r="R74" s="34">
        <v>94.752987973042039</v>
      </c>
      <c r="S74" s="34">
        <v>100</v>
      </c>
      <c r="T74" s="34">
        <v>-5.247012026957961</v>
      </c>
      <c r="U74" s="34">
        <v>-5.2470120269579611E-2</v>
      </c>
      <c r="V74" s="34">
        <v>-0.58200000000000007</v>
      </c>
      <c r="W74" s="34">
        <v>94.039851790878402</v>
      </c>
      <c r="X74" s="34">
        <v>-5.9601482091215967</v>
      </c>
      <c r="AF74" s="34">
        <v>1.1197999999999999</v>
      </c>
      <c r="AG74" s="34">
        <v>107.2766683045501</v>
      </c>
      <c r="AH74" s="34">
        <v>107.9663002992686</v>
      </c>
      <c r="AI74" s="34">
        <v>-0.68963199471846792</v>
      </c>
      <c r="AJ74" s="34">
        <v>-6.3874745435093883E-3</v>
      </c>
      <c r="AK74" s="34">
        <v>-8.0500000000000002E-2</v>
      </c>
      <c r="AL74" s="34">
        <v>106.0032857922632</v>
      </c>
      <c r="AM74" s="34">
        <v>-1.818173357394093</v>
      </c>
    </row>
    <row r="75" spans="1:39" x14ac:dyDescent="0.25">
      <c r="A75" s="34" t="s">
        <v>324</v>
      </c>
      <c r="B75" s="34" t="s">
        <v>325</v>
      </c>
      <c r="C75" s="34">
        <v>0.29849999999999999</v>
      </c>
      <c r="D75" s="34">
        <v>113.4409296522248</v>
      </c>
      <c r="E75" s="34">
        <v>113.4409296522248</v>
      </c>
      <c r="F75" s="34">
        <v>36408.15</v>
      </c>
      <c r="G75" s="35">
        <v>-1.1231</v>
      </c>
      <c r="H75" s="34">
        <v>111.8330529083692</v>
      </c>
      <c r="I75" s="35">
        <v>-1.1230999999999991</v>
      </c>
      <c r="Q75" s="34">
        <v>-0.64356205795411747</v>
      </c>
      <c r="R75" s="34">
        <v>94.143193693669716</v>
      </c>
      <c r="S75" s="34">
        <v>100</v>
      </c>
      <c r="T75" s="34">
        <v>-5.8568063063302844</v>
      </c>
      <c r="U75" s="34">
        <v>-5.8568063063302853E-2</v>
      </c>
      <c r="V75" s="34">
        <v>-0.83630000000000004</v>
      </c>
      <c r="W75" s="34">
        <v>93.960568734623493</v>
      </c>
      <c r="X75" s="34">
        <v>-6.0394312653765052</v>
      </c>
      <c r="AF75" s="34">
        <v>-0.34510000000000002</v>
      </c>
      <c r="AG75" s="34">
        <v>106.9064565222311</v>
      </c>
      <c r="AH75" s="34">
        <v>107.9663002992686</v>
      </c>
      <c r="AI75" s="34">
        <v>-1.059843777037472</v>
      </c>
      <c r="AJ75" s="34">
        <v>-9.8164313688597488E-3</v>
      </c>
      <c r="AK75" s="34">
        <v>-1.0341</v>
      </c>
      <c r="AL75" s="34">
        <v>106.1673202776127</v>
      </c>
      <c r="AM75" s="34">
        <v>-1.6662421669255021</v>
      </c>
    </row>
    <row r="76" spans="1:39" x14ac:dyDescent="0.25">
      <c r="A76" s="34" t="s">
        <v>325</v>
      </c>
      <c r="B76" s="34" t="s">
        <v>326</v>
      </c>
      <c r="C76" s="34">
        <v>0.76539999999999997</v>
      </c>
      <c r="D76" s="34">
        <v>114.309206527783</v>
      </c>
      <c r="E76" s="34">
        <v>114.309206527783</v>
      </c>
      <c r="F76" s="34">
        <v>36528.949999999997</v>
      </c>
      <c r="G76" s="35">
        <v>-0.39240000000000003</v>
      </c>
      <c r="H76" s="34">
        <v>112.9957874442695</v>
      </c>
      <c r="I76" s="35">
        <v>-0.39239999999999281</v>
      </c>
      <c r="Q76" s="34">
        <v>-1.741419407600501</v>
      </c>
      <c r="R76" s="34">
        <v>92.503765847753229</v>
      </c>
      <c r="S76" s="34">
        <v>100</v>
      </c>
      <c r="T76" s="34">
        <v>-7.496234152246771</v>
      </c>
      <c r="U76" s="34">
        <v>-7.496234152246771E-2</v>
      </c>
      <c r="V76" s="34">
        <v>-1.8755999999999999</v>
      </c>
      <c r="W76" s="34">
        <v>92.37744395275125</v>
      </c>
      <c r="X76" s="34">
        <v>-7.6225560472487519</v>
      </c>
      <c r="AF76" s="34">
        <v>-0.97599999999999998</v>
      </c>
      <c r="AG76" s="34">
        <v>105.8630495065741</v>
      </c>
      <c r="AH76" s="34">
        <v>107.9663002992686</v>
      </c>
      <c r="AI76" s="34">
        <v>-2.103250792694439</v>
      </c>
      <c r="AJ76" s="34">
        <v>-1.9480622998699609E-2</v>
      </c>
      <c r="AK76" s="34">
        <v>-1.0528</v>
      </c>
      <c r="AL76" s="34">
        <v>105.780945347965</v>
      </c>
      <c r="AM76" s="34">
        <v>-2.0241083979408381</v>
      </c>
    </row>
    <row r="77" spans="1:39" x14ac:dyDescent="0.25">
      <c r="A77" s="34" t="s">
        <v>326</v>
      </c>
      <c r="B77" s="34" t="s">
        <v>327</v>
      </c>
      <c r="C77" s="34">
        <v>0.45639999999999997</v>
      </c>
      <c r="D77" s="34">
        <v>114.8309137463758</v>
      </c>
      <c r="E77" s="34">
        <v>114.8309137463758</v>
      </c>
      <c r="F77" s="34">
        <v>36839</v>
      </c>
      <c r="G77" s="35">
        <v>-0.59819999999999995</v>
      </c>
      <c r="H77" s="34">
        <v>113.6254088543338</v>
      </c>
      <c r="I77" s="35">
        <v>-0.59820000000000428</v>
      </c>
      <c r="Q77" s="34">
        <v>0.56748423724925179</v>
      </c>
      <c r="R77" s="34">
        <v>93.028710137801198</v>
      </c>
      <c r="S77" s="34">
        <v>100</v>
      </c>
      <c r="T77" s="34">
        <v>-6.9712898621988018</v>
      </c>
      <c r="U77" s="34">
        <v>-6.9712898621988012E-2</v>
      </c>
      <c r="V77" s="34">
        <v>-0.6169</v>
      </c>
      <c r="W77" s="34">
        <v>91.933110116238439</v>
      </c>
      <c r="X77" s="34">
        <v>-8.0668898837615632</v>
      </c>
      <c r="AF77" s="34">
        <v>1.0239</v>
      </c>
      <c r="AG77" s="34">
        <v>106.94698127047189</v>
      </c>
      <c r="AH77" s="34">
        <v>107.9663002992686</v>
      </c>
      <c r="AI77" s="34">
        <v>-1.0193190287966161</v>
      </c>
      <c r="AJ77" s="34">
        <v>-9.4410850975831916E-3</v>
      </c>
      <c r="AK77" s="34">
        <v>2.2800000000000001E-2</v>
      </c>
      <c r="AL77" s="34">
        <v>105.8871862818616</v>
      </c>
      <c r="AM77" s="34">
        <v>-1.925706458074339</v>
      </c>
    </row>
    <row r="78" spans="1:39" x14ac:dyDescent="0.25">
      <c r="A78" s="34" t="s">
        <v>327</v>
      </c>
      <c r="B78" s="34" t="s">
        <v>328</v>
      </c>
      <c r="C78" s="34">
        <v>0.37619999999999998</v>
      </c>
      <c r="D78" s="34">
        <v>115.2629076438897</v>
      </c>
      <c r="E78" s="34">
        <v>115.2629076438897</v>
      </c>
      <c r="F78" s="34">
        <v>37050.1</v>
      </c>
      <c r="G78" s="35">
        <v>-0.59130000000000005</v>
      </c>
      <c r="H78" s="34">
        <v>114.1519185533935</v>
      </c>
      <c r="I78" s="35">
        <v>-0.59129999999999461</v>
      </c>
      <c r="Q78" s="34">
        <v>1.0362366836381289</v>
      </c>
      <c r="R78" s="34">
        <v>93.992707758564478</v>
      </c>
      <c r="S78" s="34">
        <v>100</v>
      </c>
      <c r="T78" s="34">
        <v>-6.0072922414355219</v>
      </c>
      <c r="U78" s="34">
        <v>-6.0072922414355218E-2</v>
      </c>
      <c r="V78" s="34">
        <v>-0.49070000000000003</v>
      </c>
      <c r="W78" s="34">
        <v>92.572218257155015</v>
      </c>
      <c r="X78" s="34">
        <v>-7.427781742844985</v>
      </c>
      <c r="AF78" s="34">
        <v>1.4124000000000001</v>
      </c>
      <c r="AG78" s="34">
        <v>108.4575004339361</v>
      </c>
      <c r="AH78" s="34">
        <v>108.4575004339361</v>
      </c>
      <c r="AI78" s="34"/>
      <c r="AJ78" s="34">
        <v>0</v>
      </c>
      <c r="AK78" s="34">
        <v>0.5423</v>
      </c>
      <c r="AL78" s="34">
        <v>107.52695474990171</v>
      </c>
      <c r="AM78" s="34">
        <v>-0.40692841020674159</v>
      </c>
    </row>
    <row r="79" spans="1:39" x14ac:dyDescent="0.25">
      <c r="A79" s="34" t="s">
        <v>328</v>
      </c>
      <c r="B79" s="34" t="s">
        <v>329</v>
      </c>
      <c r="C79" s="34">
        <v>2.0434999999999999</v>
      </c>
      <c r="D79" s="34">
        <v>117.6183051615925</v>
      </c>
      <c r="E79" s="34">
        <v>117.6183051615925</v>
      </c>
      <c r="F79" s="34">
        <v>37232.699999999997</v>
      </c>
      <c r="G79" s="35">
        <v>-0.37069999999999997</v>
      </c>
      <c r="H79" s="34">
        <v>114.8356280452538</v>
      </c>
      <c r="I79" s="35">
        <v>-0.37070000000000158</v>
      </c>
      <c r="Q79" s="34">
        <v>-0.52543844150656416</v>
      </c>
      <c r="R79" s="34">
        <v>93.498833939788057</v>
      </c>
      <c r="S79" s="34">
        <v>100</v>
      </c>
      <c r="T79" s="34">
        <v>-6.5011660602119434</v>
      </c>
      <c r="U79" s="34">
        <v>-6.5011660602119437E-2</v>
      </c>
      <c r="V79" s="34">
        <v>-0.64859999999999995</v>
      </c>
      <c r="W79" s="34">
        <v>93.383071056042425</v>
      </c>
      <c r="X79" s="34">
        <v>-6.6169289439575776</v>
      </c>
      <c r="AF79" s="34">
        <v>1.5181</v>
      </c>
      <c r="AG79" s="34">
        <v>110.1039937480237</v>
      </c>
      <c r="AH79" s="34">
        <v>110.1039937480237</v>
      </c>
      <c r="AI79" s="34"/>
      <c r="AJ79" s="34">
        <v>0</v>
      </c>
      <c r="AK79" s="34">
        <v>0.61509999999999998</v>
      </c>
      <c r="AL79" s="34">
        <v>109.1246225191052</v>
      </c>
      <c r="AM79" s="34">
        <v>0.61510000000000176</v>
      </c>
    </row>
    <row r="80" spans="1:39" x14ac:dyDescent="0.25">
      <c r="A80" s="34" t="s">
        <v>329</v>
      </c>
      <c r="B80" s="34" t="s">
        <v>330</v>
      </c>
      <c r="C80" s="34">
        <v>-0.73540000000000005</v>
      </c>
      <c r="D80" s="34">
        <v>116.75334014543419</v>
      </c>
      <c r="E80" s="34">
        <v>117.6183051615925</v>
      </c>
      <c r="F80" s="34">
        <v>38037</v>
      </c>
      <c r="G80" s="35">
        <v>-2.1280000000000001</v>
      </c>
      <c r="H80" s="34">
        <v>115.1153876277539</v>
      </c>
      <c r="I80" s="35">
        <v>-2.127999999999997</v>
      </c>
      <c r="Q80" s="34">
        <v>1.33528247731446</v>
      </c>
      <c r="R80" s="34">
        <v>94.747307485879404</v>
      </c>
      <c r="S80" s="34">
        <v>100</v>
      </c>
      <c r="T80" s="34">
        <v>-5.2526925141205956</v>
      </c>
      <c r="U80" s="34">
        <v>-5.2526925141205973E-2</v>
      </c>
      <c r="V80" s="34">
        <v>9.6799999999999997E-2</v>
      </c>
      <c r="W80" s="34">
        <v>93.589340811041779</v>
      </c>
      <c r="X80" s="34">
        <v>-6.4106591889582232</v>
      </c>
      <c r="AF80" s="34">
        <v>0.59989999999999999</v>
      </c>
      <c r="AG80" s="34">
        <v>110.76450760651809</v>
      </c>
      <c r="AH80" s="34">
        <v>110.76450760651809</v>
      </c>
      <c r="AI80" s="34"/>
      <c r="AJ80" s="34">
        <v>0</v>
      </c>
      <c r="AK80" s="34">
        <v>-0.43190000000000001</v>
      </c>
      <c r="AL80" s="34">
        <v>109.628454599026</v>
      </c>
      <c r="AM80" s="34">
        <v>-0.43189999999999618</v>
      </c>
    </row>
    <row r="81" spans="1:39" x14ac:dyDescent="0.25">
      <c r="A81" s="34" t="s">
        <v>330</v>
      </c>
      <c r="B81" s="34" t="s">
        <v>331</v>
      </c>
      <c r="C81" s="34">
        <v>2.2456999999999998</v>
      </c>
      <c r="D81" s="34">
        <v>119.3752699050802</v>
      </c>
      <c r="E81" s="34">
        <v>119.3752699050802</v>
      </c>
      <c r="F81" s="34">
        <v>37801.65</v>
      </c>
      <c r="G81" s="35">
        <v>-0.26200000000000001</v>
      </c>
      <c r="H81" s="34">
        <v>116.44744639425321</v>
      </c>
      <c r="I81" s="35">
        <v>-0.99547325199998982</v>
      </c>
      <c r="Q81" s="34">
        <v>0.4022604675057796</v>
      </c>
      <c r="R81" s="34">
        <v>95.128438447921241</v>
      </c>
      <c r="S81" s="34">
        <v>100</v>
      </c>
      <c r="T81" s="34">
        <v>-4.8715615520787594</v>
      </c>
      <c r="U81" s="34">
        <v>-4.8715615520787597E-2</v>
      </c>
      <c r="V81" s="34">
        <v>-8.6999999999999994E-3</v>
      </c>
      <c r="W81" s="34">
        <v>94.739064470128142</v>
      </c>
      <c r="X81" s="34">
        <v>-5.2609355298718574</v>
      </c>
      <c r="AF81" s="34">
        <v>2.6480000000000001</v>
      </c>
      <c r="AG81" s="34">
        <v>113.69755176793871</v>
      </c>
      <c r="AH81" s="34">
        <v>113.69755176793871</v>
      </c>
      <c r="AI81" s="34"/>
      <c r="AJ81" s="34">
        <v>0</v>
      </c>
      <c r="AK81" s="34">
        <v>0.84079999999999999</v>
      </c>
      <c r="AL81" s="34">
        <v>111.6958155864737</v>
      </c>
      <c r="AM81" s="34">
        <v>0.84079999999999711</v>
      </c>
    </row>
    <row r="82" spans="1:39" x14ac:dyDescent="0.25">
      <c r="A82" s="34" t="s">
        <v>331</v>
      </c>
      <c r="B82" s="34" t="s">
        <v>332</v>
      </c>
      <c r="C82" s="34">
        <v>0.87290000000000001</v>
      </c>
      <c r="D82" s="34">
        <v>120.4172966360816</v>
      </c>
      <c r="E82" s="34">
        <v>120.4172966360816</v>
      </c>
      <c r="F82" s="34">
        <v>38694.65</v>
      </c>
      <c r="G82" s="35">
        <v>-0.83289999999999997</v>
      </c>
      <c r="H82" s="34">
        <v>118.38099328204081</v>
      </c>
      <c r="I82" s="35">
        <v>-0.83290000000000308</v>
      </c>
      <c r="Q82" s="34">
        <v>0.64672906809298492</v>
      </c>
      <c r="R82" s="34">
        <v>95.743661711386878</v>
      </c>
      <c r="S82" s="34">
        <v>100</v>
      </c>
      <c r="T82" s="34">
        <v>-4.2563382886131222</v>
      </c>
      <c r="U82" s="34">
        <v>-4.2563382886131221E-2</v>
      </c>
      <c r="V82" s="34">
        <v>-0.97439999999999993</v>
      </c>
      <c r="W82" s="34">
        <v>94.201506943684691</v>
      </c>
      <c r="X82" s="34">
        <v>-5.7984930563153121</v>
      </c>
      <c r="AF82" s="34">
        <v>1.5196000000000001</v>
      </c>
      <c r="AG82" s="34">
        <v>115.4252997646043</v>
      </c>
      <c r="AH82" s="34">
        <v>115.4252997646043</v>
      </c>
      <c r="AI82" s="34"/>
      <c r="AJ82" s="34">
        <v>0</v>
      </c>
      <c r="AK82" s="34">
        <v>8.9399999999999993E-2</v>
      </c>
      <c r="AL82" s="34">
        <v>113.79919737921919</v>
      </c>
      <c r="AM82" s="34">
        <v>8.9399999999995039E-2</v>
      </c>
    </row>
    <row r="83" spans="1:39" x14ac:dyDescent="0.25">
      <c r="A83" s="34" t="s">
        <v>332</v>
      </c>
      <c r="B83" s="34" t="s">
        <v>333</v>
      </c>
      <c r="C83" s="34">
        <v>2.9708999999999999</v>
      </c>
      <c r="D83" s="34">
        <v>123.99477410184301</v>
      </c>
      <c r="E83" s="34">
        <v>123.99477410184301</v>
      </c>
      <c r="F83" s="34">
        <v>39077.550000000003</v>
      </c>
      <c r="G83" s="35">
        <v>-0.30230000000000001</v>
      </c>
      <c r="H83" s="34">
        <v>120.05327514835081</v>
      </c>
      <c r="I83" s="35">
        <v>-0.30229999999999979</v>
      </c>
      <c r="Q83" s="34">
        <v>-1.503815748328591</v>
      </c>
      <c r="R83" s="34">
        <v>94.303853448544587</v>
      </c>
      <c r="S83" s="34">
        <v>100</v>
      </c>
      <c r="T83" s="34">
        <v>-5.6961465514554126</v>
      </c>
      <c r="U83" s="34">
        <v>-5.6961465514554138E-2</v>
      </c>
      <c r="V83" s="34">
        <v>-1.6211</v>
      </c>
      <c r="W83" s="34">
        <v>94.191561211383586</v>
      </c>
      <c r="X83" s="34">
        <v>-5.8084387886164102</v>
      </c>
      <c r="AF83" s="34">
        <v>1.4671000000000001</v>
      </c>
      <c r="AG83" s="34">
        <v>117.11870433745079</v>
      </c>
      <c r="AH83" s="34">
        <v>117.11870433745079</v>
      </c>
      <c r="AI83" s="34"/>
      <c r="AJ83" s="34">
        <v>0</v>
      </c>
      <c r="AK83" s="34">
        <v>0.2429</v>
      </c>
      <c r="AL83" s="34">
        <v>115.7056678177325</v>
      </c>
      <c r="AM83" s="34">
        <v>0.24290000000000139</v>
      </c>
    </row>
    <row r="84" spans="1:39" x14ac:dyDescent="0.25">
      <c r="A84" s="34" t="s">
        <v>333</v>
      </c>
      <c r="B84" s="34" t="s">
        <v>334</v>
      </c>
      <c r="C84" s="34">
        <v>-0.2135</v>
      </c>
      <c r="D84" s="34">
        <v>123.73004525913559</v>
      </c>
      <c r="E84" s="34">
        <v>123.99477410184301</v>
      </c>
      <c r="F84" s="34">
        <v>40284.1</v>
      </c>
      <c r="G84" s="35">
        <v>-1.8037000000000001</v>
      </c>
      <c r="H84" s="34">
        <v>121.75828036136809</v>
      </c>
      <c r="I84" s="35">
        <v>-1.803699999999997</v>
      </c>
      <c r="Q84" s="34">
        <v>-2.9478278827497761</v>
      </c>
      <c r="R84" s="34">
        <v>91.52393816208091</v>
      </c>
      <c r="S84" s="34">
        <v>100</v>
      </c>
      <c r="T84" s="34">
        <v>-8.4760618379190902</v>
      </c>
      <c r="U84" s="34">
        <v>-8.4760618379190897E-2</v>
      </c>
      <c r="V84" s="34">
        <v>-3.1587000000000001</v>
      </c>
      <c r="W84" s="34">
        <v>91.325077629665401</v>
      </c>
      <c r="X84" s="34">
        <v>-8.6749223703346026</v>
      </c>
      <c r="AF84" s="34">
        <v>-3.1613000000000002</v>
      </c>
      <c r="AG84" s="34">
        <v>113.416230737231</v>
      </c>
      <c r="AH84" s="34">
        <v>117.11870433745079</v>
      </c>
      <c r="AI84" s="34">
        <v>-3.702473600219832</v>
      </c>
      <c r="AJ84" s="34">
        <v>-3.1613000000000002E-2</v>
      </c>
      <c r="AK84" s="34">
        <v>-3.1613000000000002</v>
      </c>
      <c r="AL84" s="34">
        <v>113.416230737231</v>
      </c>
      <c r="AM84" s="34">
        <v>-3.1613000000000002</v>
      </c>
    </row>
    <row r="85" spans="1:39" x14ac:dyDescent="0.25">
      <c r="A85" s="34" t="s">
        <v>334</v>
      </c>
      <c r="B85" s="34" t="s">
        <v>335</v>
      </c>
      <c r="C85" s="34">
        <v>0.62570000000000003</v>
      </c>
      <c r="D85" s="34">
        <v>124.504224152322</v>
      </c>
      <c r="E85" s="34">
        <v>124.504224152322</v>
      </c>
      <c r="F85" s="34">
        <v>40245.1</v>
      </c>
      <c r="G85" s="35">
        <v>4.8599999999999997E-2</v>
      </c>
      <c r="H85" s="34">
        <v>123.7901780611315</v>
      </c>
      <c r="I85" s="35">
        <v>-0.16500376100001549</v>
      </c>
      <c r="Q85" s="34">
        <v>0.82685600398604897</v>
      </c>
      <c r="R85" s="34">
        <v>92.280709339858547</v>
      </c>
      <c r="S85" s="34">
        <v>100</v>
      </c>
      <c r="T85" s="34">
        <v>-7.7192906601414526</v>
      </c>
      <c r="U85" s="34">
        <v>-7.7192906601414535E-2</v>
      </c>
      <c r="V85" s="34">
        <v>-0.72370000000000001</v>
      </c>
      <c r="W85" s="34">
        <v>90.861579421601931</v>
      </c>
      <c r="X85" s="34">
        <v>-9.1384205783980654</v>
      </c>
      <c r="AF85" s="34">
        <v>1.4525999999999999</v>
      </c>
      <c r="AG85" s="34">
        <v>115.06371490492</v>
      </c>
      <c r="AH85" s="34">
        <v>117.11870433745079</v>
      </c>
      <c r="AI85" s="34">
        <v>-2.0549894325308169</v>
      </c>
      <c r="AJ85" s="34">
        <v>-1.7546210438000021E-2</v>
      </c>
      <c r="AK85" s="34">
        <v>0.97640000000000005</v>
      </c>
      <c r="AL85" s="34">
        <v>114.5236268141493</v>
      </c>
      <c r="AM85" s="34">
        <v>-2.2157669331999919</v>
      </c>
    </row>
    <row r="86" spans="1:39" x14ac:dyDescent="0.25">
      <c r="A86" s="34" t="s">
        <v>335</v>
      </c>
      <c r="B86" s="34" t="s">
        <v>336</v>
      </c>
      <c r="C86" s="34">
        <v>0.1225</v>
      </c>
      <c r="D86" s="34">
        <v>124.6567418269086</v>
      </c>
      <c r="E86" s="34">
        <v>124.6567418269086</v>
      </c>
      <c r="F86" s="34">
        <v>40543.85</v>
      </c>
      <c r="G86" s="35">
        <v>-1.6456999999999999</v>
      </c>
      <c r="H86" s="34">
        <v>122.4552581354472</v>
      </c>
      <c r="I86" s="35">
        <v>-1.6456999999999939</v>
      </c>
      <c r="Q86" s="34">
        <v>1.5682313807068851</v>
      </c>
      <c r="R86" s="34">
        <v>93.727884382065113</v>
      </c>
      <c r="S86" s="34">
        <v>100</v>
      </c>
      <c r="T86" s="34">
        <v>-6.2721156179348867</v>
      </c>
      <c r="U86" s="34">
        <v>-6.2721156179348869E-2</v>
      </c>
      <c r="V86" s="34">
        <v>0.30930000000000002</v>
      </c>
      <c r="W86" s="34">
        <v>92.566133573846727</v>
      </c>
      <c r="X86" s="34">
        <v>-7.4338664261532683</v>
      </c>
      <c r="AF86" s="34">
        <v>1.6907000000000001</v>
      </c>
      <c r="AG86" s="34">
        <v>117.0090971328175</v>
      </c>
      <c r="AH86" s="34">
        <v>117.11870433745079</v>
      </c>
      <c r="AI86" s="34">
        <v>-0.1096072046333347</v>
      </c>
      <c r="AJ86" s="34">
        <v>-9.3586421787528141E-4</v>
      </c>
      <c r="AK86" s="34">
        <v>0.33860000000000001</v>
      </c>
      <c r="AL86" s="34">
        <v>115.453320643588</v>
      </c>
      <c r="AM86" s="34">
        <v>-1.421962190654313</v>
      </c>
    </row>
    <row r="87" spans="1:39" x14ac:dyDescent="0.25">
      <c r="A87" s="34" t="s">
        <v>336</v>
      </c>
      <c r="B87" s="34" t="s">
        <v>337</v>
      </c>
      <c r="C87" s="34">
        <v>-1.5765</v>
      </c>
      <c r="D87" s="34">
        <v>122.69152829200731</v>
      </c>
      <c r="E87" s="34">
        <v>124.6567418269086</v>
      </c>
      <c r="F87" s="34">
        <v>40640.800000000003</v>
      </c>
      <c r="G87" s="35">
        <v>-2.3136000000000001</v>
      </c>
      <c r="H87" s="34">
        <v>121.7726834480012</v>
      </c>
      <c r="I87" s="35">
        <v>-2.3136000000000161</v>
      </c>
      <c r="Q87" s="34">
        <v>1.862150640708647</v>
      </c>
      <c r="R87" s="34">
        <v>95.473238781608401</v>
      </c>
      <c r="S87" s="34">
        <v>100</v>
      </c>
      <c r="T87" s="34">
        <v>-4.5267612183915986</v>
      </c>
      <c r="U87" s="34">
        <v>-4.5267612183915992E-2</v>
      </c>
      <c r="V87" s="34">
        <v>-0.12709999999999999</v>
      </c>
      <c r="W87" s="34">
        <v>93.608756241015513</v>
      </c>
      <c r="X87" s="34">
        <v>-6.3912437589844888</v>
      </c>
      <c r="AF87" s="34">
        <v>0.28570000000000001</v>
      </c>
      <c r="AG87" s="34">
        <v>117.3433921233259</v>
      </c>
      <c r="AH87" s="34">
        <v>117.3433921233259</v>
      </c>
      <c r="AI87" s="34"/>
      <c r="AJ87" s="34">
        <v>0</v>
      </c>
      <c r="AK87" s="34">
        <v>-0.1208</v>
      </c>
      <c r="AL87" s="34">
        <v>116.867750143481</v>
      </c>
      <c r="AM87" s="34">
        <v>-0.2142733693900056</v>
      </c>
    </row>
    <row r="88" spans="1:39" x14ac:dyDescent="0.25">
      <c r="A88" s="34" t="s">
        <v>337</v>
      </c>
      <c r="B88" s="34" t="s">
        <v>338</v>
      </c>
      <c r="C88" s="34">
        <v>0.97889999999999999</v>
      </c>
      <c r="D88" s="34">
        <v>123.8925556624578</v>
      </c>
      <c r="E88" s="34">
        <v>124.6567418269086</v>
      </c>
      <c r="F88" s="34">
        <v>40047.5</v>
      </c>
      <c r="G88" s="35">
        <v>-1.1132</v>
      </c>
      <c r="H88" s="34">
        <v>121.3257261990607</v>
      </c>
      <c r="I88" s="35">
        <v>-2.672150402000006</v>
      </c>
      <c r="Q88" s="34">
        <v>-2.0575115378085109</v>
      </c>
      <c r="R88" s="34">
        <v>93.508865878157337</v>
      </c>
      <c r="S88" s="34">
        <v>100</v>
      </c>
      <c r="T88" s="34">
        <v>-6.4911341218426628</v>
      </c>
      <c r="U88" s="34">
        <v>-6.4911341218426621E-2</v>
      </c>
      <c r="V88" s="34">
        <v>-2.2048999999999999</v>
      </c>
      <c r="W88" s="34">
        <v>93.368149339712716</v>
      </c>
      <c r="X88" s="34">
        <v>-6.6318506602872862</v>
      </c>
      <c r="AF88" s="34">
        <v>-1.0786</v>
      </c>
      <c r="AG88" s="34">
        <v>116.07772629588371</v>
      </c>
      <c r="AH88" s="34">
        <v>117.3433921233259</v>
      </c>
      <c r="AI88" s="34">
        <v>-1.265665827442191</v>
      </c>
      <c r="AJ88" s="34">
        <v>-1.078599999999998E-2</v>
      </c>
      <c r="AK88" s="34">
        <v>-1.2808999999999999</v>
      </c>
      <c r="AL88" s="34">
        <v>115.8403406136183</v>
      </c>
      <c r="AM88" s="34">
        <v>-1.2808999999999959</v>
      </c>
    </row>
    <row r="89" spans="1:39" x14ac:dyDescent="0.25">
      <c r="A89" s="34" t="s">
        <v>338</v>
      </c>
      <c r="B89" s="34" t="s">
        <v>339</v>
      </c>
      <c r="C89" s="34">
        <v>-0.4108</v>
      </c>
      <c r="D89" s="34">
        <v>123.38360504379639</v>
      </c>
      <c r="E89" s="34">
        <v>124.6567418269086</v>
      </c>
      <c r="F89" s="34">
        <v>40486.25</v>
      </c>
      <c r="G89" s="35">
        <v>-0.52949999999999997</v>
      </c>
      <c r="H89" s="34">
        <v>123.2365445802251</v>
      </c>
      <c r="I89" s="35">
        <v>-1.1392863521617611</v>
      </c>
      <c r="Q89" s="34">
        <v>0.84320351717576059</v>
      </c>
      <c r="R89" s="34">
        <v>94.297335924113113</v>
      </c>
      <c r="S89" s="34">
        <v>100</v>
      </c>
      <c r="T89" s="34">
        <v>-5.7026640758868874</v>
      </c>
      <c r="U89" s="34">
        <v>-5.7026640758868867E-2</v>
      </c>
      <c r="V89" s="34">
        <v>-0.158</v>
      </c>
      <c r="W89" s="34">
        <v>93.361121870069852</v>
      </c>
      <c r="X89" s="34">
        <v>-6.6388781299301476</v>
      </c>
      <c r="AF89" s="34">
        <v>0.43240000000000001</v>
      </c>
      <c r="AG89" s="34">
        <v>116.5796463843871</v>
      </c>
      <c r="AH89" s="34">
        <v>117.3433921233259</v>
      </c>
      <c r="AI89" s="34">
        <v>-0.76374573893879472</v>
      </c>
      <c r="AJ89" s="34">
        <v>-6.5086386640000214E-3</v>
      </c>
      <c r="AK89" s="34">
        <v>0.41520000000000001</v>
      </c>
      <c r="AL89" s="34">
        <v>116.55968101546419</v>
      </c>
      <c r="AM89" s="34">
        <v>-0.66787834720000161</v>
      </c>
    </row>
    <row r="90" spans="1:39" x14ac:dyDescent="0.25">
      <c r="A90" s="34" t="s">
        <v>339</v>
      </c>
      <c r="B90" s="34" t="s">
        <v>340</v>
      </c>
      <c r="C90" s="34">
        <v>-4.5829000000000004</v>
      </c>
      <c r="D90" s="34">
        <v>117.72905780824431</v>
      </c>
      <c r="E90" s="34">
        <v>124.6567418269086</v>
      </c>
      <c r="F90" s="34">
        <v>40367.15</v>
      </c>
      <c r="G90" s="35">
        <v>-5.5094000000000003</v>
      </c>
      <c r="H90" s="34">
        <v>116.5859087075135</v>
      </c>
      <c r="I90" s="35">
        <v>-6.4744457468668308</v>
      </c>
      <c r="Q90" s="34">
        <v>1.5459226987814609</v>
      </c>
      <c r="R90" s="34">
        <v>95.755099844510184</v>
      </c>
      <c r="S90" s="34">
        <v>100</v>
      </c>
      <c r="T90" s="34">
        <v>-4.244900155489816</v>
      </c>
      <c r="U90" s="34">
        <v>-4.2449001554898162E-2</v>
      </c>
      <c r="V90" s="34">
        <v>0.13450000000000001</v>
      </c>
      <c r="W90" s="34">
        <v>94.424165840931039</v>
      </c>
      <c r="X90" s="34">
        <v>-5.5758341590689593</v>
      </c>
      <c r="AF90" s="34">
        <v>-3.0369999999999999</v>
      </c>
      <c r="AG90" s="34">
        <v>113.03912252369329</v>
      </c>
      <c r="AH90" s="34">
        <v>117.3433921233259</v>
      </c>
      <c r="AI90" s="34">
        <v>-4.304269599632633</v>
      </c>
      <c r="AJ90" s="34">
        <v>-3.6680971307774347E-2</v>
      </c>
      <c r="AK90" s="34">
        <v>-3.8214000000000001</v>
      </c>
      <c r="AL90" s="34">
        <v>112.1246717774542</v>
      </c>
      <c r="AM90" s="34">
        <v>-4.4473917546093862</v>
      </c>
    </row>
    <row r="91" spans="1:39" x14ac:dyDescent="0.25">
      <c r="A91" s="34" t="s">
        <v>340</v>
      </c>
      <c r="B91" s="34" t="s">
        <v>341</v>
      </c>
      <c r="C91" s="34">
        <v>0.43009999999999998</v>
      </c>
      <c r="D91" s="34">
        <v>118.23541048587759</v>
      </c>
      <c r="E91" s="34">
        <v>124.6567418269086</v>
      </c>
      <c r="F91" s="34">
        <v>38564.25</v>
      </c>
      <c r="G91" s="35">
        <v>-2.3717999999999999</v>
      </c>
      <c r="H91" s="34">
        <v>114.93676001514829</v>
      </c>
      <c r="I91" s="35">
        <v>-7.7973976130844562</v>
      </c>
      <c r="Q91" s="34">
        <v>1.129841571162238</v>
      </c>
      <c r="R91" s="34">
        <v>96.836980769061384</v>
      </c>
      <c r="S91" s="34">
        <v>100</v>
      </c>
      <c r="T91" s="34">
        <v>-3.163019230938616</v>
      </c>
      <c r="U91" s="34">
        <v>-3.1630192309386157E-2</v>
      </c>
      <c r="V91" s="34">
        <v>-0.2772</v>
      </c>
      <c r="W91" s="34">
        <v>95.489666707741208</v>
      </c>
      <c r="X91" s="34">
        <v>-4.5103332922587942</v>
      </c>
      <c r="AF91" s="34">
        <v>1.5599000000000001</v>
      </c>
      <c r="AG91" s="34">
        <v>114.80241979594039</v>
      </c>
      <c r="AH91" s="34">
        <v>117.3433921233259</v>
      </c>
      <c r="AI91" s="34">
        <v>-2.5409723273855458</v>
      </c>
      <c r="AJ91" s="34">
        <v>-2.1654157779204361E-2</v>
      </c>
      <c r="AK91" s="34">
        <v>-0.73809999999999998</v>
      </c>
      <c r="AL91" s="34">
        <v>112.2047807603459</v>
      </c>
      <c r="AM91" s="34">
        <v>-4.3791229058551711</v>
      </c>
    </row>
    <row r="92" spans="1:39" x14ac:dyDescent="0.25">
      <c r="A92" s="34" t="s">
        <v>341</v>
      </c>
      <c r="B92" s="34" t="s">
        <v>342</v>
      </c>
      <c r="C92" s="34">
        <v>2.9134000000000002</v>
      </c>
      <c r="D92" s="34">
        <v>121.68008093497311</v>
      </c>
      <c r="E92" s="34">
        <v>124.6567418269086</v>
      </c>
      <c r="F92" s="34">
        <v>38775.1</v>
      </c>
      <c r="G92" s="35">
        <v>0.70620000000000005</v>
      </c>
      <c r="H92" s="34">
        <v>119.0703889547288</v>
      </c>
      <c r="I92" s="35">
        <v>-4.4813884835339657</v>
      </c>
      <c r="Q92" s="34">
        <v>-2.5654123538968299</v>
      </c>
      <c r="R92" s="34">
        <v>94.352712901271175</v>
      </c>
      <c r="S92" s="34">
        <v>100</v>
      </c>
      <c r="T92" s="34">
        <v>-5.6472870987288246</v>
      </c>
      <c r="U92" s="34">
        <v>-5.6472870987288253E-2</v>
      </c>
      <c r="V92" s="34">
        <v>-2.6042000000000001</v>
      </c>
      <c r="W92" s="34">
        <v>94.315152115873488</v>
      </c>
      <c r="X92" s="34">
        <v>-5.6848478841265093</v>
      </c>
      <c r="AF92" s="34">
        <v>0.34799999999999998</v>
      </c>
      <c r="AG92" s="34">
        <v>115.2019322168303</v>
      </c>
      <c r="AH92" s="34">
        <v>117.3433921233259</v>
      </c>
      <c r="AI92" s="34">
        <v>-2.1414599064956832</v>
      </c>
      <c r="AJ92" s="34">
        <v>-1.8249514248276071E-2</v>
      </c>
      <c r="AK92" s="34">
        <v>0.2792</v>
      </c>
      <c r="AL92" s="34">
        <v>115.12294815201069</v>
      </c>
      <c r="AM92" s="34">
        <v>-1.8922616187723951</v>
      </c>
    </row>
    <row r="93" spans="1:39" x14ac:dyDescent="0.25">
      <c r="A93" s="34" t="s">
        <v>342</v>
      </c>
      <c r="B93" s="34" t="s">
        <v>343</v>
      </c>
      <c r="C93" s="34">
        <v>1.2430000000000001</v>
      </c>
      <c r="D93" s="34">
        <v>123.19256434099481</v>
      </c>
      <c r="E93" s="34">
        <v>124.6567418269086</v>
      </c>
      <c r="F93" s="34">
        <v>39937.1</v>
      </c>
      <c r="G93" s="35">
        <v>-0.12809999999999999</v>
      </c>
      <c r="H93" s="34">
        <v>121.5242087512954</v>
      </c>
      <c r="I93" s="35">
        <v>-2.512927122676456</v>
      </c>
      <c r="Q93" s="34">
        <v>1.0303038108362261E-3</v>
      </c>
      <c r="R93" s="34">
        <v>94.353685020867829</v>
      </c>
      <c r="S93" s="34">
        <v>100</v>
      </c>
      <c r="T93" s="34">
        <v>-5.6463149791321712</v>
      </c>
      <c r="U93" s="34">
        <v>-5.6463149791321707E-2</v>
      </c>
      <c r="V93" s="34">
        <v>-0.17019999999999999</v>
      </c>
      <c r="W93" s="34">
        <v>94.192124583913213</v>
      </c>
      <c r="X93" s="34">
        <v>-5.8078754160867829</v>
      </c>
      <c r="AF93" s="34">
        <v>1.244</v>
      </c>
      <c r="AG93" s="34">
        <v>116.6350442536076</v>
      </c>
      <c r="AH93" s="34">
        <v>117.3433921233259</v>
      </c>
      <c r="AI93" s="34">
        <v>-0.70834786971830965</v>
      </c>
      <c r="AJ93" s="34">
        <v>-6.0365382055245836E-3</v>
      </c>
      <c r="AK93" s="34">
        <v>0.29480000000000001</v>
      </c>
      <c r="AL93" s="34">
        <v>115.5415475130055</v>
      </c>
      <c r="AM93" s="34">
        <v>-1.5355313816280081</v>
      </c>
    </row>
    <row r="94" spans="1:39" x14ac:dyDescent="0.25">
      <c r="A94" s="34" t="s">
        <v>343</v>
      </c>
      <c r="B94" s="34" t="s">
        <v>344</v>
      </c>
      <c r="C94" s="34">
        <v>2.2519</v>
      </c>
      <c r="D94" s="34">
        <v>125.9667376973897</v>
      </c>
      <c r="E94" s="34">
        <v>125.9667376973897</v>
      </c>
      <c r="F94" s="34">
        <v>40446.85</v>
      </c>
      <c r="G94" s="35">
        <v>-0.40300000000000002</v>
      </c>
      <c r="H94" s="34">
        <v>122.69609830670061</v>
      </c>
      <c r="I94" s="35">
        <v>-1.5728339209526101</v>
      </c>
      <c r="Q94" s="34">
        <v>-1.175714248977807</v>
      </c>
      <c r="R94" s="34">
        <v>93.244355301641846</v>
      </c>
      <c r="S94" s="34">
        <v>100</v>
      </c>
      <c r="T94" s="34">
        <v>-6.7556446983581537</v>
      </c>
      <c r="U94" s="34">
        <v>-6.7556446983581542E-2</v>
      </c>
      <c r="V94" s="34">
        <v>-1.3751</v>
      </c>
      <c r="W94" s="34">
        <v>93.056227498145873</v>
      </c>
      <c r="X94" s="34">
        <v>-6.943772501854129</v>
      </c>
      <c r="AF94" s="34">
        <v>1.0762</v>
      </c>
      <c r="AG94" s="34">
        <v>117.89027059986491</v>
      </c>
      <c r="AH94" s="34">
        <v>117.89027059986491</v>
      </c>
      <c r="AI94" s="34"/>
      <c r="AJ94" s="34">
        <v>0</v>
      </c>
      <c r="AK94" s="34">
        <v>0.157</v>
      </c>
      <c r="AL94" s="34">
        <v>116.81816127308581</v>
      </c>
      <c r="AM94" s="34">
        <v>-0.44760155705071408</v>
      </c>
    </row>
    <row r="95" spans="1:39" x14ac:dyDescent="0.25">
      <c r="A95" s="34" t="s">
        <v>344</v>
      </c>
      <c r="B95" s="34" t="s">
        <v>345</v>
      </c>
      <c r="C95" s="34">
        <v>1.3862000000000001</v>
      </c>
      <c r="D95" s="34">
        <v>127.71288861535091</v>
      </c>
      <c r="E95" s="34">
        <v>127.71288861535091</v>
      </c>
      <c r="F95" s="34">
        <v>41404.85</v>
      </c>
      <c r="G95" s="35">
        <v>7.6E-3</v>
      </c>
      <c r="H95" s="34">
        <v>125.9763111694547</v>
      </c>
      <c r="I95" s="35">
        <v>7.5999999999964976E-3</v>
      </c>
      <c r="Q95" s="34">
        <v>-0.50341923564645275</v>
      </c>
      <c r="R95" s="34">
        <v>92.774945280898862</v>
      </c>
      <c r="S95" s="34">
        <v>100</v>
      </c>
      <c r="T95" s="34">
        <v>-7.2250547191011378</v>
      </c>
      <c r="U95" s="34">
        <v>-7.2250547191011372E-2</v>
      </c>
      <c r="V95" s="34">
        <v>-0.94330000000000003</v>
      </c>
      <c r="W95" s="34">
        <v>92.364781298081454</v>
      </c>
      <c r="X95" s="34">
        <v>-7.6352187019185447</v>
      </c>
      <c r="AF95" s="34">
        <v>0.88280000000000003</v>
      </c>
      <c r="AG95" s="34">
        <v>118.93100590872061</v>
      </c>
      <c r="AH95" s="34">
        <v>118.93100590872061</v>
      </c>
      <c r="AI95" s="34"/>
      <c r="AJ95" s="34">
        <v>0</v>
      </c>
      <c r="AK95" s="34">
        <v>0.214</v>
      </c>
      <c r="AL95" s="34">
        <v>118.1425557789487</v>
      </c>
      <c r="AM95" s="34">
        <v>0.2140000000000031</v>
      </c>
    </row>
    <row r="96" spans="1:39" x14ac:dyDescent="0.25">
      <c r="A96" s="34" t="s">
        <v>345</v>
      </c>
      <c r="B96" s="34" t="s">
        <v>346</v>
      </c>
      <c r="C96" s="34">
        <v>1.2909999999999999</v>
      </c>
      <c r="D96" s="34">
        <v>129.36166200737509</v>
      </c>
      <c r="E96" s="34">
        <v>129.36166200737509</v>
      </c>
      <c r="F96" s="34">
        <v>42027.1</v>
      </c>
      <c r="G96" s="35">
        <v>-0.11459999999999999</v>
      </c>
      <c r="H96" s="34">
        <v>127.5665296449977</v>
      </c>
      <c r="I96" s="35">
        <v>-0.114599999999998</v>
      </c>
      <c r="Q96" s="34">
        <v>-1.119531997264263</v>
      </c>
      <c r="R96" s="34">
        <v>91.736300083034777</v>
      </c>
      <c r="S96" s="34">
        <v>100</v>
      </c>
      <c r="T96" s="34">
        <v>-8.2636999169652228</v>
      </c>
      <c r="U96" s="34">
        <v>-8.2636999169652225E-2</v>
      </c>
      <c r="V96" s="34">
        <v>-1.2119</v>
      </c>
      <c r="W96" s="34">
        <v>91.650605719039646</v>
      </c>
      <c r="X96" s="34">
        <v>-8.3493942809603539</v>
      </c>
      <c r="AF96" s="34">
        <v>0.17150000000000001</v>
      </c>
      <c r="AG96" s="34">
        <v>119.13497258385399</v>
      </c>
      <c r="AH96" s="34">
        <v>119.13497258385399</v>
      </c>
      <c r="AI96" s="34"/>
      <c r="AJ96" s="34">
        <v>0</v>
      </c>
      <c r="AK96" s="34">
        <v>0.17150000000000001</v>
      </c>
      <c r="AL96" s="34">
        <v>119.13497258385399</v>
      </c>
      <c r="AM96" s="34">
        <v>0.1714999999999911</v>
      </c>
    </row>
    <row r="97" spans="1:39" x14ac:dyDescent="0.25">
      <c r="A97" s="34" t="s">
        <v>346</v>
      </c>
      <c r="B97" s="34" t="s">
        <v>347</v>
      </c>
      <c r="C97" s="34">
        <v>2.9666999999999999</v>
      </c>
      <c r="D97" s="34">
        <v>133.1994344341478</v>
      </c>
      <c r="E97" s="34">
        <v>133.1994344341478</v>
      </c>
      <c r="F97" s="34">
        <v>42618.7</v>
      </c>
      <c r="G97" s="35">
        <v>-0.33339999999999997</v>
      </c>
      <c r="H97" s="34">
        <v>128.9303702262425</v>
      </c>
      <c r="I97" s="35">
        <v>-0.33339999999999481</v>
      </c>
      <c r="Q97" s="34">
        <v>-2.741010917269588</v>
      </c>
      <c r="R97" s="34">
        <v>89.221798082659603</v>
      </c>
      <c r="S97" s="34">
        <v>100</v>
      </c>
      <c r="T97" s="34">
        <v>-10.7782019173404</v>
      </c>
      <c r="U97" s="34">
        <v>-0.10778201917340401</v>
      </c>
      <c r="V97" s="34">
        <v>-2.9828999999999999</v>
      </c>
      <c r="W97" s="34">
        <v>88.999897987857935</v>
      </c>
      <c r="X97" s="34">
        <v>-11.000102012142071</v>
      </c>
      <c r="AF97" s="34">
        <v>0.22570000000000001</v>
      </c>
      <c r="AG97" s="34">
        <v>119.4038602169758</v>
      </c>
      <c r="AH97" s="34">
        <v>119.4038602169758</v>
      </c>
      <c r="AI97" s="34"/>
      <c r="AJ97" s="34">
        <v>0</v>
      </c>
      <c r="AK97" s="34">
        <v>0.14080000000000001</v>
      </c>
      <c r="AL97" s="34">
        <v>119.30271462525209</v>
      </c>
      <c r="AM97" s="34">
        <v>0.14080000000000761</v>
      </c>
    </row>
    <row r="98" spans="1:39" x14ac:dyDescent="0.25">
      <c r="A98" s="34" t="s">
        <v>347</v>
      </c>
      <c r="B98" s="34" t="s">
        <v>348</v>
      </c>
      <c r="C98" s="34">
        <v>0.68130000000000002</v>
      </c>
      <c r="D98" s="34">
        <v>134.10692218094769</v>
      </c>
      <c r="E98" s="34">
        <v>134.10692218094769</v>
      </c>
      <c r="F98" s="34">
        <v>43918.6</v>
      </c>
      <c r="G98" s="35">
        <v>-0.60289999999999999</v>
      </c>
      <c r="H98" s="34">
        <v>132.3963750439444</v>
      </c>
      <c r="I98" s="35">
        <v>-0.602899999999984</v>
      </c>
      <c r="Q98" s="34">
        <v>-1.3822824216408529</v>
      </c>
      <c r="R98" s="34">
        <v>87.988500851491096</v>
      </c>
      <c r="S98" s="34">
        <v>100</v>
      </c>
      <c r="T98" s="34">
        <v>-12.0114991485089</v>
      </c>
      <c r="U98" s="34">
        <v>-0.120114991485089</v>
      </c>
      <c r="V98" s="34">
        <v>-1.5205</v>
      </c>
      <c r="W98" s="34">
        <v>87.86518064281276</v>
      </c>
      <c r="X98" s="34">
        <v>-12.13481935718724</v>
      </c>
      <c r="AF98" s="34">
        <v>-0.70099999999999996</v>
      </c>
      <c r="AG98" s="34">
        <v>118.5668391568548</v>
      </c>
      <c r="AH98" s="34">
        <v>119.4038602169758</v>
      </c>
      <c r="AI98" s="34">
        <v>-0.83702106012098909</v>
      </c>
      <c r="AJ98" s="34">
        <v>-7.0099999999999078E-3</v>
      </c>
      <c r="AK98" s="34">
        <v>-0.70099999999999996</v>
      </c>
      <c r="AL98" s="34">
        <v>118.5668391568548</v>
      </c>
      <c r="AM98" s="34">
        <v>-0.70099999999999607</v>
      </c>
    </row>
    <row r="99" spans="1:39" x14ac:dyDescent="0.25">
      <c r="A99" s="34" t="s">
        <v>348</v>
      </c>
      <c r="B99" s="34" t="s">
        <v>349</v>
      </c>
      <c r="C99" s="34">
        <v>1.4995000000000001</v>
      </c>
      <c r="D99" s="34">
        <v>136.117855479051</v>
      </c>
      <c r="E99" s="34">
        <v>136.117855479051</v>
      </c>
      <c r="F99" s="34">
        <v>44232.45</v>
      </c>
      <c r="G99" s="35">
        <v>-0.52410000000000001</v>
      </c>
      <c r="H99" s="34">
        <v>133.40406780179731</v>
      </c>
      <c r="I99" s="35">
        <v>-0.52410000000000512</v>
      </c>
      <c r="Q99" s="34">
        <v>0.35939955200427942</v>
      </c>
      <c r="R99" s="34">
        <v>88.304731129366644</v>
      </c>
      <c r="S99" s="34">
        <v>100</v>
      </c>
      <c r="T99" s="34">
        <v>-11.69526887063336</v>
      </c>
      <c r="U99" s="34">
        <v>-0.1169526887063336</v>
      </c>
      <c r="V99" s="34">
        <v>-0.41789999999999999</v>
      </c>
      <c r="W99" s="34">
        <v>87.620796906432716</v>
      </c>
      <c r="X99" s="34">
        <v>-12.379203093567281</v>
      </c>
      <c r="AF99" s="34">
        <v>1.8589</v>
      </c>
      <c r="AG99" s="34">
        <v>120.77087812994149</v>
      </c>
      <c r="AH99" s="34">
        <v>120.77087812994149</v>
      </c>
      <c r="AI99" s="34"/>
      <c r="AJ99" s="34">
        <v>0</v>
      </c>
      <c r="AK99" s="34">
        <v>0.5665</v>
      </c>
      <c r="AL99" s="34">
        <v>119.2385203006784</v>
      </c>
      <c r="AM99" s="34">
        <v>-0.13847116499998699</v>
      </c>
    </row>
    <row r="100" spans="1:39" x14ac:dyDescent="0.25">
      <c r="A100" s="34" t="s">
        <v>349</v>
      </c>
      <c r="B100" s="34" t="s">
        <v>350</v>
      </c>
      <c r="C100" s="34">
        <v>1.3889</v>
      </c>
      <c r="D100" s="34">
        <v>138.00839637379951</v>
      </c>
      <c r="E100" s="34">
        <v>138.00839637379951</v>
      </c>
      <c r="F100" s="34">
        <v>44947.3</v>
      </c>
      <c r="G100" s="35">
        <v>0.59319999999999995</v>
      </c>
      <c r="H100" s="34">
        <v>136.92530659775269</v>
      </c>
      <c r="I100" s="35">
        <v>0.59320000000000483</v>
      </c>
      <c r="Q100" s="34">
        <v>-2.7262279375046301</v>
      </c>
      <c r="R100" s="34">
        <v>85.897342879179504</v>
      </c>
      <c r="S100" s="34">
        <v>100</v>
      </c>
      <c r="T100" s="34">
        <v>-14.102657120820499</v>
      </c>
      <c r="U100" s="34">
        <v>-0.14102657120820489</v>
      </c>
      <c r="V100" s="34">
        <v>-2.9771000000000001</v>
      </c>
      <c r="W100" s="34">
        <v>85.675810978914271</v>
      </c>
      <c r="X100" s="34">
        <v>-14.324189021085729</v>
      </c>
      <c r="AF100" s="34">
        <v>-1.3372999999999999</v>
      </c>
      <c r="AG100" s="34">
        <v>119.15580917670979</v>
      </c>
      <c r="AH100" s="34">
        <v>120.77087812994149</v>
      </c>
      <c r="AI100" s="34">
        <v>-1.6150689532316991</v>
      </c>
      <c r="AJ100" s="34">
        <v>-1.337299999999992E-2</v>
      </c>
      <c r="AK100" s="34">
        <v>-1.3372999999999999</v>
      </c>
      <c r="AL100" s="34">
        <v>119.15580917670979</v>
      </c>
      <c r="AM100" s="34">
        <v>-1.337299999999997</v>
      </c>
    </row>
    <row r="101" spans="1:39" x14ac:dyDescent="0.25">
      <c r="A101" s="34" t="s">
        <v>350</v>
      </c>
      <c r="B101" s="34" t="s">
        <v>351</v>
      </c>
      <c r="C101" s="34">
        <v>-3.5089000000000001</v>
      </c>
      <c r="D101" s="34">
        <v>133.16581975343931</v>
      </c>
      <c r="E101" s="34">
        <v>138.00839637379951</v>
      </c>
      <c r="F101" s="34">
        <v>45586.55</v>
      </c>
      <c r="G101" s="35">
        <v>-3.8996</v>
      </c>
      <c r="H101" s="34">
        <v>132.62662094880679</v>
      </c>
      <c r="I101" s="35">
        <v>-3.8996000000000031</v>
      </c>
      <c r="Q101" s="34">
        <v>1.2888778071134119</v>
      </c>
      <c r="R101" s="34">
        <v>87.00445466844937</v>
      </c>
      <c r="S101" s="34">
        <v>100</v>
      </c>
      <c r="T101" s="34">
        <v>-12.99554533155063</v>
      </c>
      <c r="U101" s="34">
        <v>-0.12995545331550629</v>
      </c>
      <c r="V101" s="34">
        <v>-0.12559999999999999</v>
      </c>
      <c r="W101" s="34">
        <v>85.789455816523258</v>
      </c>
      <c r="X101" s="34">
        <v>-14.21054418347674</v>
      </c>
      <c r="AF101" s="34">
        <v>-2.2200000000000002</v>
      </c>
      <c r="AG101" s="34">
        <v>116.5105502129869</v>
      </c>
      <c r="AH101" s="34">
        <v>120.77087812994149</v>
      </c>
      <c r="AI101" s="34">
        <v>-4.2603279169546511</v>
      </c>
      <c r="AJ101" s="34">
        <v>-3.5276119399999882E-2</v>
      </c>
      <c r="AK101" s="34">
        <v>-2.5165999999999999</v>
      </c>
      <c r="AL101" s="34">
        <v>116.1571340829688</v>
      </c>
      <c r="AM101" s="34">
        <v>-3.8202455081999931</v>
      </c>
    </row>
    <row r="102" spans="1:39" x14ac:dyDescent="0.25">
      <c r="A102" s="34" t="s">
        <v>351</v>
      </c>
      <c r="B102" s="34" t="s">
        <v>352</v>
      </c>
      <c r="C102" s="34">
        <v>3.3677000000000001</v>
      </c>
      <c r="D102" s="34">
        <v>137.65044506527579</v>
      </c>
      <c r="E102" s="34">
        <v>138.00839637379951</v>
      </c>
      <c r="F102" s="34">
        <v>44024.95</v>
      </c>
      <c r="G102" s="35">
        <v>-1.7055</v>
      </c>
      <c r="H102" s="34">
        <v>130.8946766975443</v>
      </c>
      <c r="I102" s="35">
        <v>-5.1545557105000199</v>
      </c>
      <c r="Q102" s="34">
        <v>-2.0517584981666799</v>
      </c>
      <c r="R102" s="34">
        <v>85.219333376005878</v>
      </c>
      <c r="S102" s="34">
        <v>100</v>
      </c>
      <c r="T102" s="34">
        <v>-14.78066662399412</v>
      </c>
      <c r="U102" s="34">
        <v>-0.14780666623994121</v>
      </c>
      <c r="V102" s="34">
        <v>-2.2208000000000001</v>
      </c>
      <c r="W102" s="34">
        <v>85.072259739172452</v>
      </c>
      <c r="X102" s="34">
        <v>-14.92774026082755</v>
      </c>
      <c r="AF102" s="34">
        <v>1.3159000000000001</v>
      </c>
      <c r="AG102" s="34">
        <v>118.04371254323959</v>
      </c>
      <c r="AH102" s="34">
        <v>120.77087812994149</v>
      </c>
      <c r="AI102" s="34">
        <v>-2.7271655867019722</v>
      </c>
      <c r="AJ102" s="34">
        <v>-2.25813178551846E-2</v>
      </c>
      <c r="AK102" s="34">
        <v>-0.96109999999999995</v>
      </c>
      <c r="AL102" s="34">
        <v>115.3907673148899</v>
      </c>
      <c r="AM102" s="34">
        <v>-4.4548080616446439</v>
      </c>
    </row>
    <row r="103" spans="1:39" x14ac:dyDescent="0.25">
      <c r="A103" s="34" t="s">
        <v>352</v>
      </c>
      <c r="B103" s="34" t="s">
        <v>353</v>
      </c>
      <c r="C103" s="34">
        <v>2.0127000000000002</v>
      </c>
      <c r="D103" s="34">
        <v>140.4209355731046</v>
      </c>
      <c r="E103" s="34">
        <v>140.4209355731046</v>
      </c>
      <c r="F103" s="34">
        <v>45558.95</v>
      </c>
      <c r="G103" s="35">
        <v>-3.8199999999999998E-2</v>
      </c>
      <c r="H103" s="34">
        <v>137.59786259526089</v>
      </c>
      <c r="I103" s="35">
        <v>-0.29747014625594043</v>
      </c>
      <c r="Q103" s="34">
        <v>1.37729597432434</v>
      </c>
      <c r="R103" s="34">
        <v>86.393055823939648</v>
      </c>
      <c r="S103" s="34">
        <v>100</v>
      </c>
      <c r="T103" s="34">
        <v>-13.606944176060351</v>
      </c>
      <c r="U103" s="34">
        <v>-0.13606944176060351</v>
      </c>
      <c r="V103" s="34">
        <v>-0.50449999999999995</v>
      </c>
      <c r="W103" s="34">
        <v>84.789401839123926</v>
      </c>
      <c r="X103" s="34">
        <v>-15.21059816087608</v>
      </c>
      <c r="AF103" s="34">
        <v>3.39</v>
      </c>
      <c r="AG103" s="34">
        <v>122.0453943984554</v>
      </c>
      <c r="AH103" s="34">
        <v>122.0453943984554</v>
      </c>
      <c r="AI103" s="34"/>
      <c r="AJ103" s="34">
        <v>0</v>
      </c>
      <c r="AK103" s="34">
        <v>1.4014</v>
      </c>
      <c r="AL103" s="34">
        <v>119.6979771308205</v>
      </c>
      <c r="AM103" s="34">
        <v>-0.8883772443607163</v>
      </c>
    </row>
    <row r="104" spans="1:39" x14ac:dyDescent="0.25">
      <c r="A104" s="34" t="s">
        <v>353</v>
      </c>
      <c r="B104" s="34" t="s">
        <v>354</v>
      </c>
      <c r="C104" s="34">
        <v>1.1257999999999999</v>
      </c>
      <c r="D104" s="34">
        <v>142.00179446578659</v>
      </c>
      <c r="E104" s="34">
        <v>142.00179446578659</v>
      </c>
      <c r="F104" s="34">
        <v>46529.05</v>
      </c>
      <c r="G104" s="35">
        <v>-1.3899999999999999E-2</v>
      </c>
      <c r="H104" s="34">
        <v>140.40141706305999</v>
      </c>
      <c r="I104" s="35">
        <v>-1.390000000000002E-2</v>
      </c>
      <c r="Q104" s="34">
        <v>-0.24422152356121921</v>
      </c>
      <c r="R104" s="34">
        <v>86.182065386755326</v>
      </c>
      <c r="S104" s="34">
        <v>100</v>
      </c>
      <c r="T104" s="34">
        <v>-13.81793461324467</v>
      </c>
      <c r="U104" s="34">
        <v>-0.1381793461324467</v>
      </c>
      <c r="V104" s="34">
        <v>-1.2369000000000001</v>
      </c>
      <c r="W104" s="34">
        <v>85.324460116453338</v>
      </c>
      <c r="X104" s="34">
        <v>-14.67553988354666</v>
      </c>
      <c r="AF104" s="34">
        <v>0.88160000000000005</v>
      </c>
      <c r="AG104" s="34">
        <v>123.1213465954722</v>
      </c>
      <c r="AH104" s="34">
        <v>123.1213465954722</v>
      </c>
      <c r="AI104" s="34"/>
      <c r="AJ104" s="34">
        <v>0</v>
      </c>
      <c r="AK104" s="34">
        <v>0.81220000000000003</v>
      </c>
      <c r="AL104" s="34">
        <v>123.0366470917596</v>
      </c>
      <c r="AM104" s="34">
        <v>0.81219999999999626</v>
      </c>
    </row>
    <row r="105" spans="1:39" x14ac:dyDescent="0.25">
      <c r="A105" s="34" t="s">
        <v>354</v>
      </c>
      <c r="B105" s="34" t="s">
        <v>355</v>
      </c>
      <c r="C105" s="34">
        <v>1.468</v>
      </c>
      <c r="D105" s="34">
        <v>144.08638080854439</v>
      </c>
      <c r="E105" s="34">
        <v>144.08638080854439</v>
      </c>
      <c r="F105" s="34">
        <v>47107.15</v>
      </c>
      <c r="G105" s="35">
        <v>0.1749</v>
      </c>
      <c r="H105" s="34">
        <v>142.25015560430731</v>
      </c>
      <c r="I105" s="35">
        <v>0.17490000000000011</v>
      </c>
      <c r="Q105" s="34">
        <v>-2.1048906733522368</v>
      </c>
      <c r="R105" s="34">
        <v>84.368027130327192</v>
      </c>
      <c r="S105" s="34">
        <v>100</v>
      </c>
      <c r="T105" s="34">
        <v>-15.63197286967281</v>
      </c>
      <c r="U105" s="34">
        <v>-0.15631972869672811</v>
      </c>
      <c r="V105" s="34">
        <v>-2.2259000000000002</v>
      </c>
      <c r="W105" s="34">
        <v>84.263738793311532</v>
      </c>
      <c r="X105" s="34">
        <v>-15.73626120668847</v>
      </c>
      <c r="AF105" s="34">
        <v>-0.63690000000000002</v>
      </c>
      <c r="AG105" s="34">
        <v>122.3371867390056</v>
      </c>
      <c r="AH105" s="34">
        <v>123.1213465954722</v>
      </c>
      <c r="AI105" s="34">
        <v>-0.78415985646655884</v>
      </c>
      <c r="AJ105" s="34">
        <v>-6.3689999999999728E-3</v>
      </c>
      <c r="AK105" s="34">
        <v>-0.63690000000000002</v>
      </c>
      <c r="AL105" s="34">
        <v>122.3371867390056</v>
      </c>
      <c r="AM105" s="34">
        <v>-0.6368999999999958</v>
      </c>
    </row>
    <row r="106" spans="1:39" x14ac:dyDescent="0.25">
      <c r="A106" s="34" t="s">
        <v>355</v>
      </c>
      <c r="B106" s="34" t="s">
        <v>356</v>
      </c>
      <c r="C106" s="34">
        <v>-1.4681999999999999</v>
      </c>
      <c r="D106" s="34">
        <v>141.97090456551331</v>
      </c>
      <c r="E106" s="34">
        <v>144.08638080854439</v>
      </c>
      <c r="F106" s="34">
        <v>47837.95</v>
      </c>
      <c r="G106" s="35">
        <v>-1.9943</v>
      </c>
      <c r="H106" s="34">
        <v>141.2128661160796</v>
      </c>
      <c r="I106" s="35">
        <v>-1.9942999999999931</v>
      </c>
      <c r="Q106" s="34">
        <v>1.533434853342807</v>
      </c>
      <c r="R106" s="34">
        <v>85.661755863421348</v>
      </c>
      <c r="S106" s="34">
        <v>100</v>
      </c>
      <c r="T106" s="34">
        <v>-14.33824413657865</v>
      </c>
      <c r="U106" s="34">
        <v>-0.14338244136578651</v>
      </c>
      <c r="V106" s="34">
        <v>-4.6600000000000003E-2</v>
      </c>
      <c r="W106" s="34">
        <v>84.328711629684463</v>
      </c>
      <c r="X106" s="34">
        <v>-15.671288370315541</v>
      </c>
      <c r="AF106" s="34">
        <v>6.5199999999999994E-2</v>
      </c>
      <c r="AG106" s="34">
        <v>122.41695058475941</v>
      </c>
      <c r="AH106" s="34">
        <v>123.1213465954722</v>
      </c>
      <c r="AI106" s="34">
        <v>-0.70439601071271341</v>
      </c>
      <c r="AJ106" s="34">
        <v>-5.7211525879998608E-3</v>
      </c>
      <c r="AK106" s="34">
        <v>-0.38750000000000001</v>
      </c>
      <c r="AL106" s="34">
        <v>121.863130140392</v>
      </c>
      <c r="AM106" s="34">
        <v>-1.0219320124999931</v>
      </c>
    </row>
    <row r="107" spans="1:39" x14ac:dyDescent="0.25">
      <c r="A107" s="34" t="s">
        <v>356</v>
      </c>
      <c r="B107" s="34" t="s">
        <v>357</v>
      </c>
      <c r="C107" s="34">
        <v>0.45989999999999998</v>
      </c>
      <c r="D107" s="34">
        <v>142.62382875561011</v>
      </c>
      <c r="E107" s="34">
        <v>144.08638080854439</v>
      </c>
      <c r="F107" s="34">
        <v>47151.55</v>
      </c>
      <c r="G107" s="35">
        <v>-2.7547999999999999</v>
      </c>
      <c r="H107" s="34">
        <v>138.05989008654259</v>
      </c>
      <c r="I107" s="35">
        <v>-4.182554026400009</v>
      </c>
      <c r="Q107" s="34">
        <v>0.82978126687666154</v>
      </c>
      <c r="R107" s="34">
        <v>86.372561066453642</v>
      </c>
      <c r="S107" s="34">
        <v>100</v>
      </c>
      <c r="T107" s="34">
        <v>-13.62743893354636</v>
      </c>
      <c r="U107" s="34">
        <v>-0.1362743893354636</v>
      </c>
      <c r="V107" s="34">
        <v>-0.79830000000000001</v>
      </c>
      <c r="W107" s="34">
        <v>84.977918066363657</v>
      </c>
      <c r="X107" s="34">
        <v>-15.02208193363634</v>
      </c>
      <c r="AF107" s="34">
        <v>1.2897000000000001</v>
      </c>
      <c r="AG107" s="34">
        <v>123.99576199645109</v>
      </c>
      <c r="AH107" s="34">
        <v>123.99576199645109</v>
      </c>
      <c r="AI107" s="34"/>
      <c r="AJ107" s="34">
        <v>0</v>
      </c>
      <c r="AK107" s="34">
        <v>-0.93530000000000002</v>
      </c>
      <c r="AL107" s="34">
        <v>121.2719848459402</v>
      </c>
      <c r="AM107" s="34">
        <v>-1.5020642647844309</v>
      </c>
    </row>
    <row r="108" spans="1:39" x14ac:dyDescent="0.25">
      <c r="A108" s="34" t="s">
        <v>357</v>
      </c>
      <c r="B108" s="34" t="s">
        <v>358</v>
      </c>
      <c r="C108" s="34">
        <v>2.2982</v>
      </c>
      <c r="D108" s="34">
        <v>145.90160958807161</v>
      </c>
      <c r="E108" s="34">
        <v>145.90160958807161</v>
      </c>
      <c r="F108" s="34">
        <v>47423.4</v>
      </c>
      <c r="G108" s="35">
        <v>-1.0116000000000001</v>
      </c>
      <c r="H108" s="34">
        <v>141.18104610391839</v>
      </c>
      <c r="I108" s="35">
        <v>-2.016383983220793</v>
      </c>
      <c r="Q108" s="34">
        <v>-0.66001831830502067</v>
      </c>
      <c r="R108" s="34">
        <v>85.802486341425862</v>
      </c>
      <c r="S108" s="34">
        <v>100</v>
      </c>
      <c r="T108" s="34">
        <v>-14.19751365857414</v>
      </c>
      <c r="U108" s="34">
        <v>-0.1419751365857414</v>
      </c>
      <c r="V108" s="34">
        <v>-1.5802</v>
      </c>
      <c r="W108" s="34">
        <v>85.007701856481546</v>
      </c>
      <c r="X108" s="34">
        <v>-14.992298143518459</v>
      </c>
      <c r="AF108" s="34">
        <v>1.6382000000000001</v>
      </c>
      <c r="AG108" s="34">
        <v>126.0270605694769</v>
      </c>
      <c r="AH108" s="34">
        <v>126.0270605694769</v>
      </c>
      <c r="AI108" s="34"/>
      <c r="AJ108" s="34">
        <v>0</v>
      </c>
      <c r="AK108" s="34">
        <v>4.4400000000000002E-2</v>
      </c>
      <c r="AL108" s="34">
        <v>124.0508161147775</v>
      </c>
      <c r="AM108" s="34">
        <v>4.4400000000011097E-2</v>
      </c>
    </row>
    <row r="109" spans="1:39" x14ac:dyDescent="0.25">
      <c r="A109" s="34" t="s">
        <v>358</v>
      </c>
      <c r="B109" s="34" t="s">
        <v>359</v>
      </c>
      <c r="C109" s="34">
        <v>1.4964</v>
      </c>
      <c r="D109" s="34">
        <v>148.0848812739475</v>
      </c>
      <c r="E109" s="34">
        <v>148.0848812739475</v>
      </c>
      <c r="F109" s="34">
        <v>48568.6</v>
      </c>
      <c r="G109" s="35">
        <v>-1.2133</v>
      </c>
      <c r="H109" s="34">
        <v>144.1313853589395</v>
      </c>
      <c r="I109" s="35">
        <v>-1.2132999999999841</v>
      </c>
      <c r="Q109" s="34">
        <v>-0.39584455276469799</v>
      </c>
      <c r="R109" s="34">
        <v>85.462841873106655</v>
      </c>
      <c r="S109" s="34">
        <v>100</v>
      </c>
      <c r="T109" s="34">
        <v>-14.537158126893351</v>
      </c>
      <c r="U109" s="34">
        <v>-0.14537158126893349</v>
      </c>
      <c r="V109" s="34">
        <v>-1.7131000000000001</v>
      </c>
      <c r="W109" s="34">
        <v>84.332603947910897</v>
      </c>
      <c r="X109" s="34">
        <v>-15.667396052089099</v>
      </c>
      <c r="AF109" s="34">
        <v>1.1006</v>
      </c>
      <c r="AG109" s="34">
        <v>127.4141143981046</v>
      </c>
      <c r="AH109" s="34">
        <v>127.4141143981046</v>
      </c>
      <c r="AI109" s="34"/>
      <c r="AJ109" s="34">
        <v>0</v>
      </c>
      <c r="AK109" s="34">
        <v>-0.52180000000000004</v>
      </c>
      <c r="AL109" s="34">
        <v>125.3694513674254</v>
      </c>
      <c r="AM109" s="34">
        <v>-0.52179999999999449</v>
      </c>
    </row>
    <row r="110" spans="1:39" x14ac:dyDescent="0.25">
      <c r="A110" s="34" t="s">
        <v>359</v>
      </c>
      <c r="B110" s="34" t="s">
        <v>360</v>
      </c>
      <c r="C110" s="34">
        <v>-2.1838000000000002</v>
      </c>
      <c r="D110" s="34">
        <v>144.85100363668701</v>
      </c>
      <c r="E110" s="34">
        <v>148.0848812739475</v>
      </c>
      <c r="F110" s="34">
        <v>49352.05</v>
      </c>
      <c r="G110" s="35">
        <v>-4.9759000000000002</v>
      </c>
      <c r="H110" s="34">
        <v>140.71632566663709</v>
      </c>
      <c r="I110" s="35">
        <v>-4.9758999999999993</v>
      </c>
      <c r="Q110" s="34">
        <v>0.79250359088940059</v>
      </c>
      <c r="R110" s="34">
        <v>86.140137963827158</v>
      </c>
      <c r="S110" s="34">
        <v>100</v>
      </c>
      <c r="T110" s="34">
        <v>-13.85986203617284</v>
      </c>
      <c r="U110" s="34">
        <v>-0.1385986203617284</v>
      </c>
      <c r="V110" s="34">
        <v>-0.3805</v>
      </c>
      <c r="W110" s="34">
        <v>85.137655759779491</v>
      </c>
      <c r="X110" s="34">
        <v>-14.86234424022051</v>
      </c>
      <c r="AF110" s="34">
        <v>-1.3913</v>
      </c>
      <c r="AG110" s="34">
        <v>125.64140182448379</v>
      </c>
      <c r="AH110" s="34">
        <v>127.4141143981046</v>
      </c>
      <c r="AI110" s="34">
        <v>-1.772712573620822</v>
      </c>
      <c r="AJ110" s="34">
        <v>-1.3912999999999939E-2</v>
      </c>
      <c r="AK110" s="34">
        <v>-3.1055000000000001</v>
      </c>
      <c r="AL110" s="34">
        <v>123.4572690754715</v>
      </c>
      <c r="AM110" s="34">
        <v>-3.105500000000005</v>
      </c>
    </row>
    <row r="111" spans="1:39" x14ac:dyDescent="0.25">
      <c r="A111" s="34" t="s">
        <v>360</v>
      </c>
      <c r="B111" s="34" t="s">
        <v>361</v>
      </c>
      <c r="C111" s="34">
        <v>0.50109999999999999</v>
      </c>
      <c r="D111" s="34">
        <v>145.5768520159105</v>
      </c>
      <c r="E111" s="34">
        <v>148.0848812739475</v>
      </c>
      <c r="F111" s="34">
        <v>48331.9</v>
      </c>
      <c r="G111" s="35">
        <v>0.22989999999999999</v>
      </c>
      <c r="H111" s="34">
        <v>145.18401609404779</v>
      </c>
      <c r="I111" s="35">
        <v>-1.9589205561999949</v>
      </c>
      <c r="Q111" s="34">
        <v>-0.51785595728947509</v>
      </c>
      <c r="R111" s="34">
        <v>85.694056127764114</v>
      </c>
      <c r="S111" s="34">
        <v>100</v>
      </c>
      <c r="T111" s="34">
        <v>-14.30594387223589</v>
      </c>
      <c r="U111" s="34">
        <v>-0.14305943872235891</v>
      </c>
      <c r="V111" s="34">
        <v>-1.7926</v>
      </c>
      <c r="W111" s="34">
        <v>84.595989850687587</v>
      </c>
      <c r="X111" s="34">
        <v>-15.404010149312411</v>
      </c>
      <c r="AF111" s="34">
        <v>-1.6799999999999999E-2</v>
      </c>
      <c r="AG111" s="34">
        <v>125.6202940689773</v>
      </c>
      <c r="AH111" s="34">
        <v>127.4141143981046</v>
      </c>
      <c r="AI111" s="34">
        <v>-1.793820329127328</v>
      </c>
      <c r="AJ111" s="34">
        <v>-1.407866261599989E-2</v>
      </c>
      <c r="AK111" s="34">
        <v>-1.6799999999999999E-2</v>
      </c>
      <c r="AL111" s="34">
        <v>125.6202940689773</v>
      </c>
      <c r="AM111" s="34">
        <v>-1.407866261599988</v>
      </c>
    </row>
    <row r="112" spans="1:39" x14ac:dyDescent="0.25">
      <c r="A112" s="34" t="s">
        <v>361</v>
      </c>
      <c r="B112" s="34" t="s">
        <v>362</v>
      </c>
      <c r="C112" s="34">
        <v>-1.23</v>
      </c>
      <c r="D112" s="34">
        <v>143.78625673611481</v>
      </c>
      <c r="E112" s="34">
        <v>148.0848812739475</v>
      </c>
      <c r="F112" s="34">
        <v>48630.5</v>
      </c>
      <c r="G112" s="35">
        <v>-1.4688000000000001</v>
      </c>
      <c r="H112" s="34">
        <v>143.4386192135008</v>
      </c>
      <c r="I112" s="35">
        <v>-3.1375667930957918</v>
      </c>
      <c r="Q112" s="34">
        <v>0.75923654673192753</v>
      </c>
      <c r="R112" s="34">
        <v>86.344676720263081</v>
      </c>
      <c r="S112" s="34">
        <v>100</v>
      </c>
      <c r="T112" s="34">
        <v>-13.655323279736921</v>
      </c>
      <c r="U112" s="34">
        <v>-0.1365532327973692</v>
      </c>
      <c r="V112" s="34">
        <v>-1.1632</v>
      </c>
      <c r="W112" s="34">
        <v>84.697262866885964</v>
      </c>
      <c r="X112" s="34">
        <v>-15.30273713311403</v>
      </c>
      <c r="AF112" s="34">
        <v>-0.4708</v>
      </c>
      <c r="AG112" s="34">
        <v>125.0288737245005</v>
      </c>
      <c r="AH112" s="34">
        <v>127.4141143981046</v>
      </c>
      <c r="AI112" s="34">
        <v>-2.385240673604073</v>
      </c>
      <c r="AJ112" s="34">
        <v>-1.8720380272403761E-2</v>
      </c>
      <c r="AK112" s="34">
        <v>-0.48620000000000002</v>
      </c>
      <c r="AL112" s="34">
        <v>125.0095281992139</v>
      </c>
      <c r="AM112" s="34">
        <v>-1.8872212158360879</v>
      </c>
    </row>
    <row r="113" spans="1:39" x14ac:dyDescent="0.25">
      <c r="A113" s="34" t="s">
        <v>362</v>
      </c>
      <c r="B113" s="34" t="s">
        <v>363</v>
      </c>
      <c r="C113" s="34">
        <v>2.3283999999999998</v>
      </c>
      <c r="D113" s="34">
        <v>147.1341759379585</v>
      </c>
      <c r="E113" s="34">
        <v>148.0848812739475</v>
      </c>
      <c r="F113" s="34">
        <v>48089.1</v>
      </c>
      <c r="G113" s="35">
        <v>-1.1399999999999999</v>
      </c>
      <c r="H113" s="34">
        <v>142.14709340932311</v>
      </c>
      <c r="I113" s="35">
        <v>-4.0097191648078354</v>
      </c>
      <c r="Q113" s="34">
        <v>-1.8042334911838329</v>
      </c>
      <c r="R113" s="34">
        <v>84.786817145021686</v>
      </c>
      <c r="S113" s="34">
        <v>100</v>
      </c>
      <c r="T113" s="34">
        <v>-15.21318285497831</v>
      </c>
      <c r="U113" s="34">
        <v>-0.1521318285497831</v>
      </c>
      <c r="V113" s="34">
        <v>-2.0988000000000002</v>
      </c>
      <c r="W113" s="34">
        <v>84.532474645258205</v>
      </c>
      <c r="X113" s="34">
        <v>-15.467525354741801</v>
      </c>
      <c r="AF113" s="34">
        <v>0.5242</v>
      </c>
      <c r="AG113" s="34">
        <v>125.6842750805644</v>
      </c>
      <c r="AH113" s="34">
        <v>127.4141143981046</v>
      </c>
      <c r="AI113" s="34">
        <v>-1.72983931754024</v>
      </c>
      <c r="AJ113" s="34">
        <v>-1.357651250579169E-2</v>
      </c>
      <c r="AK113" s="34">
        <v>-0.8901</v>
      </c>
      <c r="AL113" s="34">
        <v>123.9159917194787</v>
      </c>
      <c r="AM113" s="34">
        <v>-2.7454750167599129</v>
      </c>
    </row>
    <row r="114" spans="1:39" x14ac:dyDescent="0.25">
      <c r="A114" s="34" t="s">
        <v>363</v>
      </c>
      <c r="B114" s="34" t="s">
        <v>364</v>
      </c>
      <c r="C114" s="34">
        <v>-0.82850000000000001</v>
      </c>
      <c r="D114" s="34">
        <v>145.91516929031249</v>
      </c>
      <c r="E114" s="34">
        <v>148.0848812739475</v>
      </c>
      <c r="F114" s="34">
        <v>49248.9</v>
      </c>
      <c r="G114" s="35">
        <v>-2.3803000000000001</v>
      </c>
      <c r="H114" s="34">
        <v>143.63194114810719</v>
      </c>
      <c r="I114" s="35">
        <v>-3.0070187365059731</v>
      </c>
      <c r="Q114" s="34">
        <v>-0.41574427821616028</v>
      </c>
      <c r="R114" s="34">
        <v>84.434320804059666</v>
      </c>
      <c r="S114" s="34">
        <v>100</v>
      </c>
      <c r="T114" s="34">
        <v>-15.56567919594033</v>
      </c>
      <c r="U114" s="34">
        <v>-0.1556567919594033</v>
      </c>
      <c r="V114" s="34">
        <v>-0.53350000000000009</v>
      </c>
      <c r="W114" s="34">
        <v>84.334479475552996</v>
      </c>
      <c r="X114" s="34">
        <v>-15.665520524447009</v>
      </c>
      <c r="AF114" s="34">
        <v>-1.2442</v>
      </c>
      <c r="AG114" s="34">
        <v>124.12051133001199</v>
      </c>
      <c r="AH114" s="34">
        <v>127.4141143981046</v>
      </c>
      <c r="AI114" s="34">
        <v>-3.2936030680926218</v>
      </c>
      <c r="AJ114" s="34">
        <v>-2.584959353719463E-2</v>
      </c>
      <c r="AK114" s="34">
        <v>-1.7191000000000001</v>
      </c>
      <c r="AL114" s="34">
        <v>123.5236367076544</v>
      </c>
      <c r="AM114" s="34">
        <v>-3.053411867930456</v>
      </c>
    </row>
    <row r="115" spans="1:39" x14ac:dyDescent="0.25">
      <c r="A115" s="34" t="s">
        <v>364</v>
      </c>
      <c r="B115" s="34" t="s">
        <v>365</v>
      </c>
      <c r="C115" s="34">
        <v>-6.0235000000000003</v>
      </c>
      <c r="D115" s="34">
        <v>137.12596906811049</v>
      </c>
      <c r="E115" s="34">
        <v>148.0848812739475</v>
      </c>
      <c r="F115" s="34">
        <v>48857.3</v>
      </c>
      <c r="G115" s="35">
        <v>-6.6595000000000004</v>
      </c>
      <c r="H115" s="34">
        <v>136.19794859142411</v>
      </c>
      <c r="I115" s="35">
        <v>-8.0271075482265317</v>
      </c>
      <c r="Q115" s="34">
        <v>1.3844856623528019</v>
      </c>
      <c r="R115" s="34">
        <v>85.60330186969685</v>
      </c>
      <c r="S115" s="34">
        <v>100</v>
      </c>
      <c r="T115" s="34">
        <v>-14.39669813030315</v>
      </c>
      <c r="U115" s="34">
        <v>-0.14396698130303151</v>
      </c>
      <c r="V115" s="34">
        <v>-0.26050000000000001</v>
      </c>
      <c r="W115" s="34">
        <v>84.214369398365093</v>
      </c>
      <c r="X115" s="34">
        <v>-15.7856306016349</v>
      </c>
      <c r="AF115" s="34">
        <v>-4.6390000000000002</v>
      </c>
      <c r="AG115" s="34">
        <v>118.3625608094127</v>
      </c>
      <c r="AH115" s="34">
        <v>127.4141143981046</v>
      </c>
      <c r="AI115" s="34">
        <v>-9.0515535886918883</v>
      </c>
      <c r="AJ115" s="34">
        <v>-7.1040430893004256E-2</v>
      </c>
      <c r="AK115" s="34">
        <v>-5.1201999999999996</v>
      </c>
      <c r="AL115" s="34">
        <v>117.7652929088927</v>
      </c>
      <c r="AM115" s="34">
        <v>-7.5728042648903209</v>
      </c>
    </row>
    <row r="116" spans="1:39" x14ac:dyDescent="0.25">
      <c r="A116" s="34" t="s">
        <v>365</v>
      </c>
      <c r="B116" s="34" t="s">
        <v>366</v>
      </c>
      <c r="C116" s="34">
        <v>-0.22869999999999999</v>
      </c>
      <c r="D116" s="34">
        <v>136.81236197685169</v>
      </c>
      <c r="E116" s="34">
        <v>148.0848812739475</v>
      </c>
      <c r="F116" s="34">
        <v>45971.4</v>
      </c>
      <c r="G116" s="35">
        <v>-1.4913000000000001</v>
      </c>
      <c r="H116" s="34">
        <v>135.08100949139779</v>
      </c>
      <c r="I116" s="35">
        <v>-8.7813635468251157</v>
      </c>
      <c r="Q116" s="34">
        <v>1.1589848029566729</v>
      </c>
      <c r="R116" s="34">
        <v>86.595431129195759</v>
      </c>
      <c r="S116" s="34">
        <v>100</v>
      </c>
      <c r="T116" s="34">
        <v>-13.404568870804241</v>
      </c>
      <c r="U116" s="34">
        <v>-0.1340456887080424</v>
      </c>
      <c r="V116" s="34">
        <v>-1.0017</v>
      </c>
      <c r="W116" s="34">
        <v>84.745813594868096</v>
      </c>
      <c r="X116" s="34">
        <v>-15.254186405131909</v>
      </c>
      <c r="AF116" s="34">
        <v>0.93030000000000002</v>
      </c>
      <c r="AG116" s="34">
        <v>119.4636877126227</v>
      </c>
      <c r="AH116" s="34">
        <v>127.4141143981046</v>
      </c>
      <c r="AI116" s="34">
        <v>-7.950426685481915</v>
      </c>
      <c r="AJ116" s="34">
        <v>-6.2398320021601818E-2</v>
      </c>
      <c r="AK116" s="34">
        <v>4.0000000000000002E-4</v>
      </c>
      <c r="AL116" s="34">
        <v>118.3630342596559</v>
      </c>
      <c r="AM116" s="34">
        <v>-7.1036715054727972</v>
      </c>
    </row>
    <row r="117" spans="1:39" x14ac:dyDescent="0.25">
      <c r="A117" s="34" t="s">
        <v>366</v>
      </c>
      <c r="B117" s="34" t="s">
        <v>367</v>
      </c>
      <c r="C117" s="34">
        <v>4.0590000000000002</v>
      </c>
      <c r="D117" s="34">
        <v>142.36557574949211</v>
      </c>
      <c r="E117" s="34">
        <v>148.0848812739475</v>
      </c>
      <c r="F117" s="34">
        <v>45919.9</v>
      </c>
      <c r="G117" s="35">
        <v>1.0828</v>
      </c>
      <c r="H117" s="34">
        <v>138.29376623233711</v>
      </c>
      <c r="I117" s="35">
        <v>-6.611826242746166</v>
      </c>
      <c r="Q117" s="34">
        <v>-1.385130339620223</v>
      </c>
      <c r="R117" s="34">
        <v>85.39597153990033</v>
      </c>
      <c r="S117" s="34">
        <v>100</v>
      </c>
      <c r="T117" s="34">
        <v>-14.60402846009967</v>
      </c>
      <c r="U117" s="34">
        <v>-0.14604028460099669</v>
      </c>
      <c r="V117" s="34">
        <v>-1.9403999999999999</v>
      </c>
      <c r="W117" s="34">
        <v>84.91513338356485</v>
      </c>
      <c r="X117" s="34">
        <v>-15.084866616435161</v>
      </c>
      <c r="AF117" s="34">
        <v>2.6739000000000002</v>
      </c>
      <c r="AG117" s="34">
        <v>122.6580272583705</v>
      </c>
      <c r="AH117" s="34">
        <v>127.4141143981046</v>
      </c>
      <c r="AI117" s="34">
        <v>-4.7560871397340918</v>
      </c>
      <c r="AJ117" s="34">
        <v>-3.7327788700659392E-2</v>
      </c>
      <c r="AK117" s="34">
        <v>0.80569999999999997</v>
      </c>
      <c r="AL117" s="34">
        <v>120.4262066445233</v>
      </c>
      <c r="AM117" s="34">
        <v>-5.4844063286015876</v>
      </c>
    </row>
    <row r="118" spans="1:39" x14ac:dyDescent="0.25">
      <c r="A118" s="34" t="s">
        <v>367</v>
      </c>
      <c r="B118" s="34" t="s">
        <v>255</v>
      </c>
      <c r="C118" s="34">
        <v>0.48170000000000002</v>
      </c>
      <c r="D118" s="34">
        <v>143.05135072787749</v>
      </c>
      <c r="E118" s="34">
        <v>148.0848812739475</v>
      </c>
      <c r="F118" s="34">
        <v>47837.35</v>
      </c>
      <c r="G118" s="35">
        <v>-0.12570000000000001</v>
      </c>
      <c r="H118" s="34">
        <v>142.18662222077501</v>
      </c>
      <c r="I118" s="35">
        <v>-3.9830258176464568</v>
      </c>
      <c r="Q118" s="34">
        <v>-0.68930759616970971</v>
      </c>
      <c r="R118" s="34">
        <v>84.807330621252873</v>
      </c>
      <c r="S118" s="34">
        <v>100</v>
      </c>
      <c r="T118" s="34">
        <v>-15.19266937874713</v>
      </c>
      <c r="U118" s="34">
        <v>-0.15192669378747131</v>
      </c>
      <c r="V118" s="34">
        <v>-1.4333</v>
      </c>
      <c r="W118" s="34">
        <v>84.171991079818937</v>
      </c>
      <c r="X118" s="34">
        <v>-15.828008920181061</v>
      </c>
      <c r="AF118" s="34">
        <v>-0.20760000000000001</v>
      </c>
      <c r="AG118" s="34">
        <v>122.4033891937821</v>
      </c>
      <c r="AH118" s="34">
        <v>127.4141143981046</v>
      </c>
      <c r="AI118" s="34">
        <v>-5.010725204322469</v>
      </c>
      <c r="AJ118" s="34">
        <v>-3.9326296211316822E-2</v>
      </c>
      <c r="AK118" s="34">
        <v>-0.58699999999999997</v>
      </c>
      <c r="AL118" s="34">
        <v>121.9380246383639</v>
      </c>
      <c r="AM118" s="34">
        <v>-4.2978674580986587</v>
      </c>
    </row>
    <row r="119" spans="1:39" x14ac:dyDescent="0.25">
      <c r="A119" s="34" t="s">
        <v>257</v>
      </c>
      <c r="B119" s="34" t="s">
        <v>368</v>
      </c>
      <c r="C119" s="34">
        <v>-1.7686999999999999</v>
      </c>
      <c r="D119" s="34">
        <v>98.231300000000005</v>
      </c>
      <c r="E119" s="34">
        <v>100</v>
      </c>
      <c r="F119" s="34">
        <v>50868.2</v>
      </c>
      <c r="G119" s="35">
        <v>-3.2795000000000001</v>
      </c>
      <c r="H119" s="34">
        <v>96.720500000000001</v>
      </c>
      <c r="I119" s="35">
        <v>-3.2795000000000019</v>
      </c>
      <c r="Q119" s="34">
        <v>2.0360674810936592</v>
      </c>
      <c r="R119" s="34">
        <v>102.0360674810937</v>
      </c>
      <c r="S119" s="34">
        <v>102.0360674810937</v>
      </c>
      <c r="T119" s="34"/>
      <c r="U119" s="34">
        <v>0</v>
      </c>
      <c r="V119" s="34">
        <v>-0.6069</v>
      </c>
      <c r="W119" s="34">
        <v>99.393100000000004</v>
      </c>
      <c r="X119" s="34">
        <v>-0.60689999999999911</v>
      </c>
      <c r="AF119" s="34">
        <v>0.26740000000000003</v>
      </c>
      <c r="AG119" s="34">
        <v>100.26739999999999</v>
      </c>
      <c r="AH119" s="34">
        <v>100.26739999999999</v>
      </c>
      <c r="AI119" s="34"/>
      <c r="AJ119" s="34">
        <v>0</v>
      </c>
      <c r="AK119" s="34">
        <v>-0.85129999999999995</v>
      </c>
      <c r="AL119" s="34">
        <v>99.148700000000005</v>
      </c>
      <c r="AM119" s="34">
        <v>-0.85129999999999928</v>
      </c>
    </row>
    <row r="120" spans="1:39" x14ac:dyDescent="0.25">
      <c r="A120" s="34" t="s">
        <v>368</v>
      </c>
      <c r="B120" s="34" t="s">
        <v>369</v>
      </c>
      <c r="C120" s="34">
        <v>1.2253000000000001</v>
      </c>
      <c r="D120" s="34">
        <v>99.434928118900018</v>
      </c>
      <c r="E120" s="34">
        <v>100</v>
      </c>
      <c r="F120" s="34">
        <v>50036.3</v>
      </c>
      <c r="G120" s="35">
        <v>-3.0150999999999999</v>
      </c>
      <c r="H120" s="34">
        <v>95.269528073700002</v>
      </c>
      <c r="I120" s="35">
        <v>-4.7304719262999946</v>
      </c>
      <c r="Q120" s="34">
        <v>0.98329783656540759</v>
      </c>
      <c r="R120" s="34">
        <v>103.03938592515171</v>
      </c>
      <c r="S120" s="34">
        <v>103.03938592515171</v>
      </c>
      <c r="T120" s="34"/>
      <c r="U120" s="34">
        <v>0</v>
      </c>
      <c r="V120" s="34">
        <v>-2.6200000000000001E-2</v>
      </c>
      <c r="W120" s="34">
        <v>102.0093340314136</v>
      </c>
      <c r="X120" s="34">
        <v>-2.6200000000009549E-2</v>
      </c>
      <c r="AF120" s="34">
        <v>2.2086000000000001</v>
      </c>
      <c r="AG120" s="34">
        <v>102.4819057964</v>
      </c>
      <c r="AH120" s="34">
        <v>102.4819057964</v>
      </c>
      <c r="AI120" s="34"/>
      <c r="AJ120" s="34">
        <v>0</v>
      </c>
      <c r="AK120" s="34">
        <v>-0.81620000000000004</v>
      </c>
      <c r="AL120" s="34">
        <v>99.449017481200002</v>
      </c>
      <c r="AM120" s="34">
        <v>-0.81620000000001136</v>
      </c>
    </row>
    <row r="121" spans="1:39" x14ac:dyDescent="0.25">
      <c r="A121" s="34" t="s">
        <v>369</v>
      </c>
      <c r="B121" s="34" t="s">
        <v>370</v>
      </c>
      <c r="C121" s="34">
        <v>2.7621000000000002</v>
      </c>
      <c r="D121" s="34">
        <v>102.1814202684721</v>
      </c>
      <c r="E121" s="34">
        <v>102.1814202684721</v>
      </c>
      <c r="F121" s="34">
        <v>50707.75</v>
      </c>
      <c r="G121" s="35">
        <v>1.6E-2</v>
      </c>
      <c r="H121" s="34">
        <v>99.450837707399032</v>
      </c>
      <c r="I121" s="35">
        <v>-0.54916229260096872</v>
      </c>
      <c r="Q121" s="34">
        <v>-1.8091894119740279</v>
      </c>
      <c r="R121" s="34">
        <v>101.1752082648308</v>
      </c>
      <c r="S121" s="34">
        <v>103.03938592515171</v>
      </c>
      <c r="T121" s="34">
        <v>-1.864177660320905</v>
      </c>
      <c r="U121" s="34">
        <v>-1.8091894119740319E-2</v>
      </c>
      <c r="V121" s="34">
        <v>-2.0121000000000002</v>
      </c>
      <c r="W121" s="34">
        <v>100.9661304409517</v>
      </c>
      <c r="X121" s="34">
        <v>-2.012099999999994</v>
      </c>
      <c r="AF121" s="34">
        <v>0.95289999999999997</v>
      </c>
      <c r="AG121" s="34">
        <v>103.45845587673389</v>
      </c>
      <c r="AH121" s="34">
        <v>103.45845587673389</v>
      </c>
      <c r="AI121" s="34"/>
      <c r="AJ121" s="34">
        <v>0</v>
      </c>
      <c r="AK121" s="34">
        <v>0.55469999999999997</v>
      </c>
      <c r="AL121" s="34">
        <v>103.05037292785261</v>
      </c>
      <c r="AM121" s="34">
        <v>0.55469999999999686</v>
      </c>
    </row>
    <row r="122" spans="1:39" x14ac:dyDescent="0.25">
      <c r="A122" s="34" t="s">
        <v>370</v>
      </c>
      <c r="B122" s="34" t="s">
        <v>371</v>
      </c>
      <c r="C122" s="34">
        <v>-0.19670000000000001</v>
      </c>
      <c r="D122" s="34">
        <v>101.98042941480399</v>
      </c>
      <c r="E122" s="34">
        <v>102.1814202684721</v>
      </c>
      <c r="F122" s="34">
        <v>52167.5</v>
      </c>
      <c r="G122" s="35">
        <v>-0.71260000000000001</v>
      </c>
      <c r="H122" s="34">
        <v>101.453275467639</v>
      </c>
      <c r="I122" s="35">
        <v>-0.71260000000000767</v>
      </c>
      <c r="Q122" s="34">
        <v>-0.1126215826319376</v>
      </c>
      <c r="R122" s="34">
        <v>101.06126314405179</v>
      </c>
      <c r="S122" s="34">
        <v>103.03938592515171</v>
      </c>
      <c r="T122" s="34">
        <v>-1.9781227810999129</v>
      </c>
      <c r="U122" s="34">
        <v>-1.9197734568573911E-2</v>
      </c>
      <c r="V122" s="34">
        <v>-2.3820999999999999</v>
      </c>
      <c r="W122" s="34">
        <v>98.765113628754236</v>
      </c>
      <c r="X122" s="34">
        <v>-4.1481927109914052</v>
      </c>
      <c r="AF122" s="34">
        <v>-0.30930000000000002</v>
      </c>
      <c r="AG122" s="34">
        <v>103.1384588727071</v>
      </c>
      <c r="AH122" s="34">
        <v>103.45845587673389</v>
      </c>
      <c r="AI122" s="34">
        <v>-0.31999700402674591</v>
      </c>
      <c r="AJ122" s="34">
        <v>-3.093000000000077E-3</v>
      </c>
      <c r="AK122" s="34">
        <v>-0.7873</v>
      </c>
      <c r="AL122" s="34">
        <v>102.6439274536164</v>
      </c>
      <c r="AM122" s="34">
        <v>-0.78730000000000189</v>
      </c>
    </row>
    <row r="123" spans="1:39" x14ac:dyDescent="0.25">
      <c r="A123" s="34" t="s">
        <v>371</v>
      </c>
      <c r="B123" s="34" t="s">
        <v>372</v>
      </c>
      <c r="C123" s="34">
        <v>2.2717000000000001</v>
      </c>
      <c r="D123" s="34">
        <v>104.29711882982021</v>
      </c>
      <c r="E123" s="34">
        <v>104.29711882982021</v>
      </c>
      <c r="F123" s="34">
        <v>52125.75</v>
      </c>
      <c r="G123" s="35">
        <v>-1.8349</v>
      </c>
      <c r="H123" s="34">
        <v>100.10919051547179</v>
      </c>
      <c r="I123" s="35">
        <v>-2.027990751700004</v>
      </c>
      <c r="Q123" s="34">
        <v>-1.989896365069787</v>
      </c>
      <c r="R123" s="34">
        <v>99.050248742254666</v>
      </c>
      <c r="S123" s="34">
        <v>103.03938592515171</v>
      </c>
      <c r="T123" s="34">
        <v>-3.9891371828970108</v>
      </c>
      <c r="U123" s="34">
        <v>-3.8714683196915983E-2</v>
      </c>
      <c r="V123" s="34">
        <v>-2.7370999999999999</v>
      </c>
      <c r="W123" s="34">
        <v>98.29511531053592</v>
      </c>
      <c r="X123" s="34">
        <v>-4.6043273375697469</v>
      </c>
      <c r="AF123" s="34">
        <v>0.28179999999999999</v>
      </c>
      <c r="AG123" s="34">
        <v>103.42910304981039</v>
      </c>
      <c r="AH123" s="34">
        <v>103.45845587673389</v>
      </c>
      <c r="AI123" s="34">
        <v>-2.9352826923457091E-2</v>
      </c>
      <c r="AJ123" s="34">
        <v>-2.8371607400007662E-4</v>
      </c>
      <c r="AK123" s="34">
        <v>-0.5464</v>
      </c>
      <c r="AL123" s="34">
        <v>102.5749103334267</v>
      </c>
      <c r="AM123" s="34">
        <v>-0.85400998480000823</v>
      </c>
    </row>
    <row r="124" spans="1:39" x14ac:dyDescent="0.25">
      <c r="A124" s="34" t="s">
        <v>372</v>
      </c>
      <c r="B124" s="34" t="s">
        <v>373</v>
      </c>
      <c r="C124" s="34">
        <v>-3.9443000000000001</v>
      </c>
      <c r="D124" s="34">
        <v>100.1833275718156</v>
      </c>
      <c r="E124" s="34">
        <v>104.29711882982021</v>
      </c>
      <c r="F124" s="34">
        <v>53353.35</v>
      </c>
      <c r="G124" s="35">
        <v>-11.460599999999999</v>
      </c>
      <c r="H124" s="34">
        <v>92.344043229209802</v>
      </c>
      <c r="I124" s="35">
        <v>-11.460599999999991</v>
      </c>
      <c r="Q124" s="34">
        <v>2.4142555633406269</v>
      </c>
      <c r="R124" s="34">
        <v>101.4415748830173</v>
      </c>
      <c r="S124" s="34">
        <v>103.03938592515171</v>
      </c>
      <c r="T124" s="34">
        <v>-1.5978110421343961</v>
      </c>
      <c r="U124" s="34">
        <v>-1.5506798956420931E-2</v>
      </c>
      <c r="V124" s="34">
        <v>0.60870000000000002</v>
      </c>
      <c r="W124" s="34">
        <v>99.653167606348759</v>
      </c>
      <c r="X124" s="34">
        <v>-3.2863339473535702</v>
      </c>
      <c r="AF124" s="34">
        <v>-1.53</v>
      </c>
      <c r="AG124" s="34">
        <v>101.8466377731483</v>
      </c>
      <c r="AH124" s="34">
        <v>103.45845587673389</v>
      </c>
      <c r="AI124" s="34">
        <v>-1.611818103585549</v>
      </c>
      <c r="AJ124" s="34">
        <v>-1.5579375218067799E-2</v>
      </c>
      <c r="AK124" s="34">
        <v>-5.8975999999999997</v>
      </c>
      <c r="AL124" s="34">
        <v>97.329268268344819</v>
      </c>
      <c r="AM124" s="34">
        <v>-5.9242983634819826</v>
      </c>
    </row>
    <row r="125" spans="1:39" x14ac:dyDescent="0.25">
      <c r="A125" s="34" t="s">
        <v>373</v>
      </c>
      <c r="B125" s="34" t="s">
        <v>374</v>
      </c>
      <c r="C125" s="34">
        <v>3.7273999999999998</v>
      </c>
      <c r="D125" s="34">
        <v>103.91756092372739</v>
      </c>
      <c r="E125" s="34">
        <v>104.29711882982021</v>
      </c>
      <c r="F125" s="34">
        <v>51266.7</v>
      </c>
      <c r="G125" s="35">
        <v>1.0598000000000001</v>
      </c>
      <c r="H125" s="34">
        <v>101.24507047742171</v>
      </c>
      <c r="I125" s="35">
        <v>-2.9263016913999911</v>
      </c>
      <c r="Q125" s="34">
        <v>-2.863350920741722</v>
      </c>
      <c r="R125" s="34">
        <v>98.536946614589496</v>
      </c>
      <c r="S125" s="34">
        <v>103.03938592515171</v>
      </c>
      <c r="T125" s="34">
        <v>-4.5024393105621812</v>
      </c>
      <c r="U125" s="34">
        <v>-4.369629409314197E-2</v>
      </c>
      <c r="V125" s="34">
        <v>-2.9908999999999999</v>
      </c>
      <c r="W125" s="34">
        <v>98.407558819841128</v>
      </c>
      <c r="X125" s="34">
        <v>-4.495200610643324</v>
      </c>
      <c r="AF125" s="34">
        <v>0.86399999999999999</v>
      </c>
      <c r="AG125" s="34">
        <v>102.7265927235083</v>
      </c>
      <c r="AH125" s="34">
        <v>103.45845587673389</v>
      </c>
      <c r="AI125" s="34">
        <v>-0.73186315322554663</v>
      </c>
      <c r="AJ125" s="34">
        <v>-7.0739810199519004E-3</v>
      </c>
      <c r="AK125" s="34">
        <v>0.81320000000000003</v>
      </c>
      <c r="AL125" s="34">
        <v>102.67485463151959</v>
      </c>
      <c r="AM125" s="34">
        <v>-0.75740666973410642</v>
      </c>
    </row>
    <row r="126" spans="1:39" x14ac:dyDescent="0.25">
      <c r="A126" s="34" t="s">
        <v>374</v>
      </c>
      <c r="B126" s="34" t="s">
        <v>375</v>
      </c>
      <c r="C126" s="34">
        <v>1.8555999999999999</v>
      </c>
      <c r="D126" s="34">
        <v>105.8458551842281</v>
      </c>
      <c r="E126" s="34">
        <v>105.8458551842281</v>
      </c>
      <c r="F126" s="34">
        <v>53194.7</v>
      </c>
      <c r="G126" s="35">
        <v>-0.433</v>
      </c>
      <c r="H126" s="34">
        <v>103.4675978849277</v>
      </c>
      <c r="I126" s="35">
        <v>-0.79534406530059609</v>
      </c>
      <c r="Q126" s="34">
        <v>0.2808054048599945</v>
      </c>
      <c r="R126" s="34">
        <v>98.813643686467273</v>
      </c>
      <c r="S126" s="34">
        <v>103.03938592515171</v>
      </c>
      <c r="T126" s="34">
        <v>-4.2257422386844041</v>
      </c>
      <c r="U126" s="34">
        <v>-4.1010941600079058E-2</v>
      </c>
      <c r="V126" s="34">
        <v>-0.45469999999999999</v>
      </c>
      <c r="W126" s="34">
        <v>98.088899118332961</v>
      </c>
      <c r="X126" s="34">
        <v>-4.8044607043900456</v>
      </c>
      <c r="AF126" s="34">
        <v>2.1364000000000001</v>
      </c>
      <c r="AG126" s="34">
        <v>104.92124365045341</v>
      </c>
      <c r="AH126" s="34">
        <v>104.92124365045341</v>
      </c>
      <c r="AI126" s="34"/>
      <c r="AJ126" s="34">
        <v>0</v>
      </c>
      <c r="AK126" s="34">
        <v>0.25869999999999999</v>
      </c>
      <c r="AL126" s="34">
        <v>102.9923464188841</v>
      </c>
      <c r="AM126" s="34">
        <v>-0.45052814088506482</v>
      </c>
    </row>
    <row r="127" spans="1:39" x14ac:dyDescent="0.25">
      <c r="A127" s="34" t="s">
        <v>375</v>
      </c>
      <c r="B127" s="34" t="s">
        <v>376</v>
      </c>
      <c r="C127" s="34">
        <v>1.2214</v>
      </c>
      <c r="D127" s="34">
        <v>107.1386564594483</v>
      </c>
      <c r="E127" s="34">
        <v>107.1386564594483</v>
      </c>
      <c r="F127" s="34">
        <v>54226.1</v>
      </c>
      <c r="G127" s="35">
        <v>0.22550000000000001</v>
      </c>
      <c r="H127" s="34">
        <v>106.08453758766851</v>
      </c>
      <c r="I127" s="35">
        <v>0.2254999999999896</v>
      </c>
      <c r="Q127" s="34">
        <v>-0.6045547411455241</v>
      </c>
      <c r="R127" s="34">
        <v>98.216261118662089</v>
      </c>
      <c r="S127" s="34">
        <v>103.03938592515171</v>
      </c>
      <c r="T127" s="34">
        <v>-4.823124806489588</v>
      </c>
      <c r="U127" s="34">
        <v>-4.6808555419702608E-2</v>
      </c>
      <c r="V127" s="34">
        <v>-1.4976</v>
      </c>
      <c r="W127" s="34">
        <v>97.333810558618737</v>
      </c>
      <c r="X127" s="34">
        <v>-5.5372761738676326</v>
      </c>
      <c r="AF127" s="34">
        <v>0.61680000000000001</v>
      </c>
      <c r="AG127" s="34">
        <v>105.5683978812894</v>
      </c>
      <c r="AH127" s="34">
        <v>105.5683978812894</v>
      </c>
      <c r="AI127" s="34"/>
      <c r="AJ127" s="34">
        <v>0</v>
      </c>
      <c r="AK127" s="34">
        <v>0.3755</v>
      </c>
      <c r="AL127" s="34">
        <v>105.3152229203608</v>
      </c>
      <c r="AM127" s="34">
        <v>0.37549999999999528</v>
      </c>
    </row>
    <row r="128" spans="1:39" x14ac:dyDescent="0.25">
      <c r="A128" s="34" t="s">
        <v>376</v>
      </c>
      <c r="B128" s="34" t="s">
        <v>377</v>
      </c>
      <c r="C128" s="34">
        <v>0.65859999999999996</v>
      </c>
      <c r="D128" s="34">
        <v>107.84427165089021</v>
      </c>
      <c r="E128" s="34">
        <v>107.84427165089021</v>
      </c>
      <c r="F128" s="34">
        <v>54951.7</v>
      </c>
      <c r="G128" s="35">
        <v>-0.25409999999999999</v>
      </c>
      <c r="H128" s="34">
        <v>106.8664171333848</v>
      </c>
      <c r="I128" s="35">
        <v>-0.25410000000000149</v>
      </c>
      <c r="Q128" s="34">
        <v>-0.73758292226569155</v>
      </c>
      <c r="R128" s="34">
        <v>97.491834749762958</v>
      </c>
      <c r="S128" s="34">
        <v>103.03938592515171</v>
      </c>
      <c r="T128" s="34">
        <v>-5.547551175388719</v>
      </c>
      <c r="U128" s="34">
        <v>-5.3839132731424537E-2</v>
      </c>
      <c r="V128" s="34">
        <v>-0.81499999999999995</v>
      </c>
      <c r="W128" s="34">
        <v>97.415798590544995</v>
      </c>
      <c r="X128" s="34">
        <v>-5.4577065693032001</v>
      </c>
      <c r="AF128" s="34">
        <v>-7.9000000000000001E-2</v>
      </c>
      <c r="AG128" s="34">
        <v>105.48499884696319</v>
      </c>
      <c r="AH128" s="34">
        <v>105.5683978812894</v>
      </c>
      <c r="AI128" s="34">
        <v>-8.3399034326220089E-2</v>
      </c>
      <c r="AJ128" s="34">
        <v>-7.9000000000001411E-4</v>
      </c>
      <c r="AK128" s="34">
        <v>-7.9000000000000001E-2</v>
      </c>
      <c r="AL128" s="34">
        <v>105.48499884696319</v>
      </c>
      <c r="AM128" s="34">
        <v>-7.9000000000006843E-2</v>
      </c>
    </row>
    <row r="129" spans="1:39" x14ac:dyDescent="0.25">
      <c r="A129" s="34" t="s">
        <v>377</v>
      </c>
      <c r="B129" s="34" t="s">
        <v>378</v>
      </c>
      <c r="C129" s="34">
        <v>-0.2384</v>
      </c>
      <c r="D129" s="34">
        <v>107.5871709072745</v>
      </c>
      <c r="E129" s="34">
        <v>107.84427165089021</v>
      </c>
      <c r="F129" s="34">
        <v>55368.55</v>
      </c>
      <c r="G129" s="35">
        <v>-0.37840000000000001</v>
      </c>
      <c r="H129" s="34">
        <v>107.4361889269632</v>
      </c>
      <c r="I129" s="35">
        <v>-0.37840000000000101</v>
      </c>
      <c r="Q129" s="34">
        <v>-0.754596080316003</v>
      </c>
      <c r="R129" s="34">
        <v>96.756165186113094</v>
      </c>
      <c r="S129" s="34">
        <v>103.03938592515171</v>
      </c>
      <c r="T129" s="34">
        <v>-6.2832207390385832</v>
      </c>
      <c r="U129" s="34">
        <v>-6.0978825549317092E-2</v>
      </c>
      <c r="V129" s="34">
        <v>-0.92869999999999997</v>
      </c>
      <c r="W129" s="34">
        <v>96.586428080441905</v>
      </c>
      <c r="X129" s="34">
        <v>-6.2626128705747792</v>
      </c>
      <c r="AF129" s="34">
        <v>-0.99299999999999999</v>
      </c>
      <c r="AG129" s="34">
        <v>104.4375328084128</v>
      </c>
      <c r="AH129" s="34">
        <v>105.5683978812894</v>
      </c>
      <c r="AI129" s="34">
        <v>-1.1308650728765599</v>
      </c>
      <c r="AJ129" s="34">
        <v>-1.071215529999997E-2</v>
      </c>
      <c r="AK129" s="34">
        <v>-0.99299999999999999</v>
      </c>
      <c r="AL129" s="34">
        <v>104.4375328084128</v>
      </c>
      <c r="AM129" s="34">
        <v>-1.071215530000003</v>
      </c>
    </row>
    <row r="130" spans="1:39" x14ac:dyDescent="0.25">
      <c r="A130" s="34" t="s">
        <v>378</v>
      </c>
      <c r="B130" s="34" t="s">
        <v>379</v>
      </c>
      <c r="C130" s="34">
        <v>1.7794000000000001</v>
      </c>
      <c r="D130" s="34">
        <v>109.50157702639849</v>
      </c>
      <c r="E130" s="34">
        <v>109.50157702639849</v>
      </c>
      <c r="F130" s="34">
        <v>55245.8</v>
      </c>
      <c r="G130" s="35">
        <v>-0.50529999999999997</v>
      </c>
      <c r="H130" s="34">
        <v>107.04353293267999</v>
      </c>
      <c r="I130" s="35">
        <v>-0.74249536479999989</v>
      </c>
      <c r="Q130" s="34">
        <v>-1.2973002413192121</v>
      </c>
      <c r="R130" s="34">
        <v>95.500947221662429</v>
      </c>
      <c r="S130" s="34">
        <v>103.03938592515171</v>
      </c>
      <c r="T130" s="34">
        <v>-7.5384387034892484</v>
      </c>
      <c r="U130" s="34">
        <v>-7.316074951150435E-2</v>
      </c>
      <c r="V130" s="34">
        <v>-1.5095000000000001</v>
      </c>
      <c r="W130" s="34">
        <v>95.29563087262872</v>
      </c>
      <c r="X130" s="34">
        <v>-7.5153350177650129</v>
      </c>
      <c r="AF130" s="34">
        <v>0.48209999999999997</v>
      </c>
      <c r="AG130" s="34">
        <v>104.94102615408219</v>
      </c>
      <c r="AH130" s="34">
        <v>105.5683978812894</v>
      </c>
      <c r="AI130" s="34">
        <v>-0.6273717272072048</v>
      </c>
      <c r="AJ130" s="34">
        <v>-5.9427986007013021E-3</v>
      </c>
      <c r="AK130" s="34">
        <v>-0.2535</v>
      </c>
      <c r="AL130" s="34">
        <v>104.1727836627435</v>
      </c>
      <c r="AM130" s="34">
        <v>-1.321999998631451</v>
      </c>
    </row>
    <row r="131" spans="1:39" x14ac:dyDescent="0.25">
      <c r="A131" s="34" t="s">
        <v>379</v>
      </c>
      <c r="B131" s="34" t="s">
        <v>380</v>
      </c>
      <c r="C131" s="34">
        <v>0.99870000000000003</v>
      </c>
      <c r="D131" s="34">
        <v>110.5951692761612</v>
      </c>
      <c r="E131" s="34">
        <v>110.5951692761612</v>
      </c>
      <c r="F131" s="34">
        <v>56293.3</v>
      </c>
      <c r="G131" s="35">
        <v>-1.1198999999999999</v>
      </c>
      <c r="H131" s="34">
        <v>108.2752688652799</v>
      </c>
      <c r="I131" s="35">
        <v>-1.1198999999999959</v>
      </c>
      <c r="Q131" s="34">
        <v>0.32096020422868682</v>
      </c>
      <c r="R131" s="34">
        <v>95.807467256905412</v>
      </c>
      <c r="S131" s="34">
        <v>103.03938592515171</v>
      </c>
      <c r="T131" s="34">
        <v>-7.2319186682462657</v>
      </c>
      <c r="U131" s="34">
        <v>-7.0185964360264794E-2</v>
      </c>
      <c r="V131" s="34">
        <v>-0.48309999999999997</v>
      </c>
      <c r="W131" s="34">
        <v>95.039582145634569</v>
      </c>
      <c r="X131" s="34">
        <v>-7.763830993061438</v>
      </c>
      <c r="AF131" s="34">
        <v>1.3197000000000001</v>
      </c>
      <c r="AG131" s="34">
        <v>106.3259328762376</v>
      </c>
      <c r="AH131" s="34">
        <v>106.3259328762376</v>
      </c>
      <c r="AI131" s="34"/>
      <c r="AJ131" s="34">
        <v>0</v>
      </c>
      <c r="AK131" s="34">
        <v>-0.37780000000000002</v>
      </c>
      <c r="AL131" s="34">
        <v>104.544558957272</v>
      </c>
      <c r="AM131" s="34">
        <v>-0.9698346707587846</v>
      </c>
    </row>
    <row r="132" spans="1:39" x14ac:dyDescent="0.25">
      <c r="A132" s="34" t="s">
        <v>380</v>
      </c>
      <c r="B132" s="34" t="s">
        <v>381</v>
      </c>
      <c r="C132" s="34">
        <v>1.2051000000000001</v>
      </c>
      <c r="D132" s="34">
        <v>111.9279516611082</v>
      </c>
      <c r="E132" s="34">
        <v>111.9279516611082</v>
      </c>
      <c r="F132" s="34">
        <v>56921.15</v>
      </c>
      <c r="G132" s="35">
        <v>-4.6100000000000002E-2</v>
      </c>
      <c r="H132" s="34">
        <v>110.5441849031248</v>
      </c>
      <c r="I132" s="35">
        <v>-4.6100000000004471E-2</v>
      </c>
      <c r="Q132" s="34">
        <v>-1.094988787002378</v>
      </c>
      <c r="R132" s="34">
        <v>94.758386233331322</v>
      </c>
      <c r="S132" s="34">
        <v>103.03938592515171</v>
      </c>
      <c r="T132" s="34">
        <v>-8.2809996918203552</v>
      </c>
      <c r="U132" s="34">
        <v>-8.0367323790494202E-2</v>
      </c>
      <c r="V132" s="34">
        <v>-1.3298000000000001</v>
      </c>
      <c r="W132" s="34">
        <v>94.533419557323086</v>
      </c>
      <c r="X132" s="34">
        <v>-8.2550631406201997</v>
      </c>
      <c r="AF132" s="34">
        <v>0.1101</v>
      </c>
      <c r="AG132" s="34">
        <v>106.4429977283343</v>
      </c>
      <c r="AH132" s="34">
        <v>106.4429977283343</v>
      </c>
      <c r="AI132" s="34"/>
      <c r="AJ132" s="34">
        <v>0</v>
      </c>
      <c r="AK132" s="34">
        <v>0.1101</v>
      </c>
      <c r="AL132" s="34">
        <v>106.4429977283343</v>
      </c>
      <c r="AM132" s="34">
        <v>0.1101000000000019</v>
      </c>
    </row>
    <row r="133" spans="1:39" x14ac:dyDescent="0.25">
      <c r="A133" s="34" t="s">
        <v>381</v>
      </c>
      <c r="B133" s="34" t="s">
        <v>382</v>
      </c>
      <c r="C133" s="34">
        <v>-0.99219999999999997</v>
      </c>
      <c r="D133" s="34">
        <v>110.8174025247267</v>
      </c>
      <c r="E133" s="34">
        <v>111.9279516611082</v>
      </c>
      <c r="F133" s="34">
        <v>57664</v>
      </c>
      <c r="G133" s="35">
        <v>-1.7150000000000001</v>
      </c>
      <c r="H133" s="34">
        <v>110.0083872901202</v>
      </c>
      <c r="I133" s="35">
        <v>-1.714999999999989</v>
      </c>
      <c r="Q133" s="34">
        <v>-0.51172144801527653</v>
      </c>
      <c r="R133" s="34">
        <v>94.273487247182203</v>
      </c>
      <c r="S133" s="34">
        <v>103.03938592515171</v>
      </c>
      <c r="T133" s="34">
        <v>-8.7658986779694743</v>
      </c>
      <c r="U133" s="34">
        <v>-8.5073281437615195E-2</v>
      </c>
      <c r="V133" s="34">
        <v>-0.63749999999999996</v>
      </c>
      <c r="W133" s="34">
        <v>94.154301521093828</v>
      </c>
      <c r="X133" s="34">
        <v>-8.6229982101329821</v>
      </c>
      <c r="AF133" s="34">
        <v>-1.5039</v>
      </c>
      <c r="AG133" s="34">
        <v>104.8422014854979</v>
      </c>
      <c r="AH133" s="34">
        <v>106.4429977283343</v>
      </c>
      <c r="AI133" s="34">
        <v>-1.600796242836424</v>
      </c>
      <c r="AJ133" s="34">
        <v>-1.503900000000004E-2</v>
      </c>
      <c r="AK133" s="34">
        <v>-1.5039</v>
      </c>
      <c r="AL133" s="34">
        <v>104.8422014854979</v>
      </c>
      <c r="AM133" s="34">
        <v>-1.503900000000002</v>
      </c>
    </row>
    <row r="134" spans="1:39" x14ac:dyDescent="0.25">
      <c r="A134" s="34" t="s">
        <v>382</v>
      </c>
      <c r="B134" s="34" t="s">
        <v>383</v>
      </c>
      <c r="C134" s="34">
        <v>-0.51729999999999998</v>
      </c>
      <c r="D134" s="34">
        <v>110.2441441014663</v>
      </c>
      <c r="E134" s="34">
        <v>111.9279516611082</v>
      </c>
      <c r="F134" s="34">
        <v>57111.1</v>
      </c>
      <c r="G134" s="35">
        <v>-4.7859999999999996</v>
      </c>
      <c r="H134" s="34">
        <v>105.51368163989321</v>
      </c>
      <c r="I134" s="35">
        <v>-5.7307133080000021</v>
      </c>
      <c r="Q134" s="34">
        <v>1.8952979434172621</v>
      </c>
      <c r="R134" s="34">
        <v>96.060250712165768</v>
      </c>
      <c r="S134" s="34">
        <v>103.03938592515171</v>
      </c>
      <c r="T134" s="34">
        <v>-6.9791352129859092</v>
      </c>
      <c r="U134" s="34">
        <v>-6.7732694156927412E-2</v>
      </c>
      <c r="V134" s="34">
        <v>-0.21129999999999999</v>
      </c>
      <c r="W134" s="34">
        <v>94.074287368628902</v>
      </c>
      <c r="X134" s="34">
        <v>-8.7006521593937514</v>
      </c>
      <c r="AF134" s="34">
        <v>1.3779999999999999</v>
      </c>
      <c r="AG134" s="34">
        <v>106.286927021968</v>
      </c>
      <c r="AH134" s="34">
        <v>106.4429977283343</v>
      </c>
      <c r="AI134" s="34">
        <v>-0.15607070636627901</v>
      </c>
      <c r="AJ134" s="34">
        <v>-1.46623742000019E-3</v>
      </c>
      <c r="AK134" s="34">
        <v>-2.1312000000000002</v>
      </c>
      <c r="AL134" s="34">
        <v>102.607804487439</v>
      </c>
      <c r="AM134" s="34">
        <v>-3.6030488832000001</v>
      </c>
    </row>
    <row r="135" spans="1:39" x14ac:dyDescent="0.25">
      <c r="A135" s="34" t="s">
        <v>383</v>
      </c>
      <c r="B135" s="34" t="s">
        <v>384</v>
      </c>
      <c r="C135" s="34">
        <v>3.6076999999999999</v>
      </c>
      <c r="D135" s="34">
        <v>114.22142208821489</v>
      </c>
      <c r="E135" s="34">
        <v>114.22142208821489</v>
      </c>
      <c r="F135" s="34">
        <v>56872.75</v>
      </c>
      <c r="G135" s="35">
        <v>-0.98719999999999997</v>
      </c>
      <c r="H135" s="34">
        <v>109.1558139108966</v>
      </c>
      <c r="I135" s="35">
        <v>-2.476716234926724</v>
      </c>
      <c r="Q135" s="34">
        <v>-2.117271181928031</v>
      </c>
      <c r="R135" s="34">
        <v>94.026394706549269</v>
      </c>
      <c r="S135" s="34">
        <v>103.03938592515171</v>
      </c>
      <c r="T135" s="34">
        <v>-9.0129912186024086</v>
      </c>
      <c r="U135" s="34">
        <v>-8.7471321162079618E-2</v>
      </c>
      <c r="V135" s="34">
        <v>-2.5217999999999998</v>
      </c>
      <c r="W135" s="34">
        <v>93.637803309706371</v>
      </c>
      <c r="X135" s="34">
        <v>-9.1242611075677988</v>
      </c>
      <c r="AF135" s="34">
        <v>1.4903999999999999</v>
      </c>
      <c r="AG135" s="34">
        <v>107.8710273823035</v>
      </c>
      <c r="AH135" s="34">
        <v>107.8710273823035</v>
      </c>
      <c r="AI135" s="34"/>
      <c r="AJ135" s="34">
        <v>0</v>
      </c>
      <c r="AK135" s="34">
        <v>-0.34370000000000001</v>
      </c>
      <c r="AL135" s="34">
        <v>105.9216188537935</v>
      </c>
      <c r="AM135" s="34">
        <v>-0.48981979619876492</v>
      </c>
    </row>
    <row r="136" spans="1:39" x14ac:dyDescent="0.25">
      <c r="A136" s="34" t="s">
        <v>384</v>
      </c>
      <c r="B136" s="34" t="s">
        <v>385</v>
      </c>
      <c r="C136" s="34">
        <v>-3.7054999999999998</v>
      </c>
      <c r="D136" s="34">
        <v>109.9889472927361</v>
      </c>
      <c r="E136" s="34">
        <v>114.22142208821489</v>
      </c>
      <c r="F136" s="34">
        <v>58990.9</v>
      </c>
      <c r="G136" s="35">
        <v>-6.2450000000000001</v>
      </c>
      <c r="H136" s="34">
        <v>107.0882942788058</v>
      </c>
      <c r="I136" s="35">
        <v>-6.245000000000001</v>
      </c>
      <c r="Q136" s="34">
        <v>1.4881077625680581</v>
      </c>
      <c r="R136" s="34">
        <v>95.425608785040296</v>
      </c>
      <c r="S136" s="34">
        <v>103.03938592515171</v>
      </c>
      <c r="T136" s="34">
        <v>-7.613777140111381</v>
      </c>
      <c r="U136" s="34">
        <v>-7.3891911056632911E-2</v>
      </c>
      <c r="V136" s="34">
        <v>-0.38100000000000001</v>
      </c>
      <c r="W136" s="34">
        <v>93.668154142717313</v>
      </c>
      <c r="X136" s="34">
        <v>-9.0948055428452079</v>
      </c>
      <c r="AF136" s="34">
        <v>-2.2174</v>
      </c>
      <c r="AG136" s="34">
        <v>105.4790952211282</v>
      </c>
      <c r="AH136" s="34">
        <v>107.8710273823035</v>
      </c>
      <c r="AI136" s="34">
        <v>-2.3919321611752049</v>
      </c>
      <c r="AJ136" s="34">
        <v>-2.2174000000000079E-2</v>
      </c>
      <c r="AK136" s="34">
        <v>-3.9906000000000001</v>
      </c>
      <c r="AL136" s="34">
        <v>103.5663261635852</v>
      </c>
      <c r="AM136" s="34">
        <v>-3.9906000000000108</v>
      </c>
    </row>
    <row r="137" spans="1:39" x14ac:dyDescent="0.25">
      <c r="A137" s="34" t="s">
        <v>385</v>
      </c>
      <c r="B137" s="34" t="s">
        <v>386</v>
      </c>
      <c r="C137" s="34">
        <v>-8.6499999999999994E-2</v>
      </c>
      <c r="D137" s="34">
        <v>109.8938068533278</v>
      </c>
      <c r="E137" s="34">
        <v>114.22142208821489</v>
      </c>
      <c r="F137" s="34">
        <v>56873.8</v>
      </c>
      <c r="G137" s="35">
        <v>-0.49099999999999999</v>
      </c>
      <c r="H137" s="34">
        <v>109.4489015615287</v>
      </c>
      <c r="I137" s="35">
        <v>-4.1783059949999863</v>
      </c>
      <c r="Q137" s="34">
        <v>1.0575162053709231</v>
      </c>
      <c r="R137" s="34">
        <v>96.434750062015951</v>
      </c>
      <c r="S137" s="34">
        <v>103.03938592515171</v>
      </c>
      <c r="T137" s="34">
        <v>-6.6046358631357256</v>
      </c>
      <c r="U137" s="34">
        <v>-6.4098167936805894E-2</v>
      </c>
      <c r="V137" s="34">
        <v>-0.42899999999999999</v>
      </c>
      <c r="W137" s="34">
        <v>95.016232923352476</v>
      </c>
      <c r="X137" s="34">
        <v>-7.7864914758199886</v>
      </c>
      <c r="AF137" s="34">
        <v>0.97099999999999997</v>
      </c>
      <c r="AG137" s="34">
        <v>106.5032972357254</v>
      </c>
      <c r="AH137" s="34">
        <v>107.8710273823035</v>
      </c>
      <c r="AI137" s="34">
        <v>-1.36773014657804</v>
      </c>
      <c r="AJ137" s="34">
        <v>-1.2679309539999991E-2</v>
      </c>
      <c r="AK137" s="34">
        <v>0.81259999999999999</v>
      </c>
      <c r="AL137" s="34">
        <v>106.3362183488951</v>
      </c>
      <c r="AM137" s="34">
        <v>-1.422818592399999</v>
      </c>
    </row>
    <row r="138" spans="1:39" x14ac:dyDescent="0.25">
      <c r="A138" s="34" t="s">
        <v>386</v>
      </c>
      <c r="B138" s="34" t="s">
        <v>387</v>
      </c>
      <c r="C138" s="34">
        <v>2.2854000000000001</v>
      </c>
      <c r="D138" s="34">
        <v>112.4053199151538</v>
      </c>
      <c r="E138" s="34">
        <v>114.22142208821489</v>
      </c>
      <c r="F138" s="34">
        <v>56881.5</v>
      </c>
      <c r="G138" s="35">
        <v>-0.95599999999999996</v>
      </c>
      <c r="H138" s="34">
        <v>108.84322205981</v>
      </c>
      <c r="I138" s="35">
        <v>-4.7085738647616893</v>
      </c>
      <c r="Q138" s="34">
        <v>-2.4294709805708599</v>
      </c>
      <c r="R138" s="34">
        <v>94.091895794073238</v>
      </c>
      <c r="S138" s="34">
        <v>103.03938592515171</v>
      </c>
      <c r="T138" s="34">
        <v>-8.9474901310784389</v>
      </c>
      <c r="U138" s="34">
        <v>-8.6835631353412185E-2</v>
      </c>
      <c r="V138" s="34">
        <v>-2.7130000000000001</v>
      </c>
      <c r="W138" s="34">
        <v>93.818475292833455</v>
      </c>
      <c r="X138" s="34">
        <v>-8.9489184640680346</v>
      </c>
      <c r="AF138" s="34">
        <v>-0.14410000000000001</v>
      </c>
      <c r="AG138" s="34">
        <v>106.3498259844087</v>
      </c>
      <c r="AH138" s="34">
        <v>107.8710273823035</v>
      </c>
      <c r="AI138" s="34">
        <v>-1.5212013978947281</v>
      </c>
      <c r="AJ138" s="34">
        <v>-1.4102038654952921E-2</v>
      </c>
      <c r="AK138" s="34">
        <v>-0.73270000000000002</v>
      </c>
      <c r="AL138" s="34">
        <v>105.72294757687921</v>
      </c>
      <c r="AM138" s="34">
        <v>-1.991340823900045</v>
      </c>
    </row>
    <row r="139" spans="1:39" x14ac:dyDescent="0.25">
      <c r="A139" s="34" t="s">
        <v>387</v>
      </c>
      <c r="B139" s="34" t="s">
        <v>388</v>
      </c>
      <c r="C139" s="34">
        <v>0.32019999999999998</v>
      </c>
      <c r="D139" s="34">
        <v>112.7652417495221</v>
      </c>
      <c r="E139" s="34">
        <v>114.22142208821489</v>
      </c>
      <c r="F139" s="34">
        <v>58247.85</v>
      </c>
      <c r="G139" s="35">
        <v>-0.19539999999999999</v>
      </c>
      <c r="H139" s="34">
        <v>112.1856799200396</v>
      </c>
      <c r="I139" s="35">
        <v>-1.7822770290874419</v>
      </c>
      <c r="Q139" s="34">
        <v>-0.24899944734269011</v>
      </c>
      <c r="R139" s="34">
        <v>93.85760749355174</v>
      </c>
      <c r="S139" s="34">
        <v>103.03938592515171</v>
      </c>
      <c r="T139" s="34">
        <v>-9.1817784315999376</v>
      </c>
      <c r="U139" s="34">
        <v>-8.9109405584672521E-2</v>
      </c>
      <c r="V139" s="34">
        <v>-0.34189999999999998</v>
      </c>
      <c r="W139" s="34">
        <v>93.770195602353311</v>
      </c>
      <c r="X139" s="34">
        <v>-8.9957740329814744</v>
      </c>
      <c r="AF139" s="34">
        <v>7.1199999999999999E-2</v>
      </c>
      <c r="AG139" s="34">
        <v>106.4255470605096</v>
      </c>
      <c r="AH139" s="34">
        <v>107.8710273823035</v>
      </c>
      <c r="AI139" s="34">
        <v>-1.445480321793823</v>
      </c>
      <c r="AJ139" s="34">
        <v>-1.3400079306475189E-2</v>
      </c>
      <c r="AK139" s="34">
        <v>-1.77E-2</v>
      </c>
      <c r="AL139" s="34">
        <v>106.3310020652095</v>
      </c>
      <c r="AM139" s="34">
        <v>-1.427654259411093</v>
      </c>
    </row>
    <row r="140" spans="1:39" x14ac:dyDescent="0.25">
      <c r="A140" s="34" t="s">
        <v>388</v>
      </c>
      <c r="B140" s="34" t="s">
        <v>389</v>
      </c>
      <c r="C140" s="34">
        <v>1.0851</v>
      </c>
      <c r="D140" s="34">
        <v>113.98885738774619</v>
      </c>
      <c r="E140" s="34">
        <v>114.22142208821489</v>
      </c>
      <c r="F140" s="34">
        <v>58444.05</v>
      </c>
      <c r="G140" s="35">
        <v>9.35E-2</v>
      </c>
      <c r="H140" s="34">
        <v>112.8706772505579</v>
      </c>
      <c r="I140" s="35">
        <v>-1.1825669939687371</v>
      </c>
      <c r="Q140" s="34">
        <v>-0.66551743627423277</v>
      </c>
      <c r="R140" s="34">
        <v>93.232968750412326</v>
      </c>
      <c r="S140" s="34">
        <v>103.03938592515171</v>
      </c>
      <c r="T140" s="34">
        <v>-9.8064171747393516</v>
      </c>
      <c r="U140" s="34">
        <v>-9.5171541315888494E-2</v>
      </c>
      <c r="V140" s="34">
        <v>-1.1258999999999999</v>
      </c>
      <c r="W140" s="34">
        <v>92.800864690781836</v>
      </c>
      <c r="X140" s="34">
        <v>-9.9365122787194782</v>
      </c>
      <c r="AF140" s="34">
        <v>0.41959999999999997</v>
      </c>
      <c r="AG140" s="34">
        <v>106.8721086559755</v>
      </c>
      <c r="AH140" s="34">
        <v>107.8710273823035</v>
      </c>
      <c r="AI140" s="34">
        <v>-0.9989187263279149</v>
      </c>
      <c r="AJ140" s="34">
        <v>-9.2603060392450684E-3</v>
      </c>
      <c r="AK140" s="34">
        <v>0.23319999999999999</v>
      </c>
      <c r="AL140" s="34">
        <v>106.6737314362547</v>
      </c>
      <c r="AM140" s="34">
        <v>-1.1099328291417909</v>
      </c>
    </row>
    <row r="141" spans="1:39" x14ac:dyDescent="0.25">
      <c r="A141" s="34" t="s">
        <v>389</v>
      </c>
      <c r="B141" s="34" t="s">
        <v>390</v>
      </c>
      <c r="C141" s="34">
        <v>1.4E-2</v>
      </c>
      <c r="D141" s="34">
        <v>114.0048158277804</v>
      </c>
      <c r="E141" s="34">
        <v>114.22142208821489</v>
      </c>
      <c r="F141" s="34">
        <v>59146.400000000001</v>
      </c>
      <c r="G141" s="35">
        <v>-1.0706</v>
      </c>
      <c r="H141" s="34">
        <v>112.768492680553</v>
      </c>
      <c r="I141" s="35">
        <v>-1.272028820075255</v>
      </c>
      <c r="Q141" s="34">
        <v>4.0515161252337603E-2</v>
      </c>
      <c r="R141" s="34">
        <v>93.270742238041905</v>
      </c>
      <c r="S141" s="34">
        <v>103.03938592515171</v>
      </c>
      <c r="T141" s="34">
        <v>-9.7686436871097726</v>
      </c>
      <c r="U141" s="34">
        <v>-9.4804948606795503E-2</v>
      </c>
      <c r="V141" s="34">
        <v>-0.94940000000000002</v>
      </c>
      <c r="W141" s="34">
        <v>92.347814945095905</v>
      </c>
      <c r="X141" s="34">
        <v>-10.376198270263551</v>
      </c>
      <c r="AF141" s="34">
        <v>5.45E-2</v>
      </c>
      <c r="AG141" s="34">
        <v>106.930353955193</v>
      </c>
      <c r="AH141" s="34">
        <v>107.8710273823035</v>
      </c>
      <c r="AI141" s="34">
        <v>-0.94067342711041135</v>
      </c>
      <c r="AJ141" s="34">
        <v>-8.7203529060364861E-3</v>
      </c>
      <c r="AK141" s="34">
        <v>-0.72509999999999997</v>
      </c>
      <c r="AL141" s="34">
        <v>106.0971789961111</v>
      </c>
      <c r="AM141" s="34">
        <v>-1.644415956015455</v>
      </c>
    </row>
    <row r="142" spans="1:39" x14ac:dyDescent="0.25">
      <c r="A142" s="34" t="s">
        <v>390</v>
      </c>
      <c r="B142" s="34" t="s">
        <v>391</v>
      </c>
      <c r="C142" s="34">
        <v>-0.59899999999999998</v>
      </c>
      <c r="D142" s="34">
        <v>113.32192698097199</v>
      </c>
      <c r="E142" s="34">
        <v>114.22142208821489</v>
      </c>
      <c r="F142" s="34">
        <v>59223.7</v>
      </c>
      <c r="G142" s="35">
        <v>-2.5</v>
      </c>
      <c r="H142" s="34">
        <v>111.1546954320859</v>
      </c>
      <c r="I142" s="35">
        <v>-2.6848962305516029</v>
      </c>
      <c r="Q142" s="34">
        <v>1.067316964764055</v>
      </c>
      <c r="R142" s="34">
        <v>94.266236693109875</v>
      </c>
      <c r="S142" s="34">
        <v>103.03938592515171</v>
      </c>
      <c r="T142" s="34">
        <v>-8.7731492320418027</v>
      </c>
      <c r="U142" s="34">
        <v>-8.514364825907117E-2</v>
      </c>
      <c r="V142" s="34">
        <v>-0.25530000000000003</v>
      </c>
      <c r="W142" s="34">
        <v>93.032622033108183</v>
      </c>
      <c r="X142" s="34">
        <v>-9.7115911573002371</v>
      </c>
      <c r="AF142" s="34">
        <v>0.46829999999999999</v>
      </c>
      <c r="AG142" s="34">
        <v>107.43110880276519</v>
      </c>
      <c r="AH142" s="34">
        <v>107.8710273823035</v>
      </c>
      <c r="AI142" s="34">
        <v>-0.43991857953824359</v>
      </c>
      <c r="AJ142" s="34">
        <v>-4.0781903186954674E-3</v>
      </c>
      <c r="AK142" s="34">
        <v>-1.165</v>
      </c>
      <c r="AL142" s="34">
        <v>105.68461533161501</v>
      </c>
      <c r="AM142" s="34">
        <v>-2.0268760794681211</v>
      </c>
    </row>
    <row r="143" spans="1:39" x14ac:dyDescent="0.25">
      <c r="A143" s="34" t="s">
        <v>391</v>
      </c>
      <c r="B143" s="34" t="s">
        <v>392</v>
      </c>
      <c r="C143" s="34">
        <v>2.0085000000000002</v>
      </c>
      <c r="D143" s="34">
        <v>115.5979978843849</v>
      </c>
      <c r="E143" s="34">
        <v>115.5979978843849</v>
      </c>
      <c r="F143" s="34">
        <v>58938.05</v>
      </c>
      <c r="G143" s="35">
        <v>0.4229</v>
      </c>
      <c r="H143" s="34">
        <v>113.8011654101746</v>
      </c>
      <c r="I143" s="35">
        <v>-0.367931575668623</v>
      </c>
      <c r="Q143" s="34">
        <v>-2.3233788618473459</v>
      </c>
      <c r="R143" s="34">
        <v>92.076074875923169</v>
      </c>
      <c r="S143" s="34">
        <v>103.03938592515171</v>
      </c>
      <c r="T143" s="34">
        <v>-10.96331104922851</v>
      </c>
      <c r="U143" s="34">
        <v>-0.10639922735168771</v>
      </c>
      <c r="V143" s="34">
        <v>-2.6825999999999999</v>
      </c>
      <c r="W143" s="34">
        <v>91.7374506275805</v>
      </c>
      <c r="X143" s="34">
        <v>-10.96855847508734</v>
      </c>
      <c r="AF143" s="34">
        <v>-0.31490000000000001</v>
      </c>
      <c r="AG143" s="34">
        <v>107.09280824114531</v>
      </c>
      <c r="AH143" s="34">
        <v>107.8710273823035</v>
      </c>
      <c r="AI143" s="34">
        <v>-0.7782191411581465</v>
      </c>
      <c r="AJ143" s="34">
        <v>-7.2143480973818506E-3</v>
      </c>
      <c r="AK143" s="34">
        <v>-0.31490000000000001</v>
      </c>
      <c r="AL143" s="34">
        <v>107.09280824114531</v>
      </c>
      <c r="AM143" s="34">
        <v>-0.72143480973818619</v>
      </c>
    </row>
    <row r="144" spans="1:39" x14ac:dyDescent="0.25">
      <c r="A144" s="34" t="s">
        <v>392</v>
      </c>
      <c r="B144" s="34" t="s">
        <v>393</v>
      </c>
      <c r="C144" s="34">
        <v>-0.72770000000000001</v>
      </c>
      <c r="D144" s="34">
        <v>114.75679125378019</v>
      </c>
      <c r="E144" s="34">
        <v>115.5979978843849</v>
      </c>
      <c r="F144" s="34">
        <v>60180.75</v>
      </c>
      <c r="G144" s="35">
        <v>-1.2418</v>
      </c>
      <c r="H144" s="34">
        <v>114.1625019466566</v>
      </c>
      <c r="I144" s="35">
        <v>-1.241800000000004</v>
      </c>
      <c r="Q144" s="34">
        <v>0.17251180732181809</v>
      </c>
      <c r="R144" s="34">
        <v>92.234916976802623</v>
      </c>
      <c r="S144" s="34">
        <v>103.03938592515171</v>
      </c>
      <c r="T144" s="34">
        <v>-10.804468948349051</v>
      </c>
      <c r="U144" s="34">
        <v>-0.1048576605085503</v>
      </c>
      <c r="V144" s="34">
        <v>-0.23960000000000001</v>
      </c>
      <c r="W144" s="34">
        <v>91.855460600520459</v>
      </c>
      <c r="X144" s="34">
        <v>-10.85402948029531</v>
      </c>
      <c r="AF144" s="34">
        <v>-0.55520000000000003</v>
      </c>
      <c r="AG144" s="34">
        <v>106.4982289697905</v>
      </c>
      <c r="AH144" s="34">
        <v>107.8710273823035</v>
      </c>
      <c r="AI144" s="34">
        <v>-1.372798412512992</v>
      </c>
      <c r="AJ144" s="34">
        <v>-1.272629403674525E-2</v>
      </c>
      <c r="AK144" s="34">
        <v>-0.77029999999999998</v>
      </c>
      <c r="AL144" s="34">
        <v>106.2678723392638</v>
      </c>
      <c r="AM144" s="34">
        <v>-1.486177597398775</v>
      </c>
    </row>
    <row r="145" spans="1:39" x14ac:dyDescent="0.25">
      <c r="A145" s="34" t="s">
        <v>393</v>
      </c>
      <c r="B145" s="34" t="s">
        <v>394</v>
      </c>
      <c r="C145" s="34">
        <v>1.5225</v>
      </c>
      <c r="D145" s="34">
        <v>116.503963400619</v>
      </c>
      <c r="E145" s="34">
        <v>116.503963400619</v>
      </c>
      <c r="F145" s="34">
        <v>59752.85</v>
      </c>
      <c r="G145" s="35">
        <v>-2.3605</v>
      </c>
      <c r="H145" s="34">
        <v>112.04795719623471</v>
      </c>
      <c r="I145" s="35">
        <v>-3.071022641499987</v>
      </c>
      <c r="Q145" s="34">
        <v>-1.8447407255625541</v>
      </c>
      <c r="R145" s="34">
        <v>90.533421900142727</v>
      </c>
      <c r="S145" s="34">
        <v>103.03938592515171</v>
      </c>
      <c r="T145" s="34">
        <v>-12.50596402500895</v>
      </c>
      <c r="U145" s="34">
        <v>-0.1213707157969026</v>
      </c>
      <c r="V145" s="34">
        <v>-2.0192999999999999</v>
      </c>
      <c r="W145" s="34">
        <v>90.372417298290046</v>
      </c>
      <c r="X145" s="34">
        <v>-12.293326976990119</v>
      </c>
      <c r="AF145" s="34">
        <v>-0.32219999999999999</v>
      </c>
      <c r="AG145" s="34">
        <v>106.15509167604981</v>
      </c>
      <c r="AH145" s="34">
        <v>107.8710273823035</v>
      </c>
      <c r="AI145" s="34">
        <v>-1.715935706253646</v>
      </c>
      <c r="AJ145" s="34">
        <v>-1.590728991735875E-2</v>
      </c>
      <c r="AK145" s="34">
        <v>-2.2492000000000001</v>
      </c>
      <c r="AL145" s="34">
        <v>104.10287080380191</v>
      </c>
      <c r="AM145" s="34">
        <v>-3.493205423127077</v>
      </c>
    </row>
    <row r="146" spans="1:39" x14ac:dyDescent="0.25">
      <c r="A146" s="34" t="s">
        <v>394</v>
      </c>
      <c r="B146" s="34" t="s">
        <v>395</v>
      </c>
      <c r="C146" s="34">
        <v>-0.44059999999999999</v>
      </c>
      <c r="D146" s="34">
        <v>115.99064693787589</v>
      </c>
      <c r="E146" s="34">
        <v>116.503963400619</v>
      </c>
      <c r="F146" s="34">
        <v>60712.4</v>
      </c>
      <c r="G146" s="35">
        <v>-0.73809999999999998</v>
      </c>
      <c r="H146" s="34">
        <v>115.64404764675901</v>
      </c>
      <c r="I146" s="35">
        <v>-0.73809999999999709</v>
      </c>
      <c r="Q146" s="34">
        <v>-0.20432513912421621</v>
      </c>
      <c r="R146" s="34">
        <v>90.348439359891344</v>
      </c>
      <c r="S146" s="34">
        <v>103.03938592515171</v>
      </c>
      <c r="T146" s="34">
        <v>-12.690946565260329</v>
      </c>
      <c r="U146" s="34">
        <v>-0.1231659763042367</v>
      </c>
      <c r="V146" s="34">
        <v>-0.38379999999999997</v>
      </c>
      <c r="W146" s="34">
        <v>90.185954626889981</v>
      </c>
      <c r="X146" s="34">
        <v>-12.4742894989674</v>
      </c>
      <c r="AF146" s="34">
        <v>-0.64490000000000003</v>
      </c>
      <c r="AG146" s="34">
        <v>105.470497489831</v>
      </c>
      <c r="AH146" s="34">
        <v>107.8710273823035</v>
      </c>
      <c r="AI146" s="34">
        <v>-2.4005298924724912</v>
      </c>
      <c r="AJ146" s="34">
        <v>-2.225370380468171E-2</v>
      </c>
      <c r="AK146" s="34">
        <v>-0.64490000000000003</v>
      </c>
      <c r="AL146" s="34">
        <v>105.470497489831</v>
      </c>
      <c r="AM146" s="34">
        <v>-2.2253703804681719</v>
      </c>
    </row>
    <row r="147" spans="1:39" x14ac:dyDescent="0.25">
      <c r="A147" s="34" t="s">
        <v>395</v>
      </c>
      <c r="B147" s="34" t="s">
        <v>396</v>
      </c>
      <c r="C147" s="34">
        <v>-0.2767</v>
      </c>
      <c r="D147" s="34">
        <v>115.6697008177988</v>
      </c>
      <c r="E147" s="34">
        <v>116.503963400619</v>
      </c>
      <c r="F147" s="34">
        <v>60465.15</v>
      </c>
      <c r="G147" s="35">
        <v>-1.1335</v>
      </c>
      <c r="H147" s="34">
        <v>114.67589295483501</v>
      </c>
      <c r="I147" s="35">
        <v>-1.569105799000003</v>
      </c>
      <c r="Q147" s="34">
        <v>0.66931624375340093</v>
      </c>
      <c r="R147" s="34">
        <v>90.953156140504774</v>
      </c>
      <c r="S147" s="34">
        <v>103.03938592515171</v>
      </c>
      <c r="T147" s="34">
        <v>-12.0862297846469</v>
      </c>
      <c r="U147" s="34">
        <v>-0.1172971837528846</v>
      </c>
      <c r="V147" s="34">
        <v>-1.0197000000000001</v>
      </c>
      <c r="W147" s="34">
        <v>89.427156323738529</v>
      </c>
      <c r="X147" s="34">
        <v>-13.21070528438625</v>
      </c>
      <c r="AF147" s="34">
        <v>0.3926</v>
      </c>
      <c r="AG147" s="34">
        <v>105.88457466297599</v>
      </c>
      <c r="AH147" s="34">
        <v>107.8710273823035</v>
      </c>
      <c r="AI147" s="34">
        <v>-1.9864527193274031</v>
      </c>
      <c r="AJ147" s="34">
        <v>-1.8415071845818781E-2</v>
      </c>
      <c r="AK147" s="34">
        <v>-0.67079999999999995</v>
      </c>
      <c r="AL147" s="34">
        <v>104.7630013926692</v>
      </c>
      <c r="AM147" s="34">
        <v>-2.8812425959560022</v>
      </c>
    </row>
    <row r="148" spans="1:39" x14ac:dyDescent="0.25">
      <c r="A148" s="34" t="s">
        <v>396</v>
      </c>
      <c r="B148" s="34" t="s">
        <v>397</v>
      </c>
      <c r="C148" s="34">
        <v>-2.2136999999999998</v>
      </c>
      <c r="D148" s="34">
        <v>113.10912065079521</v>
      </c>
      <c r="E148" s="34">
        <v>116.503963400619</v>
      </c>
      <c r="F148" s="34">
        <v>60358.3</v>
      </c>
      <c r="G148" s="35">
        <v>-5.9508999999999999</v>
      </c>
      <c r="H148" s="34">
        <v>108.7863125918324</v>
      </c>
      <c r="I148" s="35">
        <v>-6.6243676039141608</v>
      </c>
      <c r="Q148" s="34">
        <v>2.750330466063752</v>
      </c>
      <c r="R148" s="34">
        <v>93.454668503683607</v>
      </c>
      <c r="S148" s="34">
        <v>103.03938592515171</v>
      </c>
      <c r="T148" s="34">
        <v>-9.5847174214680706</v>
      </c>
      <c r="U148" s="34">
        <v>-9.3019939272837443E-2</v>
      </c>
      <c r="V148" s="34">
        <v>0.54210000000000003</v>
      </c>
      <c r="W148" s="34">
        <v>91.446213199942434</v>
      </c>
      <c r="X148" s="34">
        <v>-11.251205178600911</v>
      </c>
      <c r="AF148" s="34">
        <v>0.53659999999999997</v>
      </c>
      <c r="AG148" s="34">
        <v>106.4527512906176</v>
      </c>
      <c r="AH148" s="34">
        <v>107.8710273823035</v>
      </c>
      <c r="AI148" s="34">
        <v>-1.4182760916858681</v>
      </c>
      <c r="AJ148" s="34">
        <v>-1.3147887121343399E-2</v>
      </c>
      <c r="AK148" s="34">
        <v>-2.6368999999999998</v>
      </c>
      <c r="AL148" s="34">
        <v>103.092504313688</v>
      </c>
      <c r="AM148" s="34">
        <v>-4.4298484816316366</v>
      </c>
    </row>
    <row r="149" spans="1:39" x14ac:dyDescent="0.25">
      <c r="A149" s="34" t="s">
        <v>397</v>
      </c>
      <c r="B149" s="34" t="s">
        <v>398</v>
      </c>
      <c r="C149" s="34">
        <v>0.47420000000000001</v>
      </c>
      <c r="D149" s="34">
        <v>113.64548410092119</v>
      </c>
      <c r="E149" s="34">
        <v>116.503963400619</v>
      </c>
      <c r="F149" s="34">
        <v>59102.65</v>
      </c>
      <c r="G149" s="35">
        <v>-0.50090000000000001</v>
      </c>
      <c r="H149" s="34">
        <v>112.5425570654553</v>
      </c>
      <c r="I149" s="35">
        <v>-3.400233107556772</v>
      </c>
      <c r="Q149" s="34">
        <v>0.46873842914584318</v>
      </c>
      <c r="R149" s="34">
        <v>93.892726448791237</v>
      </c>
      <c r="S149" s="34">
        <v>103.03938592515171</v>
      </c>
      <c r="T149" s="34">
        <v>-9.1466594763604405</v>
      </c>
      <c r="U149" s="34">
        <v>-8.8768575183518855E-2</v>
      </c>
      <c r="V149" s="34">
        <v>-1.0984</v>
      </c>
      <c r="W149" s="34">
        <v>92.428162424839144</v>
      </c>
      <c r="X149" s="34">
        <v>-10.29822082598646</v>
      </c>
      <c r="AF149" s="34">
        <v>0.94289999999999996</v>
      </c>
      <c r="AG149" s="34">
        <v>107.4564942825368</v>
      </c>
      <c r="AH149" s="34">
        <v>107.8710273823035</v>
      </c>
      <c r="AI149" s="34">
        <v>-0.41453309976664338</v>
      </c>
      <c r="AJ149" s="34">
        <v>-3.8428585490106189E-3</v>
      </c>
      <c r="AK149" s="34">
        <v>-0.2049</v>
      </c>
      <c r="AL149" s="34">
        <v>106.2346296032231</v>
      </c>
      <c r="AM149" s="34">
        <v>-1.5169947100631691</v>
      </c>
    </row>
    <row r="150" spans="1:39" x14ac:dyDescent="0.25">
      <c r="A150" s="34" t="s">
        <v>398</v>
      </c>
      <c r="B150" s="34" t="s">
        <v>399</v>
      </c>
      <c r="C150" s="34">
        <v>-5.0252999999999997</v>
      </c>
      <c r="D150" s="34">
        <v>107.93445758839761</v>
      </c>
      <c r="E150" s="34">
        <v>116.503963400619</v>
      </c>
      <c r="F150" s="34">
        <v>59451.85</v>
      </c>
      <c r="G150" s="35">
        <v>-6.5136000000000003</v>
      </c>
      <c r="H150" s="34">
        <v>106.2430718485236</v>
      </c>
      <c r="I150" s="35">
        <v>-8.807332602764351</v>
      </c>
      <c r="Q150" s="34">
        <v>2.5427190414595962</v>
      </c>
      <c r="R150" s="34">
        <v>96.280154682750222</v>
      </c>
      <c r="S150" s="34">
        <v>103.03938592515171</v>
      </c>
      <c r="T150" s="34">
        <v>-6.7592312424014551</v>
      </c>
      <c r="U150" s="34">
        <v>-6.55985202329466E-2</v>
      </c>
      <c r="V150" s="34">
        <v>-0.12920000000000001</v>
      </c>
      <c r="W150" s="34">
        <v>93.771417046219398</v>
      </c>
      <c r="X150" s="34">
        <v>-8.9945886184381703</v>
      </c>
      <c r="AF150" s="34">
        <v>-2.4826000000000001</v>
      </c>
      <c r="AG150" s="34">
        <v>104.7887793554786</v>
      </c>
      <c r="AH150" s="34">
        <v>107.8710273823035</v>
      </c>
      <c r="AI150" s="34">
        <v>-3.0822480268249</v>
      </c>
      <c r="AJ150" s="34">
        <v>-2.8573455742672851E-2</v>
      </c>
      <c r="AK150" s="34">
        <v>-3.8576999999999999</v>
      </c>
      <c r="AL150" s="34">
        <v>103.3111451025994</v>
      </c>
      <c r="AM150" s="34">
        <v>-4.2271612594765422</v>
      </c>
    </row>
    <row r="151" spans="1:39" x14ac:dyDescent="0.25">
      <c r="A151" s="34" t="s">
        <v>399</v>
      </c>
      <c r="B151" s="34" t="s">
        <v>258</v>
      </c>
      <c r="C151" s="34">
        <v>-2.2543000000000002</v>
      </c>
      <c r="D151" s="34">
        <v>105.50129111098239</v>
      </c>
      <c r="E151" s="34">
        <v>116.503963400619</v>
      </c>
      <c r="F151" s="34">
        <v>56533.55</v>
      </c>
      <c r="G151" s="35">
        <v>-3.2031000000000001</v>
      </c>
      <c r="H151" s="34">
        <v>104.4772089773837</v>
      </c>
      <c r="I151" s="35">
        <v>-10.323043158522641</v>
      </c>
      <c r="Q151" s="34">
        <v>1.6995764359231449</v>
      </c>
      <c r="R151" s="34">
        <v>97.916509504208605</v>
      </c>
      <c r="S151" s="34">
        <v>103.03938592515171</v>
      </c>
      <c r="T151" s="34">
        <v>-5.1228764209430722</v>
      </c>
      <c r="U151" s="34">
        <v>-4.9717652865908533E-2</v>
      </c>
      <c r="V151" s="34">
        <v>-0.33289999999999997</v>
      </c>
      <c r="W151" s="34">
        <v>95.959638047811339</v>
      </c>
      <c r="X151" s="34">
        <v>-6.870914275909124</v>
      </c>
      <c r="AF151" s="34">
        <v>-0.55469999999999997</v>
      </c>
      <c r="AG151" s="34">
        <v>104.2075159963937</v>
      </c>
      <c r="AH151" s="34">
        <v>107.8710273823035</v>
      </c>
      <c r="AI151" s="34">
        <v>-3.6635113859097288</v>
      </c>
      <c r="AJ151" s="34">
        <v>-3.3961958783668152E-2</v>
      </c>
      <c r="AK151" s="34">
        <v>-0.85860000000000003</v>
      </c>
      <c r="AL151" s="34">
        <v>103.8890628959324</v>
      </c>
      <c r="AM151" s="34">
        <v>-3.6914124051666271</v>
      </c>
    </row>
    <row r="152" spans="1:39" x14ac:dyDescent="0.25">
      <c r="A152" s="34" t="s">
        <v>260</v>
      </c>
      <c r="B152" s="34" t="s">
        <v>400</v>
      </c>
      <c r="C152" s="34">
        <v>0.65390000000000004</v>
      </c>
      <c r="D152" s="34">
        <v>100.65389999999999</v>
      </c>
      <c r="E152" s="34">
        <v>100.65389999999999</v>
      </c>
      <c r="F152" s="34">
        <v>51672.25</v>
      </c>
      <c r="G152" s="35">
        <v>-1.5891999999999999</v>
      </c>
      <c r="H152" s="34">
        <v>98.410799999999995</v>
      </c>
      <c r="I152" s="35">
        <v>-1.5892000000000019</v>
      </c>
      <c r="Q152" s="34">
        <v>1.18285581871948</v>
      </c>
      <c r="R152" s="34">
        <v>101.1828558187195</v>
      </c>
      <c r="S152" s="34">
        <v>101.1828558187195</v>
      </c>
      <c r="T152" s="34"/>
      <c r="U152" s="34">
        <v>0</v>
      </c>
      <c r="V152" s="34">
        <v>-0.1192</v>
      </c>
      <c r="W152" s="34">
        <v>99.880800000000008</v>
      </c>
      <c r="X152" s="34">
        <v>-0.1191999999999971</v>
      </c>
      <c r="AF152" s="34">
        <v>1.8368</v>
      </c>
      <c r="AG152" s="34">
        <v>101.8368</v>
      </c>
      <c r="AH152" s="34">
        <v>101.8368</v>
      </c>
      <c r="AI152" s="34"/>
      <c r="AJ152" s="34">
        <v>0</v>
      </c>
      <c r="AK152" s="34">
        <v>3.4099999999999998E-2</v>
      </c>
      <c r="AL152" s="34">
        <v>100.0341</v>
      </c>
      <c r="AM152" s="34">
        <v>3.409999999999247E-2</v>
      </c>
    </row>
    <row r="153" spans="1:39" x14ac:dyDescent="0.25">
      <c r="A153" s="34" t="s">
        <v>400</v>
      </c>
      <c r="B153" s="34" t="s">
        <v>401</v>
      </c>
      <c r="C153" s="34">
        <v>-4.3555999999999999</v>
      </c>
      <c r="D153" s="34">
        <v>96.269818731599997</v>
      </c>
      <c r="E153" s="34">
        <v>100.65389999999999</v>
      </c>
      <c r="F153" s="34">
        <v>52053.2</v>
      </c>
      <c r="G153" s="35">
        <v>-9.8469999999999995</v>
      </c>
      <c r="H153" s="34">
        <v>90.742510467000002</v>
      </c>
      <c r="I153" s="35">
        <v>-9.8470000000000049</v>
      </c>
      <c r="Q153" s="34">
        <v>2.9874830439282798</v>
      </c>
      <c r="R153" s="34">
        <v>104.2056764796661</v>
      </c>
      <c r="S153" s="34">
        <v>104.2056764796661</v>
      </c>
      <c r="T153" s="34"/>
      <c r="U153" s="34">
        <v>0</v>
      </c>
      <c r="V153" s="34">
        <v>0.1331</v>
      </c>
      <c r="W153" s="34">
        <v>101.3175301998142</v>
      </c>
      <c r="X153" s="34">
        <v>0.13309999999999711</v>
      </c>
      <c r="AF153" s="34">
        <v>-1.3681000000000001</v>
      </c>
      <c r="AG153" s="34">
        <v>100.4435707392</v>
      </c>
      <c r="AH153" s="34">
        <v>101.8368</v>
      </c>
      <c r="AI153" s="34">
        <v>-1.393229260800013</v>
      </c>
      <c r="AJ153" s="34">
        <v>-1.368100000000012E-2</v>
      </c>
      <c r="AK153" s="34">
        <v>-4.6576000000000004</v>
      </c>
      <c r="AL153" s="34">
        <v>97.093649203200002</v>
      </c>
      <c r="AM153" s="34">
        <v>-4.6575999999999951</v>
      </c>
    </row>
    <row r="154" spans="1:39" x14ac:dyDescent="0.25">
      <c r="A154" s="34" t="s">
        <v>401</v>
      </c>
      <c r="B154" s="34" t="s">
        <v>402</v>
      </c>
      <c r="C154" s="34">
        <v>4.1700999999999997</v>
      </c>
      <c r="D154" s="34">
        <v>100.28436644252641</v>
      </c>
      <c r="E154" s="34">
        <v>100.65389999999999</v>
      </c>
      <c r="F154" s="34">
        <v>49838</v>
      </c>
      <c r="G154" s="35">
        <v>-1.8869</v>
      </c>
      <c r="H154" s="34">
        <v>94.45330352195343</v>
      </c>
      <c r="I154" s="35">
        <v>-6.160314183600013</v>
      </c>
      <c r="Q154" s="34">
        <v>-3.7309442510488839</v>
      </c>
      <c r="R154" s="34">
        <v>100.3178207837814</v>
      </c>
      <c r="S154" s="34">
        <v>104.2056764796661</v>
      </c>
      <c r="T154" s="34">
        <v>-3.8878556958847099</v>
      </c>
      <c r="U154" s="34">
        <v>-3.7309442510488913E-2</v>
      </c>
      <c r="V154" s="34">
        <v>-4.0165000000000006</v>
      </c>
      <c r="W154" s="34">
        <v>100.0202554838604</v>
      </c>
      <c r="X154" s="34">
        <v>-4.01649999999999</v>
      </c>
      <c r="AF154" s="34">
        <v>0.43919999999999998</v>
      </c>
      <c r="AG154" s="34">
        <v>100.8847189018865</v>
      </c>
      <c r="AH154" s="34">
        <v>101.8368</v>
      </c>
      <c r="AI154" s="34">
        <v>-0.95208109811345309</v>
      </c>
      <c r="AJ154" s="34">
        <v>-9.3490869520001917E-3</v>
      </c>
      <c r="AK154" s="34">
        <v>-0.39079999999999998</v>
      </c>
      <c r="AL154" s="34">
        <v>100.0510372647512</v>
      </c>
      <c r="AM154" s="34">
        <v>-1.75355346520002</v>
      </c>
    </row>
    <row r="155" spans="1:39" x14ac:dyDescent="0.25">
      <c r="A155" s="34" t="s">
        <v>402</v>
      </c>
      <c r="B155" s="34" t="s">
        <v>403</v>
      </c>
      <c r="C155" s="34">
        <v>0.69730000000000003</v>
      </c>
      <c r="D155" s="34">
        <v>100.9836493297302</v>
      </c>
      <c r="E155" s="34">
        <v>100.9836493297302</v>
      </c>
      <c r="F155" s="34">
        <v>51974.45</v>
      </c>
      <c r="G155" s="35">
        <v>-7.0099999999999996E-2</v>
      </c>
      <c r="H155" s="34">
        <v>100.2140671016502</v>
      </c>
      <c r="I155" s="35">
        <v>-0.43697551545420771</v>
      </c>
      <c r="Q155" s="34">
        <v>-0.37271926459209848</v>
      </c>
      <c r="R155" s="34">
        <v>99.9439169399013</v>
      </c>
      <c r="S155" s="34">
        <v>104.2056764796661</v>
      </c>
      <c r="T155" s="34">
        <v>-4.2617595397648387</v>
      </c>
      <c r="U155" s="34">
        <v>-4.0897575676661378E-2</v>
      </c>
      <c r="V155" s="34">
        <v>-0.52539999999999998</v>
      </c>
      <c r="W155" s="34">
        <v>99.790750953383437</v>
      </c>
      <c r="X155" s="34">
        <v>-4.2367418699538861</v>
      </c>
      <c r="AF155" s="34">
        <v>0.3246</v>
      </c>
      <c r="AG155" s="34">
        <v>101.2121906994421</v>
      </c>
      <c r="AH155" s="34">
        <v>101.8368</v>
      </c>
      <c r="AI155" s="34">
        <v>-0.62460930055792119</v>
      </c>
      <c r="AJ155" s="34">
        <v>-6.1334340882463036E-3</v>
      </c>
      <c r="AK155" s="34">
        <v>0.22220000000000001</v>
      </c>
      <c r="AL155" s="34">
        <v>101.1088847472865</v>
      </c>
      <c r="AM155" s="34">
        <v>-0.71478606232076025</v>
      </c>
    </row>
    <row r="156" spans="1:39" x14ac:dyDescent="0.25">
      <c r="A156" s="34" t="s">
        <v>403</v>
      </c>
      <c r="B156" s="34" t="s">
        <v>404</v>
      </c>
      <c r="C156" s="34">
        <v>3.0285000000000002</v>
      </c>
      <c r="D156" s="34">
        <v>104.041939149681</v>
      </c>
      <c r="E156" s="34">
        <v>104.041939149681</v>
      </c>
      <c r="F156" s="34">
        <v>52345.55</v>
      </c>
      <c r="G156" s="35">
        <v>-0.55859999999999999</v>
      </c>
      <c r="H156" s="34">
        <v>100.41955466457431</v>
      </c>
      <c r="I156" s="35">
        <v>-0.55859999999998688</v>
      </c>
      <c r="Q156" s="34">
        <v>-3.1635604935743169</v>
      </c>
      <c r="R156" s="34">
        <v>96.78213066785986</v>
      </c>
      <c r="S156" s="34">
        <v>104.2056764796661</v>
      </c>
      <c r="T156" s="34">
        <v>-7.423545811806278</v>
      </c>
      <c r="U156" s="34">
        <v>-7.1239361065467952E-2</v>
      </c>
      <c r="V156" s="34">
        <v>-3.4163000000000001</v>
      </c>
      <c r="W156" s="34">
        <v>96.529532905483464</v>
      </c>
      <c r="X156" s="34">
        <v>-7.3663391798819529</v>
      </c>
      <c r="AF156" s="34">
        <v>-0.1351</v>
      </c>
      <c r="AG156" s="34">
        <v>101.07545302980709</v>
      </c>
      <c r="AH156" s="34">
        <v>101.8368</v>
      </c>
      <c r="AI156" s="34">
        <v>-0.76134697019286079</v>
      </c>
      <c r="AJ156" s="34">
        <v>-7.4761478187930176E-3</v>
      </c>
      <c r="AK156" s="34">
        <v>-0.29380000000000001</v>
      </c>
      <c r="AL156" s="34">
        <v>100.91482928316709</v>
      </c>
      <c r="AM156" s="34">
        <v>-0.90534140588951484</v>
      </c>
    </row>
    <row r="157" spans="1:39" x14ac:dyDescent="0.25">
      <c r="A157" s="34" t="s">
        <v>404</v>
      </c>
      <c r="B157" s="34" t="s">
        <v>405</v>
      </c>
      <c r="C157" s="34">
        <v>1.9429000000000001</v>
      </c>
      <c r="D157" s="34">
        <v>106.0633699854202</v>
      </c>
      <c r="E157" s="34">
        <v>106.0633699854202</v>
      </c>
      <c r="F157" s="34">
        <v>53974.45</v>
      </c>
      <c r="G157" s="35">
        <v>-0.2586</v>
      </c>
      <c r="H157" s="34">
        <v>103.77288669504</v>
      </c>
      <c r="I157" s="35">
        <v>-0.25859999999999772</v>
      </c>
      <c r="Q157" s="34">
        <v>-0.53221584585636394</v>
      </c>
      <c r="R157" s="34">
        <v>96.267040832488092</v>
      </c>
      <c r="S157" s="34">
        <v>104.2056764796661</v>
      </c>
      <c r="T157" s="34">
        <v>-7.9386356471780459</v>
      </c>
      <c r="U157" s="34">
        <v>-7.6182372355954403E-2</v>
      </c>
      <c r="V157" s="34">
        <v>-0.80430000000000001</v>
      </c>
      <c r="W157" s="34">
        <v>96.003711990898267</v>
      </c>
      <c r="X157" s="34">
        <v>-7.8709382884418311</v>
      </c>
      <c r="AF157" s="34">
        <v>1.4107000000000001</v>
      </c>
      <c r="AG157" s="34">
        <v>102.5013244456986</v>
      </c>
      <c r="AH157" s="34">
        <v>102.5013244456986</v>
      </c>
      <c r="AI157" s="34"/>
      <c r="AJ157" s="34">
        <v>0</v>
      </c>
      <c r="AK157" s="34">
        <v>1.44E-2</v>
      </c>
      <c r="AL157" s="34">
        <v>101.0900078950434</v>
      </c>
      <c r="AM157" s="34">
        <v>-0.73332243840790179</v>
      </c>
    </row>
    <row r="158" spans="1:39" x14ac:dyDescent="0.25">
      <c r="A158" s="34" t="s">
        <v>405</v>
      </c>
      <c r="B158" s="34" t="s">
        <v>406</v>
      </c>
      <c r="C158" s="34">
        <v>-0.92330000000000001</v>
      </c>
      <c r="D158" s="34">
        <v>105.08408689034481</v>
      </c>
      <c r="E158" s="34">
        <v>106.0633699854202</v>
      </c>
      <c r="F158" s="34">
        <v>55041.1</v>
      </c>
      <c r="G158" s="35">
        <v>-3.5293999999999999</v>
      </c>
      <c r="H158" s="34">
        <v>102.31996940515479</v>
      </c>
      <c r="I158" s="35">
        <v>-3.5294000000000052</v>
      </c>
      <c r="Q158" s="34">
        <v>0.63257970442620826</v>
      </c>
      <c r="R158" s="34">
        <v>96.876006594846103</v>
      </c>
      <c r="S158" s="34">
        <v>104.2056764796661</v>
      </c>
      <c r="T158" s="34">
        <v>-7.329669884820035</v>
      </c>
      <c r="U158" s="34">
        <v>-7.0338489537566495E-2</v>
      </c>
      <c r="V158" s="34">
        <v>-0.186</v>
      </c>
      <c r="W158" s="34">
        <v>96.08798413653966</v>
      </c>
      <c r="X158" s="34">
        <v>-7.7900673143372341</v>
      </c>
      <c r="AF158" s="34">
        <v>-0.29070000000000001</v>
      </c>
      <c r="AG158" s="34">
        <v>102.20335309553499</v>
      </c>
      <c r="AH158" s="34">
        <v>102.5013244456986</v>
      </c>
      <c r="AI158" s="34">
        <v>-0.29797135016364962</v>
      </c>
      <c r="AJ158" s="34">
        <v>-2.9070000000000359E-3</v>
      </c>
      <c r="AK158" s="34">
        <v>-2.1972999999999998</v>
      </c>
      <c r="AL158" s="34">
        <v>100.24906284365331</v>
      </c>
      <c r="AM158" s="34">
        <v>-2.197300000000002</v>
      </c>
    </row>
    <row r="159" spans="1:39" x14ac:dyDescent="0.25">
      <c r="A159" s="34" t="s">
        <v>406</v>
      </c>
      <c r="B159" s="34" t="s">
        <v>407</v>
      </c>
      <c r="C159" s="34">
        <v>-0.68330000000000002</v>
      </c>
      <c r="D159" s="34">
        <v>104.3660473246231</v>
      </c>
      <c r="E159" s="34">
        <v>106.0633699854202</v>
      </c>
      <c r="F159" s="34">
        <v>54587.95</v>
      </c>
      <c r="G159" s="35">
        <v>-3.5007000000000001</v>
      </c>
      <c r="H159" s="34">
        <v>101.4054082605745</v>
      </c>
      <c r="I159" s="35">
        <v>-4.3916780369000037</v>
      </c>
      <c r="Q159" s="34">
        <v>0.4750174125111204</v>
      </c>
      <c r="R159" s="34">
        <v>97.336184494717045</v>
      </c>
      <c r="S159" s="34">
        <v>104.2056764796661</v>
      </c>
      <c r="T159" s="34">
        <v>-6.869491984949093</v>
      </c>
      <c r="U159" s="34">
        <v>-6.5922435485456024E-2</v>
      </c>
      <c r="V159" s="34">
        <v>-0.95520000000000005</v>
      </c>
      <c r="W159" s="34">
        <v>95.950646979852138</v>
      </c>
      <c r="X159" s="34">
        <v>-7.9218616285503636</v>
      </c>
      <c r="AF159" s="34">
        <v>-0.20830000000000001</v>
      </c>
      <c r="AG159" s="34">
        <v>101.99046351103701</v>
      </c>
      <c r="AH159" s="34">
        <v>102.5013244456986</v>
      </c>
      <c r="AI159" s="34">
        <v>-0.51086093466165039</v>
      </c>
      <c r="AJ159" s="34">
        <v>-4.9839447190000502E-3</v>
      </c>
      <c r="AK159" s="34">
        <v>-2.4733999999999998</v>
      </c>
      <c r="AL159" s="34">
        <v>99.675455360070018</v>
      </c>
      <c r="AM159" s="34">
        <v>-2.7569098262000051</v>
      </c>
    </row>
    <row r="160" spans="1:39" x14ac:dyDescent="0.25">
      <c r="A160" s="34" t="s">
        <v>407</v>
      </c>
      <c r="B160" s="34" t="s">
        <v>408</v>
      </c>
      <c r="C160" s="34">
        <v>1.9950000000000001</v>
      </c>
      <c r="D160" s="34">
        <v>106.44814996874931</v>
      </c>
      <c r="E160" s="34">
        <v>106.44814996874931</v>
      </c>
      <c r="F160" s="34">
        <v>54287.75</v>
      </c>
      <c r="G160" s="35">
        <v>-4.0731000000000002</v>
      </c>
      <c r="H160" s="34">
        <v>100.1151138510438</v>
      </c>
      <c r="I160" s="35">
        <v>-5.6082096346684036</v>
      </c>
      <c r="Q160" s="34">
        <v>-2.3568058195163508</v>
      </c>
      <c r="R160" s="34">
        <v>95.042159634050378</v>
      </c>
      <c r="S160" s="34">
        <v>104.2056764796661</v>
      </c>
      <c r="T160" s="34">
        <v>-9.1635168456157601</v>
      </c>
      <c r="U160" s="34">
        <v>-8.7936829884731421E-2</v>
      </c>
      <c r="V160" s="34">
        <v>-2.5122</v>
      </c>
      <c r="W160" s="34">
        <v>94.89090486784076</v>
      </c>
      <c r="X160" s="34">
        <v>-8.9388332061190461</v>
      </c>
      <c r="AF160" s="34">
        <v>-0.36180000000000001</v>
      </c>
      <c r="AG160" s="34">
        <v>101.621462014054</v>
      </c>
      <c r="AH160" s="34">
        <v>102.5013244456986</v>
      </c>
      <c r="AI160" s="34">
        <v>-0.87986243164458244</v>
      </c>
      <c r="AJ160" s="34">
        <v>-8.5839128070067106E-3</v>
      </c>
      <c r="AK160" s="34">
        <v>-2.3458000000000001</v>
      </c>
      <c r="AL160" s="34">
        <v>99.597971217995081</v>
      </c>
      <c r="AM160" s="34">
        <v>-2.832503134378161</v>
      </c>
    </row>
    <row r="161" spans="1:39" x14ac:dyDescent="0.25">
      <c r="A161" s="34" t="s">
        <v>408</v>
      </c>
      <c r="B161" s="34" t="s">
        <v>409</v>
      </c>
      <c r="C161" s="34">
        <v>1.2665999999999999</v>
      </c>
      <c r="D161" s="34">
        <v>107.79642223625351</v>
      </c>
      <c r="E161" s="34">
        <v>107.79642223625351</v>
      </c>
      <c r="F161" s="34">
        <v>55416.05</v>
      </c>
      <c r="G161" s="35">
        <v>-0.2888</v>
      </c>
      <c r="H161" s="34">
        <v>106.1407277116395</v>
      </c>
      <c r="I161" s="35">
        <v>-0.28880000000000022</v>
      </c>
      <c r="Q161" s="34">
        <v>1.126192090576817</v>
      </c>
      <c r="R161" s="34">
        <v>96.112516918562463</v>
      </c>
      <c r="S161" s="34">
        <v>104.2056764796661</v>
      </c>
      <c r="T161" s="34">
        <v>-8.0931595611036755</v>
      </c>
      <c r="U161" s="34">
        <v>-7.7665246601828927E-2</v>
      </c>
      <c r="V161" s="34">
        <v>-1.0999999999999999E-2</v>
      </c>
      <c r="W161" s="34">
        <v>95.031704996490632</v>
      </c>
      <c r="X161" s="34">
        <v>-8.8037156833444143</v>
      </c>
      <c r="AF161" s="34">
        <v>2.3927999999999998</v>
      </c>
      <c r="AG161" s="34">
        <v>104.0530603571263</v>
      </c>
      <c r="AH161" s="34">
        <v>104.0530603571263</v>
      </c>
      <c r="AI161" s="34"/>
      <c r="AJ161" s="34">
        <v>0</v>
      </c>
      <c r="AK161" s="34">
        <v>1.0824</v>
      </c>
      <c r="AL161" s="34">
        <v>102.7214127188942</v>
      </c>
      <c r="AM161" s="34">
        <v>0.2147174920770212</v>
      </c>
    </row>
    <row r="162" spans="1:39" x14ac:dyDescent="0.25">
      <c r="A162" s="34" t="s">
        <v>409</v>
      </c>
      <c r="B162" s="34" t="s">
        <v>410</v>
      </c>
      <c r="C162" s="34">
        <v>0.74409999999999998</v>
      </c>
      <c r="D162" s="34">
        <v>108.5985354141134</v>
      </c>
      <c r="E162" s="34">
        <v>108.5985354141134</v>
      </c>
      <c r="F162" s="34">
        <v>56136.4</v>
      </c>
      <c r="G162" s="35">
        <v>-0.35589999999999999</v>
      </c>
      <c r="H162" s="34">
        <v>107.4127747695147</v>
      </c>
      <c r="I162" s="35">
        <v>-0.35589999999999788</v>
      </c>
      <c r="Q162" s="34">
        <v>-8.6350534521970723E-2</v>
      </c>
      <c r="R162" s="34">
        <v>96.029523246460769</v>
      </c>
      <c r="S162" s="34">
        <v>104.2056764796661</v>
      </c>
      <c r="T162" s="34">
        <v>-8.176153233205369</v>
      </c>
      <c r="U162" s="34">
        <v>-7.8461687591470111E-2</v>
      </c>
      <c r="V162" s="34">
        <v>-1.7096</v>
      </c>
      <c r="W162" s="34">
        <v>94.469377329322725</v>
      </c>
      <c r="X162" s="34">
        <v>-9.3433481545924018</v>
      </c>
      <c r="AF162" s="34">
        <v>0.65769999999999995</v>
      </c>
      <c r="AG162" s="34">
        <v>104.7374173350952</v>
      </c>
      <c r="AH162" s="34">
        <v>104.7374173350952</v>
      </c>
      <c r="AI162" s="34"/>
      <c r="AJ162" s="34">
        <v>0</v>
      </c>
      <c r="AK162" s="34">
        <v>0.1047</v>
      </c>
      <c r="AL162" s="34">
        <v>104.1620039113202</v>
      </c>
      <c r="AM162" s="34">
        <v>0.104700000000002</v>
      </c>
    </row>
    <row r="163" spans="1:39" x14ac:dyDescent="0.25">
      <c r="A163" s="34" t="s">
        <v>410</v>
      </c>
      <c r="B163" s="34" t="s">
        <v>411</v>
      </c>
      <c r="C163" s="34">
        <v>0.80489999999999995</v>
      </c>
      <c r="D163" s="34">
        <v>109.47264502566161</v>
      </c>
      <c r="E163" s="34">
        <v>109.47264502566161</v>
      </c>
      <c r="F163" s="34">
        <v>56619.6</v>
      </c>
      <c r="G163" s="35">
        <v>-1.159</v>
      </c>
      <c r="H163" s="34">
        <v>107.33987838866391</v>
      </c>
      <c r="I163" s="35">
        <v>-1.15900000000001</v>
      </c>
      <c r="Q163" s="34">
        <v>0.56541915775516904</v>
      </c>
      <c r="R163" s="34">
        <v>96.572492567997202</v>
      </c>
      <c r="S163" s="34">
        <v>104.2056764796661</v>
      </c>
      <c r="T163" s="34">
        <v>-7.6331839116689366</v>
      </c>
      <c r="U163" s="34">
        <v>-7.3251133427058704E-2</v>
      </c>
      <c r="V163" s="34">
        <v>-0.998</v>
      </c>
      <c r="W163" s="34">
        <v>95.071148604461087</v>
      </c>
      <c r="X163" s="34">
        <v>-8.7658639949307222</v>
      </c>
      <c r="AF163" s="34">
        <v>1.3703000000000001</v>
      </c>
      <c r="AG163" s="34">
        <v>106.172634164838</v>
      </c>
      <c r="AH163" s="34">
        <v>106.172634164838</v>
      </c>
      <c r="AI163" s="34"/>
      <c r="AJ163" s="34">
        <v>0</v>
      </c>
      <c r="AK163" s="34">
        <v>-0.2165</v>
      </c>
      <c r="AL163" s="34">
        <v>104.5106608265647</v>
      </c>
      <c r="AM163" s="34">
        <v>-0.21650000000000841</v>
      </c>
    </row>
    <row r="164" spans="1:39" x14ac:dyDescent="0.25">
      <c r="A164" s="34" t="s">
        <v>411</v>
      </c>
      <c r="B164" s="34" t="s">
        <v>412</v>
      </c>
      <c r="C164" s="34">
        <v>1.2541</v>
      </c>
      <c r="D164" s="34">
        <v>110.84554146692849</v>
      </c>
      <c r="E164" s="34">
        <v>110.84554146692849</v>
      </c>
      <c r="F164" s="34">
        <v>57141.4</v>
      </c>
      <c r="G164" s="35">
        <v>-0.14510000000000001</v>
      </c>
      <c r="H164" s="34">
        <v>109.31380021772939</v>
      </c>
      <c r="I164" s="35">
        <v>-0.14509999999998691</v>
      </c>
      <c r="Q164" s="34">
        <v>1.1509971740171181</v>
      </c>
      <c r="R164" s="34">
        <v>97.68403922833275</v>
      </c>
      <c r="S164" s="34">
        <v>104.2056764796661</v>
      </c>
      <c r="T164" s="34">
        <v>-6.521637251333388</v>
      </c>
      <c r="U164" s="34">
        <v>-6.2584280162568381E-2</v>
      </c>
      <c r="V164" s="34">
        <v>-0.46079999999999999</v>
      </c>
      <c r="W164" s="34">
        <v>96.127486522243871</v>
      </c>
      <c r="X164" s="34">
        <v>-7.7521592204226826</v>
      </c>
      <c r="AF164" s="34">
        <v>2.4051</v>
      </c>
      <c r="AG164" s="34">
        <v>108.7261921891365</v>
      </c>
      <c r="AH164" s="34">
        <v>108.7261921891365</v>
      </c>
      <c r="AI164" s="34"/>
      <c r="AJ164" s="34">
        <v>0</v>
      </c>
      <c r="AK164" s="34">
        <v>0.98760000000000003</v>
      </c>
      <c r="AL164" s="34">
        <v>107.22119509984989</v>
      </c>
      <c r="AM164" s="34">
        <v>0.98759999999999959</v>
      </c>
    </row>
    <row r="165" spans="1:39" x14ac:dyDescent="0.25">
      <c r="A165" s="34" t="s">
        <v>412</v>
      </c>
      <c r="B165" s="34" t="s">
        <v>413</v>
      </c>
      <c r="C165" s="34">
        <v>2.4098999999999999</v>
      </c>
      <c r="D165" s="34">
        <v>113.51680817074001</v>
      </c>
      <c r="E165" s="34">
        <v>113.51680817074001</v>
      </c>
      <c r="F165" s="34">
        <v>57924.65</v>
      </c>
      <c r="G165" s="35">
        <v>0.1384</v>
      </c>
      <c r="H165" s="34">
        <v>110.9989516963187</v>
      </c>
      <c r="I165" s="35">
        <v>0.13840000000000521</v>
      </c>
      <c r="Q165" s="34">
        <v>-2.0700481718263859</v>
      </c>
      <c r="R165" s="34">
        <v>95.661932560120476</v>
      </c>
      <c r="S165" s="34">
        <v>104.2056764796661</v>
      </c>
      <c r="T165" s="34">
        <v>-8.5437439195456619</v>
      </c>
      <c r="U165" s="34">
        <v>-8.1989237133476306E-2</v>
      </c>
      <c r="V165" s="34">
        <v>-2.5526</v>
      </c>
      <c r="W165" s="34">
        <v>95.190556442990328</v>
      </c>
      <c r="X165" s="34">
        <v>-8.6512753827138624</v>
      </c>
      <c r="AF165" s="34">
        <v>0.33989999999999998</v>
      </c>
      <c r="AG165" s="34">
        <v>109.09575251638741</v>
      </c>
      <c r="AH165" s="34">
        <v>109.09575251638741</v>
      </c>
      <c r="AI165" s="34"/>
      <c r="AJ165" s="34">
        <v>0</v>
      </c>
      <c r="AK165" s="34">
        <v>0.21049999999999999</v>
      </c>
      <c r="AL165" s="34">
        <v>108.95506082369459</v>
      </c>
      <c r="AM165" s="34">
        <v>0.21050000000000241</v>
      </c>
    </row>
    <row r="166" spans="1:39" x14ac:dyDescent="0.25">
      <c r="A166" s="34" t="s">
        <v>413</v>
      </c>
      <c r="B166" s="34" t="s">
        <v>414</v>
      </c>
      <c r="C166" s="34">
        <v>-2.2702</v>
      </c>
      <c r="D166" s="34">
        <v>110.9397495916478</v>
      </c>
      <c r="E166" s="34">
        <v>113.51680817074001</v>
      </c>
      <c r="F166" s="34">
        <v>59388.15</v>
      </c>
      <c r="G166" s="35">
        <v>-3.6387</v>
      </c>
      <c r="H166" s="34">
        <v>109.3862720718313</v>
      </c>
      <c r="I166" s="35">
        <v>-3.6386999999999952</v>
      </c>
      <c r="Q166" s="34">
        <v>1.520002863802334</v>
      </c>
      <c r="R166" s="34">
        <v>97.115996674602968</v>
      </c>
      <c r="S166" s="34">
        <v>104.2056764796661</v>
      </c>
      <c r="T166" s="34">
        <v>-7.0896798050631702</v>
      </c>
      <c r="U166" s="34">
        <v>-6.803544724789147E-2</v>
      </c>
      <c r="V166" s="34">
        <v>-0.15890000000000001</v>
      </c>
      <c r="W166" s="34">
        <v>95.509925749282445</v>
      </c>
      <c r="X166" s="34">
        <v>-8.3447956235671246</v>
      </c>
      <c r="AF166" s="34">
        <v>-0.75019999999999998</v>
      </c>
      <c r="AG166" s="34">
        <v>108.2773161810094</v>
      </c>
      <c r="AH166" s="34">
        <v>109.09575251638741</v>
      </c>
      <c r="AI166" s="34">
        <v>-0.81843633537793892</v>
      </c>
      <c r="AJ166" s="34">
        <v>-7.5020000000000087E-3</v>
      </c>
      <c r="AK166" s="34">
        <v>-1.6144000000000001</v>
      </c>
      <c r="AL166" s="34">
        <v>107.3345106877628</v>
      </c>
      <c r="AM166" s="34">
        <v>-1.6144000000000049</v>
      </c>
    </row>
    <row r="167" spans="1:39" x14ac:dyDescent="0.25">
      <c r="A167" s="34" t="s">
        <v>414</v>
      </c>
      <c r="B167" s="34" t="s">
        <v>415</v>
      </c>
      <c r="C167" s="34">
        <v>1.2126999999999999</v>
      </c>
      <c r="D167" s="34">
        <v>112.28511593494579</v>
      </c>
      <c r="E167" s="34">
        <v>113.51680817074001</v>
      </c>
      <c r="F167" s="34">
        <v>58109.2</v>
      </c>
      <c r="G167" s="35">
        <v>-1.8434999999999999</v>
      </c>
      <c r="H167" s="34">
        <v>108.89457530792581</v>
      </c>
      <c r="I167" s="35">
        <v>-4.0718488629999943</v>
      </c>
      <c r="Q167" s="34">
        <v>-1.7880425035416261</v>
      </c>
      <c r="R167" s="34">
        <v>95.379521376322984</v>
      </c>
      <c r="S167" s="34">
        <v>104.2056764796661</v>
      </c>
      <c r="T167" s="34">
        <v>-8.8261551033431545</v>
      </c>
      <c r="U167" s="34">
        <v>-8.4699369569040894E-2</v>
      </c>
      <c r="V167" s="34">
        <v>-2.2383000000000002</v>
      </c>
      <c r="W167" s="34">
        <v>94.94224932103532</v>
      </c>
      <c r="X167" s="34">
        <v>-8.8895609832142064</v>
      </c>
      <c r="AF167" s="34">
        <v>-0.57530000000000003</v>
      </c>
      <c r="AG167" s="34">
        <v>107.6543967810201</v>
      </c>
      <c r="AH167" s="34">
        <v>109.09575251638741</v>
      </c>
      <c r="AI167" s="34">
        <v>-1.441355735367281</v>
      </c>
      <c r="AJ167" s="34">
        <v>-1.3211840993999959E-2</v>
      </c>
      <c r="AK167" s="34">
        <v>-1.5581</v>
      </c>
      <c r="AL167" s="34">
        <v>106.5902473175931</v>
      </c>
      <c r="AM167" s="34">
        <v>-2.2966111337999968</v>
      </c>
    </row>
    <row r="168" spans="1:39" x14ac:dyDescent="0.25">
      <c r="A168" s="34" t="s">
        <v>415</v>
      </c>
      <c r="B168" s="34" t="s">
        <v>416</v>
      </c>
      <c r="C168" s="34">
        <v>0.82169999999999999</v>
      </c>
      <c r="D168" s="34">
        <v>113.20776273258321</v>
      </c>
      <c r="E168" s="34">
        <v>113.51680817074001</v>
      </c>
      <c r="F168" s="34">
        <v>58881.7</v>
      </c>
      <c r="G168" s="35">
        <v>-0.26529999999999998</v>
      </c>
      <c r="H168" s="34">
        <v>111.9872235223703</v>
      </c>
      <c r="I168" s="35">
        <v>-1.3474521289120409</v>
      </c>
      <c r="Q168" s="34">
        <v>-1.7235266738628821</v>
      </c>
      <c r="R168" s="34">
        <v>93.735629883999309</v>
      </c>
      <c r="S168" s="34">
        <v>104.2056764796661</v>
      </c>
      <c r="T168" s="34">
        <v>-10.47004659566683</v>
      </c>
      <c r="U168" s="34">
        <v>-0.1004748200805536</v>
      </c>
      <c r="V168" s="34">
        <v>-1.8532999999999999</v>
      </c>
      <c r="W168" s="34">
        <v>93.611852706655583</v>
      </c>
      <c r="X168" s="34">
        <v>-10.166263615281791</v>
      </c>
      <c r="AF168" s="34">
        <v>-0.90180000000000005</v>
      </c>
      <c r="AG168" s="34">
        <v>106.68356943084881</v>
      </c>
      <c r="AH168" s="34">
        <v>109.09575251638741</v>
      </c>
      <c r="AI168" s="34">
        <v>-2.412183085538516</v>
      </c>
      <c r="AJ168" s="34">
        <v>-2.2110696611916031E-2</v>
      </c>
      <c r="AK168" s="34">
        <v>-0.90180000000000005</v>
      </c>
      <c r="AL168" s="34">
        <v>106.68356943084881</v>
      </c>
      <c r="AM168" s="34">
        <v>-2.2110696611915999</v>
      </c>
    </row>
    <row r="169" spans="1:39" x14ac:dyDescent="0.25">
      <c r="A169" s="34" t="s">
        <v>416</v>
      </c>
      <c r="B169" s="34" t="s">
        <v>417</v>
      </c>
      <c r="C169" s="34">
        <v>0.39169999999999999</v>
      </c>
      <c r="D169" s="34">
        <v>113.65119753920671</v>
      </c>
      <c r="E169" s="34">
        <v>113.65119753920671</v>
      </c>
      <c r="F169" s="34">
        <v>59385.15</v>
      </c>
      <c r="G169" s="35">
        <v>-0.1229</v>
      </c>
      <c r="H169" s="34">
        <v>113.0686303921848</v>
      </c>
      <c r="I169" s="35">
        <v>-0.3948118219471386</v>
      </c>
      <c r="Q169" s="34">
        <v>1.0779005998954669</v>
      </c>
      <c r="R169" s="34">
        <v>94.746006800834735</v>
      </c>
      <c r="S169" s="34">
        <v>104.2056764796661</v>
      </c>
      <c r="T169" s="34">
        <v>-9.4596696788314034</v>
      </c>
      <c r="U169" s="34">
        <v>-9.0778832769991061E-2</v>
      </c>
      <c r="V169" s="34">
        <v>-0.1125</v>
      </c>
      <c r="W169" s="34">
        <v>93.630177300379799</v>
      </c>
      <c r="X169" s="34">
        <v>-10.148678590796299</v>
      </c>
      <c r="AF169" s="34">
        <v>1.4696</v>
      </c>
      <c r="AG169" s="34">
        <v>108.2513911672046</v>
      </c>
      <c r="AH169" s="34">
        <v>109.09575251638741</v>
      </c>
      <c r="AI169" s="34">
        <v>-0.84436134918276196</v>
      </c>
      <c r="AJ169" s="34">
        <v>-7.7396354093247554E-3</v>
      </c>
      <c r="AK169" s="34">
        <v>0.70740000000000003</v>
      </c>
      <c r="AL169" s="34">
        <v>107.4382490010027</v>
      </c>
      <c r="AM169" s="34">
        <v>-1.519310767974869</v>
      </c>
    </row>
    <row r="170" spans="1:39" x14ac:dyDescent="0.25">
      <c r="A170" s="34" t="s">
        <v>417</v>
      </c>
      <c r="B170" s="34" t="s">
        <v>418</v>
      </c>
      <c r="C170" s="34">
        <v>-0.66579999999999995</v>
      </c>
      <c r="D170" s="34">
        <v>112.8945078659907</v>
      </c>
      <c r="E170" s="34">
        <v>113.65119753920671</v>
      </c>
      <c r="F170" s="34">
        <v>59667.25</v>
      </c>
      <c r="G170" s="35">
        <v>-1.2577</v>
      </c>
      <c r="H170" s="34">
        <v>112.22180642775611</v>
      </c>
      <c r="I170" s="35">
        <v>-1.2576999999999949</v>
      </c>
      <c r="Q170" s="34">
        <v>0.17777585705642471</v>
      </c>
      <c r="R170" s="34">
        <v>94.914442326451663</v>
      </c>
      <c r="S170" s="34">
        <v>104.2056764796661</v>
      </c>
      <c r="T170" s="34">
        <v>-9.2912341532144751</v>
      </c>
      <c r="U170" s="34">
        <v>-8.9162457047409424E-2</v>
      </c>
      <c r="V170" s="34">
        <v>-0.51879999999999993</v>
      </c>
      <c r="W170" s="34">
        <v>94.254464517552009</v>
      </c>
      <c r="X170" s="34">
        <v>-9.5495872185580311</v>
      </c>
      <c r="AF170" s="34">
        <v>-0.48799999999999999</v>
      </c>
      <c r="AG170" s="34">
        <v>107.7231243783086</v>
      </c>
      <c r="AH170" s="34">
        <v>109.09575251638741</v>
      </c>
      <c r="AI170" s="34">
        <v>-1.372628138078724</v>
      </c>
      <c r="AJ170" s="34">
        <v>-1.2581865988527291E-2</v>
      </c>
      <c r="AK170" s="34">
        <v>-0.71550000000000002</v>
      </c>
      <c r="AL170" s="34">
        <v>107.4768524634032</v>
      </c>
      <c r="AM170" s="34">
        <v>-1.483925831797106</v>
      </c>
    </row>
    <row r="171" spans="1:39" x14ac:dyDescent="0.25">
      <c r="A171" s="34" t="s">
        <v>418</v>
      </c>
      <c r="B171" s="34" t="s">
        <v>419</v>
      </c>
      <c r="C171" s="34">
        <v>0.35699999999999998</v>
      </c>
      <c r="D171" s="34">
        <v>113.2975412590723</v>
      </c>
      <c r="E171" s="34">
        <v>113.65119753920671</v>
      </c>
      <c r="F171" s="34">
        <v>59339.6</v>
      </c>
      <c r="G171" s="35">
        <v>-1.5087999999999999</v>
      </c>
      <c r="H171" s="34">
        <v>111.1911555313086</v>
      </c>
      <c r="I171" s="35">
        <v>-2.1645544096000058</v>
      </c>
      <c r="Q171" s="34">
        <v>0.9283210538504717</v>
      </c>
      <c r="R171" s="34">
        <v>95.795553077712881</v>
      </c>
      <c r="S171" s="34">
        <v>104.2056764796661</v>
      </c>
      <c r="T171" s="34">
        <v>-8.4101234019532569</v>
      </c>
      <c r="U171" s="34">
        <v>-8.0706960369806166E-2</v>
      </c>
      <c r="V171" s="34">
        <v>-5.16E-2</v>
      </c>
      <c r="W171" s="34">
        <v>94.865466474211217</v>
      </c>
      <c r="X171" s="34">
        <v>-8.9632449219572923</v>
      </c>
      <c r="AF171" s="34">
        <v>1.2853000000000001</v>
      </c>
      <c r="AG171" s="34">
        <v>109.10768969594299</v>
      </c>
      <c r="AH171" s="34">
        <v>109.10768969594299</v>
      </c>
      <c r="AI171" s="34"/>
      <c r="AJ171" s="34">
        <v>0</v>
      </c>
      <c r="AK171" s="34">
        <v>-0.2707</v>
      </c>
      <c r="AL171" s="34">
        <v>107.4315178806166</v>
      </c>
      <c r="AM171" s="34">
        <v>-1.525480687729641</v>
      </c>
    </row>
    <row r="172" spans="1:39" x14ac:dyDescent="0.25">
      <c r="A172" s="34" t="s">
        <v>419</v>
      </c>
      <c r="B172" s="34" t="s">
        <v>420</v>
      </c>
      <c r="C172" s="34">
        <v>-0.64259999999999995</v>
      </c>
      <c r="D172" s="34">
        <v>112.5694912589415</v>
      </c>
      <c r="E172" s="34">
        <v>113.65119753920671</v>
      </c>
      <c r="F172" s="34">
        <v>59620.65</v>
      </c>
      <c r="G172" s="35">
        <v>-1.4683999999999999</v>
      </c>
      <c r="H172" s="34">
        <v>111.63388016322401</v>
      </c>
      <c r="I172" s="35">
        <v>-1.7750075843122941</v>
      </c>
      <c r="Q172" s="34">
        <v>0.1205772636497231</v>
      </c>
      <c r="R172" s="34">
        <v>95.911060734312102</v>
      </c>
      <c r="S172" s="34">
        <v>104.2056764796661</v>
      </c>
      <c r="T172" s="34">
        <v>-8.2946157453540366</v>
      </c>
      <c r="U172" s="34">
        <v>-7.9598501977697744E-2</v>
      </c>
      <c r="V172" s="34">
        <v>-0.29110000000000003</v>
      </c>
      <c r="W172" s="34">
        <v>95.516692222703654</v>
      </c>
      <c r="X172" s="34">
        <v>-8.3383022408169758</v>
      </c>
      <c r="AF172" s="34">
        <v>-0.52200000000000002</v>
      </c>
      <c r="AG172" s="34">
        <v>108.53814755573021</v>
      </c>
      <c r="AH172" s="34">
        <v>109.10768969594299</v>
      </c>
      <c r="AI172" s="34">
        <v>-0.56954214021281757</v>
      </c>
      <c r="AJ172" s="34">
        <v>-5.2199999999999538E-3</v>
      </c>
      <c r="AK172" s="34">
        <v>-0.52200000000000002</v>
      </c>
      <c r="AL172" s="34">
        <v>108.53814755573021</v>
      </c>
      <c r="AM172" s="34">
        <v>-0.52200000000000024</v>
      </c>
    </row>
    <row r="173" spans="1:39" x14ac:dyDescent="0.25">
      <c r="A173" s="34" t="s">
        <v>420</v>
      </c>
      <c r="B173" s="34" t="s">
        <v>421</v>
      </c>
      <c r="C173" s="34">
        <v>-2.4180000000000001</v>
      </c>
      <c r="D173" s="34">
        <v>109.8475609603003</v>
      </c>
      <c r="E173" s="34">
        <v>113.65119753920671</v>
      </c>
      <c r="F173" s="34">
        <v>59307.1</v>
      </c>
      <c r="G173" s="35">
        <v>-3.3952</v>
      </c>
      <c r="H173" s="34">
        <v>108.7475318917179</v>
      </c>
      <c r="I173" s="35">
        <v>-4.3146625408827743</v>
      </c>
      <c r="Q173" s="34">
        <v>1.352106867989167</v>
      </c>
      <c r="R173" s="34">
        <v>97.207880773661998</v>
      </c>
      <c r="S173" s="34">
        <v>104.2056764796661</v>
      </c>
      <c r="T173" s="34">
        <v>-6.9977957060041396</v>
      </c>
      <c r="U173" s="34">
        <v>-6.715369010986301E-2</v>
      </c>
      <c r="V173" s="34">
        <v>-6.8400000000000002E-2</v>
      </c>
      <c r="W173" s="34">
        <v>95.845457568769831</v>
      </c>
      <c r="X173" s="34">
        <v>-8.0228056602344999</v>
      </c>
      <c r="AF173" s="34">
        <v>-1.0659000000000001</v>
      </c>
      <c r="AG173" s="34">
        <v>107.3812394409337</v>
      </c>
      <c r="AH173" s="34">
        <v>109.10768969594299</v>
      </c>
      <c r="AI173" s="34">
        <v>-1.7264502550093399</v>
      </c>
      <c r="AJ173" s="34">
        <v>-1.5823360019999899E-2</v>
      </c>
      <c r="AK173" s="34">
        <v>-1.6358999999999999</v>
      </c>
      <c r="AL173" s="34">
        <v>106.762571999866</v>
      </c>
      <c r="AM173" s="34">
        <v>-2.149360601999994</v>
      </c>
    </row>
    <row r="174" spans="1:39" x14ac:dyDescent="0.25">
      <c r="A174" s="34" t="s">
        <v>421</v>
      </c>
      <c r="B174" s="34" t="s">
        <v>422</v>
      </c>
      <c r="C174" s="34">
        <v>-2.1747999999999998</v>
      </c>
      <c r="D174" s="34">
        <v>107.4585962045357</v>
      </c>
      <c r="E174" s="34">
        <v>113.65119753920671</v>
      </c>
      <c r="F174" s="34">
        <v>57942.25</v>
      </c>
      <c r="G174" s="35">
        <v>-2.6307999999999998</v>
      </c>
      <c r="H174" s="34">
        <v>106.9576913265567</v>
      </c>
      <c r="I174" s="35">
        <v>-5.8895166593743387</v>
      </c>
      <c r="Q174" s="34">
        <v>1.2707679123558391</v>
      </c>
      <c r="R174" s="34">
        <v>98.443167330814802</v>
      </c>
      <c r="S174" s="34">
        <v>104.2056764796661</v>
      </c>
      <c r="T174" s="34">
        <v>-5.7625091488513362</v>
      </c>
      <c r="U174" s="34">
        <v>-5.5299378532183772E-2</v>
      </c>
      <c r="V174" s="34">
        <v>-0.36809999999999998</v>
      </c>
      <c r="W174" s="34">
        <v>96.850058564534137</v>
      </c>
      <c r="X174" s="34">
        <v>-7.058749737656866</v>
      </c>
      <c r="AF174" s="34">
        <v>-0.90400000000000003</v>
      </c>
      <c r="AG174" s="34">
        <v>106.4105130363877</v>
      </c>
      <c r="AH174" s="34">
        <v>109.10768969594299</v>
      </c>
      <c r="AI174" s="34">
        <v>-2.6971766595553821</v>
      </c>
      <c r="AJ174" s="34">
        <v>-2.4720316845419109E-2</v>
      </c>
      <c r="AK174" s="34">
        <v>-1.2888999999999999</v>
      </c>
      <c r="AL174" s="34">
        <v>105.9972026457795</v>
      </c>
      <c r="AM174" s="34">
        <v>-2.850841273270222</v>
      </c>
    </row>
    <row r="175" spans="1:39" x14ac:dyDescent="0.25">
      <c r="A175" s="34" t="s">
        <v>422</v>
      </c>
      <c r="B175" s="34" t="s">
        <v>423</v>
      </c>
      <c r="C175" s="34">
        <v>-0.2369</v>
      </c>
      <c r="D175" s="34">
        <v>107.2040267901271</v>
      </c>
      <c r="E175" s="34">
        <v>113.65119753920671</v>
      </c>
      <c r="F175" s="34">
        <v>56749.75</v>
      </c>
      <c r="G175" s="35">
        <v>-1.768</v>
      </c>
      <c r="H175" s="34">
        <v>105.55872822363951</v>
      </c>
      <c r="I175" s="35">
        <v>-7.120443506787999</v>
      </c>
      <c r="Q175" s="34">
        <v>-2.0550007731686061E-2</v>
      </c>
      <c r="R175" s="34">
        <v>98.422937252316999</v>
      </c>
      <c r="S175" s="34">
        <v>104.2056764796661</v>
      </c>
      <c r="T175" s="34">
        <v>-5.7827392273491398</v>
      </c>
      <c r="U175" s="34">
        <v>-5.5493514582936727E-2</v>
      </c>
      <c r="V175" s="34">
        <v>-0.4385</v>
      </c>
      <c r="W175" s="34">
        <v>98.011494042069188</v>
      </c>
      <c r="X175" s="34">
        <v>-5.9441890757320088</v>
      </c>
      <c r="AF175" s="34">
        <v>-0.25750000000000001</v>
      </c>
      <c r="AG175" s="34">
        <v>106.136505965319</v>
      </c>
      <c r="AH175" s="34">
        <v>109.10768969594299</v>
      </c>
      <c r="AI175" s="34">
        <v>-2.9711837306240771</v>
      </c>
      <c r="AJ175" s="34">
        <v>-2.7231662029542129E-2</v>
      </c>
      <c r="AK175" s="34">
        <v>-0.76190000000000002</v>
      </c>
      <c r="AL175" s="34">
        <v>105.5997713375634</v>
      </c>
      <c r="AM175" s="34">
        <v>-3.2150972751373912</v>
      </c>
    </row>
    <row r="176" spans="1:39" x14ac:dyDescent="0.25">
      <c r="A176" s="34" t="s">
        <v>423</v>
      </c>
      <c r="B176" s="34" t="s">
        <v>424</v>
      </c>
      <c r="C176" s="34">
        <v>2.0869</v>
      </c>
      <c r="D176" s="34">
        <v>109.4412676252103</v>
      </c>
      <c r="E176" s="34">
        <v>113.65119753920671</v>
      </c>
      <c r="F176" s="34">
        <v>56681.5</v>
      </c>
      <c r="G176" s="35">
        <v>-0.56469999999999998</v>
      </c>
      <c r="H176" s="34">
        <v>106.5986456508433</v>
      </c>
      <c r="I176" s="35">
        <v>-6.2054356144645944</v>
      </c>
      <c r="Q176" s="34">
        <v>-1.8172697492013401</v>
      </c>
      <c r="R176" s="34">
        <v>96.634326987355223</v>
      </c>
      <c r="S176" s="34">
        <v>104.2056764796661</v>
      </c>
      <c r="T176" s="34">
        <v>-7.5713494923109153</v>
      </c>
      <c r="U176" s="34">
        <v>-7.2657745221665807E-2</v>
      </c>
      <c r="V176" s="34">
        <v>-1.9238999999999999</v>
      </c>
      <c r="W176" s="34">
        <v>96.529378362519665</v>
      </c>
      <c r="X176" s="34">
        <v>-7.3664874855875686</v>
      </c>
      <c r="AF176" s="34">
        <v>0.26960000000000001</v>
      </c>
      <c r="AG176" s="34">
        <v>106.42264998540151</v>
      </c>
      <c r="AH176" s="34">
        <v>109.10768969594299</v>
      </c>
      <c r="AI176" s="34">
        <v>-2.6850397105415742</v>
      </c>
      <c r="AJ176" s="34">
        <v>-2.4609078590373739E-2</v>
      </c>
      <c r="AK176" s="34">
        <v>-0.29480000000000001</v>
      </c>
      <c r="AL176" s="34">
        <v>105.8236155457332</v>
      </c>
      <c r="AM176" s="34">
        <v>-3.0099383089879028</v>
      </c>
    </row>
    <row r="177" spans="1:39" x14ac:dyDescent="0.25">
      <c r="A177" s="34" t="s">
        <v>424</v>
      </c>
      <c r="B177" s="34" t="s">
        <v>425</v>
      </c>
      <c r="C177" s="34">
        <v>-2.1097999999999999</v>
      </c>
      <c r="D177" s="34">
        <v>107.1322757608536</v>
      </c>
      <c r="E177" s="34">
        <v>113.65119753920671</v>
      </c>
      <c r="F177" s="34">
        <v>57930.5</v>
      </c>
      <c r="G177" s="35">
        <v>-2.2721</v>
      </c>
      <c r="H177" s="34">
        <v>106.9546525834979</v>
      </c>
      <c r="I177" s="35">
        <v>-5.8921904042398499</v>
      </c>
      <c r="Q177" s="34">
        <v>1.1752236976832839</v>
      </c>
      <c r="R177" s="34">
        <v>97.769996498207377</v>
      </c>
      <c r="S177" s="34">
        <v>104.2056764796661</v>
      </c>
      <c r="T177" s="34">
        <v>-6.4356799814587617</v>
      </c>
      <c r="U177" s="34">
        <v>-6.1759399284880313E-2</v>
      </c>
      <c r="V177" s="34">
        <v>-0.33050000000000002</v>
      </c>
      <c r="W177" s="34">
        <v>96.31495053666201</v>
      </c>
      <c r="X177" s="34">
        <v>-7.5722611373708286</v>
      </c>
      <c r="AF177" s="34">
        <v>-0.93459999999999999</v>
      </c>
      <c r="AG177" s="34">
        <v>105.4280238986379</v>
      </c>
      <c r="AH177" s="34">
        <v>109.10768969594299</v>
      </c>
      <c r="AI177" s="34">
        <v>-3.6796657973051339</v>
      </c>
      <c r="AJ177" s="34">
        <v>-3.372508214186809E-2</v>
      </c>
      <c r="AK177" s="34">
        <v>-1.0518000000000001</v>
      </c>
      <c r="AL177" s="34">
        <v>105.303296552855</v>
      </c>
      <c r="AM177" s="34">
        <v>-3.4868240301760278</v>
      </c>
    </row>
    <row r="178" spans="1:39" x14ac:dyDescent="0.25">
      <c r="A178" s="34" t="s">
        <v>425</v>
      </c>
      <c r="B178" s="34" t="s">
        <v>426</v>
      </c>
      <c r="C178" s="34">
        <v>4.4999999999999997E-3</v>
      </c>
      <c r="D178" s="34">
        <v>107.13709671326291</v>
      </c>
      <c r="E178" s="34">
        <v>113.65119753920671</v>
      </c>
      <c r="F178" s="34">
        <v>56766.2</v>
      </c>
      <c r="G178" s="35">
        <v>-1.9971000000000001</v>
      </c>
      <c r="H178" s="34">
        <v>104.99273708163361</v>
      </c>
      <c r="I178" s="35">
        <v>-7.6184507027179933</v>
      </c>
      <c r="Q178" s="34">
        <v>0.70431226871101338</v>
      </c>
      <c r="R178" s="34">
        <v>98.458602578662578</v>
      </c>
      <c r="S178" s="34">
        <v>104.2056764796661</v>
      </c>
      <c r="T178" s="34">
        <v>-5.7470739010035601</v>
      </c>
      <c r="U178" s="34">
        <v>-5.5151255624015821E-2</v>
      </c>
      <c r="V178" s="34">
        <v>0.1109</v>
      </c>
      <c r="W178" s="34">
        <v>97.878423424323884</v>
      </c>
      <c r="X178" s="34">
        <v>-6.071889045868728</v>
      </c>
      <c r="AF178" s="34">
        <v>0.70879999999999999</v>
      </c>
      <c r="AG178" s="34">
        <v>106.1752977320315</v>
      </c>
      <c r="AH178" s="34">
        <v>109.10768969594299</v>
      </c>
      <c r="AI178" s="34">
        <v>-2.9323919639115839</v>
      </c>
      <c r="AJ178" s="34">
        <v>-2.687612552408962E-2</v>
      </c>
      <c r="AK178" s="34">
        <v>-0.5917</v>
      </c>
      <c r="AL178" s="34">
        <v>104.8042062812297</v>
      </c>
      <c r="AM178" s="34">
        <v>-3.9442530830834599</v>
      </c>
    </row>
    <row r="179" spans="1:39" x14ac:dyDescent="0.25">
      <c r="A179" s="34" t="s">
        <v>426</v>
      </c>
      <c r="B179" s="34" t="s">
        <v>427</v>
      </c>
      <c r="C179" s="34">
        <v>0.82599999999999996</v>
      </c>
      <c r="D179" s="34">
        <v>108.0220491321144</v>
      </c>
      <c r="E179" s="34">
        <v>113.65119753920671</v>
      </c>
      <c r="F179" s="34">
        <v>56825.5</v>
      </c>
      <c r="G179" s="35">
        <v>-0.3427</v>
      </c>
      <c r="H179" s="34">
        <v>106.7699378828265</v>
      </c>
      <c r="I179" s="35">
        <v>-6.0547181247310284</v>
      </c>
      <c r="Q179" s="34">
        <v>-0.61502413193069649</v>
      </c>
      <c r="R179" s="34">
        <v>97.85305841284206</v>
      </c>
      <c r="S179" s="34">
        <v>104.2056764796661</v>
      </c>
      <c r="T179" s="34">
        <v>-6.3526180668240784</v>
      </c>
      <c r="U179" s="34">
        <v>-6.096230341217234E-2</v>
      </c>
      <c r="V179" s="34">
        <v>-1.4242999999999999</v>
      </c>
      <c r="W179" s="34">
        <v>97.056256702134689</v>
      </c>
      <c r="X179" s="34">
        <v>-6.8608736290162948</v>
      </c>
      <c r="AF179" s="34">
        <v>0.21099999999999999</v>
      </c>
      <c r="AG179" s="34">
        <v>106.399327610246</v>
      </c>
      <c r="AH179" s="34">
        <v>109.10768969594299</v>
      </c>
      <c r="AI179" s="34">
        <v>-2.7083620856969901</v>
      </c>
      <c r="AJ179" s="34">
        <v>-2.4822834148945379E-2</v>
      </c>
      <c r="AK179" s="34">
        <v>0.21099999999999999</v>
      </c>
      <c r="AL179" s="34">
        <v>106.399327610246</v>
      </c>
      <c r="AM179" s="34">
        <v>-2.4822834148945372</v>
      </c>
    </row>
    <row r="180" spans="1:39" x14ac:dyDescent="0.25">
      <c r="A180" s="34" t="s">
        <v>427</v>
      </c>
      <c r="B180" s="34" t="s">
        <v>428</v>
      </c>
      <c r="C180" s="34">
        <v>1.8445</v>
      </c>
      <c r="D180" s="34">
        <v>110.01451582835629</v>
      </c>
      <c r="E180" s="34">
        <v>113.65119753920671</v>
      </c>
      <c r="F180" s="34">
        <v>57361.15</v>
      </c>
      <c r="G180" s="35">
        <v>-0.2437</v>
      </c>
      <c r="H180" s="34">
        <v>107.7587993983794</v>
      </c>
      <c r="I180" s="35">
        <v>-5.1846335704421884</v>
      </c>
      <c r="Q180" s="34">
        <v>-1.2616481957280361</v>
      </c>
      <c r="R180" s="34">
        <v>96.618497066911729</v>
      </c>
      <c r="S180" s="34">
        <v>104.2056764796661</v>
      </c>
      <c r="T180" s="34">
        <v>-7.5871794127544092</v>
      </c>
      <c r="U180" s="34">
        <v>-7.2809655568378859E-2</v>
      </c>
      <c r="V180" s="34">
        <v>-1.5438000000000001</v>
      </c>
      <c r="W180" s="34">
        <v>96.342402897064602</v>
      </c>
      <c r="X180" s="34">
        <v>-7.5459167372095237</v>
      </c>
      <c r="AF180" s="34">
        <v>0.58289999999999997</v>
      </c>
      <c r="AG180" s="34">
        <v>107.0195292908862</v>
      </c>
      <c r="AH180" s="34">
        <v>109.10768969594299</v>
      </c>
      <c r="AI180" s="34">
        <v>-2.0881604050568541</v>
      </c>
      <c r="AJ180" s="34">
        <v>-1.9138526449199469E-2</v>
      </c>
      <c r="AK180" s="34">
        <v>-0.30890000000000001</v>
      </c>
      <c r="AL180" s="34">
        <v>106.07066008725801</v>
      </c>
      <c r="AM180" s="34">
        <v>-2.7835156414259381</v>
      </c>
    </row>
    <row r="181" spans="1:39" x14ac:dyDescent="0.25">
      <c r="A181" s="34" t="s">
        <v>428</v>
      </c>
      <c r="B181" s="34" t="s">
        <v>429</v>
      </c>
      <c r="C181" s="34">
        <v>0.2482</v>
      </c>
      <c r="D181" s="34">
        <v>110.2875718566422</v>
      </c>
      <c r="E181" s="34">
        <v>113.65119753920671</v>
      </c>
      <c r="F181" s="34">
        <v>58486.1</v>
      </c>
      <c r="G181" s="35">
        <v>-0.11609999999999999</v>
      </c>
      <c r="H181" s="34">
        <v>109.8867889754795</v>
      </c>
      <c r="I181" s="35">
        <v>-3.312247160817261</v>
      </c>
      <c r="Q181" s="34">
        <v>-0.2919917667895266</v>
      </c>
      <c r="R181" s="34">
        <v>96.336379010280567</v>
      </c>
      <c r="S181" s="34">
        <v>104.2056764796661</v>
      </c>
      <c r="T181" s="34">
        <v>-7.8692974693855717</v>
      </c>
      <c r="U181" s="34">
        <v>-7.551697503658665E-2</v>
      </c>
      <c r="V181" s="34">
        <v>-1.7029000000000001</v>
      </c>
      <c r="W181" s="34">
        <v>94.973180680359292</v>
      </c>
      <c r="X181" s="34">
        <v>-8.8598779943704908</v>
      </c>
      <c r="AF181" s="34">
        <v>-4.3799999999999999E-2</v>
      </c>
      <c r="AG181" s="34">
        <v>106.9726547370568</v>
      </c>
      <c r="AH181" s="34">
        <v>109.10768969594299</v>
      </c>
      <c r="AI181" s="34">
        <v>-2.135034958886266</v>
      </c>
      <c r="AJ181" s="34">
        <v>-1.956814377461475E-2</v>
      </c>
      <c r="AK181" s="34">
        <v>-0.46899999999999997</v>
      </c>
      <c r="AL181" s="34">
        <v>106.5176076985119</v>
      </c>
      <c r="AM181" s="34">
        <v>-2.3738766760152741</v>
      </c>
    </row>
    <row r="182" spans="1:39" x14ac:dyDescent="0.25">
      <c r="A182" s="34" t="s">
        <v>429</v>
      </c>
      <c r="B182" s="34" t="s">
        <v>430</v>
      </c>
      <c r="C182" s="34">
        <v>-3.8071999999999999</v>
      </c>
      <c r="D182" s="34">
        <v>106.0887034209162</v>
      </c>
      <c r="E182" s="34">
        <v>113.65119753920671</v>
      </c>
      <c r="F182" s="34">
        <v>58699.5</v>
      </c>
      <c r="G182" s="35">
        <v>-4.1325000000000003</v>
      </c>
      <c r="H182" s="34">
        <v>105.72993794966651</v>
      </c>
      <c r="I182" s="35">
        <v>-6.9697986128193667</v>
      </c>
      <c r="Q182" s="34">
        <v>1.767493904338286</v>
      </c>
      <c r="R182" s="34">
        <v>98.039118636947492</v>
      </c>
      <c r="S182" s="34">
        <v>104.2056764796661</v>
      </c>
      <c r="T182" s="34">
        <v>-6.166557842718646</v>
      </c>
      <c r="U182" s="34">
        <v>-5.9176793923716227E-2</v>
      </c>
      <c r="V182" s="34">
        <v>-0.2016</v>
      </c>
      <c r="W182" s="34">
        <v>96.142164870195842</v>
      </c>
      <c r="X182" s="34">
        <v>-7.7380732814912871</v>
      </c>
      <c r="AF182" s="34">
        <v>-2.0396999999999998</v>
      </c>
      <c r="AG182" s="34">
        <v>104.79073349838499</v>
      </c>
      <c r="AH182" s="34">
        <v>109.10768969594299</v>
      </c>
      <c r="AI182" s="34">
        <v>-4.3169561975580137</v>
      </c>
      <c r="AJ182" s="34">
        <v>-3.9566012346043941E-2</v>
      </c>
      <c r="AK182" s="34">
        <v>-2.2694000000000001</v>
      </c>
      <c r="AL182" s="34">
        <v>104.545017310454</v>
      </c>
      <c r="AM182" s="34">
        <v>-4.1818064319793731</v>
      </c>
    </row>
    <row r="183" spans="1:39" x14ac:dyDescent="0.25">
      <c r="A183" s="34" t="s">
        <v>430</v>
      </c>
      <c r="B183" s="34" t="s">
        <v>431</v>
      </c>
      <c r="C183" s="34">
        <v>2.5047000000000001</v>
      </c>
      <c r="D183" s="34">
        <v>108.74590717549989</v>
      </c>
      <c r="E183" s="34">
        <v>113.65119753920671</v>
      </c>
      <c r="F183" s="34">
        <v>56533.15</v>
      </c>
      <c r="G183" s="35">
        <v>-0.61299999999999999</v>
      </c>
      <c r="H183" s="34">
        <v>105.4383796689459</v>
      </c>
      <c r="I183" s="35">
        <v>-7.2263364118337332</v>
      </c>
      <c r="Q183" s="34">
        <v>-2.0280171626432422</v>
      </c>
      <c r="R183" s="34">
        <v>96.050868484886024</v>
      </c>
      <c r="S183" s="34">
        <v>104.2056764796661</v>
      </c>
      <c r="T183" s="34">
        <v>-8.1548079947801142</v>
      </c>
      <c r="U183" s="34">
        <v>-7.8256850013073698E-2</v>
      </c>
      <c r="V183" s="34">
        <v>-2.0886999999999998</v>
      </c>
      <c r="W183" s="34">
        <v>95.991375565977577</v>
      </c>
      <c r="X183" s="34">
        <v>-7.8827768229031481</v>
      </c>
      <c r="AF183" s="34">
        <v>0.47670000000000001</v>
      </c>
      <c r="AG183" s="34">
        <v>105.29027092497179</v>
      </c>
      <c r="AH183" s="34">
        <v>109.10768969594299</v>
      </c>
      <c r="AI183" s="34">
        <v>-3.8174187709712162</v>
      </c>
      <c r="AJ183" s="34">
        <v>-3.4987623526897563E-2</v>
      </c>
      <c r="AK183" s="34">
        <v>-0.12379999999999999</v>
      </c>
      <c r="AL183" s="34">
        <v>104.661002570314</v>
      </c>
      <c r="AM183" s="34">
        <v>-4.0755029622759569</v>
      </c>
    </row>
    <row r="184" spans="1:39" x14ac:dyDescent="0.25">
      <c r="A184" s="34" t="s">
        <v>431</v>
      </c>
      <c r="B184" s="34" t="s">
        <v>432</v>
      </c>
      <c r="C184" s="34">
        <v>1.1714</v>
      </c>
      <c r="D184" s="34">
        <v>110.0197567321537</v>
      </c>
      <c r="E184" s="34">
        <v>113.65119753920671</v>
      </c>
      <c r="F184" s="34">
        <v>58015.1</v>
      </c>
      <c r="G184" s="35">
        <v>-0.41239999999999999</v>
      </c>
      <c r="H184" s="34">
        <v>108.2974390543081</v>
      </c>
      <c r="I184" s="35">
        <v>-4.7106925407026434</v>
      </c>
      <c r="Q184" s="34">
        <v>-0.35768901791037039</v>
      </c>
      <c r="R184" s="34">
        <v>95.707305076708053</v>
      </c>
      <c r="S184" s="34">
        <v>104.2056764796661</v>
      </c>
      <c r="T184" s="34">
        <v>-8.4983714029580852</v>
      </c>
      <c r="U184" s="34">
        <v>-8.1553824033918046E-2</v>
      </c>
      <c r="V184" s="34">
        <v>-1.0844</v>
      </c>
      <c r="W184" s="34">
        <v>95.009292867035924</v>
      </c>
      <c r="X184" s="34">
        <v>-8.8252232731531937</v>
      </c>
      <c r="AF184" s="34">
        <v>0.81369999999999998</v>
      </c>
      <c r="AG184" s="34">
        <v>106.1470178594883</v>
      </c>
      <c r="AH184" s="34">
        <v>109.10768969594299</v>
      </c>
      <c r="AI184" s="34">
        <v>-2.9606718364547082</v>
      </c>
      <c r="AJ184" s="34">
        <v>-2.713531781953582E-2</v>
      </c>
      <c r="AK184" s="34">
        <v>4.8099999999999997E-2</v>
      </c>
      <c r="AL184" s="34">
        <v>105.34091554528671</v>
      </c>
      <c r="AM184" s="34">
        <v>-3.4523452573813951</v>
      </c>
    </row>
    <row r="185" spans="1:39" x14ac:dyDescent="0.25">
      <c r="A185" s="34" t="s">
        <v>432</v>
      </c>
      <c r="B185" s="34" t="s">
        <v>433</v>
      </c>
      <c r="C185" s="34">
        <v>0.1714</v>
      </c>
      <c r="D185" s="34">
        <v>110.20833059519261</v>
      </c>
      <c r="E185" s="34">
        <v>113.65119753920671</v>
      </c>
      <c r="F185" s="34">
        <v>58762.35</v>
      </c>
      <c r="G185" s="35">
        <v>-0.93440000000000001</v>
      </c>
      <c r="H185" s="34">
        <v>108.9917321252484</v>
      </c>
      <c r="I185" s="35">
        <v>-4.0997943839095274</v>
      </c>
      <c r="Q185" s="34">
        <v>-1.780607158500596</v>
      </c>
      <c r="R185" s="34">
        <v>94.003133951304193</v>
      </c>
      <c r="S185" s="34">
        <v>104.2056764796661</v>
      </c>
      <c r="T185" s="34">
        <v>-10.202542528361951</v>
      </c>
      <c r="U185" s="34">
        <v>-9.7907742390145019E-2</v>
      </c>
      <c r="V185" s="34">
        <v>-2.2305000000000001</v>
      </c>
      <c r="W185" s="34">
        <v>93.572553636972074</v>
      </c>
      <c r="X185" s="34">
        <v>-10.203976598884161</v>
      </c>
      <c r="AF185" s="34">
        <v>-1.6092</v>
      </c>
      <c r="AG185" s="34">
        <v>104.4389000480934</v>
      </c>
      <c r="AH185" s="34">
        <v>109.10768969594299</v>
      </c>
      <c r="AI185" s="34">
        <v>-4.6687896478495929</v>
      </c>
      <c r="AJ185" s="34">
        <v>-4.2790656285183838E-2</v>
      </c>
      <c r="AK185" s="34">
        <v>-1.6092</v>
      </c>
      <c r="AL185" s="34">
        <v>104.4389000480934</v>
      </c>
      <c r="AM185" s="34">
        <v>-4.2790656285183859</v>
      </c>
    </row>
    <row r="186" spans="1:39" x14ac:dyDescent="0.25">
      <c r="A186" s="34" t="s">
        <v>433</v>
      </c>
      <c r="B186" s="34" t="s">
        <v>434</v>
      </c>
      <c r="C186" s="34">
        <v>1.3238000000000001</v>
      </c>
      <c r="D186" s="34">
        <v>111.66726847561171</v>
      </c>
      <c r="E186" s="34">
        <v>113.65119753920671</v>
      </c>
      <c r="F186" s="34">
        <v>58902.25</v>
      </c>
      <c r="G186" s="35">
        <v>0.18290000000000001</v>
      </c>
      <c r="H186" s="34">
        <v>110.4099016318512</v>
      </c>
      <c r="I186" s="35">
        <v>-2.8519681072761038</v>
      </c>
      <c r="Q186" s="34">
        <v>-0.89401532875532153</v>
      </c>
      <c r="R186" s="34">
        <v>93.162731524269134</v>
      </c>
      <c r="S186" s="34">
        <v>104.2056764796661</v>
      </c>
      <c r="T186" s="34">
        <v>-11.042944955396999</v>
      </c>
      <c r="U186" s="34">
        <v>-0.1059725854526921</v>
      </c>
      <c r="V186" s="34">
        <v>-2.0659999999999998</v>
      </c>
      <c r="W186" s="34">
        <v>92.061029203870248</v>
      </c>
      <c r="X186" s="34">
        <v>-11.65449684323646</v>
      </c>
      <c r="AF186" s="34">
        <v>0.42980000000000002</v>
      </c>
      <c r="AG186" s="34">
        <v>104.8877784405001</v>
      </c>
      <c r="AH186" s="34">
        <v>109.10768969594299</v>
      </c>
      <c r="AI186" s="34">
        <v>-4.219911255442895</v>
      </c>
      <c r="AJ186" s="34">
        <v>-3.8676570525897631E-2</v>
      </c>
      <c r="AK186" s="34">
        <v>-0.61399999999999999</v>
      </c>
      <c r="AL186" s="34">
        <v>103.7976452017981</v>
      </c>
      <c r="AM186" s="34">
        <v>-4.8667921655592856</v>
      </c>
    </row>
    <row r="187" spans="1:39" x14ac:dyDescent="0.25">
      <c r="A187" s="34" t="s">
        <v>434</v>
      </c>
      <c r="B187" s="34" t="s">
        <v>435</v>
      </c>
      <c r="C187" s="34">
        <v>0.7319</v>
      </c>
      <c r="D187" s="34">
        <v>112.4845612135847</v>
      </c>
      <c r="E187" s="34">
        <v>113.65119753920671</v>
      </c>
      <c r="F187" s="34">
        <v>59780.15</v>
      </c>
      <c r="G187" s="35">
        <v>-0.45889999999999997</v>
      </c>
      <c r="H187" s="34">
        <v>111.1548273805772</v>
      </c>
      <c r="I187" s="35">
        <v>-2.196519009637687</v>
      </c>
      <c r="Q187" s="34">
        <v>1.0013074764933441</v>
      </c>
      <c r="R187" s="34">
        <v>94.095576920327062</v>
      </c>
      <c r="S187" s="34">
        <v>104.2056764796661</v>
      </c>
      <c r="T187" s="34">
        <v>-10.11009955933908</v>
      </c>
      <c r="U187" s="34">
        <v>-9.7020622108929741E-2</v>
      </c>
      <c r="V187" s="34">
        <v>-0.25280000000000002</v>
      </c>
      <c r="W187" s="34">
        <v>92.92721613897578</v>
      </c>
      <c r="X187" s="34">
        <v>-10.82326867566676</v>
      </c>
      <c r="AF187" s="34">
        <v>1.7332000000000001</v>
      </c>
      <c r="AG187" s="34">
        <v>106.7056934164309</v>
      </c>
      <c r="AH187" s="34">
        <v>109.10768969594299</v>
      </c>
      <c r="AI187" s="34">
        <v>-2.401996279512161</v>
      </c>
      <c r="AJ187" s="34">
        <v>-2.2014912846252621E-2</v>
      </c>
      <c r="AK187" s="34">
        <v>0.64590000000000003</v>
      </c>
      <c r="AL187" s="34">
        <v>105.56524860144729</v>
      </c>
      <c r="AM187" s="34">
        <v>-3.2467382494924308</v>
      </c>
    </row>
    <row r="188" spans="1:39" x14ac:dyDescent="0.25">
      <c r="A188" s="34" t="s">
        <v>435</v>
      </c>
      <c r="B188" s="34" t="s">
        <v>436</v>
      </c>
      <c r="C188" s="34">
        <v>-0.38729999999999998</v>
      </c>
      <c r="D188" s="34">
        <v>112.0489085080045</v>
      </c>
      <c r="E188" s="34">
        <v>113.65119753920671</v>
      </c>
      <c r="F188" s="34">
        <v>60287.4</v>
      </c>
      <c r="G188" s="35">
        <v>-2.52</v>
      </c>
      <c r="H188" s="34">
        <v>109.6499502710024</v>
      </c>
      <c r="I188" s="35">
        <v>-3.520638017759548</v>
      </c>
      <c r="Q188" s="34">
        <v>1.0268462758142869</v>
      </c>
      <c r="R188" s="34">
        <v>95.061793847639407</v>
      </c>
      <c r="S188" s="34">
        <v>104.2056764796661</v>
      </c>
      <c r="T188" s="34">
        <v>-9.143882632026731</v>
      </c>
      <c r="U188" s="34">
        <v>-8.774841199568427E-2</v>
      </c>
      <c r="V188" s="34">
        <v>-0.10150000000000001</v>
      </c>
      <c r="W188" s="34">
        <v>94.000069909752938</v>
      </c>
      <c r="X188" s="34">
        <v>-9.7937146177489058</v>
      </c>
      <c r="AF188" s="34">
        <v>0.63949999999999996</v>
      </c>
      <c r="AG188" s="34">
        <v>107.38807632582891</v>
      </c>
      <c r="AH188" s="34">
        <v>109.10768969594299</v>
      </c>
      <c r="AI188" s="34">
        <v>-1.719613370114089</v>
      </c>
      <c r="AJ188" s="34">
        <v>-1.5760698213904439E-2</v>
      </c>
      <c r="AK188" s="34">
        <v>-0.77390000000000003</v>
      </c>
      <c r="AL188" s="34">
        <v>105.8798980550811</v>
      </c>
      <c r="AM188" s="34">
        <v>-2.9583539435735551</v>
      </c>
    </row>
    <row r="189" spans="1:39" x14ac:dyDescent="0.25">
      <c r="A189" s="34" t="s">
        <v>436</v>
      </c>
      <c r="B189" s="34" t="s">
        <v>437</v>
      </c>
      <c r="C189" s="34">
        <v>1.6400999999999999</v>
      </c>
      <c r="D189" s="34">
        <v>113.8866226564443</v>
      </c>
      <c r="E189" s="34">
        <v>113.8866226564443</v>
      </c>
      <c r="F189" s="34">
        <v>60124.25</v>
      </c>
      <c r="G189" s="35">
        <v>-0.53580000000000005</v>
      </c>
      <c r="H189" s="34">
        <v>111.4485504562186</v>
      </c>
      <c r="I189" s="35">
        <v>-1.938076439738545</v>
      </c>
      <c r="Q189" s="34">
        <v>-1.788706262329248</v>
      </c>
      <c r="R189" s="34">
        <v>93.361417588004159</v>
      </c>
      <c r="S189" s="34">
        <v>104.2056764796661</v>
      </c>
      <c r="T189" s="34">
        <v>-10.84425889166198</v>
      </c>
      <c r="U189" s="34">
        <v>-0.1040659132785155</v>
      </c>
      <c r="V189" s="34">
        <v>-2.0047999999999999</v>
      </c>
      <c r="W189" s="34">
        <v>93.155995004581939</v>
      </c>
      <c r="X189" s="34">
        <v>-10.603723183199479</v>
      </c>
      <c r="AF189" s="34">
        <v>-0.14860000000000001</v>
      </c>
      <c r="AG189" s="34">
        <v>107.2284976444088</v>
      </c>
      <c r="AH189" s="34">
        <v>109.10768969594299</v>
      </c>
      <c r="AI189" s="34">
        <v>-1.879192051534275</v>
      </c>
      <c r="AJ189" s="34">
        <v>-1.7223277816358611E-2</v>
      </c>
      <c r="AK189" s="34">
        <v>-0.31580000000000003</v>
      </c>
      <c r="AL189" s="34">
        <v>107.048944780792</v>
      </c>
      <c r="AM189" s="34">
        <v>-1.8868925928944851</v>
      </c>
    </row>
    <row r="190" spans="1:39" x14ac:dyDescent="0.25">
      <c r="A190" s="34" t="s">
        <v>437</v>
      </c>
      <c r="B190" s="34" t="s">
        <v>438</v>
      </c>
      <c r="C190" s="34">
        <v>-1.9128000000000001</v>
      </c>
      <c r="D190" s="34">
        <v>111.7081993382719</v>
      </c>
      <c r="E190" s="34">
        <v>113.8866226564443</v>
      </c>
      <c r="F190" s="34">
        <v>61180.5</v>
      </c>
      <c r="G190" s="35">
        <v>-2.0952000000000002</v>
      </c>
      <c r="H190" s="34">
        <v>111.5004701385465</v>
      </c>
      <c r="I190" s="35">
        <v>-2.0951999999999971</v>
      </c>
      <c r="Q190" s="34">
        <v>0.56374683096628864</v>
      </c>
      <c r="R190" s="34">
        <v>93.887739621001742</v>
      </c>
      <c r="S190" s="34">
        <v>104.2056764796661</v>
      </c>
      <c r="T190" s="34">
        <v>-10.3179368586644</v>
      </c>
      <c r="U190" s="34">
        <v>-9.9015113257076307E-2</v>
      </c>
      <c r="V190" s="34">
        <v>-0.78170000000000006</v>
      </c>
      <c r="W190" s="34">
        <v>92.631611386718731</v>
      </c>
      <c r="X190" s="34">
        <v>-11.10694300344174</v>
      </c>
      <c r="AF190" s="34">
        <v>-1.3491</v>
      </c>
      <c r="AG190" s="34">
        <v>105.781877982688</v>
      </c>
      <c r="AH190" s="34">
        <v>109.10768969594299</v>
      </c>
      <c r="AI190" s="34">
        <v>-3.3258117132549931</v>
      </c>
      <c r="AJ190" s="34">
        <v>-3.0481918575338111E-2</v>
      </c>
      <c r="AK190" s="34">
        <v>-1.3491</v>
      </c>
      <c r="AL190" s="34">
        <v>105.781877982688</v>
      </c>
      <c r="AM190" s="34">
        <v>-3.0481918575338112</v>
      </c>
    </row>
    <row r="191" spans="1:39" x14ac:dyDescent="0.25">
      <c r="A191" s="34" t="s">
        <v>438</v>
      </c>
      <c r="B191" s="34" t="s">
        <v>439</v>
      </c>
      <c r="C191" s="34">
        <v>1.4842</v>
      </c>
      <c r="D191" s="34">
        <v>113.3661724328505</v>
      </c>
      <c r="E191" s="34">
        <v>113.8866226564443</v>
      </c>
      <c r="F191" s="34">
        <v>60081.599999999999</v>
      </c>
      <c r="G191" s="35">
        <v>-0.22950000000000001</v>
      </c>
      <c r="H191" s="34">
        <v>111.4518290207905</v>
      </c>
      <c r="I191" s="35">
        <v>-2.1379101240000198</v>
      </c>
      <c r="Q191" s="34">
        <v>-0.46899978813151261</v>
      </c>
      <c r="R191" s="34">
        <v>93.447406321097787</v>
      </c>
      <c r="S191" s="34">
        <v>104.2056764796661</v>
      </c>
      <c r="T191" s="34">
        <v>-10.758270158568349</v>
      </c>
      <c r="U191" s="34">
        <v>-0.1032407304669975</v>
      </c>
      <c r="V191" s="34">
        <v>-1.2994000000000001</v>
      </c>
      <c r="W191" s="34">
        <v>92.667762332366451</v>
      </c>
      <c r="X191" s="34">
        <v>-11.072251087541391</v>
      </c>
      <c r="AF191" s="34">
        <v>1.0152000000000001</v>
      </c>
      <c r="AG191" s="34">
        <v>106.8557756079683</v>
      </c>
      <c r="AH191" s="34">
        <v>109.10768969594299</v>
      </c>
      <c r="AI191" s="34">
        <v>-2.2519140879747539</v>
      </c>
      <c r="AJ191" s="34">
        <v>-2.0639371012715041E-2</v>
      </c>
      <c r="AK191" s="34">
        <v>0.22620000000000001</v>
      </c>
      <c r="AL191" s="34">
        <v>106.0211565906849</v>
      </c>
      <c r="AM191" s="34">
        <v>-2.828886867515557</v>
      </c>
    </row>
    <row r="192" spans="1:39" x14ac:dyDescent="0.25">
      <c r="A192" s="34" t="s">
        <v>439</v>
      </c>
      <c r="B192" s="34" t="s">
        <v>440</v>
      </c>
      <c r="C192" s="34">
        <v>-2.6644999999999999</v>
      </c>
      <c r="D192" s="34">
        <v>110.3455307683772</v>
      </c>
      <c r="E192" s="34">
        <v>113.8866226564443</v>
      </c>
      <c r="F192" s="34">
        <v>61043.4</v>
      </c>
      <c r="G192" s="35">
        <v>-3.1034999999999999</v>
      </c>
      <c r="H192" s="34">
        <v>109.847853271397</v>
      </c>
      <c r="I192" s="35">
        <v>-3.5463070998521862</v>
      </c>
      <c r="Q192" s="34">
        <v>0.95890280125688843</v>
      </c>
      <c r="R192" s="34">
        <v>94.343476118012688</v>
      </c>
      <c r="S192" s="34">
        <v>104.2056764796661</v>
      </c>
      <c r="T192" s="34">
        <v>-9.8622003616534499</v>
      </c>
      <c r="U192" s="34">
        <v>-9.4641680710914833E-2</v>
      </c>
      <c r="V192" s="34">
        <v>-6.7799999999999999E-2</v>
      </c>
      <c r="W192" s="34">
        <v>93.384048979612089</v>
      </c>
      <c r="X192" s="34">
        <v>-10.38487332517408</v>
      </c>
      <c r="AF192" s="34">
        <v>-1.7056</v>
      </c>
      <c r="AG192" s="34">
        <v>105.0332434991988</v>
      </c>
      <c r="AH192" s="34">
        <v>109.10768969594299</v>
      </c>
      <c r="AI192" s="34">
        <v>-4.0744461967442618</v>
      </c>
      <c r="AJ192" s="34">
        <v>-3.7343345900722177E-2</v>
      </c>
      <c r="AK192" s="34">
        <v>-2.0405000000000002</v>
      </c>
      <c r="AL192" s="34">
        <v>104.67538350668769</v>
      </c>
      <c r="AM192" s="34">
        <v>-4.062322464720058</v>
      </c>
    </row>
    <row r="193" spans="1:39" x14ac:dyDescent="0.25">
      <c r="A193" s="34" t="s">
        <v>440</v>
      </c>
      <c r="B193" s="34" t="s">
        <v>441</v>
      </c>
      <c r="C193" s="34">
        <v>1.1015999999999999</v>
      </c>
      <c r="D193" s="34">
        <v>111.5610971353216</v>
      </c>
      <c r="E193" s="34">
        <v>113.8866226564443</v>
      </c>
      <c r="F193" s="34">
        <v>59488.1</v>
      </c>
      <c r="G193" s="35">
        <v>-1.6011</v>
      </c>
      <c r="H193" s="34">
        <v>108.57878847524471</v>
      </c>
      <c r="I193" s="35">
        <v>-4.6606300699700949</v>
      </c>
      <c r="Q193" s="34">
        <v>8.1469768552669367E-2</v>
      </c>
      <c r="R193" s="34">
        <v>94.420337529650581</v>
      </c>
      <c r="S193" s="34">
        <v>104.2056764796661</v>
      </c>
      <c r="T193" s="34">
        <v>-9.7853389500155572</v>
      </c>
      <c r="U193" s="34">
        <v>-9.3904087383617621E-2</v>
      </c>
      <c r="V193" s="34">
        <v>-0.16539999999999999</v>
      </c>
      <c r="W193" s="34">
        <v>94.187432008513497</v>
      </c>
      <c r="X193" s="34">
        <v>-9.6139143371018925</v>
      </c>
      <c r="AF193" s="34">
        <v>1.1831</v>
      </c>
      <c r="AG193" s="34">
        <v>106.27589180303779</v>
      </c>
      <c r="AH193" s="34">
        <v>109.10768969594299</v>
      </c>
      <c r="AI193" s="34">
        <v>-2.831797892905243</v>
      </c>
      <c r="AJ193" s="34">
        <v>-2.5954155026073639E-2</v>
      </c>
      <c r="AK193" s="34">
        <v>-0.77969999999999995</v>
      </c>
      <c r="AL193" s="34">
        <v>104.2142992996355</v>
      </c>
      <c r="AM193" s="34">
        <v>-4.4849179832734283</v>
      </c>
    </row>
    <row r="194" spans="1:39" x14ac:dyDescent="0.25">
      <c r="A194" s="34" t="s">
        <v>441</v>
      </c>
      <c r="B194" s="34" t="s">
        <v>442</v>
      </c>
      <c r="C194" s="34">
        <v>0.88390000000000002</v>
      </c>
      <c r="D194" s="34">
        <v>112.5471856729007</v>
      </c>
      <c r="E194" s="34">
        <v>113.8866226564443</v>
      </c>
      <c r="F194" s="34">
        <v>60212.800000000003</v>
      </c>
      <c r="G194" s="35">
        <v>-2.1255000000000002</v>
      </c>
      <c r="H194" s="34">
        <v>109.18986601571039</v>
      </c>
      <c r="I194" s="35">
        <v>-4.1240635038431446</v>
      </c>
      <c r="Q194" s="34">
        <v>-0.27720893062284602</v>
      </c>
      <c r="R194" s="34">
        <v>94.158595921694157</v>
      </c>
      <c r="S194" s="34">
        <v>104.2056764796661</v>
      </c>
      <c r="T194" s="34">
        <v>-10.047080557971981</v>
      </c>
      <c r="U194" s="34">
        <v>-9.6415866173398798E-2</v>
      </c>
      <c r="V194" s="34">
        <v>-0.32250000000000001</v>
      </c>
      <c r="W194" s="34">
        <v>94.115831941117449</v>
      </c>
      <c r="X194" s="34">
        <v>-9.6826246701805516</v>
      </c>
      <c r="AF194" s="34">
        <v>0.60670000000000002</v>
      </c>
      <c r="AG194" s="34">
        <v>106.9206676386068</v>
      </c>
      <c r="AH194" s="34">
        <v>109.10768969594299</v>
      </c>
      <c r="AI194" s="34">
        <v>-2.187022057336208</v>
      </c>
      <c r="AJ194" s="34">
        <v>-2.0044618884616779E-2</v>
      </c>
      <c r="AK194" s="34">
        <v>-1.1508</v>
      </c>
      <c r="AL194" s="34">
        <v>105.0528688401684</v>
      </c>
      <c r="AM194" s="34">
        <v>-3.7163474610033549</v>
      </c>
    </row>
    <row r="195" spans="1:39" x14ac:dyDescent="0.25">
      <c r="A195" s="34" t="s">
        <v>442</v>
      </c>
      <c r="B195" s="34" t="s">
        <v>443</v>
      </c>
      <c r="C195" s="34">
        <v>-1.4551000000000001</v>
      </c>
      <c r="D195" s="34">
        <v>110.9095115741743</v>
      </c>
      <c r="E195" s="34">
        <v>113.8866226564443</v>
      </c>
      <c r="F195" s="34">
        <v>60815.25</v>
      </c>
      <c r="G195" s="35">
        <v>-1.5661</v>
      </c>
      <c r="H195" s="34">
        <v>110.7845841980774</v>
      </c>
      <c r="I195" s="35">
        <v>-2.7237952851799418</v>
      </c>
      <c r="Q195" s="34">
        <v>0.88528373400987292</v>
      </c>
      <c r="R195" s="34">
        <v>94.992166655560993</v>
      </c>
      <c r="S195" s="34">
        <v>104.2056764796661</v>
      </c>
      <c r="T195" s="34">
        <v>-9.2135098241051452</v>
      </c>
      <c r="U195" s="34">
        <v>-8.8416582813537953E-2</v>
      </c>
      <c r="V195" s="34">
        <v>-0.20519999999999999</v>
      </c>
      <c r="W195" s="34">
        <v>93.965382482862836</v>
      </c>
      <c r="X195" s="34">
        <v>-9.8270020816010994</v>
      </c>
      <c r="AF195" s="34">
        <v>-0.56979999999999997</v>
      </c>
      <c r="AG195" s="34">
        <v>106.3114336744021</v>
      </c>
      <c r="AH195" s="34">
        <v>109.10768969594299</v>
      </c>
      <c r="AI195" s="34">
        <v>-2.7962560215409842</v>
      </c>
      <c r="AJ195" s="34">
        <v>-2.5628404646212181E-2</v>
      </c>
      <c r="AK195" s="34">
        <v>-0.62709999999999999</v>
      </c>
      <c r="AL195" s="34">
        <v>106.2501681318451</v>
      </c>
      <c r="AM195" s="34">
        <v>-2.6189919079591339</v>
      </c>
    </row>
    <row r="196" spans="1:39" x14ac:dyDescent="0.25">
      <c r="A196" s="34" t="s">
        <v>443</v>
      </c>
      <c r="B196" s="34" t="s">
        <v>444</v>
      </c>
      <c r="C196" s="34">
        <v>1.9905999999999999</v>
      </c>
      <c r="D196" s="34">
        <v>113.1172763115699</v>
      </c>
      <c r="E196" s="34">
        <v>113.8866226564443</v>
      </c>
      <c r="F196" s="34">
        <v>60001.3</v>
      </c>
      <c r="G196" s="35">
        <v>-0.46250000000000002</v>
      </c>
      <c r="H196" s="34">
        <v>110.3965550831438</v>
      </c>
      <c r="I196" s="35">
        <v>-3.0645105561070469</v>
      </c>
      <c r="Q196" s="34">
        <v>-0.94460355946511676</v>
      </c>
      <c r="R196" s="34">
        <v>94.094867268119529</v>
      </c>
      <c r="S196" s="34">
        <v>104.2056764796661</v>
      </c>
      <c r="T196" s="34">
        <v>-10.110809211546609</v>
      </c>
      <c r="U196" s="34">
        <v>-9.7027432219775014E-2</v>
      </c>
      <c r="V196" s="34">
        <v>-1.6980999999999999</v>
      </c>
      <c r="W196" s="34">
        <v>93.379104673582916</v>
      </c>
      <c r="X196" s="34">
        <v>-10.389618082078121</v>
      </c>
      <c r="AF196" s="34">
        <v>1.046</v>
      </c>
      <c r="AG196" s="34">
        <v>107.42345127063631</v>
      </c>
      <c r="AH196" s="34">
        <v>109.10768969594299</v>
      </c>
      <c r="AI196" s="34">
        <v>-1.6842384253067451</v>
      </c>
      <c r="AJ196" s="34">
        <v>-1.543647775881163E-2</v>
      </c>
      <c r="AK196" s="34">
        <v>-0.13370000000000001</v>
      </c>
      <c r="AL196" s="34">
        <v>106.1692952875794</v>
      </c>
      <c r="AM196" s="34">
        <v>-2.6931139469200231</v>
      </c>
    </row>
    <row r="197" spans="1:39" x14ac:dyDescent="0.25">
      <c r="A197" s="34" t="s">
        <v>444</v>
      </c>
      <c r="B197" s="34" t="s">
        <v>445</v>
      </c>
      <c r="C197" s="34">
        <v>-2.6442999999999999</v>
      </c>
      <c r="D197" s="34">
        <v>110.126116174063</v>
      </c>
      <c r="E197" s="34">
        <v>113.8866226564443</v>
      </c>
      <c r="F197" s="34">
        <v>61265.7</v>
      </c>
      <c r="G197" s="35">
        <v>-4.0910000000000002</v>
      </c>
      <c r="H197" s="34">
        <v>108.4896485376635</v>
      </c>
      <c r="I197" s="35">
        <v>-4.7389008409368323</v>
      </c>
      <c r="Q197" s="34">
        <v>1.044178542721417</v>
      </c>
      <c r="R197" s="34">
        <v>95.077385681935425</v>
      </c>
      <c r="S197" s="34">
        <v>104.2056764796661</v>
      </c>
      <c r="T197" s="34">
        <v>-9.1282907977307133</v>
      </c>
      <c r="U197" s="34">
        <v>-8.7598786420353361E-2</v>
      </c>
      <c r="V197" s="34">
        <v>-0.17219999999999999</v>
      </c>
      <c r="W197" s="34">
        <v>93.93283590668382</v>
      </c>
      <c r="X197" s="34">
        <v>-9.8582350981492599</v>
      </c>
      <c r="AF197" s="34">
        <v>-1.6001000000000001</v>
      </c>
      <c r="AG197" s="34">
        <v>105.70456862685479</v>
      </c>
      <c r="AH197" s="34">
        <v>109.10768969594299</v>
      </c>
      <c r="AI197" s="34">
        <v>-3.403121069088201</v>
      </c>
      <c r="AJ197" s="34">
        <v>-3.1190478678192919E-2</v>
      </c>
      <c r="AK197" s="34">
        <v>-2.6034000000000002</v>
      </c>
      <c r="AL197" s="34">
        <v>104.62678914025651</v>
      </c>
      <c r="AM197" s="34">
        <v>-4.106860449683869</v>
      </c>
    </row>
    <row r="198" spans="1:39" x14ac:dyDescent="0.25">
      <c r="A198" s="34" t="s">
        <v>445</v>
      </c>
      <c r="B198" s="34" t="s">
        <v>446</v>
      </c>
      <c r="C198" s="34">
        <v>-0.23300000000000001</v>
      </c>
      <c r="D198" s="34">
        <v>109.8695223233774</v>
      </c>
      <c r="E198" s="34">
        <v>113.8866226564443</v>
      </c>
      <c r="F198" s="34">
        <v>59717.1</v>
      </c>
      <c r="G198" s="35">
        <v>-1.0975999999999999</v>
      </c>
      <c r="H198" s="34">
        <v>108.9173719229365</v>
      </c>
      <c r="I198" s="35">
        <v>-4.3633313707952421</v>
      </c>
      <c r="Q198" s="34">
        <v>1.237870900824924</v>
      </c>
      <c r="R198" s="34">
        <v>96.254320972557181</v>
      </c>
      <c r="S198" s="34">
        <v>104.2056764796661</v>
      </c>
      <c r="T198" s="34">
        <v>-7.951355507108957</v>
      </c>
      <c r="U198" s="34">
        <v>-7.6304437298677488E-2</v>
      </c>
      <c r="V198" s="34">
        <v>-0.37530000000000002</v>
      </c>
      <c r="W198" s="34">
        <v>94.72056025347112</v>
      </c>
      <c r="X198" s="34">
        <v>-9.1023028174917808</v>
      </c>
      <c r="AF198" s="34">
        <v>1.0048999999999999</v>
      </c>
      <c r="AG198" s="34">
        <v>106.7667938369861</v>
      </c>
      <c r="AH198" s="34">
        <v>109.10768969594299</v>
      </c>
      <c r="AI198" s="34">
        <v>-2.3408958589569409</v>
      </c>
      <c r="AJ198" s="34">
        <v>-2.1454911798430121E-2</v>
      </c>
      <c r="AK198" s="34">
        <v>0.26250000000000001</v>
      </c>
      <c r="AL198" s="34">
        <v>105.9820431195003</v>
      </c>
      <c r="AM198" s="34">
        <v>-2.8647353684723038</v>
      </c>
    </row>
    <row r="199" spans="1:39" x14ac:dyDescent="0.25">
      <c r="A199" s="34" t="s">
        <v>446</v>
      </c>
      <c r="B199" s="34" t="s">
        <v>261</v>
      </c>
      <c r="C199" s="34">
        <v>-4.2613000000000003</v>
      </c>
      <c r="D199" s="34">
        <v>105.1876523686114</v>
      </c>
      <c r="E199" s="34">
        <v>113.8866226564443</v>
      </c>
      <c r="F199" s="34">
        <v>59647.65</v>
      </c>
      <c r="G199" s="35">
        <v>-5.0050999999999997</v>
      </c>
      <c r="H199" s="34">
        <v>104.3704428615701</v>
      </c>
      <c r="I199" s="35">
        <v>-8.3558363334570007</v>
      </c>
      <c r="Q199" s="34">
        <v>1.814895155459147</v>
      </c>
      <c r="R199" s="34">
        <v>98.001235980808218</v>
      </c>
      <c r="S199" s="34">
        <v>104.2056764796661</v>
      </c>
      <c r="T199" s="34">
        <v>-6.2044404988579203</v>
      </c>
      <c r="U199" s="34">
        <v>-5.9540331280020099E-2</v>
      </c>
      <c r="V199" s="34">
        <v>-2.3800000000000002E-2</v>
      </c>
      <c r="W199" s="34">
        <v>96.231412444165713</v>
      </c>
      <c r="X199" s="34">
        <v>-7.6524276842600436</v>
      </c>
      <c r="AF199" s="34">
        <v>-2.4464000000000001</v>
      </c>
      <c r="AG199" s="34">
        <v>104.1548509925581</v>
      </c>
      <c r="AH199" s="34">
        <v>109.10768969594299</v>
      </c>
      <c r="AI199" s="34">
        <v>-4.9528387033849697</v>
      </c>
      <c r="AJ199" s="34">
        <v>-4.5394038836193328E-2</v>
      </c>
      <c r="AK199" s="34">
        <v>-2.9125999999999999</v>
      </c>
      <c r="AL199" s="34">
        <v>103.65710419969</v>
      </c>
      <c r="AM199" s="34">
        <v>-4.9956016037389084</v>
      </c>
    </row>
    <row r="200" spans="1:39" x14ac:dyDescent="0.25">
      <c r="A200" s="34" t="s">
        <v>262</v>
      </c>
      <c r="B200" s="34" t="s">
        <v>447</v>
      </c>
      <c r="C200" s="34">
        <v>0.56040000000000001</v>
      </c>
      <c r="D200" s="34">
        <v>100.5604</v>
      </c>
      <c r="E200" s="34">
        <v>100.5604</v>
      </c>
      <c r="F200" s="34">
        <v>59784.85</v>
      </c>
      <c r="G200" s="35">
        <v>-6.2E-2</v>
      </c>
      <c r="H200" s="34">
        <v>99.938000000000002</v>
      </c>
      <c r="I200" s="35">
        <v>-6.1999999999995392E-2</v>
      </c>
      <c r="Q200" s="34">
        <v>-0.32419976205904361</v>
      </c>
      <c r="R200" s="34">
        <v>99.675800237940962</v>
      </c>
      <c r="S200" s="34">
        <v>100</v>
      </c>
      <c r="T200" s="34">
        <v>-0.32419976205903822</v>
      </c>
      <c r="U200" s="34">
        <v>-3.241997620590382E-3</v>
      </c>
      <c r="V200" s="34">
        <v>-1.2841</v>
      </c>
      <c r="W200" s="34">
        <v>98.715900000000005</v>
      </c>
      <c r="X200" s="34">
        <v>-1.2840999999999989</v>
      </c>
      <c r="AF200" s="34">
        <v>0.23619999999999999</v>
      </c>
      <c r="AG200" s="34">
        <v>100.2362</v>
      </c>
      <c r="AH200" s="34">
        <v>100.2362</v>
      </c>
      <c r="AI200" s="34"/>
      <c r="AJ200" s="34">
        <v>0</v>
      </c>
      <c r="AK200" s="34">
        <v>-4.8399999999999999E-2</v>
      </c>
      <c r="AL200" s="34">
        <v>99.951599999999999</v>
      </c>
      <c r="AM200" s="34">
        <v>-4.8400000000004002E-2</v>
      </c>
    </row>
    <row r="201" spans="1:39" x14ac:dyDescent="0.25">
      <c r="A201" s="34" t="s">
        <v>447</v>
      </c>
      <c r="B201" s="34" t="s">
        <v>448</v>
      </c>
      <c r="C201" s="34">
        <v>1.7096</v>
      </c>
      <c r="D201" s="34">
        <v>102.2795805984</v>
      </c>
      <c r="E201" s="34">
        <v>102.2795805984</v>
      </c>
      <c r="F201" s="34">
        <v>60159.75</v>
      </c>
      <c r="G201" s="35">
        <v>-0.48430000000000001</v>
      </c>
      <c r="H201" s="34">
        <v>100.0733859828</v>
      </c>
      <c r="I201" s="35">
        <v>-0.48430000000001527</v>
      </c>
      <c r="Q201" s="34">
        <v>1.7216502966503999</v>
      </c>
      <c r="R201" s="34">
        <v>101.39186894842609</v>
      </c>
      <c r="S201" s="34">
        <v>101.39186894842609</v>
      </c>
      <c r="T201" s="34"/>
      <c r="U201" s="34">
        <v>0</v>
      </c>
      <c r="V201" s="34">
        <v>-1.4416</v>
      </c>
      <c r="W201" s="34">
        <v>98.238873901710804</v>
      </c>
      <c r="X201" s="34">
        <v>-1.761126098289201</v>
      </c>
      <c r="AF201" s="34">
        <v>3.4312999999999998</v>
      </c>
      <c r="AG201" s="34">
        <v>103.6756047306</v>
      </c>
      <c r="AH201" s="34">
        <v>103.6756047306</v>
      </c>
      <c r="AI201" s="34"/>
      <c r="AJ201" s="34">
        <v>0</v>
      </c>
      <c r="AK201" s="34">
        <v>1.3408</v>
      </c>
      <c r="AL201" s="34">
        <v>101.5801669696</v>
      </c>
      <c r="AM201" s="34">
        <v>1.3408000000000091</v>
      </c>
    </row>
    <row r="202" spans="1:39" x14ac:dyDescent="0.25">
      <c r="A202" s="34" t="s">
        <v>448</v>
      </c>
      <c r="B202" s="34" t="s">
        <v>449</v>
      </c>
      <c r="C202" s="34">
        <v>-1.3975</v>
      </c>
      <c r="D202" s="34">
        <v>100.8502234595373</v>
      </c>
      <c r="E202" s="34">
        <v>102.2795805984</v>
      </c>
      <c r="F202" s="34">
        <v>61258.400000000001</v>
      </c>
      <c r="G202" s="35">
        <v>-3.0527000000000002</v>
      </c>
      <c r="H202" s="34">
        <v>99.157291841472642</v>
      </c>
      <c r="I202" s="35">
        <v>-3.052699999999986</v>
      </c>
      <c r="Q202" s="34">
        <v>1.559675594194623</v>
      </c>
      <c r="R202" s="34">
        <v>102.9732531829125</v>
      </c>
      <c r="S202" s="34">
        <v>102.9732531829125</v>
      </c>
      <c r="T202" s="34"/>
      <c r="U202" s="34">
        <v>0</v>
      </c>
      <c r="V202" s="34">
        <v>0.18260000000000001</v>
      </c>
      <c r="W202" s="34">
        <v>101.577010501126</v>
      </c>
      <c r="X202" s="34">
        <v>0.1826000000000105</v>
      </c>
      <c r="AF202" s="34">
        <v>0.16220000000000001</v>
      </c>
      <c r="AG202" s="34">
        <v>103.843766561473</v>
      </c>
      <c r="AH202" s="34">
        <v>103.843766561473</v>
      </c>
      <c r="AI202" s="34"/>
      <c r="AJ202" s="34">
        <v>0</v>
      </c>
      <c r="AK202" s="34">
        <v>-0.29399999999999998</v>
      </c>
      <c r="AL202" s="34">
        <v>103.370798452692</v>
      </c>
      <c r="AM202" s="34">
        <v>-0.29400000000000542</v>
      </c>
    </row>
    <row r="203" spans="1:39" x14ac:dyDescent="0.25">
      <c r="A203" s="34" t="s">
        <v>449</v>
      </c>
      <c r="B203" s="34" t="s">
        <v>450</v>
      </c>
      <c r="C203" s="34">
        <v>2.3517999999999999</v>
      </c>
      <c r="D203" s="34">
        <v>103.2220190148587</v>
      </c>
      <c r="E203" s="34">
        <v>103.2220190148587</v>
      </c>
      <c r="F203" s="34">
        <v>60473.8</v>
      </c>
      <c r="G203" s="35">
        <v>-2.5700000000000001E-2</v>
      </c>
      <c r="H203" s="34">
        <v>100.82430495210821</v>
      </c>
      <c r="I203" s="35">
        <v>-1.422840842499995</v>
      </c>
      <c r="Q203" s="34">
        <v>-2.2215691787931902</v>
      </c>
      <c r="R203" s="34">
        <v>100.68563112780031</v>
      </c>
      <c r="S203" s="34">
        <v>102.9732531829125</v>
      </c>
      <c r="T203" s="34">
        <v>-2.2876220551122661</v>
      </c>
      <c r="U203" s="34">
        <v>-2.2215691787931931E-2</v>
      </c>
      <c r="V203" s="34">
        <v>-2.5695000000000001</v>
      </c>
      <c r="W203" s="34">
        <v>100.32735544237759</v>
      </c>
      <c r="X203" s="34">
        <v>-2.5695000000000019</v>
      </c>
      <c r="AF203" s="34">
        <v>0.13020000000000001</v>
      </c>
      <c r="AG203" s="34">
        <v>103.97897114553609</v>
      </c>
      <c r="AH203" s="34">
        <v>103.97897114553609</v>
      </c>
      <c r="AI203" s="34"/>
      <c r="AJ203" s="34">
        <v>0</v>
      </c>
      <c r="AK203" s="34">
        <v>-0.1079</v>
      </c>
      <c r="AL203" s="34">
        <v>103.7317191373532</v>
      </c>
      <c r="AM203" s="34">
        <v>-0.1079000000000052</v>
      </c>
    </row>
    <row r="204" spans="1:39" x14ac:dyDescent="0.25">
      <c r="A204" s="34" t="s">
        <v>450</v>
      </c>
      <c r="B204" s="34" t="s">
        <v>451</v>
      </c>
      <c r="C204" s="34">
        <v>-1.9541999999999999</v>
      </c>
      <c r="D204" s="34">
        <v>101.2048543192704</v>
      </c>
      <c r="E204" s="34">
        <v>103.2220190148587</v>
      </c>
      <c r="F204" s="34">
        <v>61966.6</v>
      </c>
      <c r="G204" s="35">
        <v>-2.1004</v>
      </c>
      <c r="H204" s="34">
        <v>101.0539437274707</v>
      </c>
      <c r="I204" s="35">
        <v>-2.1004000000000018</v>
      </c>
      <c r="Q204" s="34">
        <v>2.0088050366807169</v>
      </c>
      <c r="R204" s="34">
        <v>102.70820915710929</v>
      </c>
      <c r="S204" s="34">
        <v>102.9732531829125</v>
      </c>
      <c r="T204" s="34">
        <v>-0.26504402580323472</v>
      </c>
      <c r="U204" s="34">
        <v>-2.573911356694093E-3</v>
      </c>
      <c r="V204" s="34">
        <v>-0.1633</v>
      </c>
      <c r="W204" s="34">
        <v>100.5212114921686</v>
      </c>
      <c r="X204" s="34">
        <v>-2.3812413563242258</v>
      </c>
      <c r="AF204" s="34">
        <v>5.4600000000000003E-2</v>
      </c>
      <c r="AG204" s="34">
        <v>104.0357436637815</v>
      </c>
      <c r="AH204" s="34">
        <v>104.0357436637815</v>
      </c>
      <c r="AI204" s="34"/>
      <c r="AJ204" s="34">
        <v>0</v>
      </c>
      <c r="AK204" s="34">
        <v>-1.7500000000000002E-2</v>
      </c>
      <c r="AL204" s="34">
        <v>103.9607748255856</v>
      </c>
      <c r="AM204" s="34">
        <v>-1.750000000000362E-2</v>
      </c>
    </row>
    <row r="205" spans="1:39" x14ac:dyDescent="0.25">
      <c r="A205" s="34" t="s">
        <v>451</v>
      </c>
      <c r="B205" s="34" t="s">
        <v>452</v>
      </c>
      <c r="C205" s="34">
        <v>-1.6329</v>
      </c>
      <c r="D205" s="34">
        <v>99.552280253091013</v>
      </c>
      <c r="E205" s="34">
        <v>103.2220190148587</v>
      </c>
      <c r="F205" s="34">
        <v>60827.95</v>
      </c>
      <c r="G205" s="35">
        <v>-2.0527000000000002</v>
      </c>
      <c r="H205" s="34">
        <v>99.127422274658727</v>
      </c>
      <c r="I205" s="35">
        <v>-3.9667861365999868</v>
      </c>
      <c r="Q205" s="34">
        <v>1.4720347608905771</v>
      </c>
      <c r="R205" s="34">
        <v>104.2201096981901</v>
      </c>
      <c r="S205" s="34">
        <v>104.2201096981901</v>
      </c>
      <c r="T205" s="34"/>
      <c r="U205" s="34">
        <v>0</v>
      </c>
      <c r="V205" s="34">
        <v>-0.63700000000000001</v>
      </c>
      <c r="W205" s="34">
        <v>102.0539578647785</v>
      </c>
      <c r="X205" s="34">
        <v>-0.89275155413519602</v>
      </c>
      <c r="AF205" s="34">
        <v>-0.16089999999999999</v>
      </c>
      <c r="AG205" s="34">
        <v>103.8683501522265</v>
      </c>
      <c r="AH205" s="34">
        <v>104.0357436637815</v>
      </c>
      <c r="AI205" s="34">
        <v>-0.16739351155501939</v>
      </c>
      <c r="AJ205" s="34">
        <v>-1.608999999999951E-3</v>
      </c>
      <c r="AK205" s="34">
        <v>-0.5071</v>
      </c>
      <c r="AL205" s="34">
        <v>103.5081784076625</v>
      </c>
      <c r="AM205" s="34">
        <v>-0.50710000000001587</v>
      </c>
    </row>
    <row r="206" spans="1:39" x14ac:dyDescent="0.25">
      <c r="A206" s="34" t="s">
        <v>452</v>
      </c>
      <c r="B206" s="34" t="s">
        <v>453</v>
      </c>
      <c r="C206" s="34">
        <v>1.373</v>
      </c>
      <c r="D206" s="34">
        <v>100.9191330609659</v>
      </c>
      <c r="E206" s="34">
        <v>103.2220190148587</v>
      </c>
      <c r="F206" s="34">
        <v>59905.65</v>
      </c>
      <c r="G206" s="35">
        <v>-1.1987000000000001</v>
      </c>
      <c r="H206" s="34">
        <v>98.358947069697209</v>
      </c>
      <c r="I206" s="35">
        <v>-4.7112738072498832</v>
      </c>
      <c r="Q206" s="34">
        <v>-2.1284002940794879</v>
      </c>
      <c r="R206" s="34">
        <v>102.0018885768839</v>
      </c>
      <c r="S206" s="34">
        <v>104.2201096981901</v>
      </c>
      <c r="T206" s="34">
        <v>-2.218221121306243</v>
      </c>
      <c r="U206" s="34">
        <v>-2.1284002940794869E-2</v>
      </c>
      <c r="V206" s="34">
        <v>-2.3224</v>
      </c>
      <c r="W206" s="34">
        <v>101.7997018705594</v>
      </c>
      <c r="X206" s="34">
        <v>-2.3224000000000018</v>
      </c>
      <c r="AF206" s="34">
        <v>-0.75539999999999996</v>
      </c>
      <c r="AG206" s="34">
        <v>103.0837286351766</v>
      </c>
      <c r="AH206" s="34">
        <v>104.0357436637815</v>
      </c>
      <c r="AI206" s="34">
        <v>-0.95201502860493292</v>
      </c>
      <c r="AJ206" s="34">
        <v>-9.150845613999899E-3</v>
      </c>
      <c r="AK206" s="34">
        <v>-0.84079999999999999</v>
      </c>
      <c r="AL206" s="34">
        <v>102.9950250641466</v>
      </c>
      <c r="AM206" s="34">
        <v>-1.0003471527999961</v>
      </c>
    </row>
    <row r="207" spans="1:39" x14ac:dyDescent="0.25">
      <c r="A207" s="34" t="s">
        <v>453</v>
      </c>
      <c r="B207" s="34" t="s">
        <v>454</v>
      </c>
      <c r="C207" s="34">
        <v>1.2361</v>
      </c>
      <c r="D207" s="34">
        <v>102.1665944647326</v>
      </c>
      <c r="E207" s="34">
        <v>103.2220190148587</v>
      </c>
      <c r="F207" s="34">
        <v>60768.1</v>
      </c>
      <c r="G207" s="35">
        <v>1.0663</v>
      </c>
      <c r="H207" s="34">
        <v>101.995233776795</v>
      </c>
      <c r="I207" s="35">
        <v>-1.188491806081726</v>
      </c>
      <c r="Q207" s="34">
        <v>-0.94103602859936741</v>
      </c>
      <c r="R207" s="34">
        <v>101.04201405552369</v>
      </c>
      <c r="S207" s="34">
        <v>104.2201096981901</v>
      </c>
      <c r="T207" s="34">
        <v>-3.178095642666491</v>
      </c>
      <c r="U207" s="34">
        <v>-3.0494073090787409E-2</v>
      </c>
      <c r="V207" s="34">
        <v>-1.6961999999999999</v>
      </c>
      <c r="W207" s="34">
        <v>100.2717325428428</v>
      </c>
      <c r="X207" s="34">
        <v>-3.7884983682913038</v>
      </c>
      <c r="AF207" s="34">
        <v>0.29509999999999997</v>
      </c>
      <c r="AG207" s="34">
        <v>103.387928718379</v>
      </c>
      <c r="AH207" s="34">
        <v>104.0357436637815</v>
      </c>
      <c r="AI207" s="34">
        <v>-0.64781494540252993</v>
      </c>
      <c r="AJ207" s="34">
        <v>-6.2268497594068434E-3</v>
      </c>
      <c r="AK207" s="34">
        <v>9.3299999999999994E-2</v>
      </c>
      <c r="AL207" s="34">
        <v>103.1799057539932</v>
      </c>
      <c r="AM207" s="34">
        <v>-0.82263833529576669</v>
      </c>
    </row>
    <row r="208" spans="1:39" x14ac:dyDescent="0.25">
      <c r="A208" s="34" t="s">
        <v>454</v>
      </c>
      <c r="B208" s="34" t="s">
        <v>455</v>
      </c>
      <c r="C208" s="34">
        <v>1.7996000000000001</v>
      </c>
      <c r="D208" s="34">
        <v>104.0051844987199</v>
      </c>
      <c r="E208" s="34">
        <v>104.0051844987199</v>
      </c>
      <c r="F208" s="34">
        <v>61549.65</v>
      </c>
      <c r="G208" s="35">
        <v>-0.2465</v>
      </c>
      <c r="H208" s="34">
        <v>101.914753809377</v>
      </c>
      <c r="I208" s="35">
        <v>-1.266459635219475</v>
      </c>
      <c r="Q208" s="34">
        <v>-0.7401305446908053</v>
      </c>
      <c r="R208" s="34">
        <v>100.2941712465279</v>
      </c>
      <c r="S208" s="34">
        <v>104.2201096981901</v>
      </c>
      <c r="T208" s="34">
        <v>-3.9259384516622049</v>
      </c>
      <c r="U208" s="34">
        <v>-3.7669682588430259E-2</v>
      </c>
      <c r="V208" s="34">
        <v>-1.1099000000000001</v>
      </c>
      <c r="W208" s="34">
        <v>99.920548741521401</v>
      </c>
      <c r="X208" s="34">
        <v>-4.1254619373552686</v>
      </c>
      <c r="AF208" s="34">
        <v>1.0595000000000001</v>
      </c>
      <c r="AG208" s="34">
        <v>104.4833238231502</v>
      </c>
      <c r="AH208" s="34">
        <v>104.4833238231502</v>
      </c>
      <c r="AI208" s="34"/>
      <c r="AJ208" s="34">
        <v>0</v>
      </c>
      <c r="AK208" s="34">
        <v>-1.5699999999999999E-2</v>
      </c>
      <c r="AL208" s="34">
        <v>103.3716968135702</v>
      </c>
      <c r="AM208" s="34">
        <v>-0.63828721439945779</v>
      </c>
    </row>
    <row r="209" spans="1:39" x14ac:dyDescent="0.25">
      <c r="A209" s="34" t="s">
        <v>455</v>
      </c>
      <c r="B209" s="34" t="s">
        <v>263</v>
      </c>
      <c r="C209" s="34">
        <v>-1.9688000000000001</v>
      </c>
      <c r="D209" s="34">
        <v>101.95753042630911</v>
      </c>
      <c r="E209" s="34">
        <v>104.0051844987199</v>
      </c>
      <c r="F209" s="34">
        <v>62729.1</v>
      </c>
      <c r="G209" s="35">
        <v>-2.5533999999999999</v>
      </c>
      <c r="H209" s="34">
        <v>101.34951611772961</v>
      </c>
      <c r="I209" s="35">
        <v>-2.553399999999995</v>
      </c>
      <c r="Q209" s="34">
        <v>0.76401594828838015</v>
      </c>
      <c r="R209" s="34">
        <v>101.06043471005511</v>
      </c>
      <c r="S209" s="34">
        <v>104.2201096981901</v>
      </c>
      <c r="T209" s="34">
        <v>-3.1596749881350661</v>
      </c>
      <c r="U209" s="34">
        <v>-3.0317325488191611E-2</v>
      </c>
      <c r="V209" s="34">
        <v>-0.45679999999999998</v>
      </c>
      <c r="W209" s="34">
        <v>99.836027472273798</v>
      </c>
      <c r="X209" s="34">
        <v>-4.2065607478366296</v>
      </c>
      <c r="AF209" s="34">
        <v>-1.2048000000000001</v>
      </c>
      <c r="AG209" s="34">
        <v>103.2245087377289</v>
      </c>
      <c r="AH209" s="34">
        <v>104.4833238231502</v>
      </c>
      <c r="AI209" s="34">
        <v>-1.258815085421304</v>
      </c>
      <c r="AJ209" s="34">
        <v>-1.2047999999999909E-2</v>
      </c>
      <c r="AK209" s="34">
        <v>-1.4763999999999999</v>
      </c>
      <c r="AL209" s="34">
        <v>102.94073203022521</v>
      </c>
      <c r="AM209" s="34">
        <v>-1.4763999999999999</v>
      </c>
    </row>
  </sheetData>
  <mergeCells count="6">
    <mergeCell ref="A2:I2"/>
    <mergeCell ref="Q1:X1"/>
    <mergeCell ref="Q2:X2"/>
    <mergeCell ref="A1:I1"/>
    <mergeCell ref="AF1:AM1"/>
    <mergeCell ref="AF2:A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4"/>
  <sheetViews>
    <sheetView workbookViewId="0">
      <pane xSplit="1" topLeftCell="B1" activePane="topRight" state="frozen"/>
      <selection pane="topRight"/>
    </sheetView>
  </sheetViews>
  <sheetFormatPr defaultRowHeight="15" x14ac:dyDescent="0.25"/>
  <cols>
    <col min="1" max="1" width="16" customWidth="1"/>
    <col min="2" max="54" width="7" customWidth="1"/>
    <col min="55" max="58" width="8" customWidth="1"/>
  </cols>
  <sheetData>
    <row r="1" spans="1:58" x14ac:dyDescent="0.25">
      <c r="A1" s="84" t="s">
        <v>456</v>
      </c>
      <c r="B1" s="82"/>
      <c r="C1" s="82"/>
      <c r="D1" s="82"/>
      <c r="E1" s="83"/>
      <c r="G1" s="36" t="s">
        <v>110</v>
      </c>
      <c r="H1" s="36" t="s">
        <v>457</v>
      </c>
      <c r="I1" s="36" t="s">
        <v>112</v>
      </c>
      <c r="J1" s="36" t="s">
        <v>458</v>
      </c>
      <c r="K1" s="36" t="s">
        <v>459</v>
      </c>
      <c r="L1" s="36" t="s">
        <v>109</v>
      </c>
      <c r="M1" s="36" t="s">
        <v>460</v>
      </c>
      <c r="N1" s="36" t="s">
        <v>461</v>
      </c>
      <c r="O1" s="36" t="s">
        <v>462</v>
      </c>
      <c r="P1" s="36" t="s">
        <v>463</v>
      </c>
      <c r="Q1" s="36" t="s">
        <v>464</v>
      </c>
      <c r="R1" s="36" t="s">
        <v>465</v>
      </c>
      <c r="S1" s="36" t="s">
        <v>237</v>
      </c>
    </row>
    <row r="2" spans="1:58" x14ac:dyDescent="0.25">
      <c r="A2" s="81"/>
      <c r="B2" s="82"/>
      <c r="C2" s="82"/>
      <c r="D2" s="82"/>
      <c r="E2" s="83"/>
      <c r="G2" s="37">
        <v>0.58959537572254339</v>
      </c>
      <c r="H2" s="37">
        <v>1.100511764705882E-2</v>
      </c>
      <c r="I2" s="37">
        <v>0.41040462427745672</v>
      </c>
      <c r="J2" s="37">
        <v>-1.0775366197183099E-2</v>
      </c>
      <c r="K2" s="38">
        <v>0.19176205435335239</v>
      </c>
      <c r="L2" s="39">
        <v>205</v>
      </c>
      <c r="M2" s="40">
        <v>0.48586134189277408</v>
      </c>
      <c r="N2" s="40">
        <v>0.68941324920418867</v>
      </c>
      <c r="O2" s="38">
        <v>3.912702660838892</v>
      </c>
      <c r="P2" s="38">
        <v>0.29747727471503249</v>
      </c>
      <c r="Q2" s="38">
        <v>4.7223053375353121</v>
      </c>
      <c r="R2" s="40">
        <v>2.006848114015173</v>
      </c>
      <c r="S2" s="37">
        <v>0.10800661151473</v>
      </c>
    </row>
    <row r="3" spans="1:58" x14ac:dyDescent="0.25">
      <c r="A3" s="41" t="s">
        <v>164</v>
      </c>
      <c r="B3" s="42" t="s">
        <v>466</v>
      </c>
      <c r="C3" s="42" t="s">
        <v>467</v>
      </c>
      <c r="D3" s="42" t="s">
        <v>468</v>
      </c>
      <c r="E3" s="42" t="s">
        <v>469</v>
      </c>
      <c r="F3" s="43" t="s">
        <v>470</v>
      </c>
      <c r="G3" s="42" t="s">
        <v>471</v>
      </c>
      <c r="H3" s="42" t="s">
        <v>472</v>
      </c>
      <c r="I3" s="42" t="s">
        <v>473</v>
      </c>
      <c r="J3" s="43" t="s">
        <v>474</v>
      </c>
      <c r="K3" s="42" t="s">
        <v>475</v>
      </c>
      <c r="L3" s="42" t="s">
        <v>476</v>
      </c>
      <c r="M3" s="42" t="s">
        <v>477</v>
      </c>
      <c r="N3" s="43" t="s">
        <v>478</v>
      </c>
      <c r="O3" s="42" t="s">
        <v>479</v>
      </c>
      <c r="P3" s="42" t="s">
        <v>480</v>
      </c>
      <c r="Q3" s="42" t="s">
        <v>481</v>
      </c>
      <c r="R3" s="43" t="s">
        <v>482</v>
      </c>
      <c r="S3" s="42" t="s">
        <v>483</v>
      </c>
      <c r="T3" s="42" t="s">
        <v>484</v>
      </c>
      <c r="U3" s="42" t="s">
        <v>485</v>
      </c>
      <c r="V3" s="42" t="s">
        <v>486</v>
      </c>
      <c r="W3" s="43" t="s">
        <v>487</v>
      </c>
      <c r="X3" s="42" t="s">
        <v>488</v>
      </c>
      <c r="Y3" s="42" t="s">
        <v>489</v>
      </c>
      <c r="Z3" s="42" t="s">
        <v>490</v>
      </c>
      <c r="AA3" s="43" t="s">
        <v>491</v>
      </c>
      <c r="AB3" s="42" t="s">
        <v>492</v>
      </c>
      <c r="AC3" s="42" t="s">
        <v>493</v>
      </c>
      <c r="AD3" s="42" t="s">
        <v>494</v>
      </c>
      <c r="AE3" s="43" t="s">
        <v>495</v>
      </c>
      <c r="AF3" s="42" t="s">
        <v>496</v>
      </c>
      <c r="AG3" s="42" t="s">
        <v>497</v>
      </c>
      <c r="AH3" s="42" t="s">
        <v>498</v>
      </c>
      <c r="AI3" s="42" t="s">
        <v>499</v>
      </c>
      <c r="AJ3" s="43" t="s">
        <v>500</v>
      </c>
      <c r="AK3" s="42" t="s">
        <v>501</v>
      </c>
      <c r="AL3" s="42" t="s">
        <v>502</v>
      </c>
      <c r="AM3" s="42" t="s">
        <v>503</v>
      </c>
      <c r="AN3" s="43" t="s">
        <v>504</v>
      </c>
      <c r="AO3" s="42" t="s">
        <v>505</v>
      </c>
      <c r="AP3" s="42" t="s">
        <v>506</v>
      </c>
      <c r="AQ3" s="42" t="s">
        <v>507</v>
      </c>
      <c r="AR3" s="42" t="s">
        <v>508</v>
      </c>
      <c r="AS3" s="43" t="s">
        <v>509</v>
      </c>
      <c r="AT3" s="42" t="s">
        <v>510</v>
      </c>
      <c r="AU3" s="42" t="s">
        <v>511</v>
      </c>
      <c r="AV3" s="42" t="s">
        <v>512</v>
      </c>
      <c r="AW3" s="43" t="s">
        <v>513</v>
      </c>
      <c r="AX3" s="42" t="s">
        <v>514</v>
      </c>
      <c r="AY3" s="42" t="s">
        <v>515</v>
      </c>
      <c r="AZ3" s="42" t="s">
        <v>516</v>
      </c>
      <c r="BA3" s="42" t="s">
        <v>517</v>
      </c>
      <c r="BB3" s="43" t="s">
        <v>518</v>
      </c>
      <c r="BC3" s="79" t="s">
        <v>177</v>
      </c>
      <c r="BD3" s="79" t="s">
        <v>178</v>
      </c>
      <c r="BE3" s="79" t="s">
        <v>519</v>
      </c>
      <c r="BF3" s="79" t="s">
        <v>179</v>
      </c>
    </row>
    <row r="4" spans="1:58" x14ac:dyDescent="0.25">
      <c r="A4" s="44" t="s">
        <v>520</v>
      </c>
      <c r="B4" s="44" t="s">
        <v>165</v>
      </c>
      <c r="C4" s="45"/>
      <c r="D4" s="45"/>
      <c r="E4" s="45"/>
      <c r="F4" s="46"/>
      <c r="G4" s="44" t="s">
        <v>166</v>
      </c>
      <c r="H4" s="45"/>
      <c r="I4" s="45"/>
      <c r="J4" s="46"/>
      <c r="K4" s="44" t="s">
        <v>167</v>
      </c>
      <c r="L4" s="45"/>
      <c r="M4" s="45"/>
      <c r="N4" s="46"/>
      <c r="O4" s="44" t="s">
        <v>168</v>
      </c>
      <c r="P4" s="45"/>
      <c r="Q4" s="45"/>
      <c r="R4" s="46"/>
      <c r="S4" s="44" t="s">
        <v>169</v>
      </c>
      <c r="T4" s="45"/>
      <c r="U4" s="45"/>
      <c r="V4" s="45"/>
      <c r="W4" s="46"/>
      <c r="X4" s="44" t="s">
        <v>170</v>
      </c>
      <c r="Y4" s="45"/>
      <c r="Z4" s="45"/>
      <c r="AA4" s="46"/>
      <c r="AB4" s="44" t="s">
        <v>171</v>
      </c>
      <c r="AC4" s="45"/>
      <c r="AD4" s="45"/>
      <c r="AE4" s="46"/>
      <c r="AF4" s="44" t="s">
        <v>172</v>
      </c>
      <c r="AG4" s="45"/>
      <c r="AH4" s="45"/>
      <c r="AI4" s="45"/>
      <c r="AJ4" s="46"/>
      <c r="AK4" s="44" t="s">
        <v>173</v>
      </c>
      <c r="AL4" s="45"/>
      <c r="AM4" s="45"/>
      <c r="AN4" s="46"/>
      <c r="AO4" s="44" t="s">
        <v>174</v>
      </c>
      <c r="AP4" s="45"/>
      <c r="AQ4" s="45"/>
      <c r="AR4" s="45"/>
      <c r="AS4" s="46"/>
      <c r="AT4" s="44" t="s">
        <v>175</v>
      </c>
      <c r="AU4" s="45"/>
      <c r="AV4" s="45"/>
      <c r="AW4" s="46"/>
      <c r="AX4" s="44" t="s">
        <v>176</v>
      </c>
      <c r="AY4" s="45"/>
      <c r="AZ4" s="45"/>
      <c r="BA4" s="45"/>
      <c r="BB4" s="46"/>
      <c r="BC4" s="80"/>
      <c r="BD4" s="80"/>
      <c r="BE4" s="80"/>
      <c r="BF4" s="80"/>
    </row>
    <row r="5" spans="1:58" x14ac:dyDescent="0.25">
      <c r="A5" s="47">
        <v>2019</v>
      </c>
      <c r="B5" s="48"/>
      <c r="C5" s="48"/>
      <c r="D5" s="48"/>
      <c r="E5" s="48"/>
      <c r="F5" s="49"/>
      <c r="G5" s="48"/>
      <c r="H5" s="48"/>
      <c r="I5" s="48"/>
      <c r="J5" s="49"/>
      <c r="K5" s="48"/>
      <c r="L5" s="48"/>
      <c r="M5" s="48"/>
      <c r="N5" s="49"/>
      <c r="O5" s="50">
        <v>-1.0737E-2</v>
      </c>
      <c r="P5" s="51">
        <v>9.7769999999999992E-3</v>
      </c>
      <c r="Q5" s="52">
        <v>-1.2153000000000001E-2</v>
      </c>
      <c r="R5" s="52">
        <v>-1.3474E-2</v>
      </c>
      <c r="S5" s="52">
        <v>-1.7920999999999999E-2</v>
      </c>
      <c r="T5" s="51">
        <v>1.2007E-2</v>
      </c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2">
        <v>-9.5370000000000003E-3</v>
      </c>
      <c r="AP5" s="51">
        <v>1.0201E-2</v>
      </c>
      <c r="AQ5" s="54">
        <v>-1.8918999999999998E-2</v>
      </c>
      <c r="AR5" s="55">
        <v>3.0256000000000002E-2</v>
      </c>
      <c r="AS5" s="56">
        <v>3.8479999999999999E-3</v>
      </c>
      <c r="AT5" s="57">
        <v>-3.771E-3</v>
      </c>
      <c r="AU5" s="55">
        <v>1.4631E-2</v>
      </c>
      <c r="AV5" s="57">
        <v>-2.14E-3</v>
      </c>
      <c r="AW5" s="58">
        <v>-6.855E-3</v>
      </c>
      <c r="AX5" s="55">
        <v>4.8139999999999997E-3</v>
      </c>
      <c r="AY5" s="57">
        <v>-7.8250000000000004E-3</v>
      </c>
      <c r="AZ5" s="57">
        <v>-1.3428000000000001E-2</v>
      </c>
      <c r="BA5" s="57">
        <v>-4.019E-3</v>
      </c>
      <c r="BB5" s="49"/>
      <c r="BC5" s="59">
        <v>-3.5244999999999999E-2</v>
      </c>
      <c r="BD5" s="60">
        <v>-5.0799999999999998E-2</v>
      </c>
      <c r="BE5" s="60">
        <v>-4.4838999999999997E-2</v>
      </c>
      <c r="BF5" s="61">
        <v>-0.69</v>
      </c>
    </row>
    <row r="6" spans="1:58" x14ac:dyDescent="0.25">
      <c r="A6" s="47">
        <v>2020</v>
      </c>
      <c r="B6" s="55">
        <v>1.9868E-2</v>
      </c>
      <c r="C6" s="55">
        <v>9.972E-3</v>
      </c>
      <c r="D6" s="55">
        <v>1.8345E-2</v>
      </c>
      <c r="E6" s="55">
        <v>1.9916E-2</v>
      </c>
      <c r="F6" s="56">
        <v>2.3998999999999999E-2</v>
      </c>
      <c r="G6" s="50">
        <v>-6.7999999999999999E-5</v>
      </c>
      <c r="H6" s="52">
        <v>-9.6200000000000001E-3</v>
      </c>
      <c r="I6" s="54">
        <v>-1.4350000000000001E-3</v>
      </c>
      <c r="J6" s="56">
        <v>1.3252999999999999E-2</v>
      </c>
      <c r="K6" s="48"/>
      <c r="L6" s="48"/>
      <c r="M6" s="48"/>
      <c r="N6" s="49"/>
      <c r="O6" s="48"/>
      <c r="P6" s="48"/>
      <c r="Q6" s="48"/>
      <c r="R6" s="49"/>
      <c r="S6" s="48"/>
      <c r="T6" s="48"/>
      <c r="U6" s="48"/>
      <c r="V6" s="48"/>
      <c r="W6" s="49"/>
      <c r="X6" s="48"/>
      <c r="Y6" s="48"/>
      <c r="Z6" s="48"/>
      <c r="AA6" s="49"/>
      <c r="AB6" s="48"/>
      <c r="AC6" s="48"/>
      <c r="AD6" s="48"/>
      <c r="AE6" s="49"/>
      <c r="AF6" s="48"/>
      <c r="AG6" s="48"/>
      <c r="AH6" s="48"/>
      <c r="AI6" s="48"/>
      <c r="AJ6" s="49"/>
      <c r="AK6" s="48"/>
      <c r="AL6" s="48"/>
      <c r="AM6" s="48"/>
      <c r="AN6" s="49"/>
      <c r="AO6" s="48"/>
      <c r="AP6" s="48"/>
      <c r="AQ6" s="48"/>
      <c r="AR6" s="48"/>
      <c r="AS6" s="49"/>
      <c r="AT6" s="48"/>
      <c r="AU6" s="48"/>
      <c r="AV6" s="48"/>
      <c r="AW6" s="49"/>
      <c r="AX6" s="48"/>
      <c r="AY6" s="48"/>
      <c r="AZ6" s="48"/>
      <c r="BA6" s="48"/>
      <c r="BB6" s="49"/>
      <c r="BC6" s="62">
        <v>9.4229999999999994E-2</v>
      </c>
      <c r="BD6" s="60">
        <v>-1.11E-2</v>
      </c>
      <c r="BE6" s="60">
        <v>-2.4854999999999999E-2</v>
      </c>
      <c r="BF6" s="63">
        <v>8.49</v>
      </c>
    </row>
    <row r="7" spans="1:58" x14ac:dyDescent="0.25">
      <c r="A7" s="47">
        <v>2022</v>
      </c>
      <c r="B7" s="48"/>
      <c r="C7" s="48"/>
      <c r="D7" s="48"/>
      <c r="E7" s="48"/>
      <c r="F7" s="49"/>
      <c r="G7" s="48"/>
      <c r="H7" s="48"/>
      <c r="I7" s="48"/>
      <c r="J7" s="49"/>
      <c r="K7" s="48"/>
      <c r="L7" s="48"/>
      <c r="M7" s="48"/>
      <c r="N7" s="49"/>
      <c r="O7" s="48"/>
      <c r="P7" s="48"/>
      <c r="Q7" s="48"/>
      <c r="R7" s="49"/>
      <c r="S7" s="48"/>
      <c r="T7" s="48"/>
      <c r="U7" s="48"/>
      <c r="V7" s="48"/>
      <c r="W7" s="49"/>
      <c r="X7" s="48"/>
      <c r="Y7" s="48"/>
      <c r="Z7" s="48"/>
      <c r="AA7" s="49"/>
      <c r="AB7" s="48"/>
      <c r="AC7" s="48"/>
      <c r="AD7" s="48"/>
      <c r="AE7" s="49"/>
      <c r="AF7" s="55">
        <v>2.5170000000000001E-3</v>
      </c>
      <c r="AG7" s="55">
        <v>5.953E-3</v>
      </c>
      <c r="AH7" s="55">
        <v>8.3119999999999999E-3</v>
      </c>
      <c r="AI7" s="55">
        <v>3.4039999999999999E-3</v>
      </c>
      <c r="AJ7" s="56">
        <v>1.0317E-2</v>
      </c>
      <c r="AK7" s="55">
        <v>2.3314000000000001E-2</v>
      </c>
      <c r="AL7" s="50">
        <v>-1.4754E-2</v>
      </c>
      <c r="AM7" s="52">
        <v>-7.7999999999999999E-5</v>
      </c>
      <c r="AN7" s="52">
        <v>-8.0599999999999995E-3</v>
      </c>
      <c r="AO7" s="51">
        <v>3.1120000000000002E-3</v>
      </c>
      <c r="AP7" s="51">
        <v>6.8400000000000004E-4</v>
      </c>
      <c r="AQ7" s="52">
        <v>-1.8464999999999999E-2</v>
      </c>
      <c r="AR7" s="52">
        <v>-8.1620000000000009E-3</v>
      </c>
      <c r="AS7" s="52">
        <v>-5.71E-4</v>
      </c>
      <c r="AT7" s="52">
        <v>-8.1000000000000004E-5</v>
      </c>
      <c r="AU7" s="52">
        <v>-3.0445E-2</v>
      </c>
      <c r="AV7" s="51">
        <v>7.2570000000000004E-3</v>
      </c>
      <c r="AW7" s="52">
        <v>-6.5499999999999998E-4</v>
      </c>
      <c r="AX7" s="51">
        <v>1.4366E-2</v>
      </c>
      <c r="AY7" s="51">
        <v>1.4208E-2</v>
      </c>
      <c r="AZ7" s="54">
        <v>-4.1679000000000001E-2</v>
      </c>
      <c r="BA7" s="48"/>
      <c r="BB7" s="49"/>
      <c r="BC7" s="59">
        <v>-2.9506000000000001E-2</v>
      </c>
      <c r="BD7" s="60">
        <v>-8.3299999999999999E-2</v>
      </c>
      <c r="BE7" s="60">
        <v>-8.1453999999999999E-2</v>
      </c>
      <c r="BF7" s="61">
        <v>-0.35</v>
      </c>
    </row>
    <row r="8" spans="1:58" x14ac:dyDescent="0.25">
      <c r="A8" s="47">
        <v>2023</v>
      </c>
      <c r="B8" s="48"/>
      <c r="C8" s="48"/>
      <c r="D8" s="48"/>
      <c r="E8" s="48"/>
      <c r="F8" s="49"/>
      <c r="G8" s="48"/>
      <c r="H8" s="48"/>
      <c r="I8" s="48"/>
      <c r="J8" s="49"/>
      <c r="K8" s="48"/>
      <c r="L8" s="48"/>
      <c r="M8" s="48"/>
      <c r="N8" s="49"/>
      <c r="O8" s="48"/>
      <c r="P8" s="48"/>
      <c r="Q8" s="48"/>
      <c r="R8" s="49"/>
      <c r="S8" s="55">
        <v>9.9939999999999994E-3</v>
      </c>
      <c r="T8" s="57">
        <v>-1.163E-3</v>
      </c>
      <c r="U8" s="55">
        <v>1.4759E-2</v>
      </c>
      <c r="V8" s="55">
        <v>3.3960000000000001E-3</v>
      </c>
      <c r="W8" s="56">
        <v>7.8370000000000002E-3</v>
      </c>
      <c r="X8" s="55">
        <v>1.0012E-2</v>
      </c>
      <c r="Y8" s="55">
        <v>1.2326999999999999E-2</v>
      </c>
      <c r="Z8" s="55">
        <v>2.0004000000000001E-2</v>
      </c>
      <c r="AA8" s="58">
        <v>-3.3540000000000002E-3</v>
      </c>
      <c r="AB8" s="57">
        <v>-1.4050999999999999E-2</v>
      </c>
      <c r="AC8" s="55">
        <v>7.7470000000000004E-3</v>
      </c>
      <c r="AD8" s="57">
        <v>-9.7599999999999996E-3</v>
      </c>
      <c r="AE8" s="56">
        <v>1.0239E-2</v>
      </c>
      <c r="AF8" s="55">
        <v>1.4123999999999999E-2</v>
      </c>
      <c r="AG8" s="55">
        <v>1.5181E-2</v>
      </c>
      <c r="AH8" s="55">
        <v>5.999E-3</v>
      </c>
      <c r="AI8" s="55">
        <v>2.648E-2</v>
      </c>
      <c r="AJ8" s="56">
        <v>1.5195999999999999E-2</v>
      </c>
      <c r="AK8" s="55">
        <v>1.4671E-2</v>
      </c>
      <c r="AL8" s="57">
        <v>-3.1613000000000002E-2</v>
      </c>
      <c r="AM8" s="55">
        <v>1.4526000000000001E-2</v>
      </c>
      <c r="AN8" s="56">
        <v>1.6906999999999998E-2</v>
      </c>
      <c r="AO8" s="55">
        <v>2.8570000000000002E-3</v>
      </c>
      <c r="AP8" s="50">
        <v>-1.0786E-2</v>
      </c>
      <c r="AQ8" s="51">
        <v>4.3239999999999997E-3</v>
      </c>
      <c r="AR8" s="54">
        <v>-3.0370000000000001E-2</v>
      </c>
      <c r="AS8" s="56">
        <v>1.5599E-2</v>
      </c>
      <c r="AT8" s="55">
        <v>1.592E-2</v>
      </c>
      <c r="AU8" s="55">
        <v>1.0762000000000001E-2</v>
      </c>
      <c r="AV8" s="55">
        <v>8.8280000000000008E-3</v>
      </c>
      <c r="AW8" s="56">
        <v>1.7149999999999999E-3</v>
      </c>
      <c r="AX8" s="57">
        <v>-4.7530000000000003E-3</v>
      </c>
      <c r="AY8" s="55">
        <v>5.2160000000000002E-3</v>
      </c>
      <c r="AZ8" s="57">
        <v>-2.2200000000000001E-2</v>
      </c>
      <c r="BA8" s="55">
        <v>1.3159000000000001E-2</v>
      </c>
      <c r="BB8" s="49"/>
      <c r="BC8" s="62">
        <v>0.16972899999999999</v>
      </c>
      <c r="BD8" s="60">
        <v>-3.6799999999999999E-2</v>
      </c>
      <c r="BE8" s="60">
        <v>-4.4547999999999997E-2</v>
      </c>
      <c r="BF8" s="63">
        <v>4.6100000000000003</v>
      </c>
    </row>
    <row r="9" spans="1:58" x14ac:dyDescent="0.25">
      <c r="A9" s="47">
        <v>2024</v>
      </c>
      <c r="B9" s="55">
        <v>3.39E-2</v>
      </c>
      <c r="C9" s="55">
        <v>8.8159999999999992E-3</v>
      </c>
      <c r="D9" s="57">
        <v>-5.7169999999999999E-3</v>
      </c>
      <c r="E9" s="55">
        <v>1.2897E-2</v>
      </c>
      <c r="F9" s="56">
        <v>1.6382000000000001E-2</v>
      </c>
      <c r="G9" s="55">
        <v>1.1006E-2</v>
      </c>
      <c r="H9" s="50">
        <v>-1.3913E-2</v>
      </c>
      <c r="I9" s="52">
        <v>-1.6799999999999999E-4</v>
      </c>
      <c r="J9" s="52">
        <v>-4.7080000000000004E-3</v>
      </c>
      <c r="K9" s="52">
        <v>-7.1999999999999998E-3</v>
      </c>
      <c r="L9" s="54">
        <v>-4.6390000000000001E-2</v>
      </c>
      <c r="M9" s="55">
        <v>9.3030000000000005E-3</v>
      </c>
      <c r="N9" s="56">
        <v>2.4663000000000001E-2</v>
      </c>
      <c r="O9" s="48"/>
      <c r="P9" s="48"/>
      <c r="Q9" s="48"/>
      <c r="R9" s="49"/>
      <c r="S9" s="48"/>
      <c r="T9" s="55">
        <v>2.6740000000000002E-3</v>
      </c>
      <c r="U9" s="55">
        <v>2.2086000000000001E-2</v>
      </c>
      <c r="V9" s="55">
        <v>9.5289999999999993E-3</v>
      </c>
      <c r="W9" s="58">
        <v>-3.0929999999999998E-3</v>
      </c>
      <c r="X9" s="57">
        <v>-3.8419999999999999E-3</v>
      </c>
      <c r="Y9" s="55">
        <v>2.1364000000000001E-2</v>
      </c>
      <c r="Z9" s="55">
        <v>6.1679999999999999E-3</v>
      </c>
      <c r="AA9" s="58">
        <v>-1.072E-2</v>
      </c>
      <c r="AB9" s="55">
        <v>4.8209999999999998E-3</v>
      </c>
      <c r="AC9" s="55">
        <v>1.3197E-2</v>
      </c>
      <c r="AD9" s="57">
        <v>-1.3938000000000001E-2</v>
      </c>
      <c r="AE9" s="56">
        <v>1.3780000000000001E-2</v>
      </c>
      <c r="AF9" s="55">
        <v>1.4904000000000001E-2</v>
      </c>
      <c r="AG9" s="57">
        <v>-2.2173999999999999E-2</v>
      </c>
      <c r="AH9" s="55">
        <v>9.7099999999999999E-3</v>
      </c>
      <c r="AI9" s="57">
        <v>-7.2900000000000005E-4</v>
      </c>
      <c r="AJ9" s="56">
        <v>4.1960000000000001E-3</v>
      </c>
      <c r="AK9" s="55">
        <v>5.4500000000000002E-4</v>
      </c>
      <c r="AL9" s="55">
        <v>4.6829999999999997E-3</v>
      </c>
      <c r="AM9" s="57">
        <v>-8.7010000000000004E-3</v>
      </c>
      <c r="AN9" s="58">
        <v>-9.6710000000000008E-3</v>
      </c>
      <c r="AO9" s="55">
        <v>3.9259999999999998E-3</v>
      </c>
      <c r="AP9" s="55">
        <v>5.3660000000000001E-3</v>
      </c>
      <c r="AQ9" s="55">
        <v>9.4289999999999999E-3</v>
      </c>
      <c r="AR9" s="57">
        <v>-3.0373000000000001E-2</v>
      </c>
      <c r="AS9" s="49"/>
      <c r="AT9" s="48"/>
      <c r="AU9" s="48"/>
      <c r="AV9" s="48"/>
      <c r="AW9" s="49"/>
      <c r="AX9" s="48"/>
      <c r="AY9" s="48"/>
      <c r="AZ9" s="48"/>
      <c r="BA9" s="48"/>
      <c r="BB9" s="49"/>
      <c r="BC9" s="62">
        <v>8.2007999999999998E-2</v>
      </c>
      <c r="BD9" s="60">
        <v>-7.2400000000000006E-2</v>
      </c>
      <c r="BE9" s="60">
        <v>-7.5728000000000004E-2</v>
      </c>
      <c r="BF9" s="63">
        <v>1.1299999999999999</v>
      </c>
    </row>
    <row r="10" spans="1:58" x14ac:dyDescent="0.25">
      <c r="A10" s="47">
        <v>2025</v>
      </c>
      <c r="B10" s="48"/>
      <c r="C10" s="48"/>
      <c r="D10" s="48"/>
      <c r="E10" s="48"/>
      <c r="F10" s="49"/>
      <c r="G10" s="48"/>
      <c r="H10" s="48"/>
      <c r="I10" s="48"/>
      <c r="J10" s="49"/>
      <c r="K10" s="48"/>
      <c r="L10" s="48"/>
      <c r="M10" s="48"/>
      <c r="N10" s="49"/>
      <c r="O10" s="55">
        <v>1.8367999999999999E-2</v>
      </c>
      <c r="P10" s="57">
        <v>-1.3681E-2</v>
      </c>
      <c r="Q10" s="55">
        <v>7.6379999999999998E-3</v>
      </c>
      <c r="R10" s="56">
        <v>1.2756E-2</v>
      </c>
      <c r="S10" s="57">
        <v>-2.9069999999999999E-3</v>
      </c>
      <c r="T10" s="57">
        <v>-2.0830000000000002E-3</v>
      </c>
      <c r="U10" s="55">
        <v>2.0310000000000002E-2</v>
      </c>
      <c r="V10" s="55">
        <v>6.5770000000000004E-3</v>
      </c>
      <c r="W10" s="56">
        <v>1.3703E-2</v>
      </c>
      <c r="X10" s="55">
        <v>2.4050999999999999E-2</v>
      </c>
      <c r="Y10" s="55">
        <v>3.3990000000000001E-3</v>
      </c>
      <c r="Z10" s="57">
        <v>-7.502E-3</v>
      </c>
      <c r="AA10" s="58">
        <v>-1.4770999999999999E-2</v>
      </c>
      <c r="AB10" s="55">
        <v>1.4696000000000001E-2</v>
      </c>
      <c r="AC10" s="57">
        <v>-4.8799999999999998E-3</v>
      </c>
      <c r="AD10" s="55">
        <v>1.2853E-2</v>
      </c>
      <c r="AE10" s="50">
        <v>-5.2199999999999998E-3</v>
      </c>
      <c r="AF10" s="52">
        <v>-1.0659E-2</v>
      </c>
      <c r="AG10" s="52">
        <v>-9.0399999999999994E-3</v>
      </c>
      <c r="AH10" s="52">
        <v>-2.575E-3</v>
      </c>
      <c r="AI10" s="51">
        <v>2.696E-3</v>
      </c>
      <c r="AJ10" s="52">
        <v>-9.3460000000000001E-3</v>
      </c>
      <c r="AK10" s="51">
        <v>7.0879999999999997E-3</v>
      </c>
      <c r="AL10" s="51">
        <v>2.1099999999999999E-3</v>
      </c>
      <c r="AM10" s="51">
        <v>5.829E-3</v>
      </c>
      <c r="AN10" s="52">
        <v>-4.3800000000000002E-4</v>
      </c>
      <c r="AO10" s="52">
        <v>-2.0396999999999998E-2</v>
      </c>
      <c r="AP10" s="51">
        <v>4.7670000000000004E-3</v>
      </c>
      <c r="AQ10" s="54">
        <v>-7.9550000000000003E-3</v>
      </c>
      <c r="AR10" s="48"/>
      <c r="AS10" s="56">
        <v>4.2979999999999997E-3</v>
      </c>
      <c r="AT10" s="55">
        <v>1.7332E-2</v>
      </c>
      <c r="AU10" s="55">
        <v>6.3949999999999996E-3</v>
      </c>
      <c r="AV10" s="57">
        <v>-1.4859999999999999E-3</v>
      </c>
      <c r="AW10" s="58">
        <v>-1.3491E-2</v>
      </c>
      <c r="AX10" s="55">
        <v>1.0152E-2</v>
      </c>
      <c r="AY10" s="57">
        <v>-1.7056000000000002E-2</v>
      </c>
      <c r="AZ10" s="55">
        <v>1.1831E-2</v>
      </c>
      <c r="BA10" s="55">
        <v>6.0670000000000003E-3</v>
      </c>
      <c r="BB10" s="49"/>
      <c r="BC10" s="62">
        <v>6.9429000000000005E-2</v>
      </c>
      <c r="BD10" s="60">
        <v>-4.3099999999999999E-2</v>
      </c>
      <c r="BE10" s="60">
        <v>-4.8668000000000003E-2</v>
      </c>
      <c r="BF10" s="63">
        <v>1.61</v>
      </c>
    </row>
    <row r="11" spans="1:58" x14ac:dyDescent="0.25">
      <c r="A11" s="47">
        <v>2026</v>
      </c>
      <c r="B11" s="57">
        <v>-5.6979999999999999E-3</v>
      </c>
      <c r="C11" s="55">
        <v>1.0460000000000001E-2</v>
      </c>
      <c r="D11" s="50">
        <v>-1.6001000000000001E-2</v>
      </c>
      <c r="E11" s="54">
        <v>-1.4415000000000001E-2</v>
      </c>
      <c r="F11" s="49"/>
      <c r="G11" s="48"/>
      <c r="H11" s="48"/>
      <c r="I11" s="48"/>
      <c r="J11" s="49"/>
      <c r="K11" s="48"/>
      <c r="L11" s="48"/>
      <c r="M11" s="48"/>
      <c r="N11" s="49"/>
      <c r="O11" s="48"/>
      <c r="P11" s="48"/>
      <c r="Q11" s="48"/>
      <c r="R11" s="49"/>
      <c r="S11" s="48"/>
      <c r="T11" s="55">
        <v>2.362E-3</v>
      </c>
      <c r="U11" s="55">
        <v>3.4313000000000003E-2</v>
      </c>
      <c r="V11" s="55">
        <v>1.622E-3</v>
      </c>
      <c r="W11" s="56">
        <v>1.302E-3</v>
      </c>
      <c r="X11" s="55">
        <v>5.4600000000000004E-4</v>
      </c>
      <c r="Y11" s="57">
        <v>-9.1629999999999993E-3</v>
      </c>
      <c r="Z11" s="55">
        <v>2.9510000000000001E-3</v>
      </c>
      <c r="AA11" s="56">
        <v>1.0595E-2</v>
      </c>
      <c r="AB11" s="57">
        <v>-1.2048E-2</v>
      </c>
      <c r="AC11" s="48"/>
      <c r="AD11" s="48"/>
      <c r="AE11" s="49"/>
      <c r="AF11" s="48"/>
      <c r="AG11" s="48"/>
      <c r="AH11" s="48"/>
      <c r="AI11" s="48"/>
      <c r="AJ11" s="49"/>
      <c r="AK11" s="48"/>
      <c r="AL11" s="48"/>
      <c r="AM11" s="48"/>
      <c r="AN11" s="49"/>
      <c r="AO11" s="48"/>
      <c r="AP11" s="48"/>
      <c r="AQ11" s="48"/>
      <c r="AR11" s="48"/>
      <c r="AS11" s="49"/>
      <c r="AT11" s="48"/>
      <c r="AU11" s="48"/>
      <c r="AV11" s="48"/>
      <c r="AW11" s="49"/>
      <c r="AX11" s="48"/>
      <c r="AY11" s="48"/>
      <c r="AZ11" s="48"/>
      <c r="BA11" s="48"/>
      <c r="BB11" s="49"/>
      <c r="BC11" s="62">
        <v>6.8259999999999996E-3</v>
      </c>
      <c r="BD11" s="60">
        <v>-3.04E-2</v>
      </c>
      <c r="BE11" s="60">
        <v>-4.9956E-2</v>
      </c>
      <c r="BF11" s="63">
        <v>0.22</v>
      </c>
    </row>
    <row r="12" spans="1:58" x14ac:dyDescent="0.25">
      <c r="A12" s="41" t="s">
        <v>177</v>
      </c>
      <c r="BC12" s="64">
        <v>0.35747099999999998</v>
      </c>
      <c r="BD12" s="60">
        <v>-4.6843000000000003E-2</v>
      </c>
      <c r="BE12" s="60">
        <v>-5.2864000000000001E-2</v>
      </c>
      <c r="BF12" s="63">
        <v>2.15</v>
      </c>
    </row>
    <row r="14" spans="1:58" x14ac:dyDescent="0.25">
      <c r="A14" s="84" t="s">
        <v>456</v>
      </c>
      <c r="B14" s="82"/>
      <c r="C14" s="82"/>
      <c r="D14" s="83"/>
      <c r="F14" s="36" t="s">
        <v>110</v>
      </c>
      <c r="G14" s="36" t="s">
        <v>457</v>
      </c>
      <c r="H14" s="36" t="s">
        <v>112</v>
      </c>
      <c r="I14" s="36" t="s">
        <v>458</v>
      </c>
      <c r="J14" s="36" t="s">
        <v>459</v>
      </c>
      <c r="K14" s="36" t="s">
        <v>109</v>
      </c>
      <c r="L14" s="36" t="s">
        <v>460</v>
      </c>
      <c r="M14" s="36" t="s">
        <v>461</v>
      </c>
      <c r="N14" s="36" t="s">
        <v>462</v>
      </c>
      <c r="O14" s="36" t="s">
        <v>463</v>
      </c>
      <c r="P14" s="36" t="s">
        <v>464</v>
      </c>
      <c r="Q14" s="36" t="s">
        <v>465</v>
      </c>
      <c r="R14" s="36" t="s">
        <v>237</v>
      </c>
    </row>
    <row r="15" spans="1:58" x14ac:dyDescent="0.25">
      <c r="A15" s="81"/>
      <c r="B15" s="82"/>
      <c r="C15" s="82"/>
      <c r="D15" s="83"/>
      <c r="F15" s="37">
        <v>0.58536585365853655</v>
      </c>
      <c r="G15" s="37">
        <v>2.6816416666666669E-2</v>
      </c>
      <c r="H15" s="37">
        <v>0.41463414634146339</v>
      </c>
      <c r="I15" s="37">
        <v>-1.6830764705882351E-2</v>
      </c>
      <c r="J15" s="38">
        <v>0.51802785140247143</v>
      </c>
      <c r="K15" s="39">
        <v>205</v>
      </c>
      <c r="L15" s="40">
        <v>0.43886840409988692</v>
      </c>
      <c r="M15" s="40">
        <v>1.243899326511763</v>
      </c>
      <c r="N15" s="38">
        <v>3.6570555926007389</v>
      </c>
      <c r="O15" s="38">
        <v>0.57113612933222302</v>
      </c>
      <c r="P15" s="38">
        <v>9.0665049778625075</v>
      </c>
      <c r="Q15" s="40">
        <v>1.9019066075362849</v>
      </c>
      <c r="R15" s="37">
        <v>0.1042503021098284</v>
      </c>
    </row>
    <row r="16" spans="1:58" x14ac:dyDescent="0.25">
      <c r="A16" s="65" t="s">
        <v>164</v>
      </c>
      <c r="B16" s="65" t="s">
        <v>165</v>
      </c>
      <c r="C16" s="65" t="s">
        <v>166</v>
      </c>
      <c r="D16" s="65" t="s">
        <v>167</v>
      </c>
      <c r="E16" s="65" t="s">
        <v>168</v>
      </c>
      <c r="F16" s="65" t="s">
        <v>169</v>
      </c>
      <c r="G16" s="65" t="s">
        <v>170</v>
      </c>
      <c r="H16" s="65" t="s">
        <v>171</v>
      </c>
      <c r="I16" s="65" t="s">
        <v>172</v>
      </c>
      <c r="J16" s="65" t="s">
        <v>173</v>
      </c>
      <c r="K16" s="65" t="s">
        <v>174</v>
      </c>
      <c r="L16" s="65" t="s">
        <v>175</v>
      </c>
      <c r="M16" s="65" t="s">
        <v>176</v>
      </c>
      <c r="N16" s="65" t="s">
        <v>177</v>
      </c>
      <c r="O16" s="65" t="s">
        <v>178</v>
      </c>
      <c r="P16" s="65" t="s">
        <v>519</v>
      </c>
      <c r="Q16" s="65" t="s">
        <v>179</v>
      </c>
    </row>
    <row r="17" spans="1:17" x14ac:dyDescent="0.25">
      <c r="A17" s="47">
        <v>2019</v>
      </c>
      <c r="B17" s="66"/>
      <c r="C17" s="66"/>
      <c r="D17" s="66"/>
      <c r="E17" s="60">
        <v>-4.4507999999999999E-2</v>
      </c>
      <c r="F17" s="64">
        <v>1.2007E-2</v>
      </c>
      <c r="G17" s="66"/>
      <c r="H17" s="66"/>
      <c r="I17" s="66"/>
      <c r="J17" s="66"/>
      <c r="K17" s="64">
        <v>1.5848999999999999E-2</v>
      </c>
      <c r="L17" s="64">
        <v>1.8649999999999999E-3</v>
      </c>
      <c r="M17" s="60">
        <v>-2.0458E-2</v>
      </c>
      <c r="N17" s="60">
        <v>-3.5244999999999999E-2</v>
      </c>
      <c r="O17" s="60">
        <v>-4.3947E-2</v>
      </c>
      <c r="P17" s="60">
        <v>-4.4838999999999997E-2</v>
      </c>
      <c r="Q17" s="61">
        <v>-0.8</v>
      </c>
    </row>
    <row r="18" spans="1:17" x14ac:dyDescent="0.25">
      <c r="A18" s="47">
        <v>2020</v>
      </c>
      <c r="B18" s="64">
        <v>9.2100000000000001E-2</v>
      </c>
      <c r="C18" s="64">
        <v>2.1299999999999999E-3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4">
        <v>9.4229999999999994E-2</v>
      </c>
      <c r="O18" s="60">
        <v>-1.1108E-2</v>
      </c>
      <c r="P18" s="60">
        <v>-2.4854999999999999E-2</v>
      </c>
      <c r="Q18" s="63">
        <v>8.48</v>
      </c>
    </row>
    <row r="19" spans="1:17" x14ac:dyDescent="0.25">
      <c r="A19" s="47">
        <v>2022</v>
      </c>
      <c r="B19" s="66"/>
      <c r="C19" s="66"/>
      <c r="D19" s="66"/>
      <c r="E19" s="66"/>
      <c r="F19" s="66"/>
      <c r="G19" s="66"/>
      <c r="H19" s="66"/>
      <c r="I19" s="64">
        <v>3.0502999999999999E-2</v>
      </c>
      <c r="J19" s="64">
        <v>4.2200000000000001E-4</v>
      </c>
      <c r="K19" s="60">
        <v>-2.7826E-2</v>
      </c>
      <c r="L19" s="60">
        <v>-1.95E-2</v>
      </c>
      <c r="M19" s="60">
        <v>-1.3105E-2</v>
      </c>
      <c r="N19" s="60">
        <v>-2.9506000000000001E-2</v>
      </c>
      <c r="O19" s="60">
        <v>-8.1453999999999999E-2</v>
      </c>
      <c r="P19" s="60">
        <v>-8.1453999999999999E-2</v>
      </c>
      <c r="Q19" s="61">
        <v>-0.36</v>
      </c>
    </row>
    <row r="20" spans="1:17" x14ac:dyDescent="0.25">
      <c r="A20" s="47">
        <v>2023</v>
      </c>
      <c r="B20" s="66"/>
      <c r="C20" s="66"/>
      <c r="D20" s="66"/>
      <c r="E20" s="66"/>
      <c r="F20" s="64">
        <v>3.4823E-2</v>
      </c>
      <c r="G20" s="64">
        <v>3.8989000000000003E-2</v>
      </c>
      <c r="H20" s="60">
        <v>-5.8250000000000003E-3</v>
      </c>
      <c r="I20" s="64">
        <v>7.6980000000000007E-2</v>
      </c>
      <c r="J20" s="64">
        <v>1.4491E-2</v>
      </c>
      <c r="K20" s="60">
        <v>-3.3974999999999998E-2</v>
      </c>
      <c r="L20" s="64">
        <v>5.2824000000000003E-2</v>
      </c>
      <c r="M20" s="60">
        <v>-8.5780000000000006E-3</v>
      </c>
      <c r="N20" s="64">
        <v>0.16972899999999999</v>
      </c>
      <c r="O20" s="60">
        <v>-3.6680999999999998E-2</v>
      </c>
      <c r="P20" s="60">
        <v>-4.4547999999999997E-2</v>
      </c>
      <c r="Q20" s="63">
        <v>4.63</v>
      </c>
    </row>
    <row r="21" spans="1:17" x14ac:dyDescent="0.25">
      <c r="A21" s="47">
        <v>2024</v>
      </c>
      <c r="B21" s="64">
        <v>6.6278000000000004E-2</v>
      </c>
      <c r="C21" s="60">
        <v>-7.783E-3</v>
      </c>
      <c r="D21" s="60">
        <v>-1.9623999999999999E-2</v>
      </c>
      <c r="E21" s="66"/>
      <c r="F21" s="64">
        <v>3.1196000000000002E-2</v>
      </c>
      <c r="G21" s="64">
        <v>1.2970000000000001E-2</v>
      </c>
      <c r="H21" s="64">
        <v>3.2764000000000001E-2</v>
      </c>
      <c r="I21" s="60">
        <v>-8.9969999999999998E-3</v>
      </c>
      <c r="J21" s="60">
        <v>-1.3143999999999999E-2</v>
      </c>
      <c r="K21" s="60">
        <v>-1.1651999999999999E-2</v>
      </c>
      <c r="L21" s="66"/>
      <c r="M21" s="66"/>
      <c r="N21" s="64">
        <v>8.2007999999999998E-2</v>
      </c>
      <c r="O21" s="60">
        <v>-7.1040000000000006E-2</v>
      </c>
      <c r="P21" s="60">
        <v>-7.5728000000000004E-2</v>
      </c>
      <c r="Q21" s="63">
        <v>1.1499999999999999</v>
      </c>
    </row>
    <row r="22" spans="1:17" x14ac:dyDescent="0.25">
      <c r="A22" s="47">
        <v>2025</v>
      </c>
      <c r="B22" s="66"/>
      <c r="C22" s="66"/>
      <c r="D22" s="66"/>
      <c r="E22" s="64">
        <v>2.2173999999999999E-2</v>
      </c>
      <c r="F22" s="64">
        <v>3.8507E-2</v>
      </c>
      <c r="G22" s="64">
        <v>5.1770000000000002E-3</v>
      </c>
      <c r="H22" s="64">
        <v>6.79E-3</v>
      </c>
      <c r="I22" s="60">
        <v>-1.8265E-2</v>
      </c>
      <c r="J22" s="60">
        <v>-5.8079999999999998E-3</v>
      </c>
      <c r="K22" s="64">
        <v>1.1100000000000001E-3</v>
      </c>
      <c r="L22" s="64">
        <v>8.7500000000000008E-3</v>
      </c>
      <c r="M22" s="64">
        <v>5.2960000000000004E-3</v>
      </c>
      <c r="N22" s="64">
        <v>6.3730999999999996E-2</v>
      </c>
      <c r="O22" s="60">
        <v>-4.2791000000000003E-2</v>
      </c>
      <c r="P22" s="60">
        <v>-4.8668000000000003E-2</v>
      </c>
      <c r="Q22" s="63">
        <v>1.49</v>
      </c>
    </row>
    <row r="23" spans="1:17" x14ac:dyDescent="0.25">
      <c r="A23" s="47">
        <v>2026</v>
      </c>
      <c r="B23" s="60">
        <v>-1.9956000000000002E-2</v>
      </c>
      <c r="C23" s="66"/>
      <c r="D23" s="66"/>
      <c r="E23" s="66"/>
      <c r="F23" s="64">
        <v>3.9599000000000002E-2</v>
      </c>
      <c r="G23" s="60">
        <v>-7.1190000000000003E-3</v>
      </c>
      <c r="H23" s="66"/>
      <c r="I23" s="66"/>
      <c r="J23" s="66"/>
      <c r="K23" s="66"/>
      <c r="L23" s="66"/>
      <c r="M23" s="66"/>
      <c r="N23" s="64">
        <v>1.2524E-2</v>
      </c>
      <c r="O23" s="60">
        <v>-4.5393999999999997E-2</v>
      </c>
      <c r="P23" s="60">
        <v>-4.9956E-2</v>
      </c>
      <c r="Q23" s="63">
        <v>0.28000000000000003</v>
      </c>
    </row>
    <row r="24" spans="1:17" x14ac:dyDescent="0.25">
      <c r="A24" s="41" t="s">
        <v>177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64">
        <v>0.35747099999999998</v>
      </c>
      <c r="O24" s="60">
        <v>-4.7488000000000002E-2</v>
      </c>
      <c r="P24" s="60">
        <v>-5.2864000000000001E-2</v>
      </c>
      <c r="Q24" s="63">
        <v>2.12</v>
      </c>
    </row>
  </sheetData>
  <mergeCells count="8">
    <mergeCell ref="BF3:BF4"/>
    <mergeCell ref="A14:D14"/>
    <mergeCell ref="BE3:BE4"/>
    <mergeCell ref="BD3:BD4"/>
    <mergeCell ref="A2:E2"/>
    <mergeCell ref="A15:D15"/>
    <mergeCell ref="BC3:BC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Rules</vt:lpstr>
      <vt:lpstr>Trade Sheet</vt:lpstr>
      <vt:lpstr>Summary</vt:lpstr>
      <vt:lpstr>Patch wise</vt:lpstr>
      <vt:lpstr>WOW &amp; MOM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AFF55</cp:lastModifiedBy>
  <dcterms:created xsi:type="dcterms:W3CDTF">2026-07-22T10:21:29Z</dcterms:created>
  <dcterms:modified xsi:type="dcterms:W3CDTF">2026-07-22T10:43:40Z</dcterms:modified>
</cp:coreProperties>
</file>